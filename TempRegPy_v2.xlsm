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1D320950-4D63-4ECC-897D-B3362F260D02}" xr6:coauthVersionLast="47" xr6:coauthVersionMax="47" xr10:uidLastSave="{00000000-0000-0000-0000-000000000000}"/>
  <bookViews>
    <workbookView xWindow="-3744" yWindow="-17388" windowWidth="30936" windowHeight="16776" activeTab="1" xr2:uid="{EDE72A4E-5E83-4998-A3FD-57974B6FA13E}"/>
  </bookViews>
  <sheets>
    <sheet name="Inputs" sheetId="1" r:id="rId1"/>
    <sheet name="Timeseries" sheetId="8" r:id="rId2"/>
    <sheet name="Results" sheetId="7" r:id="rId3"/>
  </sheets>
  <definedNames>
    <definedName name="_xleta.N" hidden="1" xlm="1">#NAME?</definedName>
    <definedName name="_xleta.T" hidden="1" xlm="1">#NAME?</definedName>
    <definedName name="ExternalData_1" localSheetId="2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" l="1"/>
  <c r="H12" i="1" s="1"/>
  <c r="T28" i="8"/>
  <c r="T29" i="8"/>
  <c r="T30" i="8"/>
  <c r="T31" i="8"/>
  <c r="T32" i="8"/>
  <c r="T33" i="8"/>
  <c r="T57" i="8" s="1"/>
  <c r="T81" i="8" s="1"/>
  <c r="T105" i="8" s="1"/>
  <c r="T129" i="8" s="1"/>
  <c r="T153" i="8" s="1"/>
  <c r="T34" i="8"/>
  <c r="T58" i="8" s="1"/>
  <c r="T82" i="8" s="1"/>
  <c r="T106" i="8" s="1"/>
  <c r="T130" i="8" s="1"/>
  <c r="T35" i="8"/>
  <c r="T36" i="8"/>
  <c r="T37" i="8"/>
  <c r="T38" i="8"/>
  <c r="T39" i="8"/>
  <c r="T40" i="8"/>
  <c r="T41" i="8"/>
  <c r="T42" i="8"/>
  <c r="T43" i="8"/>
  <c r="T44" i="8"/>
  <c r="T68" i="8" s="1"/>
  <c r="T92" i="8" s="1"/>
  <c r="T116" i="8" s="1"/>
  <c r="T140" i="8" s="1"/>
  <c r="T164" i="8" s="1"/>
  <c r="T188" i="8" s="1"/>
  <c r="T212" i="8" s="1"/>
  <c r="T236" i="8" s="1"/>
  <c r="T260" i="8" s="1"/>
  <c r="T284" i="8" s="1"/>
  <c r="T308" i="8" s="1"/>
  <c r="T332" i="8" s="1"/>
  <c r="T356" i="8" s="1"/>
  <c r="T380" i="8" s="1"/>
  <c r="T404" i="8" s="1"/>
  <c r="T428" i="8" s="1"/>
  <c r="T452" i="8" s="1"/>
  <c r="T476" i="8" s="1"/>
  <c r="T500" i="8" s="1"/>
  <c r="T524" i="8" s="1"/>
  <c r="T548" i="8" s="1"/>
  <c r="T572" i="8" s="1"/>
  <c r="T596" i="8" s="1"/>
  <c r="T620" i="8" s="1"/>
  <c r="T45" i="8"/>
  <c r="T46" i="8"/>
  <c r="T70" i="8" s="1"/>
  <c r="T94" i="8" s="1"/>
  <c r="T118" i="8" s="1"/>
  <c r="T142" i="8" s="1"/>
  <c r="T166" i="8" s="1"/>
  <c r="T190" i="8" s="1"/>
  <c r="T214" i="8" s="1"/>
  <c r="T238" i="8" s="1"/>
  <c r="T262" i="8" s="1"/>
  <c r="T286" i="8" s="1"/>
  <c r="T310" i="8" s="1"/>
  <c r="T334" i="8" s="1"/>
  <c r="T358" i="8" s="1"/>
  <c r="T382" i="8" s="1"/>
  <c r="T406" i="8" s="1"/>
  <c r="T430" i="8" s="1"/>
  <c r="T454" i="8" s="1"/>
  <c r="T478" i="8" s="1"/>
  <c r="T502" i="8" s="1"/>
  <c r="T526" i="8" s="1"/>
  <c r="T550" i="8" s="1"/>
  <c r="T574" i="8" s="1"/>
  <c r="T598" i="8" s="1"/>
  <c r="T622" i="8" s="1"/>
  <c r="T47" i="8"/>
  <c r="T71" i="8" s="1"/>
  <c r="T95" i="8" s="1"/>
  <c r="T119" i="8" s="1"/>
  <c r="T143" i="8" s="1"/>
  <c r="T167" i="8" s="1"/>
  <c r="T191" i="8" s="1"/>
  <c r="T215" i="8" s="1"/>
  <c r="T239" i="8" s="1"/>
  <c r="T263" i="8" s="1"/>
  <c r="T287" i="8" s="1"/>
  <c r="T311" i="8" s="1"/>
  <c r="T335" i="8" s="1"/>
  <c r="T359" i="8" s="1"/>
  <c r="T383" i="8" s="1"/>
  <c r="T407" i="8" s="1"/>
  <c r="T431" i="8" s="1"/>
  <c r="T455" i="8" s="1"/>
  <c r="T479" i="8" s="1"/>
  <c r="T503" i="8" s="1"/>
  <c r="T527" i="8" s="1"/>
  <c r="T551" i="8" s="1"/>
  <c r="T575" i="8" s="1"/>
  <c r="T599" i="8" s="1"/>
  <c r="T623" i="8" s="1"/>
  <c r="T48" i="8"/>
  <c r="T72" i="8" s="1"/>
  <c r="T96" i="8" s="1"/>
  <c r="T120" i="8" s="1"/>
  <c r="T144" i="8" s="1"/>
  <c r="T168" i="8" s="1"/>
  <c r="T192" i="8" s="1"/>
  <c r="T216" i="8" s="1"/>
  <c r="T240" i="8" s="1"/>
  <c r="T264" i="8" s="1"/>
  <c r="T288" i="8" s="1"/>
  <c r="T312" i="8" s="1"/>
  <c r="T336" i="8" s="1"/>
  <c r="T360" i="8" s="1"/>
  <c r="T384" i="8" s="1"/>
  <c r="T408" i="8" s="1"/>
  <c r="T432" i="8" s="1"/>
  <c r="T456" i="8" s="1"/>
  <c r="T480" i="8" s="1"/>
  <c r="T504" i="8" s="1"/>
  <c r="T528" i="8" s="1"/>
  <c r="T552" i="8" s="1"/>
  <c r="T576" i="8" s="1"/>
  <c r="T600" i="8" s="1"/>
  <c r="T624" i="8" s="1"/>
  <c r="T49" i="8"/>
  <c r="T73" i="8" s="1"/>
  <c r="T97" i="8" s="1"/>
  <c r="T121" i="8" s="1"/>
  <c r="T145" i="8" s="1"/>
  <c r="T169" i="8" s="1"/>
  <c r="T193" i="8" s="1"/>
  <c r="T217" i="8" s="1"/>
  <c r="T241" i="8" s="1"/>
  <c r="T265" i="8" s="1"/>
  <c r="T289" i="8" s="1"/>
  <c r="T313" i="8" s="1"/>
  <c r="T337" i="8" s="1"/>
  <c r="T361" i="8" s="1"/>
  <c r="T385" i="8" s="1"/>
  <c r="T409" i="8" s="1"/>
  <c r="T433" i="8" s="1"/>
  <c r="T457" i="8" s="1"/>
  <c r="T481" i="8" s="1"/>
  <c r="T505" i="8" s="1"/>
  <c r="T529" i="8" s="1"/>
  <c r="T553" i="8" s="1"/>
  <c r="T577" i="8" s="1"/>
  <c r="T601" i="8" s="1"/>
  <c r="T625" i="8" s="1"/>
  <c r="T50" i="8"/>
  <c r="T51" i="8"/>
  <c r="T52" i="8"/>
  <c r="T53" i="8"/>
  <c r="T54" i="8"/>
  <c r="T55" i="8"/>
  <c r="T79" i="8" s="1"/>
  <c r="T103" i="8" s="1"/>
  <c r="T127" i="8" s="1"/>
  <c r="T151" i="8" s="1"/>
  <c r="T175" i="8" s="1"/>
  <c r="T199" i="8" s="1"/>
  <c r="T223" i="8" s="1"/>
  <c r="T247" i="8" s="1"/>
  <c r="T271" i="8" s="1"/>
  <c r="T295" i="8" s="1"/>
  <c r="T319" i="8" s="1"/>
  <c r="T343" i="8" s="1"/>
  <c r="T367" i="8" s="1"/>
  <c r="T391" i="8" s="1"/>
  <c r="T415" i="8" s="1"/>
  <c r="T439" i="8" s="1"/>
  <c r="T463" i="8" s="1"/>
  <c r="T487" i="8" s="1"/>
  <c r="T511" i="8" s="1"/>
  <c r="T535" i="8" s="1"/>
  <c r="T559" i="8" s="1"/>
  <c r="T583" i="8" s="1"/>
  <c r="T607" i="8" s="1"/>
  <c r="T56" i="8"/>
  <c r="T80" i="8" s="1"/>
  <c r="T104" i="8" s="1"/>
  <c r="T128" i="8" s="1"/>
  <c r="T152" i="8" s="1"/>
  <c r="T59" i="8"/>
  <c r="T60" i="8"/>
  <c r="T61" i="8"/>
  <c r="T62" i="8"/>
  <c r="T63" i="8"/>
  <c r="T64" i="8"/>
  <c r="T65" i="8"/>
  <c r="T66" i="8"/>
  <c r="T90" i="8" s="1"/>
  <c r="T114" i="8" s="1"/>
  <c r="T138" i="8" s="1"/>
  <c r="T162" i="8" s="1"/>
  <c r="T186" i="8" s="1"/>
  <c r="T210" i="8" s="1"/>
  <c r="T234" i="8" s="1"/>
  <c r="T258" i="8" s="1"/>
  <c r="T282" i="8" s="1"/>
  <c r="T306" i="8" s="1"/>
  <c r="T330" i="8" s="1"/>
  <c r="T354" i="8" s="1"/>
  <c r="T378" i="8" s="1"/>
  <c r="T402" i="8" s="1"/>
  <c r="T426" i="8" s="1"/>
  <c r="T450" i="8" s="1"/>
  <c r="T474" i="8" s="1"/>
  <c r="T498" i="8" s="1"/>
  <c r="T522" i="8" s="1"/>
  <c r="T546" i="8" s="1"/>
  <c r="T570" i="8" s="1"/>
  <c r="T594" i="8" s="1"/>
  <c r="T618" i="8" s="1"/>
  <c r="T67" i="8"/>
  <c r="T91" i="8" s="1"/>
  <c r="T115" i="8" s="1"/>
  <c r="T139" i="8" s="1"/>
  <c r="T163" i="8" s="1"/>
  <c r="T187" i="8" s="1"/>
  <c r="T211" i="8" s="1"/>
  <c r="T235" i="8" s="1"/>
  <c r="T259" i="8" s="1"/>
  <c r="T283" i="8" s="1"/>
  <c r="T307" i="8" s="1"/>
  <c r="T331" i="8" s="1"/>
  <c r="T355" i="8" s="1"/>
  <c r="T379" i="8" s="1"/>
  <c r="T403" i="8" s="1"/>
  <c r="T427" i="8" s="1"/>
  <c r="T451" i="8" s="1"/>
  <c r="T475" i="8" s="1"/>
  <c r="T499" i="8" s="1"/>
  <c r="T523" i="8" s="1"/>
  <c r="T547" i="8" s="1"/>
  <c r="T571" i="8" s="1"/>
  <c r="T595" i="8" s="1"/>
  <c r="T619" i="8" s="1"/>
  <c r="T69" i="8"/>
  <c r="T93" i="8" s="1"/>
  <c r="T117" i="8" s="1"/>
  <c r="T141" i="8" s="1"/>
  <c r="T165" i="8" s="1"/>
  <c r="T189" i="8" s="1"/>
  <c r="T213" i="8" s="1"/>
  <c r="T237" i="8" s="1"/>
  <c r="T261" i="8" s="1"/>
  <c r="T285" i="8" s="1"/>
  <c r="T309" i="8" s="1"/>
  <c r="T333" i="8" s="1"/>
  <c r="T357" i="8" s="1"/>
  <c r="T381" i="8" s="1"/>
  <c r="T405" i="8" s="1"/>
  <c r="T429" i="8" s="1"/>
  <c r="T453" i="8" s="1"/>
  <c r="T477" i="8" s="1"/>
  <c r="T501" i="8" s="1"/>
  <c r="T525" i="8" s="1"/>
  <c r="T549" i="8" s="1"/>
  <c r="T573" i="8" s="1"/>
  <c r="T597" i="8" s="1"/>
  <c r="T621" i="8" s="1"/>
  <c r="T74" i="8"/>
  <c r="T75" i="8"/>
  <c r="T76" i="8"/>
  <c r="T77" i="8"/>
  <c r="T101" i="8" s="1"/>
  <c r="T125" i="8" s="1"/>
  <c r="T149" i="8" s="1"/>
  <c r="T173" i="8" s="1"/>
  <c r="T197" i="8" s="1"/>
  <c r="T78" i="8"/>
  <c r="T102" i="8" s="1"/>
  <c r="T126" i="8" s="1"/>
  <c r="T150" i="8" s="1"/>
  <c r="T174" i="8" s="1"/>
  <c r="T83" i="8"/>
  <c r="T84" i="8"/>
  <c r="T85" i="8"/>
  <c r="T86" i="8"/>
  <c r="T87" i="8"/>
  <c r="T88" i="8"/>
  <c r="T112" i="8" s="1"/>
  <c r="T136" i="8" s="1"/>
  <c r="T160" i="8" s="1"/>
  <c r="T184" i="8" s="1"/>
  <c r="T208" i="8" s="1"/>
  <c r="T232" i="8" s="1"/>
  <c r="T256" i="8" s="1"/>
  <c r="T280" i="8" s="1"/>
  <c r="T304" i="8" s="1"/>
  <c r="T328" i="8" s="1"/>
  <c r="T352" i="8" s="1"/>
  <c r="T376" i="8" s="1"/>
  <c r="T400" i="8" s="1"/>
  <c r="T424" i="8" s="1"/>
  <c r="T448" i="8" s="1"/>
  <c r="T472" i="8" s="1"/>
  <c r="T496" i="8" s="1"/>
  <c r="T520" i="8" s="1"/>
  <c r="T544" i="8" s="1"/>
  <c r="T568" i="8" s="1"/>
  <c r="T592" i="8" s="1"/>
  <c r="T616" i="8" s="1"/>
  <c r="T89" i="8"/>
  <c r="T113" i="8" s="1"/>
  <c r="T137" i="8" s="1"/>
  <c r="T161" i="8" s="1"/>
  <c r="T185" i="8" s="1"/>
  <c r="T209" i="8" s="1"/>
  <c r="T233" i="8" s="1"/>
  <c r="T257" i="8" s="1"/>
  <c r="T281" i="8" s="1"/>
  <c r="T305" i="8" s="1"/>
  <c r="T329" i="8" s="1"/>
  <c r="T353" i="8" s="1"/>
  <c r="T377" i="8" s="1"/>
  <c r="T401" i="8" s="1"/>
  <c r="T425" i="8" s="1"/>
  <c r="T449" i="8" s="1"/>
  <c r="T473" i="8" s="1"/>
  <c r="T497" i="8" s="1"/>
  <c r="T521" i="8" s="1"/>
  <c r="T545" i="8" s="1"/>
  <c r="T569" i="8" s="1"/>
  <c r="T593" i="8" s="1"/>
  <c r="T617" i="8" s="1"/>
  <c r="T98" i="8"/>
  <c r="T99" i="8"/>
  <c r="T123" i="8" s="1"/>
  <c r="T147" i="8" s="1"/>
  <c r="T171" i="8" s="1"/>
  <c r="T195" i="8" s="1"/>
  <c r="T219" i="8" s="1"/>
  <c r="T243" i="8" s="1"/>
  <c r="T267" i="8" s="1"/>
  <c r="T291" i="8" s="1"/>
  <c r="T315" i="8" s="1"/>
  <c r="T339" i="8" s="1"/>
  <c r="T363" i="8" s="1"/>
  <c r="T387" i="8" s="1"/>
  <c r="T411" i="8" s="1"/>
  <c r="T435" i="8" s="1"/>
  <c r="T459" i="8" s="1"/>
  <c r="T483" i="8" s="1"/>
  <c r="T507" i="8" s="1"/>
  <c r="T531" i="8" s="1"/>
  <c r="T555" i="8" s="1"/>
  <c r="T579" i="8" s="1"/>
  <c r="T603" i="8" s="1"/>
  <c r="T100" i="8"/>
  <c r="T124" i="8" s="1"/>
  <c r="T148" i="8" s="1"/>
  <c r="T172" i="8" s="1"/>
  <c r="T196" i="8" s="1"/>
  <c r="T220" i="8" s="1"/>
  <c r="T244" i="8" s="1"/>
  <c r="T268" i="8" s="1"/>
  <c r="T292" i="8" s="1"/>
  <c r="T316" i="8" s="1"/>
  <c r="T340" i="8" s="1"/>
  <c r="T364" i="8" s="1"/>
  <c r="T388" i="8" s="1"/>
  <c r="T412" i="8" s="1"/>
  <c r="T436" i="8" s="1"/>
  <c r="T460" i="8" s="1"/>
  <c r="T484" i="8" s="1"/>
  <c r="T508" i="8" s="1"/>
  <c r="T532" i="8" s="1"/>
  <c r="T556" i="8" s="1"/>
  <c r="T580" i="8" s="1"/>
  <c r="T604" i="8" s="1"/>
  <c r="T107" i="8"/>
  <c r="T108" i="8"/>
  <c r="T109" i="8"/>
  <c r="T110" i="8"/>
  <c r="T134" i="8" s="1"/>
  <c r="T158" i="8" s="1"/>
  <c r="T182" i="8" s="1"/>
  <c r="T206" i="8" s="1"/>
  <c r="T230" i="8" s="1"/>
  <c r="T254" i="8" s="1"/>
  <c r="T278" i="8" s="1"/>
  <c r="T302" i="8" s="1"/>
  <c r="T326" i="8" s="1"/>
  <c r="T350" i="8" s="1"/>
  <c r="T374" i="8" s="1"/>
  <c r="T398" i="8" s="1"/>
  <c r="T422" i="8" s="1"/>
  <c r="T446" i="8" s="1"/>
  <c r="T470" i="8" s="1"/>
  <c r="T494" i="8" s="1"/>
  <c r="T518" i="8" s="1"/>
  <c r="T542" i="8" s="1"/>
  <c r="T566" i="8" s="1"/>
  <c r="T590" i="8" s="1"/>
  <c r="T614" i="8" s="1"/>
  <c r="T111" i="8"/>
  <c r="T135" i="8" s="1"/>
  <c r="T159" i="8" s="1"/>
  <c r="T183" i="8" s="1"/>
  <c r="T207" i="8" s="1"/>
  <c r="T231" i="8" s="1"/>
  <c r="T255" i="8" s="1"/>
  <c r="T279" i="8" s="1"/>
  <c r="T303" i="8" s="1"/>
  <c r="T327" i="8" s="1"/>
  <c r="T351" i="8" s="1"/>
  <c r="T375" i="8" s="1"/>
  <c r="T399" i="8" s="1"/>
  <c r="T423" i="8" s="1"/>
  <c r="T447" i="8" s="1"/>
  <c r="T471" i="8" s="1"/>
  <c r="T495" i="8" s="1"/>
  <c r="T519" i="8" s="1"/>
  <c r="T543" i="8" s="1"/>
  <c r="T567" i="8" s="1"/>
  <c r="T591" i="8" s="1"/>
  <c r="T615" i="8" s="1"/>
  <c r="T122" i="8"/>
  <c r="T146" i="8" s="1"/>
  <c r="T170" i="8" s="1"/>
  <c r="T194" i="8" s="1"/>
  <c r="T218" i="8" s="1"/>
  <c r="T131" i="8"/>
  <c r="T132" i="8"/>
  <c r="T133" i="8"/>
  <c r="T154" i="8"/>
  <c r="T155" i="8"/>
  <c r="T156" i="8"/>
  <c r="T180" i="8" s="1"/>
  <c r="T204" i="8" s="1"/>
  <c r="T228" i="8" s="1"/>
  <c r="T252" i="8" s="1"/>
  <c r="T276" i="8" s="1"/>
  <c r="T300" i="8" s="1"/>
  <c r="T324" i="8" s="1"/>
  <c r="T348" i="8" s="1"/>
  <c r="T372" i="8" s="1"/>
  <c r="T396" i="8" s="1"/>
  <c r="T420" i="8" s="1"/>
  <c r="T444" i="8" s="1"/>
  <c r="T468" i="8" s="1"/>
  <c r="T492" i="8" s="1"/>
  <c r="T516" i="8" s="1"/>
  <c r="T540" i="8" s="1"/>
  <c r="T564" i="8" s="1"/>
  <c r="T588" i="8" s="1"/>
  <c r="T612" i="8" s="1"/>
  <c r="T157" i="8"/>
  <c r="T181" i="8" s="1"/>
  <c r="T205" i="8" s="1"/>
  <c r="T229" i="8" s="1"/>
  <c r="T253" i="8" s="1"/>
  <c r="T277" i="8" s="1"/>
  <c r="T301" i="8" s="1"/>
  <c r="T325" i="8" s="1"/>
  <c r="T349" i="8" s="1"/>
  <c r="T373" i="8" s="1"/>
  <c r="T397" i="8" s="1"/>
  <c r="T421" i="8" s="1"/>
  <c r="T445" i="8" s="1"/>
  <c r="T469" i="8" s="1"/>
  <c r="T493" i="8" s="1"/>
  <c r="T517" i="8" s="1"/>
  <c r="T541" i="8" s="1"/>
  <c r="T565" i="8" s="1"/>
  <c r="T589" i="8" s="1"/>
  <c r="T613" i="8" s="1"/>
  <c r="T176" i="8"/>
  <c r="T200" i="8" s="1"/>
  <c r="T224" i="8" s="1"/>
  <c r="T248" i="8" s="1"/>
  <c r="T272" i="8" s="1"/>
  <c r="T296" i="8" s="1"/>
  <c r="T320" i="8" s="1"/>
  <c r="T344" i="8" s="1"/>
  <c r="T368" i="8" s="1"/>
  <c r="T392" i="8" s="1"/>
  <c r="T416" i="8" s="1"/>
  <c r="T440" i="8" s="1"/>
  <c r="T464" i="8" s="1"/>
  <c r="T488" i="8" s="1"/>
  <c r="T512" i="8" s="1"/>
  <c r="T536" i="8" s="1"/>
  <c r="T560" i="8" s="1"/>
  <c r="T584" i="8" s="1"/>
  <c r="T608" i="8" s="1"/>
  <c r="T177" i="8"/>
  <c r="T201" i="8" s="1"/>
  <c r="T225" i="8" s="1"/>
  <c r="T249" i="8" s="1"/>
  <c r="T273" i="8" s="1"/>
  <c r="T297" i="8" s="1"/>
  <c r="T321" i="8" s="1"/>
  <c r="T345" i="8" s="1"/>
  <c r="T369" i="8" s="1"/>
  <c r="T393" i="8" s="1"/>
  <c r="T417" i="8" s="1"/>
  <c r="T441" i="8" s="1"/>
  <c r="T465" i="8" s="1"/>
  <c r="T489" i="8" s="1"/>
  <c r="T513" i="8" s="1"/>
  <c r="T537" i="8" s="1"/>
  <c r="T561" i="8" s="1"/>
  <c r="T585" i="8" s="1"/>
  <c r="T609" i="8" s="1"/>
  <c r="T178" i="8"/>
  <c r="T202" i="8" s="1"/>
  <c r="T226" i="8" s="1"/>
  <c r="T250" i="8" s="1"/>
  <c r="T274" i="8" s="1"/>
  <c r="T298" i="8" s="1"/>
  <c r="T322" i="8" s="1"/>
  <c r="T346" i="8" s="1"/>
  <c r="T370" i="8" s="1"/>
  <c r="T394" i="8" s="1"/>
  <c r="T418" i="8" s="1"/>
  <c r="T442" i="8" s="1"/>
  <c r="T466" i="8" s="1"/>
  <c r="T490" i="8" s="1"/>
  <c r="T514" i="8" s="1"/>
  <c r="T538" i="8" s="1"/>
  <c r="T562" i="8" s="1"/>
  <c r="T586" i="8" s="1"/>
  <c r="T610" i="8" s="1"/>
  <c r="T179" i="8"/>
  <c r="T203" i="8" s="1"/>
  <c r="T227" i="8" s="1"/>
  <c r="T251" i="8" s="1"/>
  <c r="T275" i="8" s="1"/>
  <c r="T299" i="8" s="1"/>
  <c r="T323" i="8" s="1"/>
  <c r="T347" i="8" s="1"/>
  <c r="T371" i="8" s="1"/>
  <c r="T395" i="8" s="1"/>
  <c r="T419" i="8" s="1"/>
  <c r="T443" i="8" s="1"/>
  <c r="T467" i="8" s="1"/>
  <c r="T491" i="8" s="1"/>
  <c r="T515" i="8" s="1"/>
  <c r="T539" i="8" s="1"/>
  <c r="T563" i="8" s="1"/>
  <c r="T587" i="8" s="1"/>
  <c r="T611" i="8" s="1"/>
  <c r="T198" i="8"/>
  <c r="T221" i="8"/>
  <c r="T222" i="8"/>
  <c r="T242" i="8"/>
  <c r="T266" i="8" s="1"/>
  <c r="T290" i="8" s="1"/>
  <c r="T314" i="8" s="1"/>
  <c r="T338" i="8" s="1"/>
  <c r="T362" i="8" s="1"/>
  <c r="T386" i="8" s="1"/>
  <c r="T410" i="8" s="1"/>
  <c r="T434" i="8" s="1"/>
  <c r="T458" i="8" s="1"/>
  <c r="T482" i="8" s="1"/>
  <c r="T506" i="8" s="1"/>
  <c r="T530" i="8" s="1"/>
  <c r="T554" i="8" s="1"/>
  <c r="T578" i="8" s="1"/>
  <c r="T602" i="8" s="1"/>
  <c r="T245" i="8"/>
  <c r="T269" i="8" s="1"/>
  <c r="T293" i="8" s="1"/>
  <c r="T317" i="8" s="1"/>
  <c r="T341" i="8" s="1"/>
  <c r="T365" i="8" s="1"/>
  <c r="T389" i="8" s="1"/>
  <c r="T413" i="8" s="1"/>
  <c r="T437" i="8" s="1"/>
  <c r="T461" i="8" s="1"/>
  <c r="T485" i="8" s="1"/>
  <c r="T509" i="8" s="1"/>
  <c r="T533" i="8" s="1"/>
  <c r="T557" i="8" s="1"/>
  <c r="T581" i="8" s="1"/>
  <c r="T605" i="8" s="1"/>
  <c r="T246" i="8"/>
  <c r="T270" i="8" s="1"/>
  <c r="T294" i="8" s="1"/>
  <c r="T318" i="8" s="1"/>
  <c r="T342" i="8" s="1"/>
  <c r="T366" i="8" s="1"/>
  <c r="T390" i="8" s="1"/>
  <c r="T414" i="8" s="1"/>
  <c r="T438" i="8" s="1"/>
  <c r="T462" i="8" s="1"/>
  <c r="T486" i="8" s="1"/>
  <c r="T510" i="8" s="1"/>
  <c r="T534" i="8" s="1"/>
  <c r="T558" i="8" s="1"/>
  <c r="T582" i="8" s="1"/>
  <c r="T606" i="8" s="1"/>
  <c r="T27" i="8"/>
  <c r="H23" i="1"/>
  <c r="I23" i="1" s="1"/>
  <c r="J23" i="1" s="1"/>
  <c r="K23" i="1" s="1"/>
  <c r="L23" i="1" s="1"/>
  <c r="M23" i="1" s="1"/>
  <c r="N23" i="1" s="1"/>
  <c r="O23" i="1" s="1"/>
  <c r="P23" i="1" s="1"/>
  <c r="Q23" i="1" s="1"/>
  <c r="R23" i="1" s="1"/>
  <c r="S23" i="1" s="1"/>
  <c r="T23" i="1" s="1"/>
  <c r="U23" i="1" s="1"/>
  <c r="V23" i="1" s="1"/>
  <c r="W23" i="1" s="1"/>
  <c r="X23" i="1" s="1"/>
  <c r="Y23" i="1" s="1"/>
  <c r="Z23" i="1" s="1"/>
  <c r="AA23" i="1" s="1"/>
  <c r="AB23" i="1" s="1"/>
  <c r="AC23" i="1" s="1"/>
  <c r="AD23" i="1" s="1"/>
  <c r="AE23" i="1" s="1"/>
  <c r="AF23" i="1" s="1"/>
  <c r="AG23" i="1" s="1"/>
  <c r="AH23" i="1" s="1"/>
  <c r="AI23" i="1" s="1"/>
  <c r="AJ23" i="1" s="1"/>
  <c r="AK23" i="1" s="1"/>
  <c r="AL23" i="1" s="1"/>
  <c r="AM23" i="1" s="1"/>
  <c r="AN23" i="1" s="1"/>
  <c r="AO23" i="1" s="1"/>
  <c r="AP23" i="1" s="1"/>
  <c r="AQ23" i="1" s="1"/>
  <c r="AR23" i="1" s="1"/>
  <c r="AS23" i="1" s="1"/>
  <c r="AT23" i="1" s="1"/>
  <c r="AU23" i="1" s="1"/>
  <c r="AV23" i="1" s="1"/>
  <c r="AW23" i="1" s="1"/>
  <c r="AX23" i="1" s="1"/>
  <c r="AY23" i="1" s="1"/>
  <c r="AZ23" i="1" s="1"/>
  <c r="BA23" i="1" s="1"/>
  <c r="BB23" i="1" s="1"/>
  <c r="BC23" i="1" s="1"/>
  <c r="BD23" i="1" s="1"/>
  <c r="BE23" i="1" s="1"/>
  <c r="BF23" i="1" s="1"/>
  <c r="BG23" i="1" s="1"/>
  <c r="BH23" i="1" s="1"/>
  <c r="BI23" i="1" s="1"/>
  <c r="BJ23" i="1" s="1"/>
  <c r="BK23" i="1" s="1"/>
  <c r="BL23" i="1" s="1"/>
  <c r="BM23" i="1" s="1"/>
  <c r="BN23" i="1" s="1"/>
  <c r="BO23" i="1" s="1"/>
  <c r="BP23" i="1" s="1"/>
  <c r="BQ23" i="1" s="1"/>
  <c r="BR23" i="1" s="1"/>
  <c r="BS23" i="1" s="1"/>
  <c r="BT23" i="1" s="1"/>
  <c r="BU23" i="1" s="1"/>
  <c r="BV23" i="1" s="1"/>
  <c r="BW23" i="1" s="1"/>
  <c r="BX23" i="1" s="1"/>
  <c r="BY23" i="1" s="1"/>
  <c r="BZ23" i="1" s="1"/>
  <c r="CA23" i="1" s="1"/>
  <c r="CB23" i="1" s="1"/>
  <c r="CC23" i="1" s="1"/>
  <c r="CD23" i="1" s="1"/>
  <c r="CE23" i="1" s="1"/>
  <c r="CF23" i="1" s="1"/>
  <c r="CG23" i="1" s="1"/>
  <c r="CH23" i="1" s="1"/>
  <c r="CI23" i="1" s="1"/>
  <c r="CJ23" i="1" s="1"/>
  <c r="CK23" i="1" s="1"/>
  <c r="CL23" i="1" s="1"/>
  <c r="CM23" i="1" s="1"/>
  <c r="CN23" i="1" s="1"/>
  <c r="CO23" i="1" s="1"/>
  <c r="CP23" i="1" s="1"/>
  <c r="CQ23" i="1" s="1"/>
  <c r="CR23" i="1" s="1"/>
  <c r="CS23" i="1" s="1"/>
  <c r="CT23" i="1" s="1"/>
  <c r="CU23" i="1" s="1"/>
  <c r="CV23" i="1" s="1"/>
  <c r="CW23" i="1" s="1"/>
  <c r="CX23" i="1" s="1"/>
  <c r="CY23" i="1" s="1"/>
  <c r="CZ23" i="1" s="1"/>
  <c r="DA23" i="1" s="1"/>
  <c r="DB23" i="1" s="1"/>
  <c r="DC23" i="1" s="1"/>
  <c r="DD23" i="1" s="1"/>
  <c r="DE23" i="1" s="1"/>
  <c r="DF23" i="1" s="1"/>
  <c r="DG23" i="1" s="1"/>
  <c r="DH23" i="1" s="1"/>
  <c r="DI23" i="1" s="1"/>
  <c r="DJ23" i="1" s="1"/>
  <c r="DK23" i="1" s="1"/>
  <c r="DL23" i="1" s="1"/>
  <c r="DM23" i="1" s="1"/>
  <c r="DN23" i="1" s="1"/>
  <c r="DO23" i="1" s="1"/>
  <c r="DP23" i="1" s="1"/>
  <c r="DQ23" i="1" s="1"/>
  <c r="DR23" i="1" s="1"/>
  <c r="DS23" i="1" s="1"/>
  <c r="DT23" i="1" s="1"/>
  <c r="DU23" i="1" s="1"/>
  <c r="DV23" i="1" s="1"/>
  <c r="DW23" i="1" s="1"/>
  <c r="DX23" i="1" s="1"/>
  <c r="DY23" i="1" s="1"/>
  <c r="DZ23" i="1" s="1"/>
  <c r="EA23" i="1" s="1"/>
  <c r="EB23" i="1" s="1"/>
  <c r="EC23" i="1" s="1"/>
  <c r="ED23" i="1" s="1"/>
  <c r="EE23" i="1" s="1"/>
  <c r="EF23" i="1" s="1"/>
  <c r="EG23" i="1" s="1"/>
  <c r="EH23" i="1" s="1"/>
  <c r="EI23" i="1" s="1"/>
  <c r="EJ23" i="1" s="1"/>
  <c r="EK23" i="1" s="1"/>
  <c r="EL23" i="1" s="1"/>
  <c r="EM23" i="1" s="1"/>
  <c r="EN23" i="1" s="1"/>
  <c r="EO23" i="1" s="1"/>
  <c r="EP23" i="1" s="1"/>
  <c r="EQ23" i="1" s="1"/>
  <c r="ER23" i="1" s="1"/>
  <c r="ES23" i="1" s="1"/>
  <c r="ET23" i="1" s="1"/>
  <c r="EU23" i="1" s="1"/>
  <c r="EV23" i="1" s="1"/>
  <c r="EW23" i="1" s="1"/>
  <c r="EX23" i="1" s="1"/>
  <c r="EY23" i="1" s="1"/>
  <c r="EZ23" i="1" s="1"/>
  <c r="FA23" i="1" s="1"/>
  <c r="FB23" i="1" s="1"/>
  <c r="FC23" i="1" s="1"/>
  <c r="FD23" i="1" s="1"/>
  <c r="FE23" i="1" s="1"/>
  <c r="FF23" i="1" s="1"/>
  <c r="FG23" i="1" s="1"/>
  <c r="FH23" i="1" s="1"/>
  <c r="FI23" i="1" s="1"/>
  <c r="FJ23" i="1" s="1"/>
  <c r="FK23" i="1" s="1"/>
  <c r="FL23" i="1" s="1"/>
  <c r="FM23" i="1" s="1"/>
  <c r="FN23" i="1" s="1"/>
  <c r="FO23" i="1" s="1"/>
  <c r="FP23" i="1" s="1"/>
  <c r="FQ23" i="1" s="1"/>
  <c r="FR23" i="1" s="1"/>
  <c r="FS23" i="1" s="1"/>
  <c r="FT23" i="1" s="1"/>
  <c r="FU23" i="1" s="1"/>
  <c r="FV23" i="1" s="1"/>
  <c r="FW23" i="1" s="1"/>
  <c r="FX23" i="1" s="1"/>
  <c r="FY23" i="1" s="1"/>
  <c r="FZ23" i="1" s="1"/>
  <c r="GA23" i="1" s="1"/>
  <c r="GB23" i="1" s="1"/>
  <c r="GC23" i="1" s="1"/>
  <c r="GD23" i="1" s="1"/>
  <c r="GE23" i="1" s="1"/>
  <c r="GF23" i="1" s="1"/>
  <c r="GG23" i="1" s="1"/>
  <c r="GH23" i="1" s="1"/>
  <c r="GI23" i="1" s="1"/>
  <c r="GJ23" i="1" s="1"/>
  <c r="GK23" i="1" s="1"/>
  <c r="GL23" i="1" s="1"/>
  <c r="GM23" i="1" s="1"/>
  <c r="GN23" i="1" s="1"/>
  <c r="GO23" i="1" s="1"/>
  <c r="GP23" i="1" s="1"/>
  <c r="GQ23" i="1" s="1"/>
  <c r="GR23" i="1" s="1"/>
  <c r="GS23" i="1" s="1"/>
  <c r="GT23" i="1" s="1"/>
  <c r="GU23" i="1" s="1"/>
  <c r="GV23" i="1" s="1"/>
  <c r="GW23" i="1" s="1"/>
  <c r="GX23" i="1" s="1"/>
  <c r="GY23" i="1" s="1"/>
  <c r="GZ23" i="1" s="1"/>
  <c r="HA23" i="1" s="1"/>
  <c r="HB23" i="1" s="1"/>
  <c r="HC23" i="1" s="1"/>
  <c r="HD23" i="1" s="1"/>
  <c r="HE23" i="1" s="1"/>
  <c r="HF23" i="1" s="1"/>
  <c r="HG23" i="1" s="1"/>
  <c r="HH23" i="1" s="1"/>
  <c r="HI23" i="1" s="1"/>
  <c r="HJ23" i="1" s="1"/>
  <c r="HK23" i="1" s="1"/>
  <c r="HL23" i="1" s="1"/>
  <c r="HM23" i="1" s="1"/>
  <c r="HN23" i="1" s="1"/>
  <c r="HO23" i="1" s="1"/>
  <c r="HP23" i="1" s="1"/>
  <c r="HQ23" i="1" s="1"/>
  <c r="HR23" i="1" s="1"/>
  <c r="HS23" i="1" s="1"/>
  <c r="HT23" i="1" s="1"/>
  <c r="HU23" i="1" s="1"/>
  <c r="HV23" i="1" s="1"/>
  <c r="HW23" i="1" s="1"/>
  <c r="HX23" i="1" s="1"/>
  <c r="HY23" i="1" s="1"/>
  <c r="HZ23" i="1" s="1"/>
  <c r="IA23" i="1" s="1"/>
  <c r="IB23" i="1" s="1"/>
  <c r="IC23" i="1" s="1"/>
  <c r="ID23" i="1" s="1"/>
  <c r="IE23" i="1" s="1"/>
  <c r="IF23" i="1" s="1"/>
  <c r="IG23" i="1" s="1"/>
  <c r="IH23" i="1" s="1"/>
  <c r="II23" i="1" s="1"/>
  <c r="IJ23" i="1" s="1"/>
  <c r="IK23" i="1" s="1"/>
  <c r="IL23" i="1" s="1"/>
  <c r="IM23" i="1" s="1"/>
  <c r="IN23" i="1" s="1"/>
  <c r="IO23" i="1" s="1"/>
  <c r="IP23" i="1" s="1"/>
  <c r="IQ23" i="1" s="1"/>
  <c r="IR23" i="1" s="1"/>
  <c r="IS23" i="1" s="1"/>
  <c r="IT23" i="1" s="1"/>
  <c r="IU23" i="1" s="1"/>
  <c r="IV23" i="1" s="1"/>
  <c r="IW23" i="1" s="1"/>
  <c r="IX23" i="1" s="1"/>
  <c r="IY23" i="1" s="1"/>
  <c r="IZ23" i="1" s="1"/>
  <c r="JA23" i="1" s="1"/>
  <c r="JB23" i="1" s="1"/>
  <c r="JC23" i="1" s="1"/>
  <c r="JD23" i="1" s="1"/>
  <c r="JE23" i="1" s="1"/>
  <c r="JF23" i="1" s="1"/>
  <c r="JG23" i="1" s="1"/>
  <c r="JH23" i="1" s="1"/>
  <c r="JI23" i="1" s="1"/>
  <c r="JJ23" i="1" s="1"/>
  <c r="JK23" i="1" s="1"/>
  <c r="JL23" i="1" s="1"/>
  <c r="JM23" i="1" s="1"/>
  <c r="JN23" i="1" s="1"/>
  <c r="JO23" i="1" s="1"/>
  <c r="JP23" i="1" s="1"/>
  <c r="JQ23" i="1" s="1"/>
  <c r="JR23" i="1" s="1"/>
  <c r="JS23" i="1" s="1"/>
  <c r="JT23" i="1" s="1"/>
  <c r="JU23" i="1" s="1"/>
  <c r="JV23" i="1" s="1"/>
  <c r="JW23" i="1" s="1"/>
  <c r="JX23" i="1" s="1"/>
  <c r="JY23" i="1" s="1"/>
  <c r="JZ23" i="1" s="1"/>
  <c r="KA23" i="1" s="1"/>
  <c r="KB23" i="1" s="1"/>
  <c r="KC23" i="1" s="1"/>
  <c r="KD23" i="1" s="1"/>
  <c r="KE23" i="1" s="1"/>
  <c r="KF23" i="1" s="1"/>
  <c r="KG23" i="1" s="1"/>
  <c r="KH23" i="1" s="1"/>
  <c r="KI23" i="1" s="1"/>
  <c r="KJ23" i="1" s="1"/>
  <c r="KK23" i="1" s="1"/>
  <c r="KL23" i="1" s="1"/>
  <c r="KM23" i="1" s="1"/>
  <c r="KN23" i="1" s="1"/>
  <c r="KO23" i="1" s="1"/>
  <c r="KP23" i="1" s="1"/>
  <c r="KQ23" i="1" s="1"/>
  <c r="KR23" i="1" s="1"/>
  <c r="KS23" i="1" s="1"/>
  <c r="KT23" i="1" s="1"/>
  <c r="KU23" i="1" s="1"/>
  <c r="KV23" i="1" s="1"/>
  <c r="KW23" i="1" s="1"/>
  <c r="KX23" i="1" s="1"/>
  <c r="KY23" i="1" s="1"/>
  <c r="KZ23" i="1" s="1"/>
  <c r="LA23" i="1" s="1"/>
  <c r="LB23" i="1" s="1"/>
  <c r="LC23" i="1" s="1"/>
  <c r="LD23" i="1" s="1"/>
  <c r="LE23" i="1" s="1"/>
  <c r="LF23" i="1" s="1"/>
  <c r="LG23" i="1" s="1"/>
  <c r="LH23" i="1" s="1"/>
  <c r="LI23" i="1" s="1"/>
  <c r="LJ23" i="1" s="1"/>
  <c r="LK23" i="1" s="1"/>
  <c r="LL23" i="1" s="1"/>
  <c r="LM23" i="1" s="1"/>
  <c r="LN23" i="1" s="1"/>
  <c r="LO23" i="1" s="1"/>
  <c r="LP23" i="1" s="1"/>
  <c r="LQ23" i="1" s="1"/>
  <c r="LR23" i="1" s="1"/>
  <c r="LS23" i="1" s="1"/>
  <c r="LT23" i="1" s="1"/>
  <c r="LU23" i="1" s="1"/>
  <c r="LV23" i="1" s="1"/>
  <c r="LW23" i="1" s="1"/>
  <c r="LX23" i="1" s="1"/>
  <c r="LY23" i="1" s="1"/>
  <c r="LZ23" i="1" s="1"/>
  <c r="MA23" i="1" s="1"/>
  <c r="MB23" i="1" s="1"/>
  <c r="MC23" i="1" s="1"/>
  <c r="MD23" i="1" s="1"/>
  <c r="ME23" i="1" s="1"/>
  <c r="MF23" i="1" s="1"/>
  <c r="MG23" i="1" s="1"/>
  <c r="MH23" i="1" s="1"/>
  <c r="MI23" i="1" s="1"/>
  <c r="MJ23" i="1" s="1"/>
  <c r="MK23" i="1" s="1"/>
  <c r="ML23" i="1" s="1"/>
  <c r="MM23" i="1" s="1"/>
  <c r="MN23" i="1" s="1"/>
  <c r="MO23" i="1" s="1"/>
  <c r="MP23" i="1" s="1"/>
  <c r="MQ23" i="1" s="1"/>
  <c r="MR23" i="1" s="1"/>
  <c r="MS23" i="1" s="1"/>
  <c r="MT23" i="1" s="1"/>
  <c r="MU23" i="1" s="1"/>
  <c r="MV23" i="1" s="1"/>
  <c r="MW23" i="1" s="1"/>
  <c r="MX23" i="1" s="1"/>
  <c r="MY23" i="1" s="1"/>
  <c r="MZ23" i="1" s="1"/>
  <c r="NA23" i="1" s="1"/>
  <c r="NB23" i="1" s="1"/>
  <c r="NC23" i="1" s="1"/>
  <c r="ND23" i="1" s="1"/>
  <c r="NE23" i="1" s="1"/>
  <c r="NF23" i="1" s="1"/>
  <c r="NG23" i="1" s="1"/>
  <c r="NH23" i="1" s="1"/>
  <c r="NI23" i="1" s="1"/>
  <c r="NJ23" i="1" s="1"/>
  <c r="NK23" i="1" s="1"/>
  <c r="NL23" i="1" s="1"/>
  <c r="NM23" i="1" s="1"/>
  <c r="NN23" i="1" s="1"/>
  <c r="NO23" i="1" s="1"/>
  <c r="NP23" i="1" s="1"/>
  <c r="NQ23" i="1" s="1"/>
  <c r="NR23" i="1" s="1"/>
  <c r="NS23" i="1" s="1"/>
  <c r="NT23" i="1" s="1"/>
  <c r="NU23" i="1" s="1"/>
  <c r="NV23" i="1" s="1"/>
  <c r="NW23" i="1" s="1"/>
  <c r="NX23" i="1" s="1"/>
  <c r="NY23" i="1" s="1"/>
  <c r="NZ23" i="1" s="1"/>
  <c r="OA23" i="1" s="1"/>
  <c r="OB23" i="1" s="1"/>
  <c r="OC23" i="1" s="1"/>
  <c r="OD23" i="1" s="1"/>
  <c r="OE23" i="1" s="1"/>
  <c r="OF23" i="1" s="1"/>
  <c r="OG23" i="1" s="1"/>
  <c r="OH23" i="1" s="1"/>
  <c r="OI23" i="1" s="1"/>
  <c r="OJ23" i="1" s="1"/>
  <c r="OK23" i="1" s="1"/>
  <c r="OL23" i="1" s="1"/>
  <c r="OM23" i="1" s="1"/>
  <c r="ON23" i="1" s="1"/>
  <c r="OO23" i="1" s="1"/>
  <c r="OP23" i="1" s="1"/>
  <c r="OQ23" i="1" s="1"/>
  <c r="OR23" i="1" s="1"/>
  <c r="OS23" i="1" s="1"/>
  <c r="OT23" i="1" s="1"/>
  <c r="OU23" i="1" s="1"/>
  <c r="OV23" i="1" s="1"/>
  <c r="OW23" i="1" s="1"/>
  <c r="OX23" i="1" s="1"/>
  <c r="OY23" i="1" s="1"/>
  <c r="OZ23" i="1" s="1"/>
  <c r="PA23" i="1" s="1"/>
  <c r="PB23" i="1" s="1"/>
  <c r="PC23" i="1" s="1"/>
  <c r="PD23" i="1" s="1"/>
  <c r="PE23" i="1" s="1"/>
  <c r="PF23" i="1" s="1"/>
  <c r="PG23" i="1" s="1"/>
  <c r="PH23" i="1" s="1"/>
  <c r="PI23" i="1" s="1"/>
  <c r="PJ23" i="1" s="1"/>
  <c r="PK23" i="1" s="1"/>
  <c r="PL23" i="1" s="1"/>
  <c r="PM23" i="1" s="1"/>
  <c r="PN23" i="1" s="1"/>
  <c r="PO23" i="1" s="1"/>
  <c r="PP23" i="1" s="1"/>
  <c r="PQ23" i="1" s="1"/>
  <c r="PR23" i="1" s="1"/>
  <c r="PS23" i="1" s="1"/>
  <c r="PT23" i="1" s="1"/>
  <c r="PU23" i="1" s="1"/>
  <c r="PV23" i="1" s="1"/>
  <c r="PW23" i="1" s="1"/>
  <c r="PX23" i="1" s="1"/>
  <c r="PY23" i="1" s="1"/>
  <c r="PZ23" i="1" s="1"/>
  <c r="QA23" i="1" s="1"/>
  <c r="QB23" i="1" s="1"/>
  <c r="QC23" i="1" s="1"/>
  <c r="QD23" i="1" s="1"/>
  <c r="QE23" i="1" s="1"/>
  <c r="QF23" i="1" s="1"/>
  <c r="QG23" i="1" s="1"/>
  <c r="QH23" i="1" s="1"/>
  <c r="QI23" i="1" s="1"/>
  <c r="QJ23" i="1" s="1"/>
  <c r="QK23" i="1" s="1"/>
  <c r="QL23" i="1" s="1"/>
  <c r="QM23" i="1" s="1"/>
  <c r="QN23" i="1" s="1"/>
  <c r="QO23" i="1" s="1"/>
  <c r="QP23" i="1" s="1"/>
  <c r="QQ23" i="1" s="1"/>
  <c r="QR23" i="1" s="1"/>
  <c r="QS23" i="1" s="1"/>
  <c r="QT23" i="1" s="1"/>
  <c r="QU23" i="1" s="1"/>
  <c r="QV23" i="1" s="1"/>
  <c r="QW23" i="1" s="1"/>
  <c r="QX23" i="1" s="1"/>
  <c r="QY23" i="1" s="1"/>
  <c r="QZ23" i="1" s="1"/>
  <c r="RA23" i="1" s="1"/>
  <c r="RB23" i="1" s="1"/>
  <c r="RC23" i="1" s="1"/>
  <c r="RD23" i="1" s="1"/>
  <c r="RE23" i="1" s="1"/>
  <c r="RF23" i="1" s="1"/>
  <c r="RG23" i="1" s="1"/>
  <c r="RH23" i="1" s="1"/>
  <c r="RI23" i="1" s="1"/>
  <c r="RJ23" i="1" s="1"/>
  <c r="RK23" i="1" s="1"/>
  <c r="RL23" i="1" s="1"/>
  <c r="RM23" i="1" s="1"/>
  <c r="RN23" i="1" s="1"/>
  <c r="RO23" i="1" s="1"/>
  <c r="RP23" i="1" s="1"/>
  <c r="RQ23" i="1" s="1"/>
  <c r="RR23" i="1" s="1"/>
  <c r="RS23" i="1" s="1"/>
  <c r="RT23" i="1" s="1"/>
  <c r="RU23" i="1" s="1"/>
  <c r="RV23" i="1" s="1"/>
  <c r="RW23" i="1" s="1"/>
  <c r="RX23" i="1" s="1"/>
  <c r="RY23" i="1" s="1"/>
  <c r="RZ23" i="1" s="1"/>
  <c r="SA23" i="1" s="1"/>
  <c r="SB23" i="1" s="1"/>
  <c r="SC23" i="1" s="1"/>
  <c r="SD23" i="1" s="1"/>
  <c r="SE23" i="1" s="1"/>
  <c r="SF23" i="1" s="1"/>
  <c r="SG23" i="1" s="1"/>
  <c r="SH23" i="1" s="1"/>
  <c r="SI23" i="1" s="1"/>
  <c r="SJ23" i="1" s="1"/>
  <c r="SK23" i="1" s="1"/>
  <c r="SL23" i="1" s="1"/>
  <c r="SM23" i="1" s="1"/>
  <c r="SN23" i="1" s="1"/>
  <c r="SO23" i="1" s="1"/>
  <c r="SP23" i="1" s="1"/>
  <c r="SQ23" i="1" s="1"/>
  <c r="SR23" i="1" s="1"/>
  <c r="SS23" i="1" s="1"/>
  <c r="ST23" i="1" s="1"/>
  <c r="SU23" i="1" s="1"/>
  <c r="SV23" i="1" s="1"/>
  <c r="SW23" i="1" s="1"/>
  <c r="SX23" i="1" s="1"/>
  <c r="SY23" i="1" s="1"/>
  <c r="SZ23" i="1" s="1"/>
  <c r="TA23" i="1" s="1"/>
  <c r="TB23" i="1" s="1"/>
  <c r="TC23" i="1" s="1"/>
  <c r="TD23" i="1" s="1"/>
  <c r="TE23" i="1" s="1"/>
  <c r="TF23" i="1" s="1"/>
  <c r="TG23" i="1" s="1"/>
  <c r="TH23" i="1" s="1"/>
  <c r="TI23" i="1" s="1"/>
  <c r="TJ23" i="1" s="1"/>
  <c r="TK23" i="1" s="1"/>
  <c r="TL23" i="1" s="1"/>
  <c r="TM23" i="1" s="1"/>
  <c r="TN23" i="1" s="1"/>
  <c r="TO23" i="1" s="1"/>
  <c r="TP23" i="1" s="1"/>
  <c r="TQ23" i="1" s="1"/>
  <c r="TR23" i="1" s="1"/>
  <c r="TS23" i="1" s="1"/>
  <c r="TT23" i="1" s="1"/>
  <c r="TU23" i="1" s="1"/>
  <c r="TV23" i="1" s="1"/>
  <c r="TW23" i="1" s="1"/>
  <c r="TX23" i="1" s="1"/>
  <c r="TY23" i="1" s="1"/>
  <c r="TZ23" i="1" s="1"/>
  <c r="UA23" i="1" s="1"/>
  <c r="UB23" i="1" s="1"/>
  <c r="UC23" i="1" s="1"/>
  <c r="UD23" i="1" s="1"/>
  <c r="UE23" i="1" s="1"/>
  <c r="UF23" i="1" s="1"/>
  <c r="UG23" i="1" s="1"/>
  <c r="UH23" i="1" s="1"/>
  <c r="UI23" i="1" s="1"/>
  <c r="UJ23" i="1" s="1"/>
  <c r="UK23" i="1" s="1"/>
  <c r="UL23" i="1" s="1"/>
  <c r="UM23" i="1" s="1"/>
  <c r="UN23" i="1" s="1"/>
  <c r="UO23" i="1" s="1"/>
  <c r="UP23" i="1" s="1"/>
  <c r="UQ23" i="1" s="1"/>
  <c r="UR23" i="1" s="1"/>
  <c r="US23" i="1" s="1"/>
  <c r="UT23" i="1" s="1"/>
  <c r="UU23" i="1" s="1"/>
  <c r="UV23" i="1" s="1"/>
  <c r="UW23" i="1" s="1"/>
  <c r="UX23" i="1" s="1"/>
  <c r="UY23" i="1" s="1"/>
  <c r="UZ23" i="1" s="1"/>
  <c r="VA23" i="1" s="1"/>
  <c r="VB23" i="1" s="1"/>
  <c r="VC23" i="1" s="1"/>
  <c r="VD23" i="1" s="1"/>
  <c r="VE23" i="1" s="1"/>
  <c r="VF23" i="1" s="1"/>
  <c r="VG23" i="1" s="1"/>
  <c r="VH23" i="1" s="1"/>
  <c r="VI23" i="1" s="1"/>
  <c r="VJ23" i="1" s="1"/>
  <c r="VK23" i="1" s="1"/>
  <c r="VL23" i="1" s="1"/>
  <c r="VM23" i="1" s="1"/>
  <c r="VN23" i="1" s="1"/>
  <c r="VO23" i="1" s="1"/>
  <c r="VP23" i="1" s="1"/>
  <c r="VQ23" i="1" s="1"/>
  <c r="VR23" i="1" s="1"/>
  <c r="VS23" i="1" s="1"/>
  <c r="VT23" i="1" s="1"/>
  <c r="VU23" i="1" s="1"/>
  <c r="VV23" i="1" s="1"/>
  <c r="VW23" i="1" s="1"/>
  <c r="VX23" i="1" s="1"/>
  <c r="VY23" i="1" s="1"/>
  <c r="VZ23" i="1" s="1"/>
  <c r="WA23" i="1" s="1"/>
  <c r="WB23" i="1" s="1"/>
  <c r="WC23" i="1" s="1"/>
  <c r="WD23" i="1" s="1"/>
  <c r="WE23" i="1" s="1"/>
  <c r="WF23" i="1" s="1"/>
  <c r="WG23" i="1" s="1"/>
  <c r="WH23" i="1" s="1"/>
  <c r="WI23" i="1" s="1"/>
  <c r="WJ23" i="1" s="1"/>
  <c r="WK23" i="1" s="1"/>
  <c r="WL23" i="1" s="1"/>
  <c r="WM23" i="1" s="1"/>
  <c r="WN23" i="1" s="1"/>
  <c r="WO23" i="1" s="1"/>
  <c r="WP23" i="1" s="1"/>
  <c r="WQ23" i="1" s="1"/>
  <c r="WR23" i="1" s="1"/>
  <c r="WS23" i="1" s="1"/>
  <c r="WT23" i="1" s="1"/>
  <c r="WU23" i="1" s="1"/>
  <c r="WV23" i="1" s="1"/>
  <c r="WW23" i="1" s="1"/>
  <c r="WX23" i="1" s="1"/>
  <c r="WY23" i="1" s="1"/>
  <c r="WZ23" i="1" s="1"/>
  <c r="XA23" i="1" s="1"/>
  <c r="XB23" i="1" s="1"/>
  <c r="XC23" i="1" s="1"/>
  <c r="XD23" i="1" s="1"/>
  <c r="XE23" i="1" s="1"/>
  <c r="XF23" i="1" s="1"/>
  <c r="XG23" i="1" s="1"/>
  <c r="XH23" i="1" s="1"/>
  <c r="XI23" i="1" s="1"/>
  <c r="XJ23" i="1" s="1"/>
  <c r="XK23" i="1" s="1"/>
  <c r="XL23" i="1" s="1"/>
  <c r="XM23" i="1" s="1"/>
  <c r="XN23" i="1" s="1"/>
  <c r="XO23" i="1" s="1"/>
  <c r="XP23" i="1" s="1"/>
  <c r="XQ23" i="1" s="1"/>
  <c r="XR23" i="1" s="1"/>
  <c r="XS23" i="1" s="1"/>
  <c r="XT23" i="1" s="1"/>
  <c r="XU23" i="1" s="1"/>
  <c r="XV23" i="1" s="1"/>
  <c r="XW23" i="1" s="1"/>
  <c r="XX23" i="1" s="1"/>
  <c r="XY23" i="1" s="1"/>
  <c r="XZ23" i="1" s="1"/>
  <c r="YA23" i="1" s="1"/>
  <c r="YB23" i="1" s="1"/>
  <c r="YC23" i="1" s="1"/>
  <c r="YD23" i="1" s="1"/>
  <c r="YE23" i="1" s="1"/>
  <c r="YF23" i="1" s="1"/>
  <c r="YG23" i="1" s="1"/>
  <c r="YH23" i="1" s="1"/>
  <c r="YI23" i="1" s="1"/>
  <c r="YJ23" i="1" s="1"/>
  <c r="YK23" i="1" s="1"/>
  <c r="YL23" i="1" s="1"/>
  <c r="YM23" i="1" s="1"/>
  <c r="YN23" i="1" s="1"/>
  <c r="YO23" i="1" s="1"/>
  <c r="YP23" i="1" s="1"/>
  <c r="YQ23" i="1" s="1"/>
  <c r="YR23" i="1" s="1"/>
  <c r="YS23" i="1" s="1"/>
  <c r="YT23" i="1" s="1"/>
  <c r="YU23" i="1" s="1"/>
  <c r="YV23" i="1" s="1"/>
  <c r="YW23" i="1" s="1"/>
  <c r="YX23" i="1" s="1"/>
  <c r="YY23" i="1" s="1"/>
  <c r="YZ23" i="1" s="1"/>
  <c r="ZA23" i="1" s="1"/>
  <c r="ZB23" i="1" s="1"/>
  <c r="ZC23" i="1" s="1"/>
  <c r="ZD23" i="1" s="1"/>
  <c r="ZE23" i="1" s="1"/>
  <c r="ZF23" i="1" s="1"/>
  <c r="ZG23" i="1" s="1"/>
  <c r="ZH23" i="1" s="1"/>
  <c r="ZI23" i="1" s="1"/>
  <c r="ZJ23" i="1" s="1"/>
  <c r="ZK23" i="1" s="1"/>
  <c r="ZL23" i="1" s="1"/>
  <c r="ZM23" i="1" s="1"/>
  <c r="ZN23" i="1" s="1"/>
  <c r="ZO23" i="1" s="1"/>
  <c r="ZP23" i="1" s="1"/>
  <c r="ZQ23" i="1" s="1"/>
  <c r="ZR23" i="1" s="1"/>
  <c r="ZS23" i="1" s="1"/>
  <c r="ZT23" i="1" s="1"/>
  <c r="ZU23" i="1" s="1"/>
  <c r="ZV23" i="1" s="1"/>
  <c r="ZW23" i="1" s="1"/>
  <c r="ZX23" i="1" s="1"/>
  <c r="ZY23" i="1" s="1"/>
  <c r="ZZ23" i="1" s="1"/>
  <c r="AAA23" i="1" s="1"/>
  <c r="AAB23" i="1" s="1"/>
  <c r="AAC23" i="1" s="1"/>
  <c r="AAD23" i="1" s="1"/>
  <c r="AAE23" i="1" s="1"/>
  <c r="AAF23" i="1" s="1"/>
  <c r="AAG23" i="1" s="1"/>
  <c r="AAH23" i="1" s="1"/>
  <c r="AAI23" i="1" s="1"/>
  <c r="AAJ23" i="1" s="1"/>
  <c r="AAK23" i="1" s="1"/>
  <c r="AAL23" i="1" s="1"/>
  <c r="AAM23" i="1" s="1"/>
  <c r="AAN23" i="1" s="1"/>
  <c r="AAO23" i="1" s="1"/>
  <c r="AAP23" i="1" s="1"/>
  <c r="AAQ23" i="1" s="1"/>
  <c r="AAR23" i="1" s="1"/>
  <c r="AAS23" i="1" s="1"/>
  <c r="AAT23" i="1" s="1"/>
  <c r="AAU23" i="1" s="1"/>
  <c r="AAV23" i="1" s="1"/>
  <c r="AAW23" i="1" s="1"/>
  <c r="AAX23" i="1" s="1"/>
  <c r="AAY23" i="1" s="1"/>
  <c r="AAZ23" i="1" s="1"/>
  <c r="ABA23" i="1" s="1"/>
  <c r="ABB23" i="1" s="1"/>
  <c r="ABC23" i="1" s="1"/>
  <c r="ABD23" i="1" s="1"/>
  <c r="ABE23" i="1" s="1"/>
  <c r="ABF23" i="1" s="1"/>
  <c r="ABG23" i="1" s="1"/>
  <c r="ABH23" i="1" s="1"/>
  <c r="ABI23" i="1" s="1"/>
  <c r="ABJ23" i="1" s="1"/>
  <c r="ABK23" i="1" s="1"/>
  <c r="ABL23" i="1" s="1"/>
  <c r="ABM23" i="1" s="1"/>
  <c r="ABN23" i="1" s="1"/>
  <c r="ABO23" i="1" s="1"/>
  <c r="ABP23" i="1" s="1"/>
  <c r="ABQ23" i="1" s="1"/>
  <c r="ABR23" i="1" s="1"/>
  <c r="ABS23" i="1" s="1"/>
  <c r="ABT23" i="1" s="1"/>
  <c r="ABU23" i="1" s="1"/>
  <c r="ABV23" i="1" s="1"/>
  <c r="ABW23" i="1" s="1"/>
  <c r="ABX23" i="1" s="1"/>
  <c r="ABY23" i="1" s="1"/>
  <c r="ABZ23" i="1" s="1"/>
  <c r="ACA23" i="1" s="1"/>
  <c r="ACB23" i="1" s="1"/>
  <c r="ACC23" i="1" s="1"/>
  <c r="ACD23" i="1" s="1"/>
  <c r="ACE23" i="1" s="1"/>
  <c r="ACF23" i="1" s="1"/>
  <c r="ACG23" i="1" s="1"/>
  <c r="ACH23" i="1" s="1"/>
  <c r="ACI23" i="1" s="1"/>
  <c r="ACJ23" i="1" s="1"/>
  <c r="ACK23" i="1" s="1"/>
  <c r="ACL23" i="1" s="1"/>
  <c r="ACM23" i="1" s="1"/>
  <c r="ACN23" i="1" s="1"/>
  <c r="ACO23" i="1" s="1"/>
  <c r="ACP23" i="1" s="1"/>
  <c r="ACQ23" i="1" s="1"/>
  <c r="ACR23" i="1" s="1"/>
  <c r="ACS23" i="1" s="1"/>
  <c r="ACT23" i="1" s="1"/>
  <c r="ACU23" i="1" s="1"/>
  <c r="ACV23" i="1" s="1"/>
  <c r="ACW23" i="1" s="1"/>
  <c r="ACX23" i="1" s="1"/>
  <c r="ACY23" i="1" s="1"/>
  <c r="ACZ23" i="1" s="1"/>
  <c r="ADA23" i="1" s="1"/>
  <c r="ADB23" i="1" s="1"/>
  <c r="ADC23" i="1" s="1"/>
  <c r="ADD23" i="1" s="1"/>
  <c r="ADE23" i="1" s="1"/>
  <c r="ADF23" i="1" s="1"/>
  <c r="ADG23" i="1" s="1"/>
  <c r="ADH23" i="1" s="1"/>
  <c r="ADI23" i="1" s="1"/>
  <c r="ADJ23" i="1" s="1"/>
  <c r="ADK23" i="1" s="1"/>
  <c r="ADL23" i="1" s="1"/>
  <c r="ADM23" i="1" s="1"/>
  <c r="ADN23" i="1" s="1"/>
  <c r="ADO23" i="1" s="1"/>
  <c r="ADP23" i="1" s="1"/>
  <c r="ADQ23" i="1" s="1"/>
  <c r="ADR23" i="1" s="1"/>
  <c r="ADS23" i="1" s="1"/>
  <c r="ADT23" i="1" s="1"/>
  <c r="ADU23" i="1" s="1"/>
  <c r="ADV23" i="1" s="1"/>
  <c r="ADW23" i="1" s="1"/>
  <c r="ADX23" i="1" s="1"/>
  <c r="ADY23" i="1" s="1"/>
  <c r="ADZ23" i="1" s="1"/>
  <c r="AEA23" i="1" s="1"/>
  <c r="AEB23" i="1" s="1"/>
  <c r="AEC23" i="1" s="1"/>
  <c r="AED23" i="1" s="1"/>
  <c r="AEE23" i="1" s="1"/>
  <c r="AEF23" i="1" s="1"/>
  <c r="AEG23" i="1" s="1"/>
  <c r="AEH23" i="1" s="1"/>
  <c r="AEI23" i="1" s="1"/>
  <c r="AEJ23" i="1" s="1"/>
  <c r="AEK23" i="1" s="1"/>
  <c r="AEL23" i="1" s="1"/>
  <c r="AEM23" i="1" s="1"/>
  <c r="AEN23" i="1" s="1"/>
  <c r="AEO23" i="1" s="1"/>
  <c r="AEP23" i="1" s="1"/>
  <c r="AEQ23" i="1" s="1"/>
  <c r="AER23" i="1" s="1"/>
  <c r="AES23" i="1" s="1"/>
  <c r="AET23" i="1" s="1"/>
  <c r="AEU23" i="1" s="1"/>
  <c r="AEV23" i="1" s="1"/>
  <c r="AEW23" i="1" s="1"/>
  <c r="AEX23" i="1" s="1"/>
  <c r="AEY23" i="1" s="1"/>
  <c r="AEZ23" i="1" s="1"/>
  <c r="AFA23" i="1" s="1"/>
  <c r="AFB23" i="1" s="1"/>
  <c r="AFC23" i="1" s="1"/>
  <c r="AFD23" i="1" s="1"/>
  <c r="AFE23" i="1" s="1"/>
  <c r="AFF23" i="1" s="1"/>
  <c r="AFG23" i="1" s="1"/>
  <c r="AFH23" i="1" s="1"/>
  <c r="AFI23" i="1" s="1"/>
  <c r="AFJ23" i="1" s="1"/>
  <c r="AFK23" i="1" s="1"/>
  <c r="AFL23" i="1" s="1"/>
  <c r="AFM23" i="1" s="1"/>
  <c r="AFN23" i="1" s="1"/>
  <c r="AFO23" i="1" s="1"/>
  <c r="AFP23" i="1" s="1"/>
  <c r="AFQ23" i="1" s="1"/>
  <c r="AFR23" i="1" s="1"/>
  <c r="AFS23" i="1" s="1"/>
  <c r="AFT23" i="1" s="1"/>
  <c r="AFU23" i="1" s="1"/>
  <c r="AFV23" i="1" s="1"/>
  <c r="AFW23" i="1" s="1"/>
  <c r="AFX23" i="1" s="1"/>
  <c r="AFY23" i="1" s="1"/>
  <c r="AFZ23" i="1" s="1"/>
  <c r="AGA23" i="1" s="1"/>
  <c r="AGB23" i="1" s="1"/>
  <c r="AGC23" i="1" s="1"/>
  <c r="AGD23" i="1" s="1"/>
  <c r="AGE23" i="1" s="1"/>
  <c r="AGF23" i="1" s="1"/>
  <c r="AGG23" i="1" s="1"/>
  <c r="AGH23" i="1" s="1"/>
  <c r="AGI23" i="1" s="1"/>
  <c r="AGJ23" i="1" s="1"/>
  <c r="AGK23" i="1" s="1"/>
  <c r="AGL23" i="1" s="1"/>
  <c r="AGM23" i="1" s="1"/>
  <c r="AGN23" i="1" s="1"/>
  <c r="AGO23" i="1" s="1"/>
  <c r="AGP23" i="1" s="1"/>
  <c r="AGQ23" i="1" s="1"/>
  <c r="AGR23" i="1" s="1"/>
  <c r="AGS23" i="1" s="1"/>
  <c r="AGT23" i="1" s="1"/>
  <c r="AGU23" i="1" s="1"/>
  <c r="AGV23" i="1" s="1"/>
  <c r="AGW23" i="1" s="1"/>
  <c r="AGX23" i="1" s="1"/>
  <c r="AGY23" i="1" s="1"/>
  <c r="AGZ23" i="1" s="1"/>
  <c r="AHA23" i="1" s="1"/>
  <c r="AHB23" i="1" s="1"/>
  <c r="AHC23" i="1" s="1"/>
  <c r="AHD23" i="1" s="1"/>
  <c r="AHE23" i="1" s="1"/>
  <c r="AHF23" i="1" s="1"/>
  <c r="AHG23" i="1" s="1"/>
  <c r="AHH23" i="1" s="1"/>
  <c r="AHI23" i="1" s="1"/>
  <c r="AHJ23" i="1" s="1"/>
  <c r="AHK23" i="1" s="1"/>
  <c r="AHL23" i="1" s="1"/>
  <c r="AHM23" i="1" s="1"/>
  <c r="AHN23" i="1" s="1"/>
  <c r="AHO23" i="1" s="1"/>
  <c r="AHP23" i="1" s="1"/>
  <c r="AHQ23" i="1" s="1"/>
  <c r="AHR23" i="1" s="1"/>
  <c r="AHS23" i="1" s="1"/>
  <c r="AHT23" i="1" s="1"/>
  <c r="AHU23" i="1" s="1"/>
  <c r="AHV23" i="1" s="1"/>
  <c r="AHW23" i="1" s="1"/>
  <c r="AHX23" i="1" s="1"/>
  <c r="AHY23" i="1" s="1"/>
  <c r="AHZ23" i="1" s="1"/>
  <c r="AIA23" i="1" s="1"/>
  <c r="AIB23" i="1" s="1"/>
  <c r="AIC23" i="1" s="1"/>
  <c r="AID23" i="1" s="1"/>
  <c r="AIE23" i="1" s="1"/>
  <c r="AIF23" i="1" s="1"/>
  <c r="AIG23" i="1" s="1"/>
  <c r="AIH23" i="1" s="1"/>
  <c r="AII23" i="1" s="1"/>
  <c r="AIJ23" i="1" s="1"/>
  <c r="AIK23" i="1" s="1"/>
  <c r="AIL23" i="1" s="1"/>
  <c r="AIM23" i="1" s="1"/>
  <c r="AIN23" i="1" s="1"/>
  <c r="AIO23" i="1" s="1"/>
  <c r="AIP23" i="1" s="1"/>
  <c r="AIQ23" i="1" s="1"/>
  <c r="AIR23" i="1" s="1"/>
  <c r="AIS23" i="1" s="1"/>
  <c r="AIT23" i="1" s="1"/>
  <c r="AIU23" i="1" s="1"/>
  <c r="AIV23" i="1" s="1"/>
  <c r="AIW23" i="1" s="1"/>
  <c r="AIX23" i="1" s="1"/>
  <c r="AIY23" i="1" s="1"/>
  <c r="AIZ23" i="1" s="1"/>
  <c r="AJA23" i="1" s="1"/>
  <c r="AJB23" i="1" s="1"/>
  <c r="AJC23" i="1" s="1"/>
  <c r="AJD23" i="1" s="1"/>
  <c r="AJE23" i="1" s="1"/>
  <c r="AJF23" i="1" s="1"/>
  <c r="AJG23" i="1" s="1"/>
  <c r="AJH23" i="1" s="1"/>
  <c r="AJI23" i="1" s="1"/>
  <c r="AJJ23" i="1" s="1"/>
  <c r="AJK23" i="1" s="1"/>
  <c r="AJL23" i="1" s="1"/>
  <c r="AJM23" i="1" s="1"/>
  <c r="AJN23" i="1" s="1"/>
  <c r="AJO23" i="1" s="1"/>
  <c r="AJP23" i="1" s="1"/>
  <c r="AJQ23" i="1" s="1"/>
  <c r="AJR23" i="1" s="1"/>
  <c r="AJS23" i="1" s="1"/>
  <c r="AJT23" i="1" s="1"/>
  <c r="AJU23" i="1" s="1"/>
  <c r="AJV23" i="1" s="1"/>
  <c r="AJW23" i="1" s="1"/>
  <c r="AJX23" i="1" s="1"/>
  <c r="AJY23" i="1" s="1"/>
  <c r="AJZ23" i="1" s="1"/>
  <c r="AKA23" i="1" s="1"/>
  <c r="AKB23" i="1" s="1"/>
  <c r="AKC23" i="1" s="1"/>
  <c r="AKD23" i="1" s="1"/>
  <c r="AKE23" i="1" s="1"/>
  <c r="AKF23" i="1" s="1"/>
  <c r="AKG23" i="1" s="1"/>
  <c r="AKH23" i="1" s="1"/>
  <c r="AKI23" i="1" s="1"/>
  <c r="AKJ23" i="1" s="1"/>
  <c r="AKK23" i="1" s="1"/>
  <c r="AKL23" i="1" s="1"/>
  <c r="AKM23" i="1" s="1"/>
  <c r="AKN23" i="1" s="1"/>
  <c r="AKO23" i="1" s="1"/>
  <c r="AKP23" i="1" s="1"/>
  <c r="AKQ23" i="1" s="1"/>
  <c r="AKR23" i="1" s="1"/>
  <c r="AKS23" i="1" s="1"/>
  <c r="AKT23" i="1" s="1"/>
  <c r="AKU23" i="1" s="1"/>
  <c r="AKV23" i="1" s="1"/>
  <c r="AKW23" i="1" s="1"/>
  <c r="AKX23" i="1" s="1"/>
  <c r="AKY23" i="1" s="1"/>
  <c r="AKZ23" i="1" s="1"/>
  <c r="ALA23" i="1" s="1"/>
  <c r="ALB23" i="1" s="1"/>
  <c r="ALC23" i="1" s="1"/>
  <c r="ALD23" i="1" s="1"/>
  <c r="ALE23" i="1" s="1"/>
  <c r="ALF23" i="1" s="1"/>
  <c r="ALG23" i="1" s="1"/>
  <c r="ALH23" i="1" s="1"/>
  <c r="ALI23" i="1" s="1"/>
  <c r="ALJ23" i="1" s="1"/>
  <c r="ALK23" i="1" s="1"/>
  <c r="ALL23" i="1" s="1"/>
  <c r="ALM23" i="1" s="1"/>
  <c r="ALN23" i="1" s="1"/>
  <c r="ALO23" i="1" s="1"/>
  <c r="ALP23" i="1" s="1"/>
  <c r="ALQ23" i="1" s="1"/>
  <c r="ALR23" i="1" s="1"/>
  <c r="ALS23" i="1" s="1"/>
  <c r="ALT23" i="1" s="1"/>
  <c r="ALU23" i="1" s="1"/>
  <c r="ALV23" i="1" s="1"/>
  <c r="ALW23" i="1" s="1"/>
  <c r="ALX23" i="1" s="1"/>
  <c r="ALY23" i="1" s="1"/>
  <c r="ALZ23" i="1" s="1"/>
  <c r="AMA23" i="1" s="1"/>
  <c r="AMB23" i="1" s="1"/>
  <c r="AMC23" i="1" s="1"/>
  <c r="AMD23" i="1" s="1"/>
  <c r="AME23" i="1" s="1"/>
  <c r="AMF23" i="1" s="1"/>
  <c r="AMG23" i="1" s="1"/>
  <c r="AMH23" i="1" s="1"/>
  <c r="AMI23" i="1" s="1"/>
  <c r="AMJ23" i="1" s="1"/>
  <c r="AMK23" i="1" s="1"/>
  <c r="AML23" i="1" s="1"/>
  <c r="AMM23" i="1" s="1"/>
  <c r="AMN23" i="1" s="1"/>
  <c r="AMO23" i="1" s="1"/>
  <c r="AMP23" i="1" s="1"/>
  <c r="AMQ23" i="1" s="1"/>
  <c r="AMR23" i="1" s="1"/>
  <c r="AMS23" i="1" s="1"/>
  <c r="AMT23" i="1" s="1"/>
  <c r="AMU23" i="1" s="1"/>
  <c r="AMV23" i="1" s="1"/>
  <c r="AMW23" i="1" s="1"/>
  <c r="AMX23" i="1" s="1"/>
  <c r="AMY23" i="1" s="1"/>
  <c r="AMZ23" i="1" s="1"/>
  <c r="ANA23" i="1" s="1"/>
  <c r="ANB23" i="1" s="1"/>
  <c r="ANC23" i="1" s="1"/>
  <c r="AND23" i="1" s="1"/>
  <c r="ANE23" i="1" s="1"/>
  <c r="ANF23" i="1" s="1"/>
  <c r="ANG23" i="1" s="1"/>
  <c r="ANH23" i="1" s="1"/>
  <c r="ANI23" i="1" s="1"/>
  <c r="ANJ23" i="1" s="1"/>
  <c r="ANK23" i="1" s="1"/>
  <c r="ANL23" i="1" s="1"/>
  <c r="ANM23" i="1" s="1"/>
  <c r="ANN23" i="1" s="1"/>
  <c r="ANO23" i="1" s="1"/>
  <c r="ANP23" i="1" s="1"/>
  <c r="ANQ23" i="1" s="1"/>
  <c r="ANR23" i="1" s="1"/>
  <c r="ANS23" i="1" s="1"/>
  <c r="ANT23" i="1" s="1"/>
  <c r="ANU23" i="1" s="1"/>
  <c r="ANV23" i="1" s="1"/>
  <c r="ANW23" i="1" s="1"/>
  <c r="ANX23" i="1" s="1"/>
  <c r="ANY23" i="1" s="1"/>
  <c r="ANZ23" i="1" s="1"/>
  <c r="AOA23" i="1" s="1"/>
  <c r="AOB23" i="1" s="1"/>
  <c r="AOC23" i="1" s="1"/>
  <c r="AOD23" i="1" s="1"/>
  <c r="AOE23" i="1" s="1"/>
  <c r="AOF23" i="1" s="1"/>
  <c r="AOG23" i="1" s="1"/>
  <c r="AOH23" i="1" s="1"/>
  <c r="AOI23" i="1" s="1"/>
  <c r="AOJ23" i="1" s="1"/>
  <c r="AOK23" i="1" s="1"/>
  <c r="AOL23" i="1" s="1"/>
  <c r="AOM23" i="1" s="1"/>
  <c r="AON23" i="1" s="1"/>
  <c r="AOO23" i="1" s="1"/>
  <c r="AOP23" i="1" s="1"/>
  <c r="AOQ23" i="1" s="1"/>
  <c r="AOR23" i="1" s="1"/>
  <c r="AOS23" i="1" s="1"/>
  <c r="AOT23" i="1" s="1"/>
  <c r="AOU23" i="1" s="1"/>
  <c r="AOV23" i="1" s="1"/>
  <c r="AOW23" i="1" s="1"/>
  <c r="AOX23" i="1" s="1"/>
  <c r="AOY23" i="1" s="1"/>
  <c r="AOZ23" i="1" s="1"/>
  <c r="APA23" i="1" s="1"/>
  <c r="APB23" i="1" s="1"/>
  <c r="APC23" i="1" s="1"/>
  <c r="APD23" i="1" s="1"/>
  <c r="APE23" i="1" s="1"/>
  <c r="APF23" i="1" s="1"/>
  <c r="APG23" i="1" s="1"/>
  <c r="APH23" i="1" s="1"/>
  <c r="API23" i="1" s="1"/>
  <c r="APJ23" i="1" s="1"/>
  <c r="APK23" i="1" s="1"/>
  <c r="APL23" i="1" s="1"/>
  <c r="APM23" i="1" s="1"/>
  <c r="APN23" i="1" s="1"/>
  <c r="APO23" i="1" s="1"/>
  <c r="APP23" i="1" s="1"/>
  <c r="APQ23" i="1" s="1"/>
  <c r="APR23" i="1" s="1"/>
  <c r="APS23" i="1" s="1"/>
  <c r="APT23" i="1" s="1"/>
  <c r="APU23" i="1" s="1"/>
  <c r="APV23" i="1" s="1"/>
  <c r="APW23" i="1" s="1"/>
  <c r="APX23" i="1" s="1"/>
  <c r="APY23" i="1" s="1"/>
  <c r="APZ23" i="1" s="1"/>
  <c r="AQA23" i="1" s="1"/>
  <c r="AQB23" i="1" s="1"/>
  <c r="AQC23" i="1" s="1"/>
  <c r="AQD23" i="1" s="1"/>
  <c r="AQE23" i="1" s="1"/>
  <c r="AQF23" i="1" s="1"/>
  <c r="AQG23" i="1" s="1"/>
  <c r="AQH23" i="1" s="1"/>
  <c r="AQI23" i="1" s="1"/>
  <c r="AQJ23" i="1" s="1"/>
  <c r="AQK23" i="1" s="1"/>
  <c r="AQL23" i="1" s="1"/>
  <c r="AQM23" i="1" s="1"/>
  <c r="AQN23" i="1" s="1"/>
  <c r="AQO23" i="1" s="1"/>
  <c r="AQP23" i="1" s="1"/>
  <c r="AQQ23" i="1" s="1"/>
  <c r="AQR23" i="1" s="1"/>
  <c r="AQS23" i="1" s="1"/>
  <c r="AQT23" i="1" s="1"/>
  <c r="AQU23" i="1" s="1"/>
  <c r="AQV23" i="1" s="1"/>
  <c r="AQW23" i="1" s="1"/>
  <c r="AQX23" i="1" s="1"/>
  <c r="AQY23" i="1" s="1"/>
  <c r="AQZ23" i="1" s="1"/>
  <c r="ARA23" i="1" s="1"/>
  <c r="ARB23" i="1" s="1"/>
  <c r="ARC23" i="1" s="1"/>
  <c r="ARD23" i="1" s="1"/>
  <c r="ARE23" i="1" s="1"/>
  <c r="ARF23" i="1" s="1"/>
  <c r="ARG23" i="1" s="1"/>
  <c r="ARH23" i="1" s="1"/>
  <c r="ARI23" i="1" s="1"/>
  <c r="ARJ23" i="1" s="1"/>
  <c r="ARK23" i="1" s="1"/>
  <c r="ARL23" i="1" s="1"/>
  <c r="ARM23" i="1" s="1"/>
  <c r="ARN23" i="1" s="1"/>
  <c r="ARO23" i="1" s="1"/>
  <c r="ARP23" i="1" s="1"/>
  <c r="ARQ23" i="1" s="1"/>
  <c r="ARR23" i="1" s="1"/>
  <c r="ARS23" i="1" s="1"/>
  <c r="ART23" i="1" s="1"/>
  <c r="ARU23" i="1" s="1"/>
  <c r="ARV23" i="1" s="1"/>
  <c r="ARW23" i="1" s="1"/>
  <c r="ARX23" i="1" s="1"/>
  <c r="ARY23" i="1" s="1"/>
  <c r="ARZ23" i="1" s="1"/>
  <c r="ASA23" i="1" s="1"/>
  <c r="ASB23" i="1" s="1"/>
  <c r="ASC23" i="1" s="1"/>
  <c r="ASD23" i="1" s="1"/>
  <c r="ASE23" i="1" s="1"/>
  <c r="ASF23" i="1" s="1"/>
  <c r="ASG23" i="1" s="1"/>
  <c r="ASH23" i="1" s="1"/>
  <c r="ASI23" i="1" s="1"/>
  <c r="ASJ23" i="1" s="1"/>
  <c r="ASK23" i="1" s="1"/>
  <c r="ASL23" i="1" s="1"/>
  <c r="ASM23" i="1" s="1"/>
  <c r="ASN23" i="1" s="1"/>
  <c r="ASO23" i="1" s="1"/>
  <c r="ASP23" i="1" s="1"/>
  <c r="ASQ23" i="1" s="1"/>
  <c r="ASR23" i="1" s="1"/>
  <c r="ASS23" i="1" s="1"/>
  <c r="AST23" i="1" s="1"/>
  <c r="ASU23" i="1" s="1"/>
  <c r="ASV23" i="1" s="1"/>
  <c r="ASW23" i="1" s="1"/>
  <c r="ASX23" i="1" s="1"/>
  <c r="ASY23" i="1" s="1"/>
  <c r="ASZ23" i="1" s="1"/>
  <c r="ATA23" i="1" s="1"/>
  <c r="ATB23" i="1" s="1"/>
  <c r="ATC23" i="1" s="1"/>
  <c r="ATD23" i="1" s="1"/>
  <c r="ATE23" i="1" s="1"/>
  <c r="ATF23" i="1" s="1"/>
  <c r="ATG23" i="1" s="1"/>
  <c r="ATH23" i="1" s="1"/>
  <c r="ATI23" i="1" s="1"/>
  <c r="ATJ23" i="1" s="1"/>
  <c r="ATK23" i="1" s="1"/>
  <c r="ATL23" i="1" s="1"/>
  <c r="ATM23" i="1" s="1"/>
  <c r="ATN23" i="1" s="1"/>
  <c r="ATO23" i="1" s="1"/>
  <c r="ATP23" i="1" s="1"/>
  <c r="ATQ23" i="1" s="1"/>
  <c r="ATR23" i="1" s="1"/>
  <c r="ATS23" i="1" s="1"/>
  <c r="ATT23" i="1" s="1"/>
  <c r="ATU23" i="1" s="1"/>
  <c r="ATV23" i="1" s="1"/>
  <c r="ATW23" i="1" s="1"/>
  <c r="ATX23" i="1" s="1"/>
  <c r="ATY23" i="1" s="1"/>
  <c r="ATZ23" i="1" s="1"/>
  <c r="AUA23" i="1" s="1"/>
  <c r="AUB23" i="1" s="1"/>
  <c r="AUC23" i="1" s="1"/>
  <c r="AUD23" i="1" s="1"/>
  <c r="AUE23" i="1" s="1"/>
  <c r="AUF23" i="1" s="1"/>
  <c r="AUG23" i="1" s="1"/>
  <c r="AUH23" i="1" s="1"/>
  <c r="AUI23" i="1" s="1"/>
  <c r="AUJ23" i="1" s="1"/>
  <c r="AUK23" i="1" s="1"/>
  <c r="AUL23" i="1" s="1"/>
  <c r="AUM23" i="1" s="1"/>
  <c r="AUN23" i="1" s="1"/>
  <c r="AUO23" i="1" s="1"/>
  <c r="AUP23" i="1" s="1"/>
  <c r="AUQ23" i="1" s="1"/>
  <c r="AUR23" i="1" s="1"/>
  <c r="AUS23" i="1" s="1"/>
  <c r="AUT23" i="1" s="1"/>
  <c r="AUU23" i="1" s="1"/>
  <c r="AUV23" i="1" s="1"/>
  <c r="AUW23" i="1" s="1"/>
  <c r="AUX23" i="1" s="1"/>
  <c r="AUY23" i="1" s="1"/>
  <c r="AUZ23" i="1" s="1"/>
  <c r="AVA23" i="1" s="1"/>
  <c r="AVB23" i="1" s="1"/>
  <c r="AVC23" i="1" s="1"/>
  <c r="AVD23" i="1" s="1"/>
  <c r="AVE23" i="1" s="1"/>
  <c r="AVF23" i="1" s="1"/>
  <c r="AVG23" i="1" s="1"/>
  <c r="AVH23" i="1" s="1"/>
  <c r="AVI23" i="1" s="1"/>
  <c r="AVJ23" i="1" s="1"/>
  <c r="AVK23" i="1" s="1"/>
  <c r="AVL23" i="1" s="1"/>
  <c r="AVM23" i="1" s="1"/>
  <c r="AVN23" i="1" s="1"/>
  <c r="AVO23" i="1" s="1"/>
  <c r="AVP23" i="1" s="1"/>
  <c r="AVQ23" i="1" s="1"/>
  <c r="AVR23" i="1" s="1"/>
  <c r="AVS23" i="1" s="1"/>
  <c r="AVT23" i="1" s="1"/>
  <c r="AVU23" i="1" s="1"/>
  <c r="AVV23" i="1" s="1"/>
  <c r="AVW23" i="1" s="1"/>
  <c r="AVX23" i="1" s="1"/>
  <c r="AVY23" i="1" s="1"/>
  <c r="AVZ23" i="1" s="1"/>
  <c r="AWA23" i="1" s="1"/>
  <c r="AWB23" i="1" s="1"/>
  <c r="AWC23" i="1" s="1"/>
  <c r="AWD23" i="1" s="1"/>
  <c r="AWE23" i="1" s="1"/>
  <c r="AWF23" i="1" s="1"/>
  <c r="AWG23" i="1" s="1"/>
  <c r="AWH23" i="1" s="1"/>
  <c r="AWI23" i="1" s="1"/>
  <c r="AWJ23" i="1" s="1"/>
  <c r="AWK23" i="1" s="1"/>
  <c r="AWL23" i="1" s="1"/>
  <c r="AWM23" i="1" s="1"/>
  <c r="AWN23" i="1" s="1"/>
  <c r="AWO23" i="1" s="1"/>
  <c r="AWP23" i="1" s="1"/>
  <c r="AWQ23" i="1" s="1"/>
  <c r="AWR23" i="1" s="1"/>
  <c r="AWS23" i="1" s="1"/>
  <c r="AWT23" i="1" s="1"/>
  <c r="AWU23" i="1" s="1"/>
  <c r="AWV23" i="1" s="1"/>
  <c r="AWW23" i="1" s="1"/>
  <c r="AWX23" i="1" s="1"/>
  <c r="AWY23" i="1" s="1"/>
  <c r="AWZ23" i="1" s="1"/>
  <c r="AXA23" i="1" s="1"/>
  <c r="AXB23" i="1" s="1"/>
  <c r="AXC23" i="1" s="1"/>
  <c r="AXD23" i="1" s="1"/>
  <c r="AXE23" i="1" s="1"/>
  <c r="AXF23" i="1" s="1"/>
  <c r="AXG23" i="1" s="1"/>
  <c r="AXH23" i="1" s="1"/>
  <c r="AXI23" i="1" s="1"/>
  <c r="AXJ23" i="1" s="1"/>
  <c r="AXK23" i="1" s="1"/>
  <c r="AXL23" i="1" s="1"/>
  <c r="AXM23" i="1" s="1"/>
  <c r="AXN23" i="1" s="1"/>
  <c r="AXO23" i="1" s="1"/>
  <c r="AXP23" i="1" s="1"/>
  <c r="AXQ23" i="1" s="1"/>
  <c r="AXR23" i="1" s="1"/>
  <c r="AXS23" i="1" s="1"/>
  <c r="AXT23" i="1" s="1"/>
  <c r="AXU23" i="1" s="1"/>
  <c r="AXV23" i="1" s="1"/>
  <c r="AXW23" i="1" s="1"/>
  <c r="AXX23" i="1" s="1"/>
  <c r="AXY23" i="1" s="1"/>
  <c r="AXZ23" i="1" s="1"/>
  <c r="AYA23" i="1" s="1"/>
  <c r="AYB23" i="1" s="1"/>
  <c r="AYC23" i="1" s="1"/>
  <c r="AYD23" i="1" s="1"/>
  <c r="AYE23" i="1" s="1"/>
  <c r="AYF23" i="1" s="1"/>
  <c r="AYG23" i="1" s="1"/>
  <c r="AYH23" i="1" s="1"/>
  <c r="AYI23" i="1" s="1"/>
  <c r="AYJ23" i="1" s="1"/>
  <c r="AYK23" i="1" s="1"/>
  <c r="AYL23" i="1" s="1"/>
  <c r="AYM23" i="1" s="1"/>
  <c r="AYN23" i="1" s="1"/>
  <c r="AYO23" i="1" s="1"/>
  <c r="AYP23" i="1" s="1"/>
  <c r="AYQ23" i="1" s="1"/>
  <c r="AYR23" i="1" s="1"/>
  <c r="AYS23" i="1" s="1"/>
  <c r="AYT23" i="1" s="1"/>
  <c r="AYU23" i="1" s="1"/>
  <c r="AYV23" i="1" s="1"/>
  <c r="AYW23" i="1" s="1"/>
  <c r="AYX23" i="1" s="1"/>
  <c r="AYY23" i="1" s="1"/>
  <c r="AYZ23" i="1" s="1"/>
  <c r="AZA23" i="1" s="1"/>
  <c r="AZB23" i="1" s="1"/>
  <c r="AZC23" i="1" s="1"/>
  <c r="AZD23" i="1" s="1"/>
  <c r="AZE23" i="1" s="1"/>
  <c r="AZF23" i="1" s="1"/>
  <c r="AZG23" i="1" s="1"/>
  <c r="AZH23" i="1" s="1"/>
  <c r="AZI23" i="1" s="1"/>
  <c r="AZJ23" i="1" s="1"/>
  <c r="AZK23" i="1" s="1"/>
  <c r="AZL23" i="1" s="1"/>
  <c r="AZM23" i="1" s="1"/>
  <c r="AZN23" i="1" s="1"/>
  <c r="AZO23" i="1" s="1"/>
  <c r="AZP23" i="1" s="1"/>
  <c r="AZQ23" i="1" s="1"/>
  <c r="AZR23" i="1" s="1"/>
  <c r="AZS23" i="1" s="1"/>
  <c r="AZT23" i="1" s="1"/>
  <c r="AZU23" i="1" s="1"/>
  <c r="AZV23" i="1" s="1"/>
  <c r="AZW23" i="1" s="1"/>
  <c r="AZX23" i="1" s="1"/>
  <c r="AZY23" i="1" s="1"/>
  <c r="AZZ23" i="1" s="1"/>
  <c r="BAA23" i="1" s="1"/>
  <c r="BAB23" i="1" s="1"/>
  <c r="BAC23" i="1" s="1"/>
  <c r="BAD23" i="1" s="1"/>
  <c r="BAE23" i="1" s="1"/>
  <c r="BAF23" i="1" s="1"/>
  <c r="BAG23" i="1" s="1"/>
  <c r="BAH23" i="1" s="1"/>
  <c r="BAI23" i="1" s="1"/>
  <c r="BAJ23" i="1" s="1"/>
  <c r="BAK23" i="1" s="1"/>
  <c r="BAL23" i="1" s="1"/>
  <c r="BAM23" i="1" s="1"/>
  <c r="BAN23" i="1" s="1"/>
  <c r="BAO23" i="1" s="1"/>
  <c r="BAP23" i="1" s="1"/>
  <c r="BAQ23" i="1" s="1"/>
  <c r="BAR23" i="1" s="1"/>
  <c r="BAS23" i="1" s="1"/>
  <c r="BAT23" i="1" s="1"/>
  <c r="BAU23" i="1" s="1"/>
  <c r="BAV23" i="1" s="1"/>
  <c r="BAW23" i="1" s="1"/>
  <c r="BAX23" i="1" s="1"/>
  <c r="BAY23" i="1" s="1"/>
  <c r="BAZ23" i="1" s="1"/>
  <c r="BBA23" i="1" s="1"/>
  <c r="BBB23" i="1" s="1"/>
  <c r="BBC23" i="1" s="1"/>
  <c r="BBD23" i="1" s="1"/>
  <c r="BBE23" i="1" s="1"/>
  <c r="BBF23" i="1" s="1"/>
  <c r="BBG23" i="1" s="1"/>
  <c r="BBH23" i="1" s="1"/>
  <c r="BBI23" i="1" s="1"/>
  <c r="BBJ23" i="1" s="1"/>
  <c r="BBK23" i="1" s="1"/>
  <c r="BBL23" i="1" s="1"/>
  <c r="BBM23" i="1" s="1"/>
  <c r="BBN23" i="1" s="1"/>
  <c r="BBO23" i="1" s="1"/>
  <c r="BBP23" i="1" s="1"/>
  <c r="BBQ23" i="1" s="1"/>
  <c r="BBR23" i="1" s="1"/>
  <c r="BBS23" i="1" s="1"/>
  <c r="BBT23" i="1" s="1"/>
  <c r="BBU23" i="1" s="1"/>
  <c r="BBV23" i="1" s="1"/>
  <c r="BBW23" i="1" s="1"/>
  <c r="BBX23" i="1" s="1"/>
  <c r="BBY23" i="1" s="1"/>
  <c r="BBZ23" i="1" s="1"/>
  <c r="BCA23" i="1" s="1"/>
  <c r="BCB23" i="1" s="1"/>
  <c r="BCC23" i="1" s="1"/>
  <c r="BCD23" i="1" s="1"/>
  <c r="BCE23" i="1" s="1"/>
  <c r="BCF23" i="1" s="1"/>
  <c r="BCG23" i="1" s="1"/>
  <c r="BCH23" i="1" s="1"/>
  <c r="BCI23" i="1" s="1"/>
  <c r="BCJ23" i="1" s="1"/>
  <c r="BCK23" i="1" s="1"/>
  <c r="BCL23" i="1" s="1"/>
  <c r="BCM23" i="1" s="1"/>
  <c r="BCN23" i="1" s="1"/>
  <c r="BCO23" i="1" s="1"/>
  <c r="BCP23" i="1" s="1"/>
  <c r="BCQ23" i="1" s="1"/>
  <c r="BCR23" i="1" s="1"/>
  <c r="BCS23" i="1" s="1"/>
  <c r="BCT23" i="1" s="1"/>
  <c r="BCU23" i="1" s="1"/>
  <c r="BCV23" i="1" s="1"/>
  <c r="BCW23" i="1" s="1"/>
  <c r="BCX23" i="1" s="1"/>
  <c r="BCY23" i="1" s="1"/>
  <c r="BCZ23" i="1" s="1"/>
  <c r="BDA23" i="1" s="1"/>
  <c r="BDB23" i="1" s="1"/>
  <c r="BDC23" i="1" s="1"/>
  <c r="BDD23" i="1" s="1"/>
  <c r="BDE23" i="1" s="1"/>
  <c r="BDF23" i="1" s="1"/>
  <c r="BDG23" i="1" s="1"/>
  <c r="BDH23" i="1" s="1"/>
  <c r="BDI23" i="1" s="1"/>
  <c r="BDJ23" i="1" s="1"/>
  <c r="BDK23" i="1" s="1"/>
  <c r="BDL23" i="1" s="1"/>
  <c r="BDM23" i="1" s="1"/>
  <c r="BDN23" i="1" s="1"/>
  <c r="BDO23" i="1" s="1"/>
  <c r="BDP23" i="1" s="1"/>
  <c r="BDQ23" i="1" s="1"/>
  <c r="BDR23" i="1" s="1"/>
  <c r="BDS23" i="1" s="1"/>
  <c r="BDT23" i="1" s="1"/>
  <c r="BDU23" i="1" s="1"/>
  <c r="BDV23" i="1" s="1"/>
  <c r="BDW23" i="1" s="1"/>
  <c r="BDX23" i="1" s="1"/>
  <c r="BDY23" i="1" s="1"/>
  <c r="BDZ23" i="1" s="1"/>
  <c r="BEA23" i="1" s="1"/>
  <c r="BEB23" i="1" s="1"/>
  <c r="BEC23" i="1" s="1"/>
  <c r="BED23" i="1" s="1"/>
  <c r="BEE23" i="1" s="1"/>
  <c r="BEF23" i="1" s="1"/>
  <c r="BEG23" i="1" s="1"/>
  <c r="BEH23" i="1" s="1"/>
  <c r="BEI23" i="1" s="1"/>
  <c r="BEJ23" i="1" s="1"/>
  <c r="BEK23" i="1" s="1"/>
  <c r="BEL23" i="1" s="1"/>
  <c r="BEM23" i="1" s="1"/>
  <c r="BEN23" i="1" s="1"/>
  <c r="BEO23" i="1" s="1"/>
  <c r="BEP23" i="1" s="1"/>
  <c r="BEQ23" i="1" s="1"/>
  <c r="BER23" i="1" s="1"/>
  <c r="BES23" i="1" s="1"/>
  <c r="BET23" i="1" s="1"/>
  <c r="BEU23" i="1" s="1"/>
  <c r="BEV23" i="1" s="1"/>
  <c r="BEW23" i="1" s="1"/>
  <c r="BEX23" i="1" s="1"/>
  <c r="BEY23" i="1" s="1"/>
  <c r="BEZ23" i="1" s="1"/>
  <c r="BFA23" i="1" s="1"/>
  <c r="BFB23" i="1" s="1"/>
  <c r="BFC23" i="1" s="1"/>
  <c r="BFD23" i="1" s="1"/>
  <c r="BFE23" i="1" s="1"/>
  <c r="BFF23" i="1" s="1"/>
  <c r="BFG23" i="1" s="1"/>
  <c r="BFH23" i="1" s="1"/>
  <c r="BFI23" i="1" s="1"/>
  <c r="BFJ23" i="1" s="1"/>
  <c r="BFK23" i="1" s="1"/>
  <c r="BFL23" i="1" s="1"/>
  <c r="BFM23" i="1" s="1"/>
  <c r="BFN23" i="1" s="1"/>
  <c r="BFO23" i="1" s="1"/>
  <c r="BFP23" i="1" s="1"/>
  <c r="BFQ23" i="1" s="1"/>
  <c r="BFR23" i="1" s="1"/>
  <c r="BFS23" i="1" s="1"/>
  <c r="BFT23" i="1" s="1"/>
  <c r="BFU23" i="1" s="1"/>
  <c r="BFV23" i="1" s="1"/>
  <c r="BFW23" i="1" s="1"/>
  <c r="BFX23" i="1" s="1"/>
  <c r="BFY23" i="1" s="1"/>
  <c r="BFZ23" i="1" s="1"/>
  <c r="BGA23" i="1" s="1"/>
  <c r="BGB23" i="1" s="1"/>
  <c r="BGC23" i="1" s="1"/>
  <c r="BGD23" i="1" s="1"/>
  <c r="BGE23" i="1" s="1"/>
  <c r="BGF23" i="1" s="1"/>
  <c r="BGG23" i="1" s="1"/>
  <c r="BGH23" i="1" s="1"/>
  <c r="BGI23" i="1" s="1"/>
  <c r="BGJ23" i="1" s="1"/>
  <c r="BGK23" i="1" s="1"/>
  <c r="BGL23" i="1" s="1"/>
  <c r="BGM23" i="1" s="1"/>
  <c r="BGN23" i="1" s="1"/>
  <c r="BGO23" i="1" s="1"/>
  <c r="BGP23" i="1" s="1"/>
  <c r="BGQ23" i="1" s="1"/>
  <c r="BGR23" i="1" s="1"/>
  <c r="BGS23" i="1" s="1"/>
  <c r="BGT23" i="1" s="1"/>
  <c r="BGU23" i="1" s="1"/>
  <c r="BGV23" i="1" s="1"/>
  <c r="BGW23" i="1" s="1"/>
  <c r="BGX23" i="1" s="1"/>
  <c r="BGY23" i="1" s="1"/>
  <c r="BGZ23" i="1" s="1"/>
  <c r="BHA23" i="1" s="1"/>
  <c r="BHB23" i="1" s="1"/>
  <c r="BHC23" i="1" s="1"/>
  <c r="BHD23" i="1" s="1"/>
  <c r="BHE23" i="1" s="1"/>
  <c r="BHF23" i="1" s="1"/>
  <c r="BHG23" i="1" s="1"/>
  <c r="BHH23" i="1" s="1"/>
  <c r="BHI23" i="1" s="1"/>
  <c r="BHJ23" i="1" s="1"/>
  <c r="BHK23" i="1" s="1"/>
  <c r="BHL23" i="1" s="1"/>
  <c r="BHM23" i="1" s="1"/>
  <c r="BHN23" i="1" s="1"/>
  <c r="BHO23" i="1" s="1"/>
  <c r="BHP23" i="1" s="1"/>
  <c r="BHQ23" i="1" s="1"/>
  <c r="BHR23" i="1" s="1"/>
  <c r="BHS23" i="1" s="1"/>
  <c r="BHT23" i="1" s="1"/>
  <c r="BHU23" i="1" s="1"/>
  <c r="BHV23" i="1" s="1"/>
  <c r="BHW23" i="1" s="1"/>
  <c r="BHX23" i="1" s="1"/>
  <c r="BHY23" i="1" s="1"/>
  <c r="BHZ23" i="1" s="1"/>
  <c r="BIA23" i="1" s="1"/>
  <c r="BIB23" i="1" s="1"/>
  <c r="BIC23" i="1" s="1"/>
  <c r="BID23" i="1" s="1"/>
  <c r="BIE23" i="1" s="1"/>
  <c r="BIF23" i="1" s="1"/>
  <c r="BIG23" i="1" s="1"/>
  <c r="BIH23" i="1" s="1"/>
  <c r="BII23" i="1" s="1"/>
  <c r="BIJ23" i="1" s="1"/>
  <c r="BIK23" i="1" s="1"/>
  <c r="BIL23" i="1" s="1"/>
  <c r="BIM23" i="1" s="1"/>
  <c r="BIN23" i="1" s="1"/>
  <c r="BIO23" i="1" s="1"/>
  <c r="BIP23" i="1" s="1"/>
  <c r="BIQ23" i="1" s="1"/>
  <c r="BIR23" i="1" s="1"/>
  <c r="BIS23" i="1" s="1"/>
  <c r="BIT23" i="1" s="1"/>
  <c r="BIU23" i="1" s="1"/>
  <c r="BIV23" i="1" s="1"/>
  <c r="BIW23" i="1" s="1"/>
  <c r="BIX23" i="1" s="1"/>
  <c r="BIY23" i="1" s="1"/>
  <c r="BIZ23" i="1" s="1"/>
  <c r="BJA23" i="1" s="1"/>
  <c r="BJB23" i="1" s="1"/>
  <c r="BJC23" i="1" s="1"/>
  <c r="BJD23" i="1" s="1"/>
  <c r="BJE23" i="1" s="1"/>
  <c r="BJF23" i="1" s="1"/>
  <c r="BJG23" i="1" s="1"/>
  <c r="BJH23" i="1" s="1"/>
  <c r="BJI23" i="1" s="1"/>
  <c r="BJJ23" i="1" s="1"/>
  <c r="BJK23" i="1" s="1"/>
  <c r="BJL23" i="1" s="1"/>
  <c r="BJM23" i="1" s="1"/>
  <c r="BJN23" i="1" s="1"/>
  <c r="BJO23" i="1" s="1"/>
  <c r="BJP23" i="1" s="1"/>
  <c r="BJQ23" i="1" s="1"/>
  <c r="BJR23" i="1" s="1"/>
  <c r="BJS23" i="1" s="1"/>
  <c r="BJT23" i="1" s="1"/>
  <c r="BJU23" i="1" s="1"/>
  <c r="BJV23" i="1" s="1"/>
  <c r="BJW23" i="1" s="1"/>
  <c r="BJX23" i="1" s="1"/>
  <c r="BJY23" i="1" s="1"/>
  <c r="BJZ23" i="1" s="1"/>
  <c r="BKA23" i="1" s="1"/>
  <c r="BKB23" i="1" s="1"/>
  <c r="BKC23" i="1" s="1"/>
  <c r="BKD23" i="1" s="1"/>
  <c r="BKE23" i="1" s="1"/>
  <c r="BKF23" i="1" s="1"/>
  <c r="BKG23" i="1" s="1"/>
  <c r="BKH23" i="1" s="1"/>
  <c r="BKI23" i="1" s="1"/>
  <c r="BKJ23" i="1" s="1"/>
  <c r="BKK23" i="1" s="1"/>
  <c r="BKL23" i="1" s="1"/>
  <c r="BKM23" i="1" s="1"/>
  <c r="BKN23" i="1" s="1"/>
  <c r="BKO23" i="1" s="1"/>
  <c r="BKP23" i="1" s="1"/>
  <c r="BKQ23" i="1" s="1"/>
  <c r="BKR23" i="1" s="1"/>
  <c r="BKS23" i="1" s="1"/>
  <c r="BKT23" i="1" s="1"/>
  <c r="BKU23" i="1" s="1"/>
  <c r="BKV23" i="1" s="1"/>
  <c r="BKW23" i="1" s="1"/>
  <c r="BKX23" i="1" s="1"/>
  <c r="BKY23" i="1" s="1"/>
  <c r="BKZ23" i="1" s="1"/>
  <c r="BLA23" i="1" s="1"/>
  <c r="BLB23" i="1" s="1"/>
  <c r="BLC23" i="1" s="1"/>
  <c r="BLD23" i="1" s="1"/>
  <c r="BLE23" i="1" s="1"/>
  <c r="BLF23" i="1" s="1"/>
  <c r="BLG23" i="1" s="1"/>
  <c r="BLH23" i="1" s="1"/>
  <c r="BLI23" i="1" s="1"/>
  <c r="BLJ23" i="1" s="1"/>
  <c r="BLK23" i="1" s="1"/>
  <c r="BLL23" i="1" s="1"/>
  <c r="BLM23" i="1" s="1"/>
  <c r="BLN23" i="1" s="1"/>
  <c r="BLO23" i="1" s="1"/>
  <c r="BLP23" i="1" s="1"/>
  <c r="BLQ23" i="1" s="1"/>
  <c r="BLR23" i="1" s="1"/>
  <c r="BLS23" i="1" s="1"/>
  <c r="BLT23" i="1" s="1"/>
  <c r="BLU23" i="1" s="1"/>
  <c r="BLV23" i="1" s="1"/>
  <c r="BLW23" i="1" s="1"/>
  <c r="BLX23" i="1" s="1"/>
  <c r="BLY23" i="1" s="1"/>
  <c r="BLZ23" i="1" s="1"/>
  <c r="BMA23" i="1" s="1"/>
  <c r="BMB23" i="1" s="1"/>
  <c r="BMC23" i="1" s="1"/>
  <c r="BMD23" i="1" s="1"/>
  <c r="BME23" i="1" s="1"/>
  <c r="BMF23" i="1" s="1"/>
  <c r="BMG23" i="1" s="1"/>
  <c r="BMH23" i="1" s="1"/>
  <c r="BMI23" i="1" s="1"/>
  <c r="BMJ23" i="1" s="1"/>
  <c r="BMK23" i="1" s="1"/>
  <c r="BML23" i="1" s="1"/>
  <c r="BMM23" i="1" s="1"/>
  <c r="BMN23" i="1" s="1"/>
  <c r="BMO23" i="1" s="1"/>
  <c r="BMP23" i="1" s="1"/>
  <c r="BMQ23" i="1" s="1"/>
  <c r="BMR23" i="1" s="1"/>
  <c r="BMS23" i="1" s="1"/>
  <c r="BMT23" i="1" s="1"/>
  <c r="BMU23" i="1" s="1"/>
  <c r="BMV23" i="1" s="1"/>
  <c r="BMW23" i="1" s="1"/>
  <c r="BMX23" i="1" s="1"/>
  <c r="BMY23" i="1" s="1"/>
  <c r="BMZ23" i="1" s="1"/>
  <c r="BNA23" i="1" s="1"/>
  <c r="BNB23" i="1" s="1"/>
  <c r="BNC23" i="1" s="1"/>
  <c r="BND23" i="1" s="1"/>
  <c r="BNE23" i="1" s="1"/>
  <c r="BNF23" i="1" s="1"/>
  <c r="BNG23" i="1" s="1"/>
  <c r="BNH23" i="1" s="1"/>
  <c r="BNI23" i="1" s="1"/>
  <c r="BNJ23" i="1" s="1"/>
  <c r="BNK23" i="1" s="1"/>
  <c r="BNL23" i="1" s="1"/>
  <c r="BNM23" i="1" s="1"/>
  <c r="BNN23" i="1" s="1"/>
  <c r="BNO23" i="1" s="1"/>
  <c r="BNP23" i="1" s="1"/>
  <c r="BNQ23" i="1" s="1"/>
  <c r="BNR23" i="1" s="1"/>
  <c r="BNS23" i="1" s="1"/>
  <c r="BNT23" i="1" s="1"/>
  <c r="BNU23" i="1" s="1"/>
  <c r="BNV23" i="1" s="1"/>
  <c r="BNW23" i="1" s="1"/>
  <c r="BNX23" i="1" s="1"/>
  <c r="BNY23" i="1" s="1"/>
  <c r="BNZ23" i="1" s="1"/>
  <c r="BOA23" i="1" s="1"/>
  <c r="BOB23" i="1" s="1"/>
  <c r="BOC23" i="1" s="1"/>
  <c r="BOD23" i="1" s="1"/>
  <c r="BOE23" i="1" s="1"/>
  <c r="BOF23" i="1" s="1"/>
  <c r="BOG23" i="1" s="1"/>
  <c r="BOH23" i="1" s="1"/>
  <c r="BOI23" i="1" s="1"/>
  <c r="BOJ23" i="1" s="1"/>
  <c r="BOK23" i="1" s="1"/>
  <c r="BOL23" i="1" s="1"/>
  <c r="BOM23" i="1" s="1"/>
  <c r="BON23" i="1" s="1"/>
  <c r="BOO23" i="1" s="1"/>
  <c r="BOP23" i="1" s="1"/>
  <c r="BOQ23" i="1" s="1"/>
  <c r="BOR23" i="1" s="1"/>
  <c r="BOS23" i="1" s="1"/>
  <c r="BOT23" i="1" s="1"/>
  <c r="BOU23" i="1" s="1"/>
  <c r="BOV23" i="1" s="1"/>
  <c r="BOW23" i="1" s="1"/>
  <c r="BOX23" i="1" s="1"/>
  <c r="BOY23" i="1" s="1"/>
  <c r="BOZ23" i="1" s="1"/>
  <c r="BPA23" i="1" s="1"/>
  <c r="BPB23" i="1" s="1"/>
  <c r="BPC23" i="1" s="1"/>
  <c r="BPD23" i="1" s="1"/>
  <c r="BPE23" i="1" s="1"/>
  <c r="BPF23" i="1" s="1"/>
  <c r="BPG23" i="1" s="1"/>
  <c r="BPH23" i="1" s="1"/>
  <c r="BPI23" i="1" s="1"/>
  <c r="BPJ23" i="1" s="1"/>
  <c r="BPK23" i="1" s="1"/>
  <c r="BPL23" i="1" s="1"/>
  <c r="BPM23" i="1" s="1"/>
  <c r="BPN23" i="1" s="1"/>
  <c r="BPO23" i="1" s="1"/>
  <c r="BPP23" i="1" s="1"/>
  <c r="BPQ23" i="1" s="1"/>
  <c r="BPR23" i="1" s="1"/>
  <c r="BPS23" i="1" s="1"/>
  <c r="BPT23" i="1" s="1"/>
  <c r="BPU23" i="1" s="1"/>
  <c r="BPV23" i="1" s="1"/>
  <c r="BPW23" i="1" s="1"/>
  <c r="BPX23" i="1" s="1"/>
  <c r="BPY23" i="1" s="1"/>
  <c r="BPZ23" i="1" s="1"/>
  <c r="BQA23" i="1" s="1"/>
  <c r="BQB23" i="1" s="1"/>
  <c r="BQC23" i="1" s="1"/>
  <c r="BQD23" i="1" s="1"/>
  <c r="BQE23" i="1" s="1"/>
  <c r="BQF23" i="1" s="1"/>
  <c r="BQG23" i="1" s="1"/>
  <c r="BQH23" i="1" s="1"/>
  <c r="BQI23" i="1" s="1"/>
  <c r="BQJ23" i="1" s="1"/>
  <c r="BQK23" i="1" s="1"/>
  <c r="BQL23" i="1" s="1"/>
  <c r="BQM23" i="1" s="1"/>
  <c r="BQN23" i="1" s="1"/>
  <c r="BQO23" i="1" s="1"/>
  <c r="BQP23" i="1" s="1"/>
  <c r="BQQ23" i="1" s="1"/>
  <c r="BQR23" i="1" s="1"/>
  <c r="BQS23" i="1" s="1"/>
  <c r="BQT23" i="1" s="1"/>
  <c r="BQU23" i="1" s="1"/>
  <c r="BQV23" i="1" s="1"/>
  <c r="BQW23" i="1" s="1"/>
  <c r="BQX23" i="1" s="1"/>
  <c r="BQY23" i="1" s="1"/>
  <c r="BQZ23" i="1" s="1"/>
  <c r="BRA23" i="1" s="1"/>
  <c r="BRB23" i="1" s="1"/>
  <c r="BRC23" i="1" s="1"/>
  <c r="BRD23" i="1" s="1"/>
  <c r="BRE23" i="1" s="1"/>
  <c r="BRF23" i="1" s="1"/>
  <c r="BRG23" i="1" s="1"/>
  <c r="BRH23" i="1" s="1"/>
  <c r="BRI23" i="1" s="1"/>
  <c r="BRJ23" i="1" s="1"/>
  <c r="BRK23" i="1" s="1"/>
  <c r="BRL23" i="1" s="1"/>
  <c r="BRM23" i="1" s="1"/>
  <c r="BRN23" i="1" s="1"/>
  <c r="BRO23" i="1" s="1"/>
  <c r="BRP23" i="1" s="1"/>
  <c r="BRQ23" i="1" s="1"/>
  <c r="BRR23" i="1" s="1"/>
  <c r="BRS23" i="1" s="1"/>
  <c r="BRT23" i="1" s="1"/>
  <c r="BRU23" i="1" s="1"/>
  <c r="BRV23" i="1" s="1"/>
  <c r="BRW23" i="1" s="1"/>
  <c r="BRX23" i="1" s="1"/>
  <c r="BRY23" i="1" s="1"/>
  <c r="BRZ23" i="1" s="1"/>
  <c r="BSA23" i="1" s="1"/>
  <c r="BSB23" i="1" s="1"/>
  <c r="BSC23" i="1" s="1"/>
  <c r="BSD23" i="1" s="1"/>
  <c r="BSE23" i="1" s="1"/>
  <c r="BSF23" i="1" s="1"/>
  <c r="BSG23" i="1" s="1"/>
  <c r="BSH23" i="1" s="1"/>
  <c r="BSI23" i="1" s="1"/>
  <c r="BSJ23" i="1" s="1"/>
  <c r="BSK23" i="1" s="1"/>
  <c r="BSL23" i="1" s="1"/>
  <c r="BSM23" i="1" s="1"/>
  <c r="BSN23" i="1" s="1"/>
  <c r="BSO23" i="1" s="1"/>
  <c r="BSP23" i="1" s="1"/>
  <c r="BSQ23" i="1" s="1"/>
  <c r="BSR23" i="1" s="1"/>
  <c r="BSS23" i="1" s="1"/>
  <c r="BST23" i="1" s="1"/>
  <c r="BSU23" i="1" s="1"/>
  <c r="BSV23" i="1" s="1"/>
  <c r="BSW23" i="1" s="1"/>
  <c r="BSX23" i="1" s="1"/>
  <c r="BSY23" i="1" s="1"/>
  <c r="BSZ23" i="1" s="1"/>
  <c r="BTA23" i="1" s="1"/>
  <c r="BTB23" i="1" s="1"/>
  <c r="BTC23" i="1" s="1"/>
  <c r="BTD23" i="1" s="1"/>
  <c r="BTE23" i="1" s="1"/>
  <c r="BTF23" i="1" s="1"/>
  <c r="BTG23" i="1" s="1"/>
  <c r="BTH23" i="1" s="1"/>
  <c r="BTI23" i="1" s="1"/>
  <c r="BTJ23" i="1" s="1"/>
  <c r="BTK23" i="1" s="1"/>
  <c r="BTL23" i="1" s="1"/>
  <c r="BTM23" i="1" s="1"/>
  <c r="BTN23" i="1" s="1"/>
  <c r="BTO23" i="1" s="1"/>
  <c r="BTP23" i="1" s="1"/>
  <c r="BTQ23" i="1" s="1"/>
  <c r="BTR23" i="1" s="1"/>
  <c r="BTS23" i="1" s="1"/>
  <c r="BTT23" i="1" s="1"/>
  <c r="BTU23" i="1" s="1"/>
  <c r="BTV23" i="1" s="1"/>
  <c r="BTW23" i="1" s="1"/>
  <c r="BTX23" i="1" s="1"/>
  <c r="BTY23" i="1" s="1"/>
  <c r="BTZ23" i="1" s="1"/>
  <c r="BUA23" i="1" s="1"/>
  <c r="BUB23" i="1" s="1"/>
  <c r="BUC23" i="1" s="1"/>
  <c r="BUD23" i="1" s="1"/>
  <c r="BUE23" i="1" s="1"/>
  <c r="BUF23" i="1" s="1"/>
  <c r="BUG23" i="1" s="1"/>
  <c r="BUH23" i="1" s="1"/>
  <c r="BUI23" i="1" s="1"/>
  <c r="BUJ23" i="1" s="1"/>
  <c r="BUK23" i="1" s="1"/>
  <c r="BUL23" i="1" s="1"/>
  <c r="BUM23" i="1" s="1"/>
  <c r="BUN23" i="1" s="1"/>
  <c r="BUO23" i="1" s="1"/>
  <c r="BUP23" i="1" s="1"/>
  <c r="BUQ23" i="1" s="1"/>
  <c r="BUR23" i="1" s="1"/>
  <c r="BUS23" i="1" s="1"/>
  <c r="BUT23" i="1" s="1"/>
  <c r="BUU23" i="1" s="1"/>
  <c r="BUV23" i="1" s="1"/>
  <c r="BUW23" i="1" s="1"/>
  <c r="BUX23" i="1" s="1"/>
  <c r="BUY23" i="1" s="1"/>
  <c r="BUZ23" i="1" s="1"/>
  <c r="BVA23" i="1" s="1"/>
  <c r="BVB23" i="1" s="1"/>
  <c r="BVC23" i="1" s="1"/>
  <c r="BVD23" i="1" s="1"/>
  <c r="BVE23" i="1" s="1"/>
  <c r="BVF23" i="1" s="1"/>
  <c r="BVG23" i="1" s="1"/>
  <c r="BVH23" i="1" s="1"/>
  <c r="BVI23" i="1" s="1"/>
  <c r="BVJ23" i="1" s="1"/>
  <c r="BVK23" i="1" s="1"/>
  <c r="BVL23" i="1" s="1"/>
  <c r="BVM23" i="1" s="1"/>
  <c r="BVN23" i="1" s="1"/>
  <c r="BVO23" i="1" s="1"/>
  <c r="BVP23" i="1" s="1"/>
  <c r="BVQ23" i="1" s="1"/>
  <c r="BVR23" i="1" s="1"/>
  <c r="BVS23" i="1" s="1"/>
  <c r="BVT23" i="1" s="1"/>
  <c r="BVU23" i="1" s="1"/>
  <c r="BVV23" i="1" s="1"/>
  <c r="BVW23" i="1" s="1"/>
  <c r="BVX23" i="1" s="1"/>
  <c r="BVY23" i="1" s="1"/>
  <c r="BVZ23" i="1" s="1"/>
  <c r="BWA23" i="1" s="1"/>
  <c r="BWB23" i="1" s="1"/>
  <c r="BWC23" i="1" s="1"/>
  <c r="BWD23" i="1" s="1"/>
  <c r="BWE23" i="1" s="1"/>
  <c r="BWF23" i="1" s="1"/>
  <c r="BWG23" i="1" s="1"/>
  <c r="BWH23" i="1" s="1"/>
  <c r="BWI23" i="1" s="1"/>
  <c r="BWJ23" i="1" s="1"/>
  <c r="BWK23" i="1" s="1"/>
  <c r="BWL23" i="1" s="1"/>
  <c r="BWM23" i="1" s="1"/>
  <c r="BWN23" i="1" s="1"/>
  <c r="BWO23" i="1" s="1"/>
  <c r="BWP23" i="1" s="1"/>
  <c r="BWQ23" i="1" s="1"/>
  <c r="BWR23" i="1" s="1"/>
  <c r="BWS23" i="1" s="1"/>
  <c r="BWT23" i="1" s="1"/>
  <c r="BWU23" i="1" s="1"/>
  <c r="BWV23" i="1" s="1"/>
  <c r="BWW23" i="1" s="1"/>
  <c r="BWX23" i="1" s="1"/>
  <c r="BWY23" i="1" s="1"/>
  <c r="BWZ23" i="1" s="1"/>
  <c r="BXA23" i="1" s="1"/>
  <c r="BXB23" i="1" s="1"/>
  <c r="BXC23" i="1" s="1"/>
  <c r="BXD23" i="1" s="1"/>
  <c r="BXE23" i="1" s="1"/>
  <c r="BXF23" i="1" s="1"/>
  <c r="BXG23" i="1" s="1"/>
  <c r="BXH23" i="1" s="1"/>
  <c r="BXI23" i="1" s="1"/>
  <c r="BXJ23" i="1" s="1"/>
  <c r="BXK23" i="1" s="1"/>
  <c r="BXL23" i="1" s="1"/>
  <c r="BXM23" i="1" s="1"/>
  <c r="BXN23" i="1" s="1"/>
  <c r="BXO23" i="1" s="1"/>
  <c r="BXP23" i="1" s="1"/>
  <c r="BXQ23" i="1" s="1"/>
  <c r="BXR23" i="1" s="1"/>
  <c r="BXS23" i="1" s="1"/>
  <c r="BXT23" i="1" s="1"/>
  <c r="BXU23" i="1" s="1"/>
  <c r="BXV23" i="1" s="1"/>
  <c r="BXW23" i="1" s="1"/>
  <c r="BXX23" i="1" s="1"/>
  <c r="BXY23" i="1" s="1"/>
  <c r="BXZ23" i="1" s="1"/>
  <c r="BYA23" i="1" s="1"/>
  <c r="BYB23" i="1" s="1"/>
  <c r="BYC23" i="1" s="1"/>
  <c r="BYD23" i="1" s="1"/>
  <c r="BYE23" i="1" s="1"/>
  <c r="BYF23" i="1" s="1"/>
  <c r="BYG23" i="1" s="1"/>
  <c r="BYH23" i="1" s="1"/>
  <c r="BYI23" i="1" s="1"/>
  <c r="BYJ23" i="1" s="1"/>
  <c r="BYK23" i="1" s="1"/>
  <c r="BYL23" i="1" s="1"/>
  <c r="BYM23" i="1" s="1"/>
  <c r="BYN23" i="1" s="1"/>
  <c r="BYO23" i="1" s="1"/>
  <c r="BYP23" i="1" s="1"/>
  <c r="BYQ23" i="1" s="1"/>
  <c r="BYR23" i="1" s="1"/>
  <c r="BYS23" i="1" s="1"/>
  <c r="BYT23" i="1" s="1"/>
  <c r="BYU23" i="1" s="1"/>
  <c r="BYV23" i="1" s="1"/>
  <c r="BYW23" i="1" s="1"/>
  <c r="BYX23" i="1" s="1"/>
  <c r="BYY23" i="1" s="1"/>
  <c r="BYZ23" i="1" s="1"/>
  <c r="BZA23" i="1" s="1"/>
  <c r="BZB23" i="1" s="1"/>
  <c r="BZC23" i="1" s="1"/>
  <c r="BZD23" i="1" s="1"/>
  <c r="BZE23" i="1" s="1"/>
  <c r="BZF23" i="1" s="1"/>
  <c r="BZG23" i="1" s="1"/>
  <c r="BZH23" i="1" s="1"/>
  <c r="BZI23" i="1" s="1"/>
  <c r="BZJ23" i="1" s="1"/>
  <c r="BZK23" i="1" s="1"/>
  <c r="BZL23" i="1" s="1"/>
  <c r="BZM23" i="1" s="1"/>
  <c r="BZN23" i="1" s="1"/>
  <c r="BZO23" i="1" s="1"/>
  <c r="BZP23" i="1" s="1"/>
  <c r="BZQ23" i="1" s="1"/>
  <c r="BZR23" i="1" s="1"/>
  <c r="BZS23" i="1" s="1"/>
  <c r="BZT23" i="1" s="1"/>
  <c r="BZU23" i="1" s="1"/>
  <c r="BZV23" i="1" s="1"/>
  <c r="BZW23" i="1" s="1"/>
  <c r="BZX23" i="1" s="1"/>
  <c r="BZY23" i="1" s="1"/>
  <c r="BZZ23" i="1" s="1"/>
  <c r="CAA23" i="1" s="1"/>
  <c r="CAB23" i="1" s="1"/>
  <c r="CAC23" i="1" s="1"/>
  <c r="CAD23" i="1" s="1"/>
  <c r="CAE23" i="1" s="1"/>
  <c r="CAF23" i="1" s="1"/>
  <c r="CAG23" i="1" s="1"/>
  <c r="CAH23" i="1" s="1"/>
  <c r="CAI23" i="1" s="1"/>
  <c r="CAJ23" i="1" s="1"/>
  <c r="CAK23" i="1" s="1"/>
  <c r="CAL23" i="1" s="1"/>
  <c r="CAM23" i="1" s="1"/>
  <c r="CAN23" i="1" s="1"/>
  <c r="CAO23" i="1" s="1"/>
  <c r="CAP23" i="1" s="1"/>
  <c r="CAQ23" i="1" s="1"/>
  <c r="CAR23" i="1" s="1"/>
  <c r="CAS23" i="1" s="1"/>
  <c r="CAT23" i="1" s="1"/>
  <c r="CAU23" i="1" s="1"/>
  <c r="CAV23" i="1" s="1"/>
  <c r="CAW23" i="1" s="1"/>
  <c r="CAX23" i="1" s="1"/>
  <c r="CAY23" i="1" s="1"/>
  <c r="CAZ23" i="1" s="1"/>
  <c r="CBA23" i="1" s="1"/>
  <c r="CBB23" i="1" s="1"/>
  <c r="CBC23" i="1" s="1"/>
  <c r="CBD23" i="1" s="1"/>
  <c r="CBE23" i="1" s="1"/>
  <c r="CBF23" i="1" s="1"/>
  <c r="CBG23" i="1" s="1"/>
  <c r="CBH23" i="1" s="1"/>
  <c r="CBI23" i="1" s="1"/>
  <c r="CBJ23" i="1" s="1"/>
  <c r="CBK23" i="1" s="1"/>
  <c r="CBL23" i="1" s="1"/>
  <c r="CBM23" i="1" s="1"/>
  <c r="CBN23" i="1" s="1"/>
  <c r="CBO23" i="1" s="1"/>
  <c r="CBP23" i="1" s="1"/>
  <c r="CBQ23" i="1" s="1"/>
  <c r="CBR23" i="1" s="1"/>
  <c r="CBS23" i="1" s="1"/>
  <c r="CBT23" i="1" s="1"/>
  <c r="CBU23" i="1" s="1"/>
  <c r="CBV23" i="1" s="1"/>
  <c r="CBW23" i="1" s="1"/>
  <c r="CBX23" i="1" s="1"/>
  <c r="CBY23" i="1" s="1"/>
  <c r="CBZ23" i="1" s="1"/>
  <c r="CCA23" i="1" s="1"/>
  <c r="CCB23" i="1" s="1"/>
  <c r="CCC23" i="1" s="1"/>
  <c r="CCD23" i="1" s="1"/>
  <c r="CCE23" i="1" s="1"/>
  <c r="CCF23" i="1" s="1"/>
  <c r="CCG23" i="1" s="1"/>
  <c r="CCH23" i="1" s="1"/>
  <c r="CCI23" i="1" s="1"/>
  <c r="CCJ23" i="1" s="1"/>
  <c r="CCK23" i="1" s="1"/>
  <c r="CCL23" i="1" s="1"/>
  <c r="CCM23" i="1" s="1"/>
  <c r="CCN23" i="1" s="1"/>
  <c r="CCO23" i="1" s="1"/>
  <c r="CCP23" i="1" s="1"/>
  <c r="CCQ23" i="1" s="1"/>
  <c r="CCR23" i="1" s="1"/>
  <c r="CCS23" i="1" s="1"/>
  <c r="CCT23" i="1" s="1"/>
  <c r="CCU23" i="1" s="1"/>
  <c r="CCV23" i="1" s="1"/>
  <c r="CCW23" i="1" s="1"/>
  <c r="CCX23" i="1" s="1"/>
  <c r="CCY23" i="1" s="1"/>
  <c r="CCZ23" i="1" s="1"/>
  <c r="CDA23" i="1" s="1"/>
  <c r="CDB23" i="1" s="1"/>
  <c r="CDC23" i="1" s="1"/>
  <c r="CDD23" i="1" s="1"/>
  <c r="CDE23" i="1" s="1"/>
  <c r="CDF23" i="1" s="1"/>
  <c r="CDG23" i="1" s="1"/>
  <c r="CDH23" i="1" s="1"/>
  <c r="CDI23" i="1" s="1"/>
  <c r="CDJ23" i="1" s="1"/>
  <c r="CDK23" i="1" s="1"/>
  <c r="CDL23" i="1" s="1"/>
  <c r="CDM23" i="1" s="1"/>
  <c r="CDN23" i="1" s="1"/>
  <c r="CDO23" i="1" s="1"/>
  <c r="CDP23" i="1" s="1"/>
  <c r="CDQ23" i="1" s="1"/>
  <c r="CDR23" i="1" s="1"/>
  <c r="CDS23" i="1" s="1"/>
  <c r="CDT23" i="1" s="1"/>
  <c r="CDU23" i="1" s="1"/>
  <c r="CDV23" i="1" s="1"/>
  <c r="CDW23" i="1" s="1"/>
  <c r="CDX23" i="1" s="1"/>
  <c r="CDY23" i="1" s="1"/>
  <c r="CDZ23" i="1" s="1"/>
  <c r="CEA23" i="1" s="1"/>
  <c r="CEB23" i="1" s="1"/>
  <c r="CEC23" i="1" s="1"/>
  <c r="CED23" i="1" s="1"/>
  <c r="CEE23" i="1" s="1"/>
  <c r="CEF23" i="1" s="1"/>
  <c r="CEG23" i="1" s="1"/>
  <c r="CEH23" i="1" s="1"/>
  <c r="CEI23" i="1" s="1"/>
  <c r="CEJ23" i="1" s="1"/>
  <c r="CEK23" i="1" s="1"/>
  <c r="CEL23" i="1" s="1"/>
  <c r="CEM23" i="1" s="1"/>
  <c r="CEN23" i="1" s="1"/>
  <c r="CEO23" i="1" s="1"/>
  <c r="CEP23" i="1" s="1"/>
  <c r="CEQ23" i="1" s="1"/>
  <c r="CER23" i="1" s="1"/>
  <c r="CES23" i="1" s="1"/>
  <c r="CET23" i="1" s="1"/>
  <c r="CEU23" i="1" s="1"/>
  <c r="CEV23" i="1" s="1"/>
  <c r="CEW23" i="1" s="1"/>
  <c r="CEX23" i="1" s="1"/>
  <c r="CEY23" i="1" s="1"/>
  <c r="CEZ23" i="1" s="1"/>
  <c r="CFA23" i="1" s="1"/>
  <c r="CFB23" i="1" s="1"/>
  <c r="CFC23" i="1" s="1"/>
  <c r="CFD23" i="1" s="1"/>
  <c r="CFE23" i="1" s="1"/>
  <c r="CFF23" i="1" s="1"/>
  <c r="CFG23" i="1" s="1"/>
  <c r="CFH23" i="1" s="1"/>
  <c r="CFI23" i="1" s="1"/>
  <c r="CFJ23" i="1" s="1"/>
  <c r="CFK23" i="1" s="1"/>
  <c r="CFL23" i="1" s="1"/>
  <c r="CFM23" i="1" s="1"/>
  <c r="CFN23" i="1" s="1"/>
  <c r="CFO23" i="1" s="1"/>
  <c r="CFP23" i="1" s="1"/>
  <c r="CFQ23" i="1" s="1"/>
  <c r="CFR23" i="1" s="1"/>
  <c r="CFS23" i="1" s="1"/>
  <c r="CFT23" i="1" s="1"/>
  <c r="CFU23" i="1" s="1"/>
  <c r="CFV23" i="1" s="1"/>
  <c r="CFW23" i="1" s="1"/>
  <c r="CFX23" i="1" s="1"/>
  <c r="CFY23" i="1" s="1"/>
  <c r="CFZ23" i="1" s="1"/>
  <c r="CGA23" i="1" s="1"/>
  <c r="CGB23" i="1" s="1"/>
  <c r="CGC23" i="1" s="1"/>
  <c r="CGD23" i="1" s="1"/>
  <c r="CGE23" i="1" s="1"/>
  <c r="CGF23" i="1" s="1"/>
  <c r="CGG23" i="1" s="1"/>
  <c r="CGH23" i="1" s="1"/>
  <c r="CGI23" i="1" s="1"/>
  <c r="CGJ23" i="1" s="1"/>
  <c r="CGK23" i="1" s="1"/>
  <c r="CGL23" i="1" s="1"/>
  <c r="CGM23" i="1" s="1"/>
  <c r="CGN23" i="1" s="1"/>
  <c r="CGO23" i="1" s="1"/>
  <c r="CGP23" i="1" s="1"/>
  <c r="CGQ23" i="1" s="1"/>
  <c r="CGR23" i="1" s="1"/>
  <c r="CGS23" i="1" s="1"/>
  <c r="CGT23" i="1" s="1"/>
  <c r="CGU23" i="1" s="1"/>
  <c r="CGV23" i="1" s="1"/>
  <c r="CGW23" i="1" s="1"/>
  <c r="CGX23" i="1" s="1"/>
  <c r="CGY23" i="1" s="1"/>
  <c r="CGZ23" i="1" s="1"/>
  <c r="CHA23" i="1" s="1"/>
  <c r="CHB23" i="1" s="1"/>
  <c r="CHC23" i="1" s="1"/>
  <c r="CHD23" i="1" s="1"/>
  <c r="CHE23" i="1" s="1"/>
  <c r="CHF23" i="1" s="1"/>
  <c r="CHG23" i="1" s="1"/>
  <c r="CHH23" i="1" s="1"/>
  <c r="CHI23" i="1" s="1"/>
  <c r="CHJ23" i="1" s="1"/>
  <c r="CHK23" i="1" s="1"/>
  <c r="CHL23" i="1" s="1"/>
  <c r="CHM23" i="1" s="1"/>
  <c r="CHN23" i="1" s="1"/>
  <c r="CHO23" i="1" s="1"/>
  <c r="CHP23" i="1" s="1"/>
  <c r="CHQ23" i="1" s="1"/>
  <c r="CHR23" i="1" s="1"/>
  <c r="CHS23" i="1" s="1"/>
  <c r="CHT23" i="1" s="1"/>
  <c r="CHU23" i="1" s="1"/>
  <c r="CHV23" i="1" s="1"/>
  <c r="CHW23" i="1" s="1"/>
  <c r="CHX23" i="1" s="1"/>
  <c r="CHY23" i="1" s="1"/>
  <c r="CHZ23" i="1" s="1"/>
  <c r="CIA23" i="1" s="1"/>
  <c r="CIB23" i="1" s="1"/>
  <c r="CIC23" i="1" s="1"/>
  <c r="CID23" i="1" s="1"/>
  <c r="CIE23" i="1" s="1"/>
  <c r="CIF23" i="1" s="1"/>
  <c r="CIG23" i="1" s="1"/>
  <c r="CIH23" i="1" s="1"/>
  <c r="CII23" i="1" s="1"/>
  <c r="CIJ23" i="1" s="1"/>
  <c r="CIK23" i="1" s="1"/>
  <c r="CIL23" i="1" s="1"/>
  <c r="CIM23" i="1" s="1"/>
  <c r="CIN23" i="1" s="1"/>
  <c r="CIO23" i="1" s="1"/>
  <c r="CIP23" i="1" s="1"/>
  <c r="CIQ23" i="1" s="1"/>
  <c r="CIR23" i="1" s="1"/>
  <c r="CIS23" i="1" s="1"/>
  <c r="CIT23" i="1" s="1"/>
  <c r="CIU23" i="1" s="1"/>
  <c r="CIV23" i="1" s="1"/>
  <c r="CIW23" i="1" s="1"/>
  <c r="CIX23" i="1" s="1"/>
  <c r="CIY23" i="1" s="1"/>
  <c r="CIZ23" i="1" s="1"/>
  <c r="CJA23" i="1" s="1"/>
  <c r="CJB23" i="1" s="1"/>
  <c r="CJC23" i="1" s="1"/>
  <c r="CJD23" i="1" s="1"/>
  <c r="CJE23" i="1" s="1"/>
  <c r="CJF23" i="1" s="1"/>
  <c r="CJG23" i="1" s="1"/>
  <c r="CJH23" i="1" s="1"/>
  <c r="CJI23" i="1" s="1"/>
  <c r="CJJ23" i="1" s="1"/>
  <c r="CJK23" i="1" s="1"/>
  <c r="CJL23" i="1" s="1"/>
  <c r="CJM23" i="1" s="1"/>
  <c r="CJN23" i="1" s="1"/>
  <c r="CJO23" i="1" s="1"/>
  <c r="CJP23" i="1" s="1"/>
  <c r="CJQ23" i="1" s="1"/>
  <c r="CJR23" i="1" s="1"/>
  <c r="CJS23" i="1" s="1"/>
  <c r="CJT23" i="1" s="1"/>
  <c r="CJU23" i="1" s="1"/>
  <c r="CJV23" i="1" s="1"/>
  <c r="CJW23" i="1" s="1"/>
  <c r="CJX23" i="1" s="1"/>
  <c r="CJY23" i="1" s="1"/>
  <c r="CJZ23" i="1" s="1"/>
  <c r="CKA23" i="1" s="1"/>
  <c r="CKB23" i="1" s="1"/>
  <c r="CKC23" i="1" s="1"/>
  <c r="CKD23" i="1" s="1"/>
  <c r="CKE23" i="1" s="1"/>
  <c r="CKF23" i="1" s="1"/>
  <c r="CKG23" i="1" s="1"/>
  <c r="CKH23" i="1" s="1"/>
  <c r="CKI23" i="1" s="1"/>
  <c r="CKJ23" i="1" s="1"/>
  <c r="CKK23" i="1" s="1"/>
  <c r="CKL23" i="1" s="1"/>
  <c r="CKM23" i="1" s="1"/>
  <c r="CKN23" i="1" s="1"/>
  <c r="CKO23" i="1" s="1"/>
  <c r="CKP23" i="1" s="1"/>
  <c r="CKQ23" i="1" s="1"/>
  <c r="CKR23" i="1" s="1"/>
  <c r="CKS23" i="1" s="1"/>
  <c r="CKT23" i="1" s="1"/>
  <c r="CKU23" i="1" s="1"/>
  <c r="CKV23" i="1" s="1"/>
  <c r="CKW23" i="1" s="1"/>
  <c r="CKX23" i="1" s="1"/>
  <c r="CKY23" i="1" s="1"/>
  <c r="CKZ23" i="1" s="1"/>
  <c r="CLA23" i="1" s="1"/>
  <c r="CLB23" i="1" s="1"/>
  <c r="CLC23" i="1" s="1"/>
  <c r="CLD23" i="1" s="1"/>
  <c r="CLE23" i="1" s="1"/>
  <c r="CLF23" i="1" s="1"/>
  <c r="CLG23" i="1" s="1"/>
  <c r="CLH23" i="1" s="1"/>
  <c r="CLI23" i="1" s="1"/>
  <c r="CLJ23" i="1" s="1"/>
  <c r="CLK23" i="1" s="1"/>
  <c r="CLL23" i="1" s="1"/>
  <c r="CLM23" i="1" s="1"/>
  <c r="CLN23" i="1" s="1"/>
  <c r="CLO23" i="1" s="1"/>
  <c r="CLP23" i="1" s="1"/>
  <c r="CLQ23" i="1" s="1"/>
  <c r="CLR23" i="1" s="1"/>
  <c r="CLS23" i="1" s="1"/>
  <c r="CLT23" i="1" s="1"/>
  <c r="CLU23" i="1" s="1"/>
  <c r="CLV23" i="1" s="1"/>
  <c r="CLW23" i="1" s="1"/>
  <c r="CLX23" i="1" s="1"/>
  <c r="CLY23" i="1" s="1"/>
  <c r="CLZ23" i="1" s="1"/>
  <c r="CMA23" i="1" s="1"/>
  <c r="CMB23" i="1" s="1"/>
  <c r="CMC23" i="1" s="1"/>
  <c r="CMD23" i="1" s="1"/>
  <c r="CME23" i="1" s="1"/>
  <c r="CMF23" i="1" s="1"/>
  <c r="CMG23" i="1" s="1"/>
  <c r="CMH23" i="1" s="1"/>
  <c r="CMI23" i="1" s="1"/>
  <c r="CMJ23" i="1" s="1"/>
  <c r="CMK23" i="1" s="1"/>
  <c r="CML23" i="1" s="1"/>
  <c r="CMM23" i="1" s="1"/>
  <c r="CMN23" i="1" s="1"/>
  <c r="CMO23" i="1" s="1"/>
  <c r="CMP23" i="1" s="1"/>
  <c r="CMQ23" i="1" s="1"/>
  <c r="CMR23" i="1" s="1"/>
  <c r="CMS23" i="1" s="1"/>
  <c r="CMT23" i="1" s="1"/>
  <c r="CMU23" i="1" s="1"/>
  <c r="CMV23" i="1" s="1"/>
  <c r="CMW23" i="1" s="1"/>
  <c r="CMX23" i="1" s="1"/>
  <c r="CMY23" i="1" s="1"/>
  <c r="CMZ23" i="1" s="1"/>
  <c r="CNA23" i="1" s="1"/>
  <c r="CNB23" i="1" s="1"/>
  <c r="CNC23" i="1" s="1"/>
  <c r="CND23" i="1" s="1"/>
  <c r="CNE23" i="1" s="1"/>
  <c r="CNF23" i="1" s="1"/>
  <c r="CNG23" i="1" s="1"/>
  <c r="CNH23" i="1" s="1"/>
  <c r="CNI23" i="1" s="1"/>
  <c r="CNJ23" i="1" s="1"/>
  <c r="CNK23" i="1" s="1"/>
  <c r="CNL23" i="1" s="1"/>
  <c r="CNM23" i="1" s="1"/>
  <c r="CNN23" i="1" s="1"/>
  <c r="CNO23" i="1" s="1"/>
  <c r="CNP23" i="1" s="1"/>
  <c r="CNQ23" i="1" s="1"/>
  <c r="CNR23" i="1" s="1"/>
  <c r="CNS23" i="1" s="1"/>
  <c r="CNT23" i="1" s="1"/>
  <c r="CNU23" i="1" s="1"/>
  <c r="CNV23" i="1" s="1"/>
  <c r="CNW23" i="1" s="1"/>
  <c r="CNX23" i="1" s="1"/>
  <c r="CNY23" i="1" s="1"/>
  <c r="CNZ23" i="1" s="1"/>
  <c r="COA23" i="1" s="1"/>
  <c r="COB23" i="1" s="1"/>
  <c r="COC23" i="1" s="1"/>
  <c r="COD23" i="1" s="1"/>
  <c r="COE23" i="1" s="1"/>
  <c r="COF23" i="1" s="1"/>
  <c r="COG23" i="1" s="1"/>
  <c r="COH23" i="1" s="1"/>
  <c r="COI23" i="1" s="1"/>
  <c r="COJ23" i="1" s="1"/>
  <c r="COK23" i="1" s="1"/>
  <c r="COL23" i="1" s="1"/>
  <c r="COM23" i="1" s="1"/>
  <c r="CON23" i="1" s="1"/>
  <c r="COO23" i="1" s="1"/>
  <c r="COP23" i="1" s="1"/>
  <c r="COQ23" i="1" s="1"/>
  <c r="COR23" i="1" s="1"/>
  <c r="COS23" i="1" s="1"/>
  <c r="COT23" i="1" s="1"/>
  <c r="COU23" i="1" s="1"/>
  <c r="COV23" i="1" s="1"/>
  <c r="COW23" i="1" s="1"/>
  <c r="COX23" i="1" s="1"/>
  <c r="COY23" i="1" s="1"/>
  <c r="COZ23" i="1" s="1"/>
  <c r="CPA23" i="1" s="1"/>
  <c r="CPB23" i="1" s="1"/>
  <c r="CPC23" i="1" s="1"/>
  <c r="CPD23" i="1" s="1"/>
  <c r="CPE23" i="1" s="1"/>
  <c r="CPF23" i="1" s="1"/>
  <c r="CPG23" i="1" s="1"/>
  <c r="CPH23" i="1" s="1"/>
  <c r="CPI23" i="1" s="1"/>
  <c r="CPJ23" i="1" s="1"/>
  <c r="CPK23" i="1" s="1"/>
  <c r="CPL23" i="1" s="1"/>
  <c r="CPM23" i="1" s="1"/>
  <c r="CPN23" i="1" s="1"/>
  <c r="CPO23" i="1" s="1"/>
  <c r="CPP23" i="1" s="1"/>
  <c r="CPQ23" i="1" s="1"/>
  <c r="CPR23" i="1" s="1"/>
  <c r="CPS23" i="1" s="1"/>
  <c r="CPT23" i="1" s="1"/>
  <c r="CPU23" i="1" s="1"/>
  <c r="CPV23" i="1" s="1"/>
  <c r="CPW23" i="1" s="1"/>
  <c r="CPX23" i="1" s="1"/>
  <c r="CPY23" i="1" s="1"/>
  <c r="CPZ23" i="1" s="1"/>
  <c r="CQA23" i="1" s="1"/>
  <c r="CQB23" i="1" s="1"/>
  <c r="CQC23" i="1" s="1"/>
  <c r="CQD23" i="1" s="1"/>
  <c r="CQE23" i="1" s="1"/>
  <c r="CQF23" i="1" s="1"/>
  <c r="CQG23" i="1" s="1"/>
  <c r="CQH23" i="1" s="1"/>
  <c r="CQI23" i="1" s="1"/>
  <c r="CQJ23" i="1" s="1"/>
  <c r="CQK23" i="1" s="1"/>
  <c r="CQL23" i="1" s="1"/>
  <c r="CQM23" i="1" s="1"/>
  <c r="CQN23" i="1" s="1"/>
  <c r="CQO23" i="1" s="1"/>
  <c r="CQP23" i="1" s="1"/>
  <c r="CQQ23" i="1" s="1"/>
  <c r="CQR23" i="1" s="1"/>
  <c r="CQS23" i="1" s="1"/>
  <c r="CQT23" i="1" s="1"/>
  <c r="CQU23" i="1" s="1"/>
  <c r="CQV23" i="1" s="1"/>
  <c r="CQW23" i="1" s="1"/>
  <c r="CQX23" i="1" s="1"/>
  <c r="CQY23" i="1" s="1"/>
  <c r="CQZ23" i="1" s="1"/>
  <c r="CRA23" i="1" s="1"/>
  <c r="CRB23" i="1" s="1"/>
  <c r="CRC23" i="1" s="1"/>
  <c r="CRD23" i="1" s="1"/>
  <c r="CRE23" i="1" s="1"/>
  <c r="CRF23" i="1" s="1"/>
  <c r="CRG23" i="1" s="1"/>
  <c r="CRH23" i="1" s="1"/>
  <c r="CRI23" i="1" s="1"/>
  <c r="CRJ23" i="1" s="1"/>
  <c r="CRK23" i="1" s="1"/>
  <c r="CRL23" i="1" s="1"/>
  <c r="CRM23" i="1" s="1"/>
  <c r="CRN23" i="1" s="1"/>
  <c r="CRO23" i="1" s="1"/>
  <c r="CRP23" i="1" s="1"/>
  <c r="CRQ23" i="1" s="1"/>
  <c r="CRR23" i="1" s="1"/>
  <c r="CRS23" i="1" s="1"/>
  <c r="CRT23" i="1" s="1"/>
  <c r="CRU23" i="1" s="1"/>
  <c r="CRV23" i="1" s="1"/>
  <c r="CRW23" i="1" s="1"/>
  <c r="CRX23" i="1" s="1"/>
  <c r="CRY23" i="1" s="1"/>
  <c r="CRZ23" i="1" s="1"/>
  <c r="CSA23" i="1" s="1"/>
  <c r="CSB23" i="1" s="1"/>
  <c r="CSC23" i="1" s="1"/>
  <c r="CSD23" i="1" s="1"/>
  <c r="CSE23" i="1" s="1"/>
  <c r="CSF23" i="1" s="1"/>
  <c r="CSG23" i="1" s="1"/>
  <c r="CSH23" i="1" s="1"/>
  <c r="CSI23" i="1" s="1"/>
  <c r="CSJ23" i="1" s="1"/>
  <c r="CSK23" i="1" s="1"/>
  <c r="CSL23" i="1" s="1"/>
  <c r="CSM23" i="1" s="1"/>
  <c r="CSN23" i="1" s="1"/>
  <c r="CSO23" i="1" s="1"/>
  <c r="CSP23" i="1" s="1"/>
  <c r="CSQ23" i="1" s="1"/>
  <c r="CSR23" i="1" s="1"/>
  <c r="CSS23" i="1" s="1"/>
  <c r="CST23" i="1" s="1"/>
  <c r="CSU23" i="1" s="1"/>
  <c r="CSV23" i="1" s="1"/>
  <c r="CSW23" i="1" s="1"/>
  <c r="CSX23" i="1" s="1"/>
  <c r="CSY23" i="1" s="1"/>
  <c r="CSZ23" i="1" s="1"/>
  <c r="CTA23" i="1" s="1"/>
  <c r="CTB23" i="1" s="1"/>
  <c r="CTC23" i="1" s="1"/>
  <c r="CTD23" i="1" s="1"/>
  <c r="CTE23" i="1" s="1"/>
  <c r="CTF23" i="1" s="1"/>
  <c r="CTG23" i="1" s="1"/>
  <c r="CTH23" i="1" s="1"/>
  <c r="CTI23" i="1" s="1"/>
  <c r="CTJ23" i="1" s="1"/>
  <c r="CTK23" i="1" s="1"/>
  <c r="CTL23" i="1" s="1"/>
  <c r="CTM23" i="1" s="1"/>
  <c r="CTN23" i="1" s="1"/>
  <c r="CTO23" i="1" s="1"/>
  <c r="CTP23" i="1" s="1"/>
  <c r="CTQ23" i="1" s="1"/>
  <c r="CTR23" i="1" s="1"/>
  <c r="CTS23" i="1" s="1"/>
  <c r="CTT23" i="1" s="1"/>
  <c r="CTU23" i="1" s="1"/>
  <c r="CTV23" i="1" s="1"/>
  <c r="CTW23" i="1" s="1"/>
  <c r="CTX23" i="1" s="1"/>
  <c r="CTY23" i="1" s="1"/>
  <c r="CTZ23" i="1" s="1"/>
  <c r="CUA23" i="1" s="1"/>
  <c r="CUB23" i="1" s="1"/>
  <c r="CUC23" i="1" s="1"/>
  <c r="CUD23" i="1" s="1"/>
  <c r="CUE23" i="1" s="1"/>
  <c r="CUF23" i="1" s="1"/>
  <c r="CUG23" i="1" s="1"/>
  <c r="CUH23" i="1" s="1"/>
  <c r="CUI23" i="1" s="1"/>
  <c r="CUJ23" i="1" s="1"/>
  <c r="CUK23" i="1" s="1"/>
  <c r="CUL23" i="1" s="1"/>
  <c r="CUM23" i="1" s="1"/>
  <c r="CUN23" i="1" s="1"/>
  <c r="CUO23" i="1" s="1"/>
  <c r="CUP23" i="1" s="1"/>
  <c r="CUQ23" i="1" s="1"/>
  <c r="CUR23" i="1" s="1"/>
  <c r="CUS23" i="1" s="1"/>
  <c r="CUT23" i="1" s="1"/>
  <c r="CUU23" i="1" s="1"/>
  <c r="CUV23" i="1" s="1"/>
  <c r="CUW23" i="1" s="1"/>
  <c r="CUX23" i="1" s="1"/>
  <c r="CUY23" i="1" s="1"/>
  <c r="CUZ23" i="1" s="1"/>
  <c r="CVA23" i="1" s="1"/>
  <c r="CVB23" i="1" s="1"/>
  <c r="CVC23" i="1" s="1"/>
  <c r="CVD23" i="1" s="1"/>
  <c r="CVE23" i="1" s="1"/>
  <c r="CVF23" i="1" s="1"/>
  <c r="CVG23" i="1" s="1"/>
  <c r="CVH23" i="1" s="1"/>
  <c r="CVI23" i="1" s="1"/>
  <c r="CVJ23" i="1" s="1"/>
  <c r="CVK23" i="1" s="1"/>
  <c r="CVL23" i="1" s="1"/>
  <c r="CVM23" i="1" s="1"/>
  <c r="CVN23" i="1" s="1"/>
  <c r="CVO23" i="1" s="1"/>
  <c r="CVP23" i="1" s="1"/>
  <c r="CVQ23" i="1" s="1"/>
  <c r="CVR23" i="1" s="1"/>
  <c r="CVS23" i="1" s="1"/>
  <c r="CVT23" i="1" s="1"/>
  <c r="CVU23" i="1" s="1"/>
  <c r="CVV23" i="1" s="1"/>
  <c r="CVW23" i="1" s="1"/>
  <c r="CVX23" i="1" s="1"/>
  <c r="CVY23" i="1" s="1"/>
  <c r="CVZ23" i="1" s="1"/>
  <c r="CWA23" i="1" s="1"/>
  <c r="CWB23" i="1" s="1"/>
  <c r="CWC23" i="1" s="1"/>
  <c r="CWD23" i="1" s="1"/>
  <c r="CWE23" i="1" s="1"/>
  <c r="CWF23" i="1" s="1"/>
  <c r="CWG23" i="1" s="1"/>
  <c r="CWH23" i="1" s="1"/>
  <c r="CWI23" i="1" s="1"/>
  <c r="CWJ23" i="1" s="1"/>
  <c r="CWK23" i="1" s="1"/>
  <c r="CWL23" i="1" s="1"/>
  <c r="CWM23" i="1" s="1"/>
  <c r="CWN23" i="1" s="1"/>
  <c r="CWO23" i="1" s="1"/>
  <c r="CWP23" i="1" s="1"/>
  <c r="CWQ23" i="1" s="1"/>
  <c r="CWR23" i="1" s="1"/>
  <c r="CWS23" i="1" s="1"/>
  <c r="CWT23" i="1" s="1"/>
  <c r="CWU23" i="1" s="1"/>
  <c r="CWV23" i="1" s="1"/>
  <c r="CWW23" i="1" s="1"/>
  <c r="CWX23" i="1" s="1"/>
  <c r="CWY23" i="1" s="1"/>
  <c r="CWZ23" i="1" s="1"/>
  <c r="CXA23" i="1" s="1"/>
  <c r="CXB23" i="1" s="1"/>
  <c r="CXC23" i="1" s="1"/>
  <c r="CXD23" i="1" s="1"/>
  <c r="CXE23" i="1" s="1"/>
  <c r="CXF23" i="1" s="1"/>
  <c r="CXG23" i="1" s="1"/>
  <c r="CXH23" i="1" s="1"/>
  <c r="CXI23" i="1" s="1"/>
  <c r="CXJ23" i="1" s="1"/>
  <c r="CXK23" i="1" s="1"/>
  <c r="CXL23" i="1" s="1"/>
  <c r="CXM23" i="1" s="1"/>
  <c r="CXN23" i="1" s="1"/>
  <c r="CXO23" i="1" s="1"/>
  <c r="CXP23" i="1" s="1"/>
  <c r="CXQ23" i="1" s="1"/>
  <c r="CXR23" i="1" s="1"/>
  <c r="CXS23" i="1" s="1"/>
  <c r="CXT23" i="1" s="1"/>
  <c r="CXU23" i="1" s="1"/>
  <c r="CXV23" i="1" s="1"/>
  <c r="CXW23" i="1" s="1"/>
  <c r="CXX23" i="1" s="1"/>
  <c r="CXY23" i="1" s="1"/>
  <c r="CXZ23" i="1" s="1"/>
  <c r="CYA23" i="1" s="1"/>
  <c r="CYB23" i="1" s="1"/>
  <c r="CYC23" i="1" s="1"/>
  <c r="CYD23" i="1" s="1"/>
  <c r="CYE23" i="1" s="1"/>
  <c r="CYF23" i="1" s="1"/>
  <c r="CYG23" i="1" s="1"/>
  <c r="CYH23" i="1" s="1"/>
  <c r="CYI23" i="1" s="1"/>
  <c r="CYJ23" i="1" s="1"/>
  <c r="CYK23" i="1" s="1"/>
  <c r="CYL23" i="1" s="1"/>
  <c r="CYM23" i="1" s="1"/>
  <c r="CYN23" i="1" s="1"/>
  <c r="CYO23" i="1" s="1"/>
  <c r="CYP23" i="1" s="1"/>
  <c r="CYQ23" i="1" s="1"/>
  <c r="CYR23" i="1" s="1"/>
  <c r="CYS23" i="1" s="1"/>
  <c r="CYT23" i="1" s="1"/>
  <c r="CYU23" i="1" s="1"/>
  <c r="CYV23" i="1" s="1"/>
  <c r="CYW23" i="1" s="1"/>
  <c r="CYX23" i="1" s="1"/>
  <c r="CYY23" i="1" s="1"/>
  <c r="CYZ23" i="1" s="1"/>
  <c r="CZA23" i="1" s="1"/>
  <c r="CZB23" i="1" s="1"/>
  <c r="CZC23" i="1" s="1"/>
  <c r="CZD23" i="1" s="1"/>
  <c r="CZE23" i="1" s="1"/>
  <c r="CZF23" i="1" s="1"/>
  <c r="CZG23" i="1" s="1"/>
  <c r="CZH23" i="1" s="1"/>
  <c r="CZI23" i="1" s="1"/>
  <c r="CZJ23" i="1" s="1"/>
  <c r="CZK23" i="1" s="1"/>
  <c r="CZL23" i="1" s="1"/>
  <c r="CZM23" i="1" s="1"/>
  <c r="CZN23" i="1" s="1"/>
  <c r="CZO23" i="1" s="1"/>
  <c r="CZP23" i="1" s="1"/>
  <c r="CZQ23" i="1" s="1"/>
  <c r="CZR23" i="1" s="1"/>
  <c r="CZS23" i="1" s="1"/>
  <c r="CZT23" i="1" s="1"/>
  <c r="CZU23" i="1" s="1"/>
  <c r="CZV23" i="1" s="1"/>
  <c r="CZW23" i="1" s="1"/>
  <c r="CZX23" i="1" s="1"/>
  <c r="CZY23" i="1" s="1"/>
  <c r="CZZ23" i="1" s="1"/>
  <c r="DAA23" i="1" s="1"/>
  <c r="DAB23" i="1" s="1"/>
  <c r="DAC23" i="1" s="1"/>
  <c r="DAD23" i="1" s="1"/>
  <c r="DAE23" i="1" s="1"/>
  <c r="DAF23" i="1" s="1"/>
  <c r="DAG23" i="1" s="1"/>
  <c r="DAH23" i="1" s="1"/>
  <c r="DAI23" i="1" s="1"/>
  <c r="DAJ23" i="1" s="1"/>
  <c r="DAK23" i="1" s="1"/>
  <c r="DAL23" i="1" s="1"/>
  <c r="DAM23" i="1" s="1"/>
  <c r="DAN23" i="1" s="1"/>
  <c r="DAO23" i="1" s="1"/>
  <c r="DAP23" i="1" s="1"/>
  <c r="DAQ23" i="1" s="1"/>
  <c r="DAR23" i="1" s="1"/>
  <c r="DAS23" i="1" s="1"/>
  <c r="DAT23" i="1" s="1"/>
  <c r="DAU23" i="1" s="1"/>
  <c r="DAV23" i="1" s="1"/>
  <c r="DAW23" i="1" s="1"/>
  <c r="DAX23" i="1" s="1"/>
  <c r="DAY23" i="1" s="1"/>
  <c r="DAZ23" i="1" s="1"/>
  <c r="DBA23" i="1" s="1"/>
  <c r="DBB23" i="1" s="1"/>
  <c r="DBC23" i="1" s="1"/>
  <c r="DBD23" i="1" s="1"/>
  <c r="DBE23" i="1" s="1"/>
  <c r="DBF23" i="1" s="1"/>
  <c r="DBG23" i="1" s="1"/>
  <c r="DBH23" i="1" s="1"/>
  <c r="DBI23" i="1" s="1"/>
  <c r="DBJ23" i="1" s="1"/>
  <c r="DBK23" i="1" s="1"/>
  <c r="DBL23" i="1" s="1"/>
  <c r="DBM23" i="1" s="1"/>
  <c r="DBN23" i="1" s="1"/>
  <c r="DBO23" i="1" s="1"/>
  <c r="DBP23" i="1" s="1"/>
  <c r="DBQ23" i="1" s="1"/>
  <c r="DBR23" i="1" s="1"/>
  <c r="DBS23" i="1" s="1"/>
  <c r="DBT23" i="1" s="1"/>
  <c r="DBU23" i="1" s="1"/>
  <c r="DBV23" i="1" s="1"/>
  <c r="DBW23" i="1" s="1"/>
  <c r="DBX23" i="1" s="1"/>
  <c r="DBY23" i="1" s="1"/>
  <c r="DBZ23" i="1" s="1"/>
  <c r="DCA23" i="1" s="1"/>
  <c r="DCB23" i="1" s="1"/>
  <c r="DCC23" i="1" s="1"/>
  <c r="DCD23" i="1" s="1"/>
  <c r="DCE23" i="1" s="1"/>
  <c r="DCF23" i="1" s="1"/>
  <c r="DCG23" i="1" s="1"/>
  <c r="DCH23" i="1" s="1"/>
  <c r="DCI23" i="1" s="1"/>
  <c r="DCJ23" i="1" s="1"/>
  <c r="DCK23" i="1" s="1"/>
  <c r="DCL23" i="1" s="1"/>
  <c r="DCM23" i="1" s="1"/>
  <c r="DCN23" i="1" s="1"/>
  <c r="DCO23" i="1" s="1"/>
  <c r="DCP23" i="1" s="1"/>
  <c r="DCQ23" i="1" s="1"/>
  <c r="DCR23" i="1" s="1"/>
  <c r="DCS23" i="1" s="1"/>
  <c r="DCT23" i="1" s="1"/>
  <c r="DCU23" i="1" s="1"/>
  <c r="DCV23" i="1" s="1"/>
  <c r="DCW23" i="1" s="1"/>
  <c r="DCX23" i="1" s="1"/>
  <c r="DCY23" i="1" s="1"/>
  <c r="DCZ23" i="1" s="1"/>
  <c r="DDA23" i="1" s="1"/>
  <c r="DDB23" i="1" s="1"/>
  <c r="DDC23" i="1" s="1"/>
  <c r="DDD23" i="1" s="1"/>
  <c r="DDE23" i="1" s="1"/>
  <c r="DDF23" i="1" s="1"/>
  <c r="DDG23" i="1" s="1"/>
  <c r="DDH23" i="1" s="1"/>
  <c r="DDI23" i="1" s="1"/>
  <c r="DDJ23" i="1" s="1"/>
  <c r="DDK23" i="1" s="1"/>
  <c r="DDL23" i="1" s="1"/>
  <c r="DDM23" i="1" s="1"/>
  <c r="DDN23" i="1" s="1"/>
  <c r="DDO23" i="1" s="1"/>
  <c r="DDP23" i="1" s="1"/>
  <c r="DDQ23" i="1" s="1"/>
  <c r="DDR23" i="1" s="1"/>
  <c r="DDS23" i="1" s="1"/>
  <c r="DDT23" i="1" s="1"/>
  <c r="DDU23" i="1" s="1"/>
  <c r="DDV23" i="1" s="1"/>
  <c r="DDW23" i="1" s="1"/>
  <c r="DDX23" i="1" s="1"/>
  <c r="DDY23" i="1" s="1"/>
  <c r="DDZ23" i="1" s="1"/>
  <c r="DEA23" i="1" s="1"/>
  <c r="DEB23" i="1" s="1"/>
  <c r="DEC23" i="1" s="1"/>
  <c r="DED23" i="1" s="1"/>
  <c r="DEE23" i="1" s="1"/>
  <c r="DEF23" i="1" s="1"/>
  <c r="DEG23" i="1" s="1"/>
  <c r="DEH23" i="1" s="1"/>
  <c r="DEI23" i="1" s="1"/>
  <c r="DEJ23" i="1" s="1"/>
  <c r="DEK23" i="1" s="1"/>
  <c r="DEL23" i="1" s="1"/>
  <c r="DEM23" i="1" s="1"/>
  <c r="DEN23" i="1" s="1"/>
  <c r="DEO23" i="1" s="1"/>
  <c r="DEP23" i="1" s="1"/>
  <c r="DEQ23" i="1" s="1"/>
  <c r="DER23" i="1" s="1"/>
  <c r="DES23" i="1" s="1"/>
  <c r="DET23" i="1" s="1"/>
  <c r="DEU23" i="1" s="1"/>
  <c r="DEV23" i="1" s="1"/>
  <c r="DEW23" i="1" s="1"/>
  <c r="DEX23" i="1" s="1"/>
  <c r="DEY23" i="1" s="1"/>
  <c r="DEZ23" i="1" s="1"/>
  <c r="DFA23" i="1" s="1"/>
  <c r="DFB23" i="1" s="1"/>
  <c r="DFC23" i="1" s="1"/>
  <c r="DFD23" i="1" s="1"/>
  <c r="DFE23" i="1" s="1"/>
  <c r="DFF23" i="1" s="1"/>
  <c r="DFG23" i="1" s="1"/>
  <c r="DFH23" i="1" s="1"/>
  <c r="DFI23" i="1" s="1"/>
  <c r="DFJ23" i="1" s="1"/>
  <c r="DFK23" i="1" s="1"/>
  <c r="DFL23" i="1" s="1"/>
  <c r="DFM23" i="1" s="1"/>
  <c r="DFN23" i="1" s="1"/>
  <c r="DFO23" i="1" s="1"/>
  <c r="DFP23" i="1" s="1"/>
  <c r="DFQ23" i="1" s="1"/>
  <c r="DFR23" i="1" s="1"/>
  <c r="DFS23" i="1" s="1"/>
  <c r="DFT23" i="1" s="1"/>
  <c r="DFU23" i="1" s="1"/>
  <c r="DFV23" i="1" s="1"/>
  <c r="DFW23" i="1" s="1"/>
  <c r="DFX23" i="1" s="1"/>
  <c r="DFY23" i="1" s="1"/>
  <c r="DFZ23" i="1" s="1"/>
  <c r="DGA23" i="1" s="1"/>
  <c r="DGB23" i="1" s="1"/>
  <c r="DGC23" i="1" s="1"/>
  <c r="DGD23" i="1" s="1"/>
  <c r="DGE23" i="1" s="1"/>
  <c r="DGF23" i="1" s="1"/>
  <c r="DGG23" i="1" s="1"/>
  <c r="DGH23" i="1" s="1"/>
  <c r="DGI23" i="1" s="1"/>
  <c r="DGJ23" i="1" s="1"/>
  <c r="DGK23" i="1" s="1"/>
  <c r="DGL23" i="1" s="1"/>
  <c r="DGM23" i="1" s="1"/>
  <c r="DGN23" i="1" s="1"/>
  <c r="DGO23" i="1" s="1"/>
  <c r="DGP23" i="1" s="1"/>
  <c r="DGQ23" i="1" s="1"/>
  <c r="DGR23" i="1" s="1"/>
  <c r="DGS23" i="1" s="1"/>
  <c r="DGT23" i="1" s="1"/>
  <c r="DGU23" i="1" s="1"/>
  <c r="DGV23" i="1" s="1"/>
  <c r="DGW23" i="1" s="1"/>
  <c r="DGX23" i="1" s="1"/>
  <c r="DGY23" i="1" s="1"/>
  <c r="DGZ23" i="1" s="1"/>
  <c r="DHA23" i="1" s="1"/>
  <c r="DHB23" i="1" s="1"/>
  <c r="DHC23" i="1" s="1"/>
  <c r="DHD23" i="1" s="1"/>
  <c r="DHE23" i="1" s="1"/>
  <c r="DHF23" i="1" s="1"/>
  <c r="DHG23" i="1" s="1"/>
  <c r="DHH23" i="1" s="1"/>
  <c r="DHI23" i="1" s="1"/>
  <c r="DHJ23" i="1" s="1"/>
  <c r="DHK23" i="1" s="1"/>
  <c r="DHL23" i="1" s="1"/>
  <c r="DHM23" i="1" s="1"/>
  <c r="DHN23" i="1" s="1"/>
  <c r="DHO23" i="1" s="1"/>
  <c r="DHP23" i="1" s="1"/>
  <c r="DHQ23" i="1" s="1"/>
  <c r="DHR23" i="1" s="1"/>
  <c r="DHS23" i="1" s="1"/>
  <c r="DHT23" i="1" s="1"/>
  <c r="DHU23" i="1" s="1"/>
  <c r="DHV23" i="1" s="1"/>
  <c r="DHW23" i="1" s="1"/>
  <c r="DHX23" i="1" s="1"/>
  <c r="DHY23" i="1" s="1"/>
  <c r="DHZ23" i="1" s="1"/>
  <c r="DIA23" i="1" s="1"/>
  <c r="DIB23" i="1" s="1"/>
  <c r="DIC23" i="1" s="1"/>
  <c r="DID23" i="1" s="1"/>
  <c r="DIE23" i="1" s="1"/>
  <c r="DIF23" i="1" s="1"/>
  <c r="DIG23" i="1" s="1"/>
  <c r="DIH23" i="1" s="1"/>
  <c r="DII23" i="1" s="1"/>
  <c r="DIJ23" i="1" s="1"/>
  <c r="DIK23" i="1" s="1"/>
  <c r="DIL23" i="1" s="1"/>
  <c r="DIM23" i="1" s="1"/>
  <c r="DIN23" i="1" s="1"/>
  <c r="DIO23" i="1" s="1"/>
  <c r="DIP23" i="1" s="1"/>
  <c r="DIQ23" i="1" s="1"/>
  <c r="DIR23" i="1" s="1"/>
  <c r="DIS23" i="1" s="1"/>
  <c r="DIT23" i="1" s="1"/>
  <c r="DIU23" i="1" s="1"/>
  <c r="DIV23" i="1" s="1"/>
  <c r="DIW23" i="1" s="1"/>
  <c r="DIX23" i="1" s="1"/>
  <c r="DIY23" i="1" s="1"/>
  <c r="DIZ23" i="1" s="1"/>
  <c r="DJA23" i="1" s="1"/>
  <c r="DJB23" i="1" s="1"/>
  <c r="DJC23" i="1" s="1"/>
  <c r="DJD23" i="1" s="1"/>
  <c r="DJE23" i="1" s="1"/>
  <c r="DJF23" i="1" s="1"/>
  <c r="DJG23" i="1" s="1"/>
  <c r="DJH23" i="1" s="1"/>
  <c r="DJI23" i="1" s="1"/>
  <c r="DJJ23" i="1" s="1"/>
  <c r="DJK23" i="1" s="1"/>
  <c r="DJL23" i="1" s="1"/>
  <c r="DJM23" i="1" s="1"/>
  <c r="DJN23" i="1" s="1"/>
  <c r="DJO23" i="1" s="1"/>
  <c r="DJP23" i="1" s="1"/>
  <c r="DJQ23" i="1" s="1"/>
  <c r="DJR23" i="1" s="1"/>
  <c r="DJS23" i="1" s="1"/>
  <c r="DJT23" i="1" s="1"/>
  <c r="DJU23" i="1" s="1"/>
  <c r="DJV23" i="1" s="1"/>
  <c r="DJW23" i="1" s="1"/>
  <c r="DJX23" i="1" s="1"/>
  <c r="DJY23" i="1" s="1"/>
  <c r="DJZ23" i="1" s="1"/>
  <c r="DKA23" i="1" s="1"/>
  <c r="DKB23" i="1" s="1"/>
  <c r="DKC23" i="1" s="1"/>
  <c r="DKD23" i="1" s="1"/>
  <c r="DKE23" i="1" s="1"/>
  <c r="DKF23" i="1" s="1"/>
  <c r="DKG23" i="1" s="1"/>
  <c r="DKH23" i="1" s="1"/>
  <c r="DKI23" i="1" s="1"/>
  <c r="DKJ23" i="1" s="1"/>
  <c r="DKK23" i="1" s="1"/>
  <c r="DKL23" i="1" s="1"/>
  <c r="DKM23" i="1" s="1"/>
  <c r="DKN23" i="1" s="1"/>
  <c r="DKO23" i="1" s="1"/>
  <c r="DKP23" i="1" s="1"/>
  <c r="DKQ23" i="1" s="1"/>
  <c r="DKR23" i="1" s="1"/>
  <c r="DKS23" i="1" s="1"/>
  <c r="DKT23" i="1" s="1"/>
  <c r="DKU23" i="1" s="1"/>
  <c r="DKV23" i="1" s="1"/>
  <c r="DKW23" i="1" s="1"/>
  <c r="DKX23" i="1" s="1"/>
  <c r="DKY23" i="1" s="1"/>
  <c r="DKZ23" i="1" s="1"/>
  <c r="DLA23" i="1" s="1"/>
  <c r="DLB23" i="1" s="1"/>
  <c r="DLC23" i="1" s="1"/>
  <c r="DLD23" i="1" s="1"/>
  <c r="DLE23" i="1" s="1"/>
  <c r="DLF23" i="1" s="1"/>
  <c r="DLG23" i="1" s="1"/>
  <c r="DLH23" i="1" s="1"/>
  <c r="DLI23" i="1" s="1"/>
  <c r="DLJ23" i="1" s="1"/>
  <c r="DLK23" i="1" s="1"/>
  <c r="DLL23" i="1" s="1"/>
  <c r="DLM23" i="1" s="1"/>
  <c r="DLN23" i="1" s="1"/>
  <c r="DLO23" i="1" s="1"/>
  <c r="DLP23" i="1" s="1"/>
  <c r="DLQ23" i="1" s="1"/>
  <c r="DLR23" i="1" s="1"/>
  <c r="DLS23" i="1" s="1"/>
  <c r="DLT23" i="1" s="1"/>
  <c r="DLU23" i="1" s="1"/>
  <c r="DLV23" i="1" s="1"/>
  <c r="DLW23" i="1" s="1"/>
  <c r="DLX23" i="1" s="1"/>
  <c r="DLY23" i="1" s="1"/>
  <c r="DLZ23" i="1" s="1"/>
  <c r="DMA23" i="1" s="1"/>
  <c r="DMB23" i="1" s="1"/>
  <c r="DMC23" i="1" s="1"/>
  <c r="DMD23" i="1" s="1"/>
  <c r="DME23" i="1" s="1"/>
  <c r="DMF23" i="1" s="1"/>
  <c r="DMG23" i="1" s="1"/>
  <c r="DMH23" i="1" s="1"/>
  <c r="DMI23" i="1" s="1"/>
  <c r="DMJ23" i="1" s="1"/>
  <c r="DMK23" i="1" s="1"/>
  <c r="DML23" i="1" s="1"/>
  <c r="DMM23" i="1" s="1"/>
  <c r="DMN23" i="1" s="1"/>
  <c r="DMO23" i="1" s="1"/>
  <c r="DMP23" i="1" s="1"/>
  <c r="DMQ23" i="1" s="1"/>
  <c r="DMR23" i="1" s="1"/>
  <c r="DMS23" i="1" s="1"/>
  <c r="DMT23" i="1" s="1"/>
  <c r="DMU23" i="1" s="1"/>
  <c r="DMV23" i="1" s="1"/>
  <c r="DMW23" i="1" s="1"/>
  <c r="DMX23" i="1" s="1"/>
  <c r="DMY23" i="1" s="1"/>
  <c r="DMZ23" i="1" s="1"/>
  <c r="DNA23" i="1" s="1"/>
  <c r="DNB23" i="1" s="1"/>
  <c r="DNC23" i="1" s="1"/>
  <c r="DND23" i="1" s="1"/>
  <c r="DNE23" i="1" s="1"/>
  <c r="DNF23" i="1" s="1"/>
  <c r="DNG23" i="1" s="1"/>
  <c r="DNH23" i="1" s="1"/>
  <c r="DNI23" i="1" s="1"/>
  <c r="DNJ23" i="1" s="1"/>
  <c r="DNK23" i="1" s="1"/>
  <c r="DNL23" i="1" s="1"/>
  <c r="DNM23" i="1" s="1"/>
  <c r="DNN23" i="1" s="1"/>
  <c r="DNO23" i="1" s="1"/>
  <c r="DNP23" i="1" s="1"/>
  <c r="DNQ23" i="1" s="1"/>
  <c r="DNR23" i="1" s="1"/>
  <c r="DNS23" i="1" s="1"/>
  <c r="DNT23" i="1" s="1"/>
  <c r="DNU23" i="1" s="1"/>
  <c r="DNV23" i="1" s="1"/>
  <c r="DNW23" i="1" s="1"/>
  <c r="DNX23" i="1" s="1"/>
  <c r="DNY23" i="1" s="1"/>
  <c r="DNZ23" i="1" s="1"/>
  <c r="DOA23" i="1" s="1"/>
  <c r="DOB23" i="1" s="1"/>
  <c r="DOC23" i="1" s="1"/>
  <c r="DOD23" i="1" s="1"/>
  <c r="DOE23" i="1" s="1"/>
  <c r="DOF23" i="1" s="1"/>
  <c r="DOG23" i="1" s="1"/>
  <c r="DOH23" i="1" s="1"/>
  <c r="DOI23" i="1" s="1"/>
  <c r="DOJ23" i="1" s="1"/>
  <c r="DOK23" i="1" s="1"/>
  <c r="DOL23" i="1" s="1"/>
  <c r="DOM23" i="1" s="1"/>
  <c r="DON23" i="1" s="1"/>
  <c r="DOO23" i="1" s="1"/>
  <c r="DOP23" i="1" s="1"/>
  <c r="DOQ23" i="1" s="1"/>
  <c r="DOR23" i="1" s="1"/>
  <c r="DOS23" i="1" s="1"/>
  <c r="DOT23" i="1" s="1"/>
  <c r="DOU23" i="1" s="1"/>
  <c r="DOV23" i="1" s="1"/>
  <c r="DOW23" i="1" s="1"/>
  <c r="DOX23" i="1" s="1"/>
  <c r="DOY23" i="1" s="1"/>
  <c r="DOZ23" i="1" s="1"/>
  <c r="DPA23" i="1" s="1"/>
  <c r="DPB23" i="1" s="1"/>
  <c r="DPC23" i="1" s="1"/>
  <c r="DPD23" i="1" s="1"/>
  <c r="DPE23" i="1" s="1"/>
  <c r="DPF23" i="1" s="1"/>
  <c r="DPG23" i="1" s="1"/>
  <c r="DPH23" i="1" s="1"/>
  <c r="DPI23" i="1" s="1"/>
  <c r="DPJ23" i="1" s="1"/>
  <c r="DPK23" i="1" s="1"/>
  <c r="DPL23" i="1" s="1"/>
  <c r="DPM23" i="1" s="1"/>
  <c r="DPN23" i="1" s="1"/>
  <c r="DPO23" i="1" s="1"/>
  <c r="DPP23" i="1" s="1"/>
  <c r="DPQ23" i="1" s="1"/>
  <c r="DPR23" i="1" s="1"/>
  <c r="DPS23" i="1" s="1"/>
  <c r="DPT23" i="1" s="1"/>
  <c r="DPU23" i="1" s="1"/>
  <c r="DPV23" i="1" s="1"/>
  <c r="DPW23" i="1" s="1"/>
  <c r="DPX23" i="1" s="1"/>
  <c r="DPY23" i="1" s="1"/>
  <c r="DPZ23" i="1" s="1"/>
  <c r="DQA23" i="1" s="1"/>
  <c r="DQB23" i="1" s="1"/>
  <c r="DQC23" i="1" s="1"/>
  <c r="DQD23" i="1" s="1"/>
  <c r="DQE23" i="1" s="1"/>
  <c r="DQF23" i="1" s="1"/>
  <c r="DQG23" i="1" s="1"/>
  <c r="DQH23" i="1" s="1"/>
  <c r="DQI23" i="1" s="1"/>
  <c r="DQJ23" i="1" s="1"/>
  <c r="DQK23" i="1" s="1"/>
  <c r="DQL23" i="1" s="1"/>
  <c r="DQM23" i="1" s="1"/>
  <c r="DQN23" i="1" s="1"/>
  <c r="DQO23" i="1" s="1"/>
  <c r="DQP23" i="1" s="1"/>
  <c r="DQQ23" i="1" s="1"/>
  <c r="DQR23" i="1" s="1"/>
  <c r="DQS23" i="1" s="1"/>
  <c r="DQT23" i="1" s="1"/>
  <c r="DQU23" i="1" s="1"/>
  <c r="DQV23" i="1" s="1"/>
  <c r="DQW23" i="1" s="1"/>
  <c r="DQX23" i="1" s="1"/>
  <c r="DQY23" i="1" s="1"/>
  <c r="DQZ23" i="1" s="1"/>
  <c r="DRA23" i="1" s="1"/>
  <c r="DRB23" i="1" s="1"/>
  <c r="DRC23" i="1" s="1"/>
  <c r="DRD23" i="1" s="1"/>
  <c r="DRE23" i="1" s="1"/>
  <c r="DRF23" i="1" s="1"/>
  <c r="DRG23" i="1" s="1"/>
  <c r="DRH23" i="1" s="1"/>
  <c r="DRI23" i="1" s="1"/>
  <c r="DRJ23" i="1" s="1"/>
  <c r="DRK23" i="1" s="1"/>
  <c r="DRL23" i="1" s="1"/>
  <c r="DRM23" i="1" s="1"/>
  <c r="DRN23" i="1" s="1"/>
  <c r="DRO23" i="1" s="1"/>
  <c r="DRP23" i="1" s="1"/>
  <c r="DRQ23" i="1" s="1"/>
  <c r="DRR23" i="1" s="1"/>
  <c r="DRS23" i="1" s="1"/>
  <c r="DRT23" i="1" s="1"/>
  <c r="DRU23" i="1" s="1"/>
  <c r="DRV23" i="1" s="1"/>
  <c r="DRW23" i="1" s="1"/>
  <c r="DRX23" i="1" s="1"/>
  <c r="DRY23" i="1" s="1"/>
  <c r="DRZ23" i="1" s="1"/>
  <c r="DSA23" i="1" s="1"/>
  <c r="DSB23" i="1" s="1"/>
  <c r="DSC23" i="1" s="1"/>
  <c r="DSD23" i="1" s="1"/>
  <c r="DSE23" i="1" s="1"/>
  <c r="DSF23" i="1" s="1"/>
  <c r="DSG23" i="1" s="1"/>
  <c r="DSH23" i="1" s="1"/>
  <c r="DSI23" i="1" s="1"/>
  <c r="DSJ23" i="1" s="1"/>
  <c r="DSK23" i="1" s="1"/>
  <c r="DSL23" i="1" s="1"/>
  <c r="DSM23" i="1" s="1"/>
  <c r="DSN23" i="1" s="1"/>
  <c r="DSO23" i="1" s="1"/>
  <c r="DSP23" i="1" s="1"/>
  <c r="DSQ23" i="1" s="1"/>
  <c r="DSR23" i="1" s="1"/>
  <c r="DSS23" i="1" s="1"/>
  <c r="DST23" i="1" s="1"/>
  <c r="DSU23" i="1" s="1"/>
  <c r="DSV23" i="1" s="1"/>
  <c r="DSW23" i="1" s="1"/>
  <c r="DSX23" i="1" s="1"/>
  <c r="DSY23" i="1" s="1"/>
  <c r="DSZ23" i="1" s="1"/>
  <c r="DTA23" i="1" s="1"/>
  <c r="DTB23" i="1" s="1"/>
  <c r="DTC23" i="1" s="1"/>
  <c r="DTD23" i="1" s="1"/>
  <c r="DTE23" i="1" s="1"/>
  <c r="DTF23" i="1" s="1"/>
  <c r="DTG23" i="1" s="1"/>
  <c r="DTH23" i="1" s="1"/>
  <c r="DTI23" i="1" s="1"/>
  <c r="DTJ23" i="1" s="1"/>
  <c r="DTK23" i="1" s="1"/>
  <c r="DTL23" i="1" s="1"/>
  <c r="DTM23" i="1" s="1"/>
  <c r="DTN23" i="1" s="1"/>
  <c r="DTO23" i="1" s="1"/>
  <c r="DTP23" i="1" s="1"/>
  <c r="DTQ23" i="1" s="1"/>
  <c r="DTR23" i="1" s="1"/>
  <c r="DTS23" i="1" s="1"/>
  <c r="DTT23" i="1" s="1"/>
  <c r="DTU23" i="1" s="1"/>
  <c r="DTV23" i="1" s="1"/>
  <c r="DTW23" i="1" s="1"/>
  <c r="DTX23" i="1" s="1"/>
  <c r="DTY23" i="1" s="1"/>
  <c r="DTZ23" i="1" s="1"/>
  <c r="DUA23" i="1" s="1"/>
  <c r="DUB23" i="1" s="1"/>
  <c r="DUC23" i="1" s="1"/>
  <c r="DUD23" i="1" s="1"/>
  <c r="DUE23" i="1" s="1"/>
  <c r="DUF23" i="1" s="1"/>
  <c r="DUG23" i="1" s="1"/>
  <c r="DUH23" i="1" s="1"/>
  <c r="DUI23" i="1" s="1"/>
  <c r="DUJ23" i="1" s="1"/>
  <c r="DUK23" i="1" s="1"/>
  <c r="DUL23" i="1" s="1"/>
  <c r="DUM23" i="1" s="1"/>
  <c r="DUN23" i="1" s="1"/>
  <c r="DUO23" i="1" s="1"/>
  <c r="DUP23" i="1" s="1"/>
  <c r="DUQ23" i="1" s="1"/>
  <c r="DUR23" i="1" s="1"/>
  <c r="DUS23" i="1" s="1"/>
  <c r="DUT23" i="1" s="1"/>
  <c r="DUU23" i="1" s="1"/>
  <c r="DUV23" i="1" s="1"/>
  <c r="DUW23" i="1" s="1"/>
  <c r="DUX23" i="1" s="1"/>
  <c r="DUY23" i="1" s="1"/>
  <c r="DUZ23" i="1" s="1"/>
  <c r="DVA23" i="1" s="1"/>
  <c r="DVB23" i="1" s="1"/>
  <c r="DVC23" i="1" s="1"/>
  <c r="DVD23" i="1" s="1"/>
  <c r="DVE23" i="1" s="1"/>
  <c r="DVF23" i="1" s="1"/>
  <c r="DVG23" i="1" s="1"/>
  <c r="DVH23" i="1" s="1"/>
  <c r="DVI23" i="1" s="1"/>
  <c r="DVJ23" i="1" s="1"/>
  <c r="DVK23" i="1" s="1"/>
  <c r="DVL23" i="1" s="1"/>
  <c r="DVM23" i="1" s="1"/>
  <c r="DVN23" i="1" s="1"/>
  <c r="DVO23" i="1" s="1"/>
  <c r="DVP23" i="1" s="1"/>
  <c r="DVQ23" i="1" s="1"/>
  <c r="DVR23" i="1" s="1"/>
  <c r="DVS23" i="1" s="1"/>
  <c r="DVT23" i="1" s="1"/>
  <c r="DVU23" i="1" s="1"/>
  <c r="DVV23" i="1" s="1"/>
  <c r="DVW23" i="1" s="1"/>
  <c r="DVX23" i="1" s="1"/>
  <c r="DVY23" i="1" s="1"/>
  <c r="DVZ23" i="1" s="1"/>
  <c r="DWA23" i="1" s="1"/>
  <c r="DWB23" i="1" s="1"/>
  <c r="DWC23" i="1" s="1"/>
  <c r="DWD23" i="1" s="1"/>
  <c r="DWE23" i="1" s="1"/>
  <c r="DWF23" i="1" s="1"/>
  <c r="DWG23" i="1" s="1"/>
  <c r="DWH23" i="1" s="1"/>
  <c r="DWI23" i="1" s="1"/>
  <c r="DWJ23" i="1" s="1"/>
  <c r="DWK23" i="1" s="1"/>
  <c r="DWL23" i="1" s="1"/>
  <c r="DWM23" i="1" s="1"/>
  <c r="DWN23" i="1" s="1"/>
  <c r="DWO23" i="1" s="1"/>
  <c r="DWP23" i="1" s="1"/>
  <c r="DWQ23" i="1" s="1"/>
  <c r="DWR23" i="1" s="1"/>
  <c r="DWS23" i="1" s="1"/>
  <c r="DWT23" i="1" s="1"/>
  <c r="DWU23" i="1" s="1"/>
  <c r="DWV23" i="1" s="1"/>
  <c r="DWW23" i="1" s="1"/>
  <c r="DWX23" i="1" s="1"/>
  <c r="DWY23" i="1" s="1"/>
  <c r="DWZ23" i="1" s="1"/>
  <c r="DXA23" i="1" s="1"/>
  <c r="DXB23" i="1" s="1"/>
  <c r="DXC23" i="1" s="1"/>
  <c r="DXD23" i="1" s="1"/>
  <c r="DXE23" i="1" s="1"/>
  <c r="DXF23" i="1" s="1"/>
  <c r="DXG23" i="1" s="1"/>
  <c r="DXH23" i="1" s="1"/>
  <c r="DXI23" i="1" s="1"/>
  <c r="DXJ23" i="1" s="1"/>
  <c r="DXK23" i="1" s="1"/>
  <c r="DXL23" i="1" s="1"/>
  <c r="DXM23" i="1" s="1"/>
  <c r="DXN23" i="1" s="1"/>
  <c r="DXO23" i="1" s="1"/>
  <c r="DXP23" i="1" s="1"/>
  <c r="DXQ23" i="1" s="1"/>
  <c r="DXR23" i="1" s="1"/>
  <c r="DXS23" i="1" s="1"/>
  <c r="DXT23" i="1" s="1"/>
  <c r="DXU23" i="1" s="1"/>
  <c r="DXV23" i="1" s="1"/>
  <c r="DXW23" i="1" s="1"/>
  <c r="DXX23" i="1" s="1"/>
  <c r="DXY23" i="1" s="1"/>
  <c r="DXZ23" i="1" s="1"/>
  <c r="DYA23" i="1" s="1"/>
  <c r="DYB23" i="1" s="1"/>
  <c r="DYC23" i="1" s="1"/>
  <c r="DYD23" i="1" s="1"/>
  <c r="DYE23" i="1" s="1"/>
  <c r="DYF23" i="1" s="1"/>
  <c r="DYG23" i="1" s="1"/>
  <c r="DYH23" i="1" s="1"/>
  <c r="DYI23" i="1" s="1"/>
  <c r="DYJ23" i="1" s="1"/>
  <c r="DYK23" i="1" s="1"/>
  <c r="DYL23" i="1" s="1"/>
  <c r="DYM23" i="1" s="1"/>
  <c r="DYN23" i="1" s="1"/>
  <c r="DYO23" i="1" s="1"/>
  <c r="DYP23" i="1" s="1"/>
  <c r="DYQ23" i="1" s="1"/>
  <c r="DYR23" i="1" s="1"/>
  <c r="DYS23" i="1" s="1"/>
  <c r="DYT23" i="1" s="1"/>
  <c r="DYU23" i="1" s="1"/>
  <c r="DYV23" i="1" s="1"/>
  <c r="DYW23" i="1" s="1"/>
  <c r="DYX23" i="1" s="1"/>
  <c r="DYY23" i="1" s="1"/>
  <c r="DYZ23" i="1" s="1"/>
  <c r="DZA23" i="1" s="1"/>
  <c r="DZB23" i="1" s="1"/>
  <c r="DZC23" i="1" s="1"/>
  <c r="DZD23" i="1" s="1"/>
  <c r="DZE23" i="1" s="1"/>
  <c r="DZF23" i="1" s="1"/>
  <c r="DZG23" i="1" s="1"/>
  <c r="DZH23" i="1" s="1"/>
  <c r="DZI23" i="1" s="1"/>
  <c r="DZJ23" i="1" s="1"/>
  <c r="DZK23" i="1" s="1"/>
  <c r="DZL23" i="1" s="1"/>
  <c r="DZM23" i="1" s="1"/>
  <c r="DZN23" i="1" s="1"/>
  <c r="DZO23" i="1" s="1"/>
  <c r="DZP23" i="1" s="1"/>
  <c r="DZQ23" i="1" s="1"/>
  <c r="DZR23" i="1" s="1"/>
  <c r="DZS23" i="1" s="1"/>
  <c r="DZT23" i="1" s="1"/>
  <c r="DZU23" i="1" s="1"/>
  <c r="DZV23" i="1" s="1"/>
  <c r="DZW23" i="1" s="1"/>
  <c r="DZX23" i="1" s="1"/>
  <c r="DZY23" i="1" s="1"/>
  <c r="DZZ23" i="1" s="1"/>
  <c r="EAA23" i="1" s="1"/>
  <c r="EAB23" i="1" s="1"/>
  <c r="EAC23" i="1" s="1"/>
  <c r="EAD23" i="1" s="1"/>
  <c r="EAE23" i="1" s="1"/>
  <c r="EAF23" i="1" s="1"/>
  <c r="EAG23" i="1" s="1"/>
  <c r="EAH23" i="1" s="1"/>
  <c r="EAI23" i="1" s="1"/>
  <c r="EAJ23" i="1" s="1"/>
  <c r="EAK23" i="1" s="1"/>
  <c r="EAL23" i="1" s="1"/>
  <c r="EAM23" i="1" s="1"/>
  <c r="EAN23" i="1" s="1"/>
  <c r="EAO23" i="1" s="1"/>
  <c r="EAP23" i="1" s="1"/>
  <c r="EAQ23" i="1" s="1"/>
  <c r="EAR23" i="1" s="1"/>
  <c r="EAS23" i="1" s="1"/>
  <c r="EAT23" i="1" s="1"/>
  <c r="EAU23" i="1" s="1"/>
  <c r="EAV23" i="1" s="1"/>
  <c r="EAW23" i="1" s="1"/>
  <c r="EAX23" i="1" s="1"/>
  <c r="EAY23" i="1" s="1"/>
  <c r="EAZ23" i="1" s="1"/>
  <c r="EBA23" i="1" s="1"/>
  <c r="EBB23" i="1" s="1"/>
  <c r="EBC23" i="1" s="1"/>
  <c r="EBD23" i="1" s="1"/>
  <c r="EBE23" i="1" s="1"/>
  <c r="EBF23" i="1" s="1"/>
  <c r="EBG23" i="1" s="1"/>
  <c r="EBH23" i="1" s="1"/>
  <c r="EBI23" i="1" s="1"/>
  <c r="EBJ23" i="1" s="1"/>
  <c r="EBK23" i="1" s="1"/>
  <c r="EBL23" i="1" s="1"/>
  <c r="EBM23" i="1" s="1"/>
  <c r="EBN23" i="1" s="1"/>
  <c r="EBO23" i="1" s="1"/>
  <c r="EBP23" i="1" s="1"/>
  <c r="EBQ23" i="1" s="1"/>
  <c r="EBR23" i="1" s="1"/>
  <c r="EBS23" i="1" s="1"/>
  <c r="EBT23" i="1" s="1"/>
  <c r="EBU23" i="1" s="1"/>
  <c r="EBV23" i="1" s="1"/>
  <c r="EBW23" i="1" s="1"/>
  <c r="EBX23" i="1" s="1"/>
  <c r="EBY23" i="1" s="1"/>
  <c r="EBZ23" i="1" s="1"/>
  <c r="ECA23" i="1" s="1"/>
  <c r="ECB23" i="1" s="1"/>
  <c r="ECC23" i="1" s="1"/>
  <c r="ECD23" i="1" s="1"/>
  <c r="ECE23" i="1" s="1"/>
  <c r="ECF23" i="1" s="1"/>
  <c r="ECG23" i="1" s="1"/>
  <c r="ECH23" i="1" s="1"/>
  <c r="ECI23" i="1" s="1"/>
  <c r="ECJ23" i="1" s="1"/>
  <c r="ECK23" i="1" s="1"/>
  <c r="ECL23" i="1" s="1"/>
  <c r="ECM23" i="1" s="1"/>
  <c r="ECN23" i="1" s="1"/>
  <c r="ECO23" i="1" s="1"/>
  <c r="ECP23" i="1" s="1"/>
  <c r="ECQ23" i="1" s="1"/>
  <c r="ECR23" i="1" s="1"/>
  <c r="ECS23" i="1" s="1"/>
  <c r="ECT23" i="1" s="1"/>
  <c r="ECU23" i="1" s="1"/>
  <c r="ECV23" i="1" s="1"/>
  <c r="ECW23" i="1" s="1"/>
  <c r="ECX23" i="1" s="1"/>
  <c r="ECY23" i="1" s="1"/>
  <c r="ECZ23" i="1" s="1"/>
  <c r="EDA23" i="1" s="1"/>
  <c r="EDB23" i="1" s="1"/>
  <c r="EDC23" i="1" s="1"/>
  <c r="EDD23" i="1" s="1"/>
  <c r="EDE23" i="1" s="1"/>
  <c r="EDF23" i="1" s="1"/>
  <c r="EDG23" i="1" s="1"/>
  <c r="EDH23" i="1" s="1"/>
  <c r="EDI23" i="1" s="1"/>
  <c r="EDJ23" i="1" s="1"/>
  <c r="EDK23" i="1" s="1"/>
  <c r="EDL23" i="1" s="1"/>
  <c r="EDM23" i="1" s="1"/>
  <c r="EDN23" i="1" s="1"/>
  <c r="EDO23" i="1" s="1"/>
  <c r="EDP23" i="1" s="1"/>
  <c r="EDQ23" i="1" s="1"/>
  <c r="EDR23" i="1" s="1"/>
  <c r="EDS23" i="1" s="1"/>
  <c r="EDT23" i="1" s="1"/>
  <c r="EDU23" i="1" s="1"/>
  <c r="EDV23" i="1" s="1"/>
  <c r="EDW23" i="1" s="1"/>
  <c r="EDX23" i="1" s="1"/>
  <c r="EDY23" i="1" s="1"/>
  <c r="EDZ23" i="1" s="1"/>
  <c r="EEA23" i="1" s="1"/>
  <c r="EEB23" i="1" s="1"/>
  <c r="EEC23" i="1" s="1"/>
  <c r="EED23" i="1" s="1"/>
  <c r="EEE23" i="1" s="1"/>
  <c r="EEF23" i="1" s="1"/>
  <c r="EEG23" i="1" s="1"/>
  <c r="EEH23" i="1" s="1"/>
  <c r="EEI23" i="1" s="1"/>
  <c r="EEJ23" i="1" s="1"/>
  <c r="EEK23" i="1" s="1"/>
  <c r="EEL23" i="1" s="1"/>
  <c r="EEM23" i="1" s="1"/>
  <c r="EEN23" i="1" s="1"/>
  <c r="EEO23" i="1" s="1"/>
  <c r="EEP23" i="1" s="1"/>
  <c r="EEQ23" i="1" s="1"/>
  <c r="EER23" i="1" s="1"/>
  <c r="EES23" i="1" s="1"/>
  <c r="EET23" i="1" s="1"/>
  <c r="EEU23" i="1" s="1"/>
  <c r="EEV23" i="1" s="1"/>
  <c r="EEW23" i="1" s="1"/>
  <c r="EEX23" i="1" s="1"/>
  <c r="EEY23" i="1" s="1"/>
  <c r="EEZ23" i="1" s="1"/>
  <c r="EFA23" i="1" s="1"/>
  <c r="EFB23" i="1" s="1"/>
  <c r="EFC23" i="1" s="1"/>
  <c r="EFD23" i="1" s="1"/>
  <c r="EFE23" i="1" s="1"/>
  <c r="EFF23" i="1" s="1"/>
  <c r="EFG23" i="1" s="1"/>
  <c r="EFH23" i="1" s="1"/>
  <c r="EFI23" i="1" s="1"/>
  <c r="EFJ23" i="1" s="1"/>
  <c r="EFK23" i="1" s="1"/>
  <c r="EFL23" i="1" s="1"/>
  <c r="EFM23" i="1" s="1"/>
  <c r="EFN23" i="1" s="1"/>
  <c r="EFO23" i="1" s="1"/>
  <c r="EFP23" i="1" s="1"/>
  <c r="EFQ23" i="1" s="1"/>
  <c r="EFR23" i="1" s="1"/>
  <c r="EFS23" i="1" s="1"/>
  <c r="EFT23" i="1" s="1"/>
  <c r="EFU23" i="1" s="1"/>
  <c r="EFV23" i="1" s="1"/>
  <c r="EFW23" i="1" s="1"/>
  <c r="EFX23" i="1" s="1"/>
  <c r="EFY23" i="1" s="1"/>
  <c r="EFZ23" i="1" s="1"/>
  <c r="EGA23" i="1" s="1"/>
  <c r="EGB23" i="1" s="1"/>
  <c r="EGC23" i="1" s="1"/>
  <c r="EGD23" i="1" s="1"/>
  <c r="EGE23" i="1" s="1"/>
  <c r="EGF23" i="1" s="1"/>
  <c r="EGG23" i="1" s="1"/>
  <c r="EGH23" i="1" s="1"/>
  <c r="EGI23" i="1" s="1"/>
  <c r="EGJ23" i="1" s="1"/>
  <c r="EGK23" i="1" s="1"/>
  <c r="EGL23" i="1" s="1"/>
  <c r="EGM23" i="1" s="1"/>
  <c r="EGN23" i="1" s="1"/>
  <c r="EGO23" i="1" s="1"/>
  <c r="EGP23" i="1" s="1"/>
  <c r="EGQ23" i="1" s="1"/>
  <c r="EGR23" i="1" s="1"/>
  <c r="EGS23" i="1" s="1"/>
  <c r="EGT23" i="1" s="1"/>
  <c r="EGU23" i="1" s="1"/>
  <c r="EGV23" i="1" s="1"/>
  <c r="EGW23" i="1" s="1"/>
  <c r="EGX23" i="1" s="1"/>
  <c r="EGY23" i="1" s="1"/>
  <c r="EGZ23" i="1" s="1"/>
  <c r="EHA23" i="1" s="1"/>
  <c r="EHB23" i="1" s="1"/>
  <c r="EHC23" i="1" s="1"/>
  <c r="EHD23" i="1" s="1"/>
  <c r="EHE23" i="1" s="1"/>
  <c r="EHF23" i="1" s="1"/>
  <c r="EHG23" i="1" s="1"/>
  <c r="EHH23" i="1" s="1"/>
  <c r="EHI23" i="1" s="1"/>
  <c r="EHJ23" i="1" s="1"/>
  <c r="EHK23" i="1" s="1"/>
  <c r="EHL23" i="1" s="1"/>
  <c r="EHM23" i="1" s="1"/>
  <c r="EHN23" i="1" s="1"/>
  <c r="EHO23" i="1" s="1"/>
  <c r="EHP23" i="1" s="1"/>
  <c r="EHQ23" i="1" s="1"/>
  <c r="EHR23" i="1" s="1"/>
  <c r="EHS23" i="1" s="1"/>
  <c r="EHT23" i="1" s="1"/>
  <c r="EHU23" i="1" s="1"/>
  <c r="EHV23" i="1" s="1"/>
  <c r="EHW23" i="1" s="1"/>
  <c r="EHX23" i="1" s="1"/>
  <c r="EHY23" i="1" s="1"/>
  <c r="EHZ23" i="1" s="1"/>
  <c r="EIA23" i="1" s="1"/>
  <c r="EIB23" i="1" s="1"/>
  <c r="EIC23" i="1" s="1"/>
  <c r="EID23" i="1" s="1"/>
  <c r="EIE23" i="1" s="1"/>
  <c r="EIF23" i="1" s="1"/>
  <c r="EIG23" i="1" s="1"/>
  <c r="EIH23" i="1" s="1"/>
  <c r="EII23" i="1" s="1"/>
  <c r="EIJ23" i="1" s="1"/>
  <c r="EIK23" i="1" s="1"/>
  <c r="EIL23" i="1" s="1"/>
  <c r="EIM23" i="1" s="1"/>
  <c r="EIN23" i="1" s="1"/>
  <c r="EIO23" i="1" s="1"/>
  <c r="EIP23" i="1" s="1"/>
  <c r="EIQ23" i="1" s="1"/>
  <c r="EIR23" i="1" s="1"/>
  <c r="EIS23" i="1" s="1"/>
  <c r="EIT23" i="1" s="1"/>
  <c r="EIU23" i="1" s="1"/>
  <c r="EIV23" i="1" s="1"/>
  <c r="EIW23" i="1" s="1"/>
  <c r="EIX23" i="1" s="1"/>
  <c r="EIY23" i="1" s="1"/>
  <c r="EIZ23" i="1" s="1"/>
  <c r="EJA23" i="1" s="1"/>
  <c r="EJB23" i="1" s="1"/>
  <c r="EJC23" i="1" s="1"/>
  <c r="EJD23" i="1" s="1"/>
  <c r="EJE23" i="1" s="1"/>
  <c r="EJF23" i="1" s="1"/>
  <c r="EJG23" i="1" s="1"/>
  <c r="EJH23" i="1" s="1"/>
  <c r="EJI23" i="1" s="1"/>
  <c r="EJJ23" i="1" s="1"/>
  <c r="EJK23" i="1" s="1"/>
  <c r="EJL23" i="1" s="1"/>
  <c r="EJM23" i="1" s="1"/>
  <c r="EJN23" i="1" s="1"/>
  <c r="EJO23" i="1" s="1"/>
  <c r="EJP23" i="1" s="1"/>
  <c r="EJQ23" i="1" s="1"/>
  <c r="EJR23" i="1" s="1"/>
  <c r="EJS23" i="1" s="1"/>
  <c r="EJT23" i="1" s="1"/>
  <c r="EJU23" i="1" s="1"/>
  <c r="EJV23" i="1" s="1"/>
  <c r="EJW23" i="1" s="1"/>
  <c r="EJX23" i="1" s="1"/>
  <c r="EJY23" i="1" s="1"/>
  <c r="EJZ23" i="1" s="1"/>
  <c r="EKA23" i="1" s="1"/>
  <c r="EKB23" i="1" s="1"/>
  <c r="EKC23" i="1" s="1"/>
  <c r="EKD23" i="1" s="1"/>
  <c r="EKE23" i="1" s="1"/>
  <c r="EKF23" i="1" s="1"/>
  <c r="EKG23" i="1" s="1"/>
  <c r="EKH23" i="1" s="1"/>
  <c r="EKI23" i="1" s="1"/>
  <c r="EKJ23" i="1" s="1"/>
  <c r="EKK23" i="1" s="1"/>
  <c r="EKL23" i="1" s="1"/>
  <c r="EKM23" i="1" s="1"/>
  <c r="EKN23" i="1" s="1"/>
  <c r="EKO23" i="1" s="1"/>
  <c r="EKP23" i="1" s="1"/>
  <c r="EKQ23" i="1" s="1"/>
  <c r="EKR23" i="1" s="1"/>
  <c r="EKS23" i="1" s="1"/>
  <c r="EKT23" i="1" s="1"/>
  <c r="EKU23" i="1" s="1"/>
  <c r="EKV23" i="1" s="1"/>
  <c r="EKW23" i="1" s="1"/>
  <c r="EKX23" i="1" s="1"/>
  <c r="EKY23" i="1" s="1"/>
  <c r="EKZ23" i="1" s="1"/>
  <c r="ELA23" i="1" s="1"/>
  <c r="ELB23" i="1" s="1"/>
  <c r="ELC23" i="1" s="1"/>
  <c r="ELD23" i="1" s="1"/>
  <c r="ELE23" i="1" s="1"/>
  <c r="ELF23" i="1" s="1"/>
  <c r="ELG23" i="1" s="1"/>
  <c r="ELH23" i="1" s="1"/>
  <c r="ELI23" i="1" s="1"/>
  <c r="ELJ23" i="1" s="1"/>
  <c r="ELK23" i="1" s="1"/>
  <c r="ELL23" i="1" s="1"/>
  <c r="ELM23" i="1" s="1"/>
  <c r="ELN23" i="1" s="1"/>
  <c r="ELO23" i="1" s="1"/>
  <c r="ELP23" i="1" s="1"/>
  <c r="ELQ23" i="1" s="1"/>
  <c r="ELR23" i="1" s="1"/>
  <c r="ELS23" i="1" s="1"/>
  <c r="ELT23" i="1" s="1"/>
  <c r="ELU23" i="1" s="1"/>
  <c r="ELV23" i="1" s="1"/>
  <c r="ELW23" i="1" s="1"/>
  <c r="ELX23" i="1" s="1"/>
  <c r="ELY23" i="1" s="1"/>
  <c r="ELZ23" i="1" s="1"/>
  <c r="EMA23" i="1" s="1"/>
  <c r="EMB23" i="1" s="1"/>
  <c r="EMC23" i="1" s="1"/>
  <c r="EMD23" i="1" s="1"/>
  <c r="EME23" i="1" s="1"/>
  <c r="EMF23" i="1" s="1"/>
  <c r="EMG23" i="1" s="1"/>
  <c r="EMH23" i="1" s="1"/>
  <c r="EMI23" i="1" s="1"/>
  <c r="EMJ23" i="1" s="1"/>
  <c r="EMK23" i="1" s="1"/>
  <c r="EML23" i="1" s="1"/>
  <c r="EMM23" i="1" s="1"/>
  <c r="EMN23" i="1" s="1"/>
  <c r="EMO23" i="1" s="1"/>
  <c r="EMP23" i="1" s="1"/>
  <c r="EMQ23" i="1" s="1"/>
  <c r="EMR23" i="1" s="1"/>
  <c r="EMS23" i="1" s="1"/>
  <c r="EMT23" i="1" s="1"/>
  <c r="EMU23" i="1" s="1"/>
  <c r="EMV23" i="1" s="1"/>
  <c r="EMW23" i="1" s="1"/>
  <c r="EMX23" i="1" s="1"/>
  <c r="EMY23" i="1" s="1"/>
  <c r="EMZ23" i="1" s="1"/>
  <c r="ENA23" i="1" s="1"/>
  <c r="ENB23" i="1" s="1"/>
  <c r="ENC23" i="1" s="1"/>
  <c r="END23" i="1" s="1"/>
  <c r="ENE23" i="1" s="1"/>
  <c r="ENF23" i="1" s="1"/>
  <c r="ENG23" i="1" s="1"/>
  <c r="ENH23" i="1" s="1"/>
  <c r="ENI23" i="1" s="1"/>
  <c r="ENJ23" i="1" s="1"/>
  <c r="ENK23" i="1" s="1"/>
  <c r="ENL23" i="1" s="1"/>
  <c r="ENM23" i="1" s="1"/>
  <c r="ENN23" i="1" s="1"/>
  <c r="ENO23" i="1" s="1"/>
  <c r="ENP23" i="1" s="1"/>
  <c r="ENQ23" i="1" s="1"/>
  <c r="ENR23" i="1" s="1"/>
  <c r="ENS23" i="1" s="1"/>
  <c r="ENT23" i="1" s="1"/>
  <c r="ENU23" i="1" s="1"/>
  <c r="ENV23" i="1" s="1"/>
  <c r="ENW23" i="1" s="1"/>
  <c r="ENX23" i="1" s="1"/>
  <c r="ENY23" i="1" s="1"/>
  <c r="ENZ23" i="1" s="1"/>
  <c r="EOA23" i="1" s="1"/>
  <c r="EOB23" i="1" s="1"/>
  <c r="EOC23" i="1" s="1"/>
  <c r="EOD23" i="1" s="1"/>
  <c r="EOE23" i="1" s="1"/>
  <c r="EOF23" i="1" s="1"/>
  <c r="EOG23" i="1" s="1"/>
  <c r="EOH23" i="1" s="1"/>
  <c r="EOI23" i="1" s="1"/>
  <c r="EOJ23" i="1" s="1"/>
  <c r="EOK23" i="1" s="1"/>
  <c r="EOL23" i="1" s="1"/>
  <c r="EOM23" i="1" s="1"/>
  <c r="EON23" i="1" s="1"/>
  <c r="EOO23" i="1" s="1"/>
  <c r="EOP23" i="1" s="1"/>
  <c r="EOQ23" i="1" s="1"/>
  <c r="EOR23" i="1" s="1"/>
  <c r="EOS23" i="1" s="1"/>
  <c r="EOT23" i="1" s="1"/>
  <c r="EOU23" i="1" s="1"/>
  <c r="EOV23" i="1" s="1"/>
  <c r="EOW23" i="1" s="1"/>
  <c r="EOX23" i="1" s="1"/>
  <c r="EOY23" i="1" s="1"/>
  <c r="EOZ23" i="1" s="1"/>
  <c r="EPA23" i="1" s="1"/>
  <c r="EPB23" i="1" s="1"/>
  <c r="EPC23" i="1" s="1"/>
  <c r="EPD23" i="1" s="1"/>
  <c r="EPE23" i="1" s="1"/>
  <c r="EPF23" i="1" s="1"/>
  <c r="EPG23" i="1" s="1"/>
  <c r="EPH23" i="1" s="1"/>
  <c r="EPI23" i="1" s="1"/>
  <c r="EPJ23" i="1" s="1"/>
  <c r="EPK23" i="1" s="1"/>
  <c r="EPL23" i="1" s="1"/>
  <c r="EPM23" i="1" s="1"/>
  <c r="EPN23" i="1" s="1"/>
  <c r="EPO23" i="1" s="1"/>
  <c r="EPP23" i="1" s="1"/>
  <c r="EPQ23" i="1" s="1"/>
  <c r="EPR23" i="1" s="1"/>
  <c r="EPS23" i="1" s="1"/>
  <c r="EPT23" i="1" s="1"/>
  <c r="EPU23" i="1" s="1"/>
  <c r="EPV23" i="1" s="1"/>
  <c r="EPW23" i="1" s="1"/>
  <c r="EPX23" i="1" s="1"/>
  <c r="EPY23" i="1" s="1"/>
  <c r="EPZ23" i="1" s="1"/>
  <c r="EQA23" i="1" s="1"/>
  <c r="EQB23" i="1" s="1"/>
  <c r="EQC23" i="1" s="1"/>
  <c r="EQD23" i="1" s="1"/>
  <c r="EQE23" i="1" s="1"/>
  <c r="EQF23" i="1" s="1"/>
  <c r="EQG23" i="1" s="1"/>
  <c r="EQH23" i="1" s="1"/>
  <c r="EQI23" i="1" s="1"/>
  <c r="EQJ23" i="1" s="1"/>
  <c r="EQK23" i="1" s="1"/>
  <c r="EQL23" i="1" s="1"/>
  <c r="EQM23" i="1" s="1"/>
  <c r="EQN23" i="1" s="1"/>
  <c r="EQO23" i="1" s="1"/>
  <c r="EQP23" i="1" s="1"/>
  <c r="EQQ23" i="1" s="1"/>
  <c r="EQR23" i="1" s="1"/>
  <c r="EQS23" i="1" s="1"/>
  <c r="EQT23" i="1" s="1"/>
  <c r="EQU23" i="1" s="1"/>
  <c r="EQV23" i="1" s="1"/>
  <c r="EQW23" i="1" s="1"/>
  <c r="EQX23" i="1" s="1"/>
  <c r="EQY23" i="1" s="1"/>
  <c r="EQZ23" i="1" s="1"/>
  <c r="ERA23" i="1" s="1"/>
  <c r="ERB23" i="1" s="1"/>
  <c r="ERC23" i="1" s="1"/>
  <c r="ERD23" i="1" s="1"/>
  <c r="ERE23" i="1" s="1"/>
  <c r="ERF23" i="1" s="1"/>
  <c r="ERG23" i="1" s="1"/>
  <c r="ERH23" i="1" s="1"/>
  <c r="ERI23" i="1" s="1"/>
  <c r="ERJ23" i="1" s="1"/>
  <c r="ERK23" i="1" s="1"/>
  <c r="ERL23" i="1" s="1"/>
  <c r="ERM23" i="1" s="1"/>
  <c r="ERN23" i="1" s="1"/>
  <c r="ERO23" i="1" s="1"/>
  <c r="ERP23" i="1" s="1"/>
  <c r="ERQ23" i="1" s="1"/>
  <c r="ERR23" i="1" s="1"/>
  <c r="ERS23" i="1" s="1"/>
  <c r="ERT23" i="1" s="1"/>
  <c r="ERU23" i="1" s="1"/>
  <c r="ERV23" i="1" s="1"/>
  <c r="ERW23" i="1" s="1"/>
  <c r="ERX23" i="1" s="1"/>
  <c r="ERY23" i="1" s="1"/>
  <c r="ERZ23" i="1" s="1"/>
  <c r="ESA23" i="1" s="1"/>
  <c r="ESB23" i="1" s="1"/>
  <c r="ESC23" i="1" s="1"/>
  <c r="ESD23" i="1" s="1"/>
  <c r="ESE23" i="1" s="1"/>
  <c r="ESF23" i="1" s="1"/>
  <c r="ESG23" i="1" s="1"/>
  <c r="ESH23" i="1" s="1"/>
  <c r="ESI23" i="1" s="1"/>
  <c r="ESJ23" i="1" s="1"/>
  <c r="ESK23" i="1" s="1"/>
  <c r="ESL23" i="1" s="1"/>
  <c r="ESM23" i="1" s="1"/>
  <c r="ESN23" i="1" s="1"/>
  <c r="ESO23" i="1" s="1"/>
  <c r="ESP23" i="1" s="1"/>
  <c r="ESQ23" i="1" s="1"/>
  <c r="ESR23" i="1" s="1"/>
  <c r="ESS23" i="1" s="1"/>
  <c r="EST23" i="1" s="1"/>
  <c r="ESU23" i="1" s="1"/>
  <c r="ESV23" i="1" s="1"/>
  <c r="ESW23" i="1" s="1"/>
  <c r="ESX23" i="1" s="1"/>
  <c r="ESY23" i="1" s="1"/>
  <c r="ESZ23" i="1" s="1"/>
  <c r="ETA23" i="1" s="1"/>
  <c r="ETB23" i="1" s="1"/>
  <c r="ETC23" i="1" s="1"/>
  <c r="ETD23" i="1" s="1"/>
  <c r="ETE23" i="1" s="1"/>
  <c r="ETF23" i="1" s="1"/>
  <c r="ETG23" i="1" s="1"/>
  <c r="ETH23" i="1" s="1"/>
  <c r="ETI23" i="1" s="1"/>
  <c r="ETJ23" i="1" s="1"/>
  <c r="ETK23" i="1" s="1"/>
  <c r="ETL23" i="1" s="1"/>
  <c r="ETM23" i="1" s="1"/>
  <c r="ETN23" i="1" s="1"/>
  <c r="ETO23" i="1" s="1"/>
  <c r="ETP23" i="1" s="1"/>
  <c r="ETQ23" i="1" s="1"/>
  <c r="ETR23" i="1" s="1"/>
  <c r="ETS23" i="1" s="1"/>
  <c r="ETT23" i="1" s="1"/>
  <c r="ETU23" i="1" s="1"/>
  <c r="ETV23" i="1" s="1"/>
  <c r="ETW23" i="1" s="1"/>
  <c r="ETX23" i="1" s="1"/>
  <c r="ETY23" i="1" s="1"/>
  <c r="ETZ23" i="1" s="1"/>
  <c r="EUA23" i="1" s="1"/>
  <c r="EUB23" i="1" s="1"/>
  <c r="EUC23" i="1" s="1"/>
  <c r="EUD23" i="1" s="1"/>
  <c r="EUE23" i="1" s="1"/>
  <c r="EUF23" i="1" s="1"/>
  <c r="EUG23" i="1" s="1"/>
  <c r="EUH23" i="1" s="1"/>
  <c r="EUI23" i="1" s="1"/>
  <c r="EUJ23" i="1" s="1"/>
  <c r="EUK23" i="1" s="1"/>
  <c r="EUL23" i="1" s="1"/>
  <c r="EUM23" i="1" s="1"/>
  <c r="EUN23" i="1" s="1"/>
  <c r="EUO23" i="1" s="1"/>
  <c r="EUP23" i="1" s="1"/>
  <c r="EUQ23" i="1" s="1"/>
  <c r="EUR23" i="1" s="1"/>
  <c r="EUS23" i="1" s="1"/>
  <c r="EUT23" i="1" s="1"/>
  <c r="EUU23" i="1" s="1"/>
  <c r="EUV23" i="1" s="1"/>
  <c r="EUW23" i="1" s="1"/>
  <c r="EUX23" i="1" s="1"/>
  <c r="EUY23" i="1" s="1"/>
  <c r="EUZ23" i="1" s="1"/>
  <c r="EVA23" i="1" s="1"/>
  <c r="EVB23" i="1" s="1"/>
  <c r="EVC23" i="1" s="1"/>
  <c r="EVD23" i="1" s="1"/>
  <c r="EVE23" i="1" s="1"/>
  <c r="EVF23" i="1" s="1"/>
  <c r="EVG23" i="1" s="1"/>
  <c r="EVH23" i="1" s="1"/>
  <c r="EVI23" i="1" s="1"/>
  <c r="EVJ23" i="1" s="1"/>
  <c r="EVK23" i="1" s="1"/>
  <c r="EVL23" i="1" s="1"/>
  <c r="EVM23" i="1" s="1"/>
  <c r="EVN23" i="1" s="1"/>
  <c r="EVO23" i="1" s="1"/>
  <c r="EVP23" i="1" s="1"/>
  <c r="EVQ23" i="1" s="1"/>
  <c r="EVR23" i="1" s="1"/>
  <c r="EVS23" i="1" s="1"/>
  <c r="EVT23" i="1" s="1"/>
  <c r="EVU23" i="1" s="1"/>
  <c r="EVV23" i="1" s="1"/>
  <c r="EVW23" i="1" s="1"/>
  <c r="EVX23" i="1" s="1"/>
  <c r="EVY23" i="1" s="1"/>
  <c r="EVZ23" i="1" s="1"/>
  <c r="EWA23" i="1" s="1"/>
  <c r="EWB23" i="1" s="1"/>
  <c r="EWC23" i="1" s="1"/>
  <c r="EWD23" i="1" s="1"/>
  <c r="EWE23" i="1" s="1"/>
  <c r="EWF23" i="1" s="1"/>
  <c r="EWG23" i="1" s="1"/>
  <c r="EWH23" i="1" s="1"/>
  <c r="EWI23" i="1" s="1"/>
  <c r="EWJ23" i="1" s="1"/>
  <c r="EWK23" i="1" s="1"/>
  <c r="EWL23" i="1" s="1"/>
  <c r="EWM23" i="1" s="1"/>
  <c r="EWN23" i="1" s="1"/>
  <c r="EWO23" i="1" s="1"/>
  <c r="EWP23" i="1" s="1"/>
  <c r="EWQ23" i="1" s="1"/>
  <c r="EWR23" i="1" s="1"/>
  <c r="EWS23" i="1" s="1"/>
  <c r="EWT23" i="1" s="1"/>
  <c r="EWU23" i="1" s="1"/>
  <c r="EWV23" i="1" s="1"/>
  <c r="EWW23" i="1" s="1"/>
  <c r="EWX23" i="1" s="1"/>
  <c r="EWY23" i="1" s="1"/>
  <c r="EWZ23" i="1" s="1"/>
  <c r="EXA23" i="1" s="1"/>
  <c r="EXB23" i="1" s="1"/>
  <c r="EXC23" i="1" s="1"/>
  <c r="EXD23" i="1" s="1"/>
  <c r="EXE23" i="1" s="1"/>
  <c r="EXF23" i="1" s="1"/>
  <c r="EXG23" i="1" s="1"/>
  <c r="EXH23" i="1" s="1"/>
  <c r="EXI23" i="1" s="1"/>
  <c r="EXJ23" i="1" s="1"/>
  <c r="EXK23" i="1" s="1"/>
  <c r="EXL23" i="1" s="1"/>
  <c r="EXM23" i="1" s="1"/>
  <c r="EXN23" i="1" s="1"/>
  <c r="EXO23" i="1" s="1"/>
  <c r="EXP23" i="1" s="1"/>
  <c r="EXQ23" i="1" s="1"/>
  <c r="EXR23" i="1" s="1"/>
  <c r="EXS23" i="1" s="1"/>
  <c r="EXT23" i="1" s="1"/>
  <c r="EXU23" i="1" s="1"/>
  <c r="EXV23" i="1" s="1"/>
  <c r="EXW23" i="1" s="1"/>
  <c r="EXX23" i="1" s="1"/>
  <c r="EXY23" i="1" s="1"/>
  <c r="EXZ23" i="1" s="1"/>
  <c r="EYA23" i="1" s="1"/>
  <c r="EYB23" i="1" s="1"/>
  <c r="EYC23" i="1" s="1"/>
  <c r="EYD23" i="1" s="1"/>
  <c r="EYE23" i="1" s="1"/>
  <c r="EYF23" i="1" s="1"/>
  <c r="EYG23" i="1" s="1"/>
  <c r="EYH23" i="1" s="1"/>
  <c r="EYI23" i="1" s="1"/>
  <c r="EYJ23" i="1" s="1"/>
  <c r="EYK23" i="1" s="1"/>
  <c r="EYL23" i="1" s="1"/>
  <c r="EYM23" i="1" s="1"/>
  <c r="EYN23" i="1" s="1"/>
  <c r="EYO23" i="1" s="1"/>
  <c r="EYP23" i="1" s="1"/>
  <c r="EYQ23" i="1" s="1"/>
  <c r="EYR23" i="1" s="1"/>
  <c r="EYS23" i="1" s="1"/>
  <c r="EYT23" i="1" s="1"/>
  <c r="EYU23" i="1" s="1"/>
  <c r="EYV23" i="1" s="1"/>
  <c r="EYW23" i="1" s="1"/>
  <c r="EYX23" i="1" s="1"/>
  <c r="EYY23" i="1" s="1"/>
  <c r="EYZ23" i="1" s="1"/>
  <c r="EZA23" i="1" s="1"/>
  <c r="EZB23" i="1" s="1"/>
  <c r="EZC23" i="1" s="1"/>
  <c r="EZD23" i="1" s="1"/>
  <c r="EZE23" i="1" s="1"/>
  <c r="EZF23" i="1" s="1"/>
  <c r="EZG23" i="1" s="1"/>
  <c r="EZH23" i="1" s="1"/>
  <c r="EZI23" i="1" s="1"/>
  <c r="EZJ23" i="1" s="1"/>
  <c r="EZK23" i="1" s="1"/>
  <c r="EZL23" i="1" s="1"/>
  <c r="EZM23" i="1" s="1"/>
  <c r="EZN23" i="1" s="1"/>
  <c r="EZO23" i="1" s="1"/>
  <c r="EZP23" i="1" s="1"/>
  <c r="EZQ23" i="1" s="1"/>
  <c r="EZR23" i="1" s="1"/>
  <c r="EZS23" i="1" s="1"/>
  <c r="EZT23" i="1" s="1"/>
  <c r="EZU23" i="1" s="1"/>
  <c r="EZV23" i="1" s="1"/>
  <c r="EZW23" i="1" s="1"/>
  <c r="EZX23" i="1" s="1"/>
  <c r="EZY23" i="1" s="1"/>
  <c r="EZZ23" i="1" s="1"/>
  <c r="FAA23" i="1" s="1"/>
  <c r="FAB23" i="1" s="1"/>
  <c r="FAC23" i="1" s="1"/>
  <c r="FAD23" i="1" s="1"/>
  <c r="FAE23" i="1" s="1"/>
  <c r="FAF23" i="1" s="1"/>
  <c r="FAG23" i="1" s="1"/>
  <c r="FAH23" i="1" s="1"/>
  <c r="FAI23" i="1" s="1"/>
  <c r="FAJ23" i="1" s="1"/>
  <c r="FAK23" i="1" s="1"/>
  <c r="FAL23" i="1" s="1"/>
  <c r="FAM23" i="1" s="1"/>
  <c r="FAN23" i="1" s="1"/>
  <c r="FAO23" i="1" s="1"/>
  <c r="FAP23" i="1" s="1"/>
  <c r="FAQ23" i="1" s="1"/>
  <c r="FAR23" i="1" s="1"/>
  <c r="FAS23" i="1" s="1"/>
  <c r="FAT23" i="1" s="1"/>
  <c r="FAU23" i="1" s="1"/>
  <c r="FAV23" i="1" s="1"/>
  <c r="FAW23" i="1" s="1"/>
  <c r="FAX23" i="1" s="1"/>
  <c r="FAY23" i="1" s="1"/>
  <c r="FAZ23" i="1" s="1"/>
  <c r="FBA23" i="1" s="1"/>
  <c r="FBB23" i="1" s="1"/>
  <c r="FBC23" i="1" s="1"/>
  <c r="FBD23" i="1" s="1"/>
  <c r="FBE23" i="1" s="1"/>
  <c r="FBF23" i="1" s="1"/>
  <c r="FBG23" i="1" s="1"/>
  <c r="FBH23" i="1" s="1"/>
  <c r="FBI23" i="1" s="1"/>
  <c r="FBJ23" i="1" s="1"/>
  <c r="FBK23" i="1" s="1"/>
  <c r="FBL23" i="1" s="1"/>
  <c r="FBM23" i="1" s="1"/>
  <c r="FBN23" i="1" s="1"/>
  <c r="FBO23" i="1" s="1"/>
  <c r="FBP23" i="1" s="1"/>
  <c r="FBQ23" i="1" s="1"/>
  <c r="FBR23" i="1" s="1"/>
  <c r="FBS23" i="1" s="1"/>
  <c r="FBT23" i="1" s="1"/>
  <c r="FBU23" i="1" s="1"/>
  <c r="FBV23" i="1" s="1"/>
  <c r="FBW23" i="1" s="1"/>
  <c r="FBX23" i="1" s="1"/>
  <c r="FBY23" i="1" s="1"/>
  <c r="FBZ23" i="1" s="1"/>
  <c r="FCA23" i="1" s="1"/>
  <c r="FCB23" i="1" s="1"/>
  <c r="FCC23" i="1" s="1"/>
  <c r="FCD23" i="1" s="1"/>
  <c r="FCE23" i="1" s="1"/>
  <c r="FCF23" i="1" s="1"/>
  <c r="FCG23" i="1" s="1"/>
  <c r="FCH23" i="1" s="1"/>
  <c r="FCI23" i="1" s="1"/>
  <c r="FCJ23" i="1" s="1"/>
  <c r="FCK23" i="1" s="1"/>
  <c r="FCL23" i="1" s="1"/>
  <c r="FCM23" i="1" s="1"/>
  <c r="FCN23" i="1" s="1"/>
  <c r="FCO23" i="1" s="1"/>
  <c r="FCP23" i="1" s="1"/>
  <c r="FCQ23" i="1" s="1"/>
  <c r="FCR23" i="1" s="1"/>
  <c r="FCS23" i="1" s="1"/>
  <c r="FCT23" i="1" s="1"/>
  <c r="FCU23" i="1" s="1"/>
  <c r="FCV23" i="1" s="1"/>
  <c r="FCW23" i="1" s="1"/>
  <c r="FCX23" i="1" s="1"/>
  <c r="FCY23" i="1" s="1"/>
  <c r="FCZ23" i="1" s="1"/>
  <c r="FDA23" i="1" s="1"/>
  <c r="FDB23" i="1" s="1"/>
  <c r="FDC23" i="1" s="1"/>
  <c r="FDD23" i="1" s="1"/>
  <c r="FDE23" i="1" s="1"/>
  <c r="FDF23" i="1" s="1"/>
  <c r="FDG23" i="1" s="1"/>
  <c r="FDH23" i="1" s="1"/>
  <c r="FDI23" i="1" s="1"/>
  <c r="FDJ23" i="1" s="1"/>
  <c r="FDK23" i="1" s="1"/>
  <c r="FDL23" i="1" s="1"/>
  <c r="FDM23" i="1" s="1"/>
  <c r="FDN23" i="1" s="1"/>
  <c r="FDO23" i="1" s="1"/>
  <c r="FDP23" i="1" s="1"/>
  <c r="FDQ23" i="1" s="1"/>
  <c r="FDR23" i="1" s="1"/>
  <c r="FDS23" i="1" s="1"/>
  <c r="FDT23" i="1" s="1"/>
  <c r="FDU23" i="1" s="1"/>
  <c r="FDV23" i="1" s="1"/>
  <c r="FDW23" i="1" s="1"/>
  <c r="FDX23" i="1" s="1"/>
  <c r="FDY23" i="1" s="1"/>
  <c r="FDZ23" i="1" s="1"/>
  <c r="FEA23" i="1" s="1"/>
  <c r="FEB23" i="1" s="1"/>
  <c r="FEC23" i="1" s="1"/>
  <c r="FED23" i="1" s="1"/>
  <c r="FEE23" i="1" s="1"/>
  <c r="FEF23" i="1" s="1"/>
  <c r="FEG23" i="1" s="1"/>
  <c r="FEH23" i="1" s="1"/>
  <c r="FEI23" i="1" s="1"/>
  <c r="FEJ23" i="1" s="1"/>
  <c r="FEK23" i="1" s="1"/>
  <c r="FEL23" i="1" s="1"/>
  <c r="FEM23" i="1" s="1"/>
  <c r="FEN23" i="1" s="1"/>
  <c r="FEO23" i="1" s="1"/>
  <c r="FEP23" i="1" s="1"/>
  <c r="FEQ23" i="1" s="1"/>
  <c r="FER23" i="1" s="1"/>
  <c r="FES23" i="1" s="1"/>
  <c r="FET23" i="1" s="1"/>
  <c r="FEU23" i="1" s="1"/>
  <c r="FEV23" i="1" s="1"/>
  <c r="FEW23" i="1" s="1"/>
  <c r="FEX23" i="1" s="1"/>
  <c r="FEY23" i="1" s="1"/>
  <c r="FEZ23" i="1" s="1"/>
  <c r="FFA23" i="1" s="1"/>
  <c r="FFB23" i="1" s="1"/>
  <c r="FFC23" i="1" s="1"/>
  <c r="FFD23" i="1" s="1"/>
  <c r="FFE23" i="1" s="1"/>
  <c r="FFF23" i="1" s="1"/>
  <c r="FFG23" i="1" s="1"/>
  <c r="FFH23" i="1" s="1"/>
  <c r="FFI23" i="1" s="1"/>
  <c r="FFJ23" i="1" s="1"/>
  <c r="FFK23" i="1" s="1"/>
  <c r="FFL23" i="1" s="1"/>
  <c r="FFM23" i="1" s="1"/>
  <c r="FFN23" i="1" s="1"/>
  <c r="FFO23" i="1" s="1"/>
  <c r="FFP23" i="1" s="1"/>
  <c r="FFQ23" i="1" s="1"/>
  <c r="FFR23" i="1" s="1"/>
  <c r="FFS23" i="1" s="1"/>
  <c r="FFT23" i="1" s="1"/>
  <c r="FFU23" i="1" s="1"/>
  <c r="FFV23" i="1" s="1"/>
  <c r="FFW23" i="1" s="1"/>
  <c r="FFX23" i="1" s="1"/>
  <c r="FFY23" i="1" s="1"/>
  <c r="FFZ23" i="1" s="1"/>
  <c r="FGA23" i="1" s="1"/>
  <c r="FGB23" i="1" s="1"/>
  <c r="FGC23" i="1" s="1"/>
  <c r="FGD23" i="1" s="1"/>
  <c r="FGE23" i="1" s="1"/>
  <c r="FGF23" i="1" s="1"/>
  <c r="FGG23" i="1" s="1"/>
  <c r="FGH23" i="1" s="1"/>
  <c r="FGI23" i="1" s="1"/>
  <c r="FGJ23" i="1" s="1"/>
  <c r="FGK23" i="1" s="1"/>
  <c r="FGL23" i="1" s="1"/>
  <c r="FGM23" i="1" s="1"/>
  <c r="FGN23" i="1" s="1"/>
  <c r="FGO23" i="1" s="1"/>
  <c r="FGP23" i="1" s="1"/>
  <c r="FGQ23" i="1" s="1"/>
  <c r="FGR23" i="1" s="1"/>
  <c r="FGS23" i="1" s="1"/>
  <c r="FGT23" i="1" s="1"/>
  <c r="FGU23" i="1" s="1"/>
  <c r="FGV23" i="1" s="1"/>
  <c r="FGW23" i="1" s="1"/>
  <c r="FGX23" i="1" s="1"/>
  <c r="FGY23" i="1" s="1"/>
  <c r="FGZ23" i="1" s="1"/>
  <c r="FHA23" i="1" s="1"/>
  <c r="FHB23" i="1" s="1"/>
  <c r="FHC23" i="1" s="1"/>
  <c r="FHD23" i="1" s="1"/>
  <c r="FHE23" i="1" s="1"/>
  <c r="FHF23" i="1" s="1"/>
  <c r="FHG23" i="1" s="1"/>
  <c r="FHH23" i="1" s="1"/>
  <c r="FHI23" i="1" s="1"/>
  <c r="FHJ23" i="1" s="1"/>
  <c r="FHK23" i="1" s="1"/>
  <c r="FHL23" i="1" s="1"/>
  <c r="FHM23" i="1" s="1"/>
  <c r="FHN23" i="1" s="1"/>
  <c r="FHO23" i="1" s="1"/>
  <c r="FHP23" i="1" s="1"/>
  <c r="FHQ23" i="1" s="1"/>
  <c r="FHR23" i="1" s="1"/>
  <c r="FHS23" i="1" s="1"/>
  <c r="FHT23" i="1" s="1"/>
  <c r="FHU23" i="1" s="1"/>
  <c r="FHV23" i="1" s="1"/>
  <c r="FHW23" i="1" s="1"/>
  <c r="FHX23" i="1" s="1"/>
  <c r="FHY23" i="1" s="1"/>
  <c r="FHZ23" i="1" s="1"/>
  <c r="FIA23" i="1" s="1"/>
  <c r="FIB23" i="1" s="1"/>
  <c r="FIC23" i="1" s="1"/>
  <c r="FID23" i="1" s="1"/>
  <c r="FIE23" i="1" s="1"/>
  <c r="FIF23" i="1" s="1"/>
  <c r="FIG23" i="1" s="1"/>
  <c r="FIH23" i="1" s="1"/>
  <c r="FII23" i="1" s="1"/>
  <c r="FIJ23" i="1" s="1"/>
  <c r="FIK23" i="1" s="1"/>
  <c r="FIL23" i="1" s="1"/>
  <c r="FIM23" i="1" s="1"/>
  <c r="FIN23" i="1" s="1"/>
  <c r="FIO23" i="1" s="1"/>
  <c r="FIP23" i="1" s="1"/>
  <c r="FIQ23" i="1" s="1"/>
  <c r="FIR23" i="1" s="1"/>
  <c r="FIS23" i="1" s="1"/>
  <c r="FIT23" i="1" s="1"/>
  <c r="FIU23" i="1" s="1"/>
  <c r="FIV23" i="1" s="1"/>
  <c r="FIW23" i="1" s="1"/>
  <c r="FIX23" i="1" s="1"/>
  <c r="FIY23" i="1" s="1"/>
  <c r="FIZ23" i="1" s="1"/>
  <c r="FJA23" i="1" s="1"/>
  <c r="FJB23" i="1" s="1"/>
  <c r="FJC23" i="1" s="1"/>
  <c r="FJD23" i="1" s="1"/>
  <c r="FJE23" i="1" s="1"/>
  <c r="FJF23" i="1" s="1"/>
  <c r="FJG23" i="1" s="1"/>
  <c r="FJH23" i="1" s="1"/>
  <c r="FJI23" i="1" s="1"/>
  <c r="FJJ23" i="1" s="1"/>
  <c r="FJK23" i="1" s="1"/>
  <c r="FJL23" i="1" s="1"/>
  <c r="FJM23" i="1" s="1"/>
  <c r="FJN23" i="1" s="1"/>
  <c r="FJO23" i="1" s="1"/>
  <c r="FJP23" i="1" s="1"/>
  <c r="FJQ23" i="1" s="1"/>
  <c r="FJR23" i="1" s="1"/>
  <c r="FJS23" i="1" s="1"/>
  <c r="FJT23" i="1" s="1"/>
  <c r="FJU23" i="1" s="1"/>
  <c r="FJV23" i="1" s="1"/>
  <c r="FJW23" i="1" s="1"/>
  <c r="FJX23" i="1" s="1"/>
  <c r="FJY23" i="1" s="1"/>
  <c r="FJZ23" i="1" s="1"/>
  <c r="FKA23" i="1" s="1"/>
  <c r="FKB23" i="1" s="1"/>
  <c r="FKC23" i="1" s="1"/>
  <c r="FKD23" i="1" s="1"/>
  <c r="FKE23" i="1" s="1"/>
  <c r="FKF23" i="1" s="1"/>
  <c r="FKG23" i="1" s="1"/>
  <c r="FKH23" i="1" s="1"/>
  <c r="FKI23" i="1" s="1"/>
  <c r="FKJ23" i="1" s="1"/>
  <c r="FKK23" i="1" s="1"/>
  <c r="FKL23" i="1" s="1"/>
  <c r="FKM23" i="1" s="1"/>
  <c r="FKN23" i="1" s="1"/>
  <c r="FKO23" i="1" s="1"/>
  <c r="FKP23" i="1" s="1"/>
  <c r="FKQ23" i="1" s="1"/>
  <c r="FKR23" i="1" s="1"/>
  <c r="FKS23" i="1" s="1"/>
  <c r="FKT23" i="1" s="1"/>
  <c r="FKU23" i="1" s="1"/>
  <c r="FKV23" i="1" s="1"/>
  <c r="FKW23" i="1" s="1"/>
  <c r="FKX23" i="1" s="1"/>
  <c r="FKY23" i="1" s="1"/>
  <c r="FKZ23" i="1" s="1"/>
  <c r="FLA23" i="1" s="1"/>
  <c r="FLB23" i="1" s="1"/>
  <c r="FLC23" i="1" s="1"/>
  <c r="FLD23" i="1" s="1"/>
  <c r="FLE23" i="1" s="1"/>
  <c r="FLF23" i="1" s="1"/>
  <c r="FLG23" i="1" s="1"/>
  <c r="FLH23" i="1" s="1"/>
  <c r="FLI23" i="1" s="1"/>
  <c r="FLJ23" i="1" s="1"/>
  <c r="FLK23" i="1" s="1"/>
  <c r="FLL23" i="1" s="1"/>
  <c r="FLM23" i="1" s="1"/>
  <c r="FLN23" i="1" s="1"/>
  <c r="FLO23" i="1" s="1"/>
  <c r="FLP23" i="1" s="1"/>
  <c r="FLQ23" i="1" s="1"/>
  <c r="FLR23" i="1" s="1"/>
  <c r="FLS23" i="1" s="1"/>
  <c r="FLT23" i="1" s="1"/>
  <c r="FLU23" i="1" s="1"/>
  <c r="FLV23" i="1" s="1"/>
  <c r="FLW23" i="1" s="1"/>
  <c r="FLX23" i="1" s="1"/>
  <c r="FLY23" i="1" s="1"/>
  <c r="FLZ23" i="1" s="1"/>
  <c r="FMA23" i="1" s="1"/>
  <c r="FMB23" i="1" s="1"/>
  <c r="FMC23" i="1" s="1"/>
  <c r="FMD23" i="1" s="1"/>
  <c r="FME23" i="1" s="1"/>
  <c r="FMF23" i="1" s="1"/>
  <c r="FMG23" i="1" s="1"/>
  <c r="FMH23" i="1" s="1"/>
  <c r="FMI23" i="1" s="1"/>
  <c r="FMJ23" i="1" s="1"/>
  <c r="FMK23" i="1" s="1"/>
  <c r="FML23" i="1" s="1"/>
  <c r="FMM23" i="1" s="1"/>
  <c r="FMN23" i="1" s="1"/>
  <c r="FMO23" i="1" s="1"/>
  <c r="FMP23" i="1" s="1"/>
  <c r="FMQ23" i="1" s="1"/>
  <c r="FMR23" i="1" s="1"/>
  <c r="FMS23" i="1" s="1"/>
  <c r="FMT23" i="1" s="1"/>
  <c r="FMU23" i="1" s="1"/>
  <c r="FMV23" i="1" s="1"/>
  <c r="FMW23" i="1" s="1"/>
  <c r="FMX23" i="1" s="1"/>
  <c r="FMY23" i="1" s="1"/>
  <c r="FMZ23" i="1" s="1"/>
  <c r="FNA23" i="1" s="1"/>
  <c r="FNB23" i="1" s="1"/>
  <c r="FNC23" i="1" s="1"/>
  <c r="FND23" i="1" s="1"/>
  <c r="FNE23" i="1" s="1"/>
  <c r="FNF23" i="1" s="1"/>
  <c r="FNG23" i="1" s="1"/>
  <c r="FNH23" i="1" s="1"/>
  <c r="FNI23" i="1" s="1"/>
  <c r="FNJ23" i="1" s="1"/>
  <c r="FNK23" i="1" s="1"/>
  <c r="FNL23" i="1" s="1"/>
  <c r="FNM23" i="1" s="1"/>
  <c r="FNN23" i="1" s="1"/>
  <c r="FNO23" i="1" s="1"/>
  <c r="FNP23" i="1" s="1"/>
  <c r="FNQ23" i="1" s="1"/>
  <c r="FNR23" i="1" s="1"/>
  <c r="FNS23" i="1" s="1"/>
  <c r="FNT23" i="1" s="1"/>
  <c r="FNU23" i="1" s="1"/>
  <c r="FNV23" i="1" s="1"/>
  <c r="FNW23" i="1" s="1"/>
  <c r="FNX23" i="1" s="1"/>
  <c r="FNY23" i="1" s="1"/>
  <c r="FNZ23" i="1" s="1"/>
  <c r="FOA23" i="1" s="1"/>
  <c r="FOB23" i="1" s="1"/>
  <c r="FOC23" i="1" s="1"/>
  <c r="FOD23" i="1" s="1"/>
  <c r="FOE23" i="1" s="1"/>
  <c r="FOF23" i="1" s="1"/>
  <c r="FOG23" i="1" s="1"/>
  <c r="FOH23" i="1" s="1"/>
  <c r="FOI23" i="1" s="1"/>
  <c r="FOJ23" i="1" s="1"/>
  <c r="FOK23" i="1" s="1"/>
  <c r="FOL23" i="1" s="1"/>
  <c r="FOM23" i="1" s="1"/>
  <c r="FON23" i="1" s="1"/>
  <c r="FOO23" i="1" s="1"/>
  <c r="FOP23" i="1" s="1"/>
  <c r="FOQ23" i="1" s="1"/>
  <c r="FOR23" i="1" s="1"/>
  <c r="FOS23" i="1" s="1"/>
  <c r="FOT23" i="1" s="1"/>
  <c r="FOU23" i="1" s="1"/>
  <c r="FOV23" i="1" s="1"/>
  <c r="FOW23" i="1" s="1"/>
  <c r="FOX23" i="1" s="1"/>
  <c r="FOY23" i="1" s="1"/>
  <c r="FOZ23" i="1" s="1"/>
  <c r="FPA23" i="1" s="1"/>
  <c r="FPB23" i="1" s="1"/>
  <c r="FPC23" i="1" s="1"/>
  <c r="FPD23" i="1" s="1"/>
  <c r="FPE23" i="1" s="1"/>
  <c r="FPF23" i="1" s="1"/>
  <c r="FPG23" i="1" s="1"/>
  <c r="FPH23" i="1" s="1"/>
  <c r="FPI23" i="1" s="1"/>
  <c r="FPJ23" i="1" s="1"/>
  <c r="FPK23" i="1" s="1"/>
  <c r="FPL23" i="1" s="1"/>
  <c r="FPM23" i="1" s="1"/>
  <c r="FPN23" i="1" s="1"/>
  <c r="FPO23" i="1" s="1"/>
  <c r="FPP23" i="1" s="1"/>
  <c r="FPQ23" i="1" s="1"/>
  <c r="FPR23" i="1" s="1"/>
  <c r="FPS23" i="1" s="1"/>
  <c r="FPT23" i="1" s="1"/>
  <c r="FPU23" i="1" s="1"/>
  <c r="FPV23" i="1" s="1"/>
  <c r="FPW23" i="1" s="1"/>
  <c r="FPX23" i="1" s="1"/>
  <c r="FPY23" i="1" s="1"/>
  <c r="FPZ23" i="1" s="1"/>
  <c r="FQA23" i="1" s="1"/>
  <c r="FQB23" i="1" s="1"/>
  <c r="FQC23" i="1" s="1"/>
  <c r="FQD23" i="1" s="1"/>
  <c r="FQE23" i="1" s="1"/>
  <c r="FQF23" i="1" s="1"/>
  <c r="FQG23" i="1" s="1"/>
  <c r="FQH23" i="1" s="1"/>
  <c r="FQI23" i="1" s="1"/>
  <c r="FQJ23" i="1" s="1"/>
  <c r="FQK23" i="1" s="1"/>
  <c r="FQL23" i="1" s="1"/>
  <c r="FQM23" i="1" s="1"/>
  <c r="FQN23" i="1" s="1"/>
  <c r="FQO23" i="1" s="1"/>
  <c r="FQP23" i="1" s="1"/>
  <c r="FQQ23" i="1" s="1"/>
  <c r="FQR23" i="1" s="1"/>
  <c r="FQS23" i="1" s="1"/>
  <c r="FQT23" i="1" s="1"/>
  <c r="FQU23" i="1" s="1"/>
  <c r="FQV23" i="1" s="1"/>
  <c r="FQW23" i="1" s="1"/>
  <c r="FQX23" i="1" s="1"/>
  <c r="FQY23" i="1" s="1"/>
  <c r="FQZ23" i="1" s="1"/>
  <c r="FRA23" i="1" s="1"/>
  <c r="FRB23" i="1" s="1"/>
  <c r="FRC23" i="1" s="1"/>
  <c r="FRD23" i="1" s="1"/>
  <c r="FRE23" i="1" s="1"/>
  <c r="FRF23" i="1" s="1"/>
  <c r="FRG23" i="1" s="1"/>
  <c r="FRH23" i="1" s="1"/>
  <c r="FRI23" i="1" s="1"/>
  <c r="FRJ23" i="1" s="1"/>
  <c r="FRK23" i="1" s="1"/>
  <c r="FRL23" i="1" s="1"/>
  <c r="FRM23" i="1" s="1"/>
  <c r="FRN23" i="1" s="1"/>
  <c r="FRO23" i="1" s="1"/>
  <c r="FRP23" i="1" s="1"/>
  <c r="FRQ23" i="1" s="1"/>
  <c r="FRR23" i="1" s="1"/>
  <c r="FRS23" i="1" s="1"/>
  <c r="FRT23" i="1" s="1"/>
  <c r="FRU23" i="1" s="1"/>
  <c r="FRV23" i="1" s="1"/>
  <c r="FRW23" i="1" s="1"/>
  <c r="FRX23" i="1" s="1"/>
  <c r="FRY23" i="1" s="1"/>
  <c r="FRZ23" i="1" s="1"/>
  <c r="FSA23" i="1" s="1"/>
  <c r="FSB23" i="1" s="1"/>
  <c r="FSC23" i="1" s="1"/>
  <c r="FSD23" i="1" s="1"/>
  <c r="FSE23" i="1" s="1"/>
  <c r="FSF23" i="1" s="1"/>
  <c r="FSG23" i="1" s="1"/>
  <c r="FSH23" i="1" s="1"/>
  <c r="FSI23" i="1" s="1"/>
  <c r="FSJ23" i="1" s="1"/>
  <c r="FSK23" i="1" s="1"/>
  <c r="FSL23" i="1" s="1"/>
  <c r="FSM23" i="1" s="1"/>
  <c r="FSN23" i="1" s="1"/>
  <c r="FSO23" i="1" s="1"/>
  <c r="FSP23" i="1" s="1"/>
  <c r="FSQ23" i="1" s="1"/>
  <c r="FSR23" i="1" s="1"/>
  <c r="FSS23" i="1" s="1"/>
  <c r="FST23" i="1" s="1"/>
  <c r="FSU23" i="1" s="1"/>
  <c r="FSV23" i="1" s="1"/>
  <c r="FSW23" i="1" s="1"/>
  <c r="FSX23" i="1" s="1"/>
  <c r="FSY23" i="1" s="1"/>
  <c r="FSZ23" i="1" s="1"/>
  <c r="FTA23" i="1" s="1"/>
  <c r="FTB23" i="1" s="1"/>
  <c r="FTC23" i="1" s="1"/>
  <c r="FTD23" i="1" s="1"/>
  <c r="FTE23" i="1" s="1"/>
  <c r="FTF23" i="1" s="1"/>
  <c r="FTG23" i="1" s="1"/>
  <c r="FTH23" i="1" s="1"/>
  <c r="FTI23" i="1" s="1"/>
  <c r="FTJ23" i="1" s="1"/>
  <c r="FTK23" i="1" s="1"/>
  <c r="FTL23" i="1" s="1"/>
  <c r="FTM23" i="1" s="1"/>
  <c r="FTN23" i="1" s="1"/>
  <c r="FTO23" i="1" s="1"/>
  <c r="FTP23" i="1" s="1"/>
  <c r="FTQ23" i="1" s="1"/>
  <c r="FTR23" i="1" s="1"/>
  <c r="FTS23" i="1" s="1"/>
  <c r="FTT23" i="1" s="1"/>
  <c r="FTU23" i="1" s="1"/>
  <c r="FTV23" i="1" s="1"/>
  <c r="FTW23" i="1" s="1"/>
  <c r="FTX23" i="1" s="1"/>
  <c r="FTY23" i="1" s="1"/>
  <c r="FTZ23" i="1" s="1"/>
  <c r="FUA23" i="1" s="1"/>
  <c r="FUB23" i="1" s="1"/>
  <c r="FUC23" i="1" s="1"/>
  <c r="FUD23" i="1" s="1"/>
  <c r="FUE23" i="1" s="1"/>
  <c r="FUF23" i="1" s="1"/>
  <c r="FUG23" i="1" s="1"/>
  <c r="FUH23" i="1" s="1"/>
  <c r="FUI23" i="1" s="1"/>
  <c r="FUJ23" i="1" s="1"/>
  <c r="FUK23" i="1" s="1"/>
  <c r="FUL23" i="1" s="1"/>
  <c r="FUM23" i="1" s="1"/>
  <c r="FUN23" i="1" s="1"/>
  <c r="FUO23" i="1" s="1"/>
  <c r="FUP23" i="1" s="1"/>
  <c r="FUQ23" i="1" s="1"/>
  <c r="FUR23" i="1" s="1"/>
  <c r="FUS23" i="1" s="1"/>
  <c r="FUT23" i="1" s="1"/>
  <c r="FUU23" i="1" s="1"/>
  <c r="FUV23" i="1" s="1"/>
  <c r="FUW23" i="1" s="1"/>
  <c r="FUX23" i="1" s="1"/>
  <c r="FUY23" i="1" s="1"/>
  <c r="FUZ23" i="1" s="1"/>
  <c r="FVA23" i="1" s="1"/>
  <c r="FVB23" i="1" s="1"/>
  <c r="FVC23" i="1" s="1"/>
  <c r="FVD23" i="1" s="1"/>
  <c r="FVE23" i="1" s="1"/>
  <c r="FVF23" i="1" s="1"/>
  <c r="FVG23" i="1" s="1"/>
  <c r="FVH23" i="1" s="1"/>
  <c r="FVI23" i="1" s="1"/>
  <c r="FVJ23" i="1" s="1"/>
  <c r="FVK23" i="1" s="1"/>
  <c r="FVL23" i="1" s="1"/>
  <c r="FVM23" i="1" s="1"/>
  <c r="FVN23" i="1" s="1"/>
  <c r="FVO23" i="1" s="1"/>
  <c r="FVP23" i="1" s="1"/>
  <c r="FVQ23" i="1" s="1"/>
  <c r="FVR23" i="1" s="1"/>
  <c r="FVS23" i="1" s="1"/>
  <c r="FVT23" i="1" s="1"/>
  <c r="FVU23" i="1" s="1"/>
  <c r="FVV23" i="1" s="1"/>
  <c r="FVW23" i="1" s="1"/>
  <c r="FVX23" i="1" s="1"/>
  <c r="FVY23" i="1" s="1"/>
  <c r="FVZ23" i="1" s="1"/>
  <c r="FWA23" i="1" s="1"/>
  <c r="FWB23" i="1" s="1"/>
  <c r="FWC23" i="1" s="1"/>
  <c r="FWD23" i="1" s="1"/>
  <c r="FWE23" i="1" s="1"/>
  <c r="FWF23" i="1" s="1"/>
  <c r="FWG23" i="1" s="1"/>
  <c r="FWH23" i="1" s="1"/>
  <c r="FWI23" i="1" s="1"/>
  <c r="FWJ23" i="1" s="1"/>
  <c r="FWK23" i="1" s="1"/>
  <c r="FWL23" i="1" s="1"/>
  <c r="FWM23" i="1" s="1"/>
  <c r="FWN23" i="1" s="1"/>
  <c r="FWO23" i="1" s="1"/>
  <c r="FWP23" i="1" s="1"/>
  <c r="FWQ23" i="1" s="1"/>
  <c r="FWR23" i="1" s="1"/>
  <c r="FWS23" i="1" s="1"/>
  <c r="FWT23" i="1" s="1"/>
  <c r="FWU23" i="1" s="1"/>
  <c r="FWV23" i="1" s="1"/>
  <c r="FWW23" i="1" s="1"/>
  <c r="FWX23" i="1" s="1"/>
  <c r="FWY23" i="1" s="1"/>
  <c r="FWZ23" i="1" s="1"/>
  <c r="FXA23" i="1" s="1"/>
  <c r="FXB23" i="1" s="1"/>
  <c r="FXC23" i="1" s="1"/>
  <c r="FXD23" i="1" s="1"/>
  <c r="FXE23" i="1" s="1"/>
  <c r="FXF23" i="1" s="1"/>
  <c r="FXG23" i="1" s="1"/>
  <c r="FXH23" i="1" s="1"/>
  <c r="FXI23" i="1" s="1"/>
  <c r="FXJ23" i="1" s="1"/>
  <c r="FXK23" i="1" s="1"/>
  <c r="FXL23" i="1" s="1"/>
  <c r="FXM23" i="1" s="1"/>
  <c r="FXN23" i="1" s="1"/>
  <c r="FXO23" i="1" s="1"/>
  <c r="FXP23" i="1" s="1"/>
  <c r="FXQ23" i="1" s="1"/>
  <c r="FXR23" i="1" s="1"/>
  <c r="FXS23" i="1" s="1"/>
  <c r="FXT23" i="1" s="1"/>
  <c r="FXU23" i="1" s="1"/>
  <c r="FXV23" i="1" s="1"/>
  <c r="FXW23" i="1" s="1"/>
  <c r="FXX23" i="1" s="1"/>
  <c r="FXY23" i="1" s="1"/>
  <c r="FXZ23" i="1" s="1"/>
  <c r="FYA23" i="1" s="1"/>
  <c r="FYB23" i="1" s="1"/>
  <c r="FYC23" i="1" s="1"/>
  <c r="FYD23" i="1" s="1"/>
  <c r="FYE23" i="1" s="1"/>
  <c r="FYF23" i="1" s="1"/>
  <c r="FYG23" i="1" s="1"/>
  <c r="FYH23" i="1" s="1"/>
  <c r="FYI23" i="1" s="1"/>
  <c r="FYJ23" i="1" s="1"/>
  <c r="FYK23" i="1" s="1"/>
  <c r="FYL23" i="1" s="1"/>
  <c r="FYM23" i="1" s="1"/>
  <c r="FYN23" i="1" s="1"/>
  <c r="FYO23" i="1" s="1"/>
  <c r="FYP23" i="1" s="1"/>
  <c r="FYQ23" i="1" s="1"/>
  <c r="FYR23" i="1" s="1"/>
  <c r="FYS23" i="1" s="1"/>
  <c r="FYT23" i="1" s="1"/>
  <c r="FYU23" i="1" s="1"/>
  <c r="FYV23" i="1" s="1"/>
  <c r="FYW23" i="1" s="1"/>
  <c r="FYX23" i="1" s="1"/>
  <c r="FYY23" i="1" s="1"/>
  <c r="FYZ23" i="1" s="1"/>
  <c r="FZA23" i="1" s="1"/>
  <c r="FZB23" i="1" s="1"/>
  <c r="FZC23" i="1" s="1"/>
  <c r="FZD23" i="1" s="1"/>
  <c r="FZE23" i="1" s="1"/>
  <c r="FZF23" i="1" s="1"/>
  <c r="FZG23" i="1" s="1"/>
  <c r="FZH23" i="1" s="1"/>
  <c r="FZI23" i="1" s="1"/>
  <c r="FZJ23" i="1" s="1"/>
  <c r="FZK23" i="1" s="1"/>
  <c r="FZL23" i="1" s="1"/>
  <c r="FZM23" i="1" s="1"/>
  <c r="FZN23" i="1" s="1"/>
  <c r="FZO23" i="1" s="1"/>
  <c r="FZP23" i="1" s="1"/>
  <c r="FZQ23" i="1" s="1"/>
  <c r="FZR23" i="1" s="1"/>
  <c r="FZS23" i="1" s="1"/>
  <c r="FZT23" i="1" s="1"/>
  <c r="FZU23" i="1" s="1"/>
  <c r="FZV23" i="1" s="1"/>
  <c r="FZW23" i="1" s="1"/>
  <c r="FZX23" i="1" s="1"/>
  <c r="FZY23" i="1" s="1"/>
  <c r="FZZ23" i="1" s="1"/>
  <c r="GAA23" i="1" s="1"/>
  <c r="GAB23" i="1" s="1"/>
  <c r="GAC23" i="1" s="1"/>
  <c r="GAD23" i="1" s="1"/>
  <c r="GAE23" i="1" s="1"/>
  <c r="GAF23" i="1" s="1"/>
  <c r="GAG23" i="1" s="1"/>
  <c r="GAH23" i="1" s="1"/>
  <c r="GAI23" i="1" s="1"/>
  <c r="GAJ23" i="1" s="1"/>
  <c r="GAK23" i="1" s="1"/>
  <c r="GAL23" i="1" s="1"/>
  <c r="GAM23" i="1" s="1"/>
  <c r="GAN23" i="1" s="1"/>
  <c r="GAO23" i="1" s="1"/>
  <c r="GAP23" i="1" s="1"/>
  <c r="GAQ23" i="1" s="1"/>
  <c r="GAR23" i="1" s="1"/>
  <c r="GAS23" i="1" s="1"/>
  <c r="GAT23" i="1" s="1"/>
  <c r="GAU23" i="1" s="1"/>
  <c r="GAV23" i="1" s="1"/>
  <c r="GAW23" i="1" s="1"/>
  <c r="GAX23" i="1" s="1"/>
  <c r="GAY23" i="1" s="1"/>
  <c r="GAZ23" i="1" s="1"/>
  <c r="GBA23" i="1" s="1"/>
  <c r="GBB23" i="1" s="1"/>
  <c r="GBC23" i="1" s="1"/>
  <c r="GBD23" i="1" s="1"/>
  <c r="GBE23" i="1" s="1"/>
  <c r="GBF23" i="1" s="1"/>
  <c r="GBG23" i="1" s="1"/>
  <c r="GBH23" i="1" s="1"/>
  <c r="GBI23" i="1" s="1"/>
  <c r="GBJ23" i="1" s="1"/>
  <c r="GBK23" i="1" s="1"/>
  <c r="GBL23" i="1" s="1"/>
  <c r="GBM23" i="1" s="1"/>
  <c r="GBN23" i="1" s="1"/>
  <c r="GBO23" i="1" s="1"/>
  <c r="GBP23" i="1" s="1"/>
  <c r="GBQ23" i="1" s="1"/>
  <c r="GBR23" i="1" s="1"/>
  <c r="GBS23" i="1" s="1"/>
  <c r="GBT23" i="1" s="1"/>
  <c r="GBU23" i="1" s="1"/>
  <c r="GBV23" i="1" s="1"/>
  <c r="GBW23" i="1" s="1"/>
  <c r="GBX23" i="1" s="1"/>
  <c r="GBY23" i="1" s="1"/>
  <c r="GBZ23" i="1" s="1"/>
  <c r="GCA23" i="1" s="1"/>
  <c r="GCB23" i="1" s="1"/>
  <c r="GCC23" i="1" s="1"/>
  <c r="GCD23" i="1" s="1"/>
  <c r="GCE23" i="1" s="1"/>
  <c r="GCF23" i="1" s="1"/>
  <c r="GCG23" i="1" s="1"/>
  <c r="GCH23" i="1" s="1"/>
  <c r="GCI23" i="1" s="1"/>
  <c r="GCJ23" i="1" s="1"/>
  <c r="GCK23" i="1" s="1"/>
  <c r="GCL23" i="1" s="1"/>
  <c r="GCM23" i="1" s="1"/>
  <c r="GCN23" i="1" s="1"/>
  <c r="GCO23" i="1" s="1"/>
  <c r="GCP23" i="1" s="1"/>
  <c r="GCQ23" i="1" s="1"/>
  <c r="GCR23" i="1" s="1"/>
  <c r="GCS23" i="1" s="1"/>
  <c r="GCT23" i="1" s="1"/>
  <c r="GCU23" i="1" s="1"/>
  <c r="GCV23" i="1" s="1"/>
  <c r="GCW23" i="1" s="1"/>
  <c r="GCX23" i="1" s="1"/>
  <c r="GCY23" i="1" s="1"/>
  <c r="GCZ23" i="1" s="1"/>
  <c r="GDA23" i="1" s="1"/>
  <c r="GDB23" i="1" s="1"/>
  <c r="GDC23" i="1" s="1"/>
  <c r="GDD23" i="1" s="1"/>
  <c r="GDE23" i="1" s="1"/>
  <c r="GDF23" i="1" s="1"/>
  <c r="GDG23" i="1" s="1"/>
  <c r="GDH23" i="1" s="1"/>
  <c r="GDI23" i="1" s="1"/>
  <c r="GDJ23" i="1" s="1"/>
  <c r="GDK23" i="1" s="1"/>
  <c r="GDL23" i="1" s="1"/>
  <c r="GDM23" i="1" s="1"/>
  <c r="GDN23" i="1" s="1"/>
  <c r="GDO23" i="1" s="1"/>
  <c r="GDP23" i="1" s="1"/>
  <c r="GDQ23" i="1" s="1"/>
  <c r="GDR23" i="1" s="1"/>
  <c r="GDS23" i="1" s="1"/>
  <c r="GDT23" i="1" s="1"/>
  <c r="GDU23" i="1" s="1"/>
  <c r="GDV23" i="1" s="1"/>
  <c r="GDW23" i="1" s="1"/>
  <c r="GDX23" i="1" s="1"/>
  <c r="GDY23" i="1" s="1"/>
  <c r="GDZ23" i="1" s="1"/>
  <c r="GEA23" i="1" s="1"/>
  <c r="GEB23" i="1" s="1"/>
  <c r="GEC23" i="1" s="1"/>
  <c r="GED23" i="1" s="1"/>
  <c r="GEE23" i="1" s="1"/>
  <c r="GEF23" i="1" s="1"/>
  <c r="GEG23" i="1" s="1"/>
  <c r="GEH23" i="1" s="1"/>
  <c r="GEI23" i="1" s="1"/>
  <c r="GEJ23" i="1" s="1"/>
  <c r="GEK23" i="1" s="1"/>
  <c r="GEL23" i="1" s="1"/>
  <c r="GEM23" i="1" s="1"/>
  <c r="GEN23" i="1" s="1"/>
  <c r="GEO23" i="1" s="1"/>
  <c r="GEP23" i="1" s="1"/>
  <c r="GEQ23" i="1" s="1"/>
  <c r="GER23" i="1" s="1"/>
  <c r="GES23" i="1" s="1"/>
  <c r="GET23" i="1" s="1"/>
  <c r="GEU23" i="1" s="1"/>
  <c r="GEV23" i="1" s="1"/>
  <c r="GEW23" i="1" s="1"/>
  <c r="GEX23" i="1" s="1"/>
  <c r="GEY23" i="1" s="1"/>
  <c r="GEZ23" i="1" s="1"/>
  <c r="GFA23" i="1" s="1"/>
  <c r="GFB23" i="1" s="1"/>
  <c r="GFC23" i="1" s="1"/>
  <c r="GFD23" i="1" s="1"/>
  <c r="GFE23" i="1" s="1"/>
  <c r="GFF23" i="1" s="1"/>
  <c r="GFG23" i="1" s="1"/>
  <c r="GFH23" i="1" s="1"/>
  <c r="GFI23" i="1" s="1"/>
  <c r="GFJ23" i="1" s="1"/>
  <c r="GFK23" i="1" s="1"/>
  <c r="GFL23" i="1" s="1"/>
  <c r="GFM23" i="1" s="1"/>
  <c r="GFN23" i="1" s="1"/>
  <c r="GFO23" i="1" s="1"/>
  <c r="GFP23" i="1" s="1"/>
  <c r="GFQ23" i="1" s="1"/>
  <c r="GFR23" i="1" s="1"/>
  <c r="GFS23" i="1" s="1"/>
  <c r="GFT23" i="1" s="1"/>
  <c r="GFU23" i="1" s="1"/>
  <c r="GFV23" i="1" s="1"/>
  <c r="GFW23" i="1" s="1"/>
  <c r="GFX23" i="1" s="1"/>
  <c r="GFY23" i="1" s="1"/>
  <c r="GFZ23" i="1" s="1"/>
  <c r="GGA23" i="1" s="1"/>
  <c r="GGB23" i="1" s="1"/>
  <c r="GGC23" i="1" s="1"/>
  <c r="GGD23" i="1" s="1"/>
  <c r="GGE23" i="1" s="1"/>
  <c r="GGF23" i="1" s="1"/>
  <c r="GGG23" i="1" s="1"/>
  <c r="GGH23" i="1" s="1"/>
  <c r="GGI23" i="1" s="1"/>
  <c r="GGJ23" i="1" s="1"/>
  <c r="GGK23" i="1" s="1"/>
  <c r="GGL23" i="1" s="1"/>
  <c r="GGM23" i="1" s="1"/>
  <c r="GGN23" i="1" s="1"/>
  <c r="GGO23" i="1" s="1"/>
  <c r="GGP23" i="1" s="1"/>
  <c r="GGQ23" i="1" s="1"/>
  <c r="GGR23" i="1" s="1"/>
  <c r="GGS23" i="1" s="1"/>
  <c r="GGT23" i="1" s="1"/>
  <c r="GGU23" i="1" s="1"/>
  <c r="GGV23" i="1" s="1"/>
  <c r="GGW23" i="1" s="1"/>
  <c r="GGX23" i="1" s="1"/>
  <c r="GGY23" i="1" s="1"/>
  <c r="GGZ23" i="1" s="1"/>
  <c r="GHA23" i="1" s="1"/>
  <c r="GHB23" i="1" s="1"/>
  <c r="GHC23" i="1" s="1"/>
  <c r="GHD23" i="1" s="1"/>
  <c r="GHE23" i="1" s="1"/>
  <c r="GHF23" i="1" s="1"/>
  <c r="GHG23" i="1" s="1"/>
  <c r="GHH23" i="1" s="1"/>
  <c r="GHI23" i="1" s="1"/>
  <c r="GHJ23" i="1" s="1"/>
  <c r="GHK23" i="1" s="1"/>
  <c r="GHL23" i="1" s="1"/>
  <c r="GHM23" i="1" s="1"/>
  <c r="GHN23" i="1" s="1"/>
  <c r="GHO23" i="1" s="1"/>
  <c r="GHP23" i="1" s="1"/>
  <c r="GHQ23" i="1" s="1"/>
  <c r="GHR23" i="1" s="1"/>
  <c r="GHS23" i="1" s="1"/>
  <c r="GHT23" i="1" s="1"/>
  <c r="GHU23" i="1" s="1"/>
  <c r="GHV23" i="1" s="1"/>
  <c r="GHW23" i="1" s="1"/>
  <c r="GHX23" i="1" s="1"/>
  <c r="GHY23" i="1" s="1"/>
  <c r="GHZ23" i="1" s="1"/>
  <c r="GIA23" i="1" s="1"/>
  <c r="GIB23" i="1" s="1"/>
  <c r="GIC23" i="1" s="1"/>
  <c r="GID23" i="1" s="1"/>
  <c r="GIE23" i="1" s="1"/>
  <c r="GIF23" i="1" s="1"/>
  <c r="GIG23" i="1" s="1"/>
  <c r="GIH23" i="1" s="1"/>
  <c r="GII23" i="1" s="1"/>
  <c r="GIJ23" i="1" s="1"/>
  <c r="GIK23" i="1" s="1"/>
  <c r="GIL23" i="1" s="1"/>
  <c r="GIM23" i="1" s="1"/>
  <c r="GIN23" i="1" s="1"/>
  <c r="GIO23" i="1" s="1"/>
  <c r="GIP23" i="1" s="1"/>
  <c r="GIQ23" i="1" s="1"/>
  <c r="GIR23" i="1" s="1"/>
  <c r="GIS23" i="1" s="1"/>
  <c r="GIT23" i="1" s="1"/>
  <c r="GIU23" i="1" s="1"/>
  <c r="GIV23" i="1" s="1"/>
  <c r="GIW23" i="1" s="1"/>
  <c r="GIX23" i="1" s="1"/>
  <c r="GIY23" i="1" s="1"/>
  <c r="GIZ23" i="1" s="1"/>
  <c r="GJA23" i="1" s="1"/>
  <c r="GJB23" i="1" s="1"/>
  <c r="GJC23" i="1" s="1"/>
  <c r="GJD23" i="1" s="1"/>
  <c r="GJE23" i="1" s="1"/>
  <c r="GJF23" i="1" s="1"/>
  <c r="GJG23" i="1" s="1"/>
  <c r="GJH23" i="1" s="1"/>
  <c r="GJI23" i="1" s="1"/>
  <c r="GJJ23" i="1" s="1"/>
  <c r="GJK23" i="1" s="1"/>
  <c r="GJL23" i="1" s="1"/>
  <c r="GJM23" i="1" s="1"/>
  <c r="GJN23" i="1" s="1"/>
  <c r="GJO23" i="1" s="1"/>
  <c r="GJP23" i="1" s="1"/>
  <c r="GJQ23" i="1" s="1"/>
  <c r="GJR23" i="1" s="1"/>
  <c r="GJS23" i="1" s="1"/>
  <c r="GJT23" i="1" s="1"/>
  <c r="GJU23" i="1" s="1"/>
  <c r="GJV23" i="1" s="1"/>
  <c r="GJW23" i="1" s="1"/>
  <c r="GJX23" i="1" s="1"/>
  <c r="GJY23" i="1" s="1"/>
  <c r="GJZ23" i="1" s="1"/>
  <c r="GKA23" i="1" s="1"/>
  <c r="GKB23" i="1" s="1"/>
  <c r="GKC23" i="1" s="1"/>
  <c r="GKD23" i="1" s="1"/>
  <c r="GKE23" i="1" s="1"/>
  <c r="GKF23" i="1" s="1"/>
  <c r="GKG23" i="1" s="1"/>
  <c r="GKH23" i="1" s="1"/>
  <c r="GKI23" i="1" s="1"/>
  <c r="GKJ23" i="1" s="1"/>
  <c r="GKK23" i="1" s="1"/>
  <c r="GKL23" i="1" s="1"/>
  <c r="GKM23" i="1" s="1"/>
  <c r="GKN23" i="1" s="1"/>
  <c r="GKO23" i="1" s="1"/>
  <c r="GKP23" i="1" s="1"/>
  <c r="GKQ23" i="1" s="1"/>
  <c r="GKR23" i="1" s="1"/>
  <c r="GKS23" i="1" s="1"/>
  <c r="GKT23" i="1" s="1"/>
  <c r="GKU23" i="1" s="1"/>
  <c r="GKV23" i="1" s="1"/>
  <c r="GKW23" i="1" s="1"/>
  <c r="GKX23" i="1" s="1"/>
  <c r="GKY23" i="1" s="1"/>
  <c r="GKZ23" i="1" s="1"/>
  <c r="GLA23" i="1" s="1"/>
  <c r="GLB23" i="1" s="1"/>
  <c r="GLC23" i="1" s="1"/>
  <c r="GLD23" i="1" s="1"/>
  <c r="GLE23" i="1" s="1"/>
  <c r="GLF23" i="1" s="1"/>
  <c r="GLG23" i="1" s="1"/>
  <c r="GLH23" i="1" s="1"/>
  <c r="GLI23" i="1" s="1"/>
  <c r="GLJ23" i="1" s="1"/>
  <c r="GLK23" i="1" s="1"/>
  <c r="GLL23" i="1" s="1"/>
  <c r="GLM23" i="1" s="1"/>
  <c r="GLN23" i="1" s="1"/>
  <c r="GLO23" i="1" s="1"/>
  <c r="GLP23" i="1" s="1"/>
  <c r="GLQ23" i="1" s="1"/>
  <c r="GLR23" i="1" s="1"/>
  <c r="GLS23" i="1" s="1"/>
  <c r="GLT23" i="1" s="1"/>
  <c r="GLU23" i="1" s="1"/>
  <c r="GLV23" i="1" s="1"/>
  <c r="GLW23" i="1" s="1"/>
  <c r="GLX23" i="1" s="1"/>
  <c r="GLY23" i="1" s="1"/>
  <c r="GLZ23" i="1" s="1"/>
  <c r="GMA23" i="1" s="1"/>
  <c r="GMB23" i="1" s="1"/>
  <c r="GMC23" i="1" s="1"/>
  <c r="GMD23" i="1" s="1"/>
  <c r="GME23" i="1" s="1"/>
  <c r="GMF23" i="1" s="1"/>
  <c r="GMG23" i="1" s="1"/>
  <c r="GMH23" i="1" s="1"/>
  <c r="GMI23" i="1" s="1"/>
  <c r="GMJ23" i="1" s="1"/>
  <c r="GMK23" i="1" s="1"/>
  <c r="GML23" i="1" s="1"/>
  <c r="GMM23" i="1" s="1"/>
  <c r="GMN23" i="1" s="1"/>
  <c r="GMO23" i="1" s="1"/>
  <c r="GMP23" i="1" s="1"/>
  <c r="GMQ23" i="1" s="1"/>
  <c r="GMR23" i="1" s="1"/>
  <c r="GMS23" i="1" s="1"/>
  <c r="GMT23" i="1" s="1"/>
  <c r="GMU23" i="1" s="1"/>
  <c r="GMV23" i="1" s="1"/>
  <c r="GMW23" i="1" s="1"/>
  <c r="GMX23" i="1" s="1"/>
  <c r="GMY23" i="1" s="1"/>
  <c r="GMZ23" i="1" s="1"/>
  <c r="GNA23" i="1" s="1"/>
  <c r="GNB23" i="1" s="1"/>
  <c r="GNC23" i="1" s="1"/>
  <c r="GND23" i="1" s="1"/>
  <c r="GNE23" i="1" s="1"/>
  <c r="GNF23" i="1" s="1"/>
  <c r="GNG23" i="1" s="1"/>
  <c r="GNH23" i="1" s="1"/>
  <c r="GNI23" i="1" s="1"/>
  <c r="GNJ23" i="1" s="1"/>
  <c r="GNK23" i="1" s="1"/>
  <c r="GNL23" i="1" s="1"/>
  <c r="GNM23" i="1" s="1"/>
  <c r="GNN23" i="1" s="1"/>
  <c r="GNO23" i="1" s="1"/>
  <c r="GNP23" i="1" s="1"/>
  <c r="GNQ23" i="1" s="1"/>
  <c r="GNR23" i="1" s="1"/>
  <c r="GNS23" i="1" s="1"/>
  <c r="GNT23" i="1" s="1"/>
  <c r="GNU23" i="1" s="1"/>
  <c r="GNV23" i="1" s="1"/>
  <c r="GNW23" i="1" s="1"/>
  <c r="GNX23" i="1" s="1"/>
  <c r="GNY23" i="1" s="1"/>
  <c r="GNZ23" i="1" s="1"/>
  <c r="GOA23" i="1" s="1"/>
  <c r="GOB23" i="1" s="1"/>
  <c r="GOC23" i="1" s="1"/>
  <c r="GOD23" i="1" s="1"/>
  <c r="GOE23" i="1" s="1"/>
  <c r="GOF23" i="1" s="1"/>
  <c r="GOG23" i="1" s="1"/>
  <c r="GOH23" i="1" s="1"/>
  <c r="GOI23" i="1" s="1"/>
  <c r="GOJ23" i="1" s="1"/>
  <c r="GOK23" i="1" s="1"/>
  <c r="GOL23" i="1" s="1"/>
  <c r="GOM23" i="1" s="1"/>
  <c r="GON23" i="1" s="1"/>
  <c r="GOO23" i="1" s="1"/>
  <c r="GOP23" i="1" s="1"/>
  <c r="GOQ23" i="1" s="1"/>
  <c r="GOR23" i="1" s="1"/>
  <c r="GOS23" i="1" s="1"/>
  <c r="GOT23" i="1" s="1"/>
  <c r="GOU23" i="1" s="1"/>
  <c r="GOV23" i="1" s="1"/>
  <c r="GOW23" i="1" s="1"/>
  <c r="GOX23" i="1" s="1"/>
  <c r="GOY23" i="1" s="1"/>
  <c r="GOZ23" i="1" s="1"/>
  <c r="GPA23" i="1" s="1"/>
  <c r="GPB23" i="1" s="1"/>
  <c r="GPC23" i="1" s="1"/>
  <c r="GPD23" i="1" s="1"/>
  <c r="GPE23" i="1" s="1"/>
  <c r="GPF23" i="1" s="1"/>
  <c r="GPG23" i="1" s="1"/>
  <c r="GPH23" i="1" s="1"/>
  <c r="GPI23" i="1" s="1"/>
  <c r="GPJ23" i="1" s="1"/>
  <c r="GPK23" i="1" s="1"/>
  <c r="GPL23" i="1" s="1"/>
  <c r="GPM23" i="1" s="1"/>
  <c r="GPN23" i="1" s="1"/>
  <c r="GPO23" i="1" s="1"/>
  <c r="GPP23" i="1" s="1"/>
  <c r="GPQ23" i="1" s="1"/>
  <c r="GPR23" i="1" s="1"/>
  <c r="GPS23" i="1" s="1"/>
  <c r="GPT23" i="1" s="1"/>
  <c r="GPU23" i="1" s="1"/>
  <c r="GPV23" i="1" s="1"/>
  <c r="GPW23" i="1" s="1"/>
  <c r="GPX23" i="1" s="1"/>
  <c r="GPY23" i="1" s="1"/>
  <c r="GPZ23" i="1" s="1"/>
  <c r="GQA23" i="1" s="1"/>
  <c r="GQB23" i="1" s="1"/>
  <c r="GQC23" i="1" s="1"/>
  <c r="GQD23" i="1" s="1"/>
  <c r="GQE23" i="1" s="1"/>
  <c r="GQF23" i="1" s="1"/>
  <c r="GQG23" i="1" s="1"/>
  <c r="GQH23" i="1" s="1"/>
  <c r="GQI23" i="1" s="1"/>
  <c r="GQJ23" i="1" s="1"/>
  <c r="GQK23" i="1" s="1"/>
  <c r="GQL23" i="1" s="1"/>
  <c r="GQM23" i="1" s="1"/>
  <c r="GQN23" i="1" s="1"/>
  <c r="GQO23" i="1" s="1"/>
  <c r="GQP23" i="1" s="1"/>
  <c r="GQQ23" i="1" s="1"/>
  <c r="GQR23" i="1" s="1"/>
  <c r="GQS23" i="1" s="1"/>
  <c r="GQT23" i="1" s="1"/>
  <c r="GQU23" i="1" s="1"/>
  <c r="GQV23" i="1" s="1"/>
  <c r="GQW23" i="1" s="1"/>
  <c r="GQX23" i="1" s="1"/>
  <c r="GQY23" i="1" s="1"/>
  <c r="GQZ23" i="1" s="1"/>
  <c r="GRA23" i="1" s="1"/>
  <c r="GRB23" i="1" s="1"/>
  <c r="GRC23" i="1" s="1"/>
  <c r="GRD23" i="1" s="1"/>
  <c r="GRE23" i="1" s="1"/>
  <c r="GRF23" i="1" s="1"/>
  <c r="GRG23" i="1" s="1"/>
  <c r="GRH23" i="1" s="1"/>
  <c r="GRI23" i="1" s="1"/>
  <c r="GRJ23" i="1" s="1"/>
  <c r="GRK23" i="1" s="1"/>
  <c r="GRL23" i="1" s="1"/>
  <c r="GRM23" i="1" s="1"/>
  <c r="GRN23" i="1" s="1"/>
  <c r="GRO23" i="1" s="1"/>
  <c r="GRP23" i="1" s="1"/>
  <c r="GRQ23" i="1" s="1"/>
  <c r="GRR23" i="1" s="1"/>
  <c r="GRS23" i="1" s="1"/>
  <c r="GRT23" i="1" s="1"/>
  <c r="GRU23" i="1" s="1"/>
  <c r="GRV23" i="1" s="1"/>
  <c r="GRW23" i="1" s="1"/>
  <c r="GRX23" i="1" s="1"/>
  <c r="GRY23" i="1" s="1"/>
  <c r="GRZ23" i="1" s="1"/>
  <c r="GSA23" i="1" s="1"/>
  <c r="GSB23" i="1" s="1"/>
  <c r="GSC23" i="1" s="1"/>
  <c r="GSD23" i="1" s="1"/>
  <c r="GSE23" i="1" s="1"/>
  <c r="GSF23" i="1" s="1"/>
  <c r="GSG23" i="1" s="1"/>
  <c r="GSH23" i="1" s="1"/>
  <c r="GSI23" i="1" s="1"/>
  <c r="GSJ23" i="1" s="1"/>
  <c r="GSK23" i="1" s="1"/>
  <c r="GSL23" i="1" s="1"/>
  <c r="GSM23" i="1" s="1"/>
  <c r="GSN23" i="1" s="1"/>
  <c r="GSO23" i="1" s="1"/>
  <c r="GSP23" i="1" s="1"/>
  <c r="GSQ23" i="1" s="1"/>
  <c r="GSR23" i="1" s="1"/>
  <c r="GSS23" i="1" s="1"/>
  <c r="GST23" i="1" s="1"/>
  <c r="GSU23" i="1" s="1"/>
  <c r="GSV23" i="1" s="1"/>
  <c r="GSW23" i="1" s="1"/>
  <c r="GSX23" i="1" s="1"/>
  <c r="GSY23" i="1" s="1"/>
  <c r="GSZ23" i="1" s="1"/>
  <c r="GTA23" i="1" s="1"/>
  <c r="GTB23" i="1" s="1"/>
  <c r="GTC23" i="1" s="1"/>
  <c r="GTD23" i="1" s="1"/>
  <c r="GTE23" i="1" s="1"/>
  <c r="GTF23" i="1" s="1"/>
  <c r="GTG23" i="1" s="1"/>
  <c r="GTH23" i="1" s="1"/>
  <c r="GTI23" i="1" s="1"/>
  <c r="GTJ23" i="1" s="1"/>
  <c r="GTK23" i="1" s="1"/>
  <c r="GTL23" i="1" s="1"/>
  <c r="GTM23" i="1" s="1"/>
  <c r="GTN23" i="1" s="1"/>
  <c r="GTO23" i="1" s="1"/>
  <c r="GTP23" i="1" s="1"/>
  <c r="GTQ23" i="1" s="1"/>
  <c r="GTR23" i="1" s="1"/>
  <c r="GTS23" i="1" s="1"/>
  <c r="GTT23" i="1" s="1"/>
  <c r="GTU23" i="1" s="1"/>
  <c r="GTV23" i="1" s="1"/>
  <c r="GTW23" i="1" s="1"/>
  <c r="GTX23" i="1" s="1"/>
  <c r="GTY23" i="1" s="1"/>
  <c r="GTZ23" i="1" s="1"/>
  <c r="GUA23" i="1" s="1"/>
  <c r="GUB23" i="1" s="1"/>
  <c r="GUC23" i="1" s="1"/>
  <c r="GUD23" i="1" s="1"/>
  <c r="GUE23" i="1" s="1"/>
  <c r="GUF23" i="1" s="1"/>
  <c r="GUG23" i="1" s="1"/>
  <c r="GUH23" i="1" s="1"/>
  <c r="GUI23" i="1" s="1"/>
  <c r="GUJ23" i="1" s="1"/>
  <c r="GUK23" i="1" s="1"/>
  <c r="GUL23" i="1" s="1"/>
  <c r="GUM23" i="1" s="1"/>
  <c r="GUN23" i="1" s="1"/>
  <c r="GUO23" i="1" s="1"/>
  <c r="GUP23" i="1" s="1"/>
  <c r="GUQ23" i="1" s="1"/>
  <c r="GUR23" i="1" s="1"/>
  <c r="GUS23" i="1" s="1"/>
  <c r="GUT23" i="1" s="1"/>
  <c r="GUU23" i="1" s="1"/>
  <c r="GUV23" i="1" s="1"/>
  <c r="GUW23" i="1" s="1"/>
  <c r="GUX23" i="1" s="1"/>
  <c r="GUY23" i="1" s="1"/>
  <c r="GUZ23" i="1" s="1"/>
  <c r="GVA23" i="1" s="1"/>
  <c r="GVB23" i="1" s="1"/>
  <c r="GVC23" i="1" s="1"/>
  <c r="GVD23" i="1" s="1"/>
  <c r="GVE23" i="1" s="1"/>
  <c r="GVF23" i="1" s="1"/>
  <c r="GVG23" i="1" s="1"/>
  <c r="GVH23" i="1" s="1"/>
  <c r="GVI23" i="1" s="1"/>
  <c r="GVJ23" i="1" s="1"/>
  <c r="GVK23" i="1" s="1"/>
  <c r="GVL23" i="1" s="1"/>
  <c r="GVM23" i="1" s="1"/>
  <c r="GVN23" i="1" s="1"/>
  <c r="GVO23" i="1" s="1"/>
  <c r="GVP23" i="1" s="1"/>
  <c r="GVQ23" i="1" s="1"/>
  <c r="GVR23" i="1" s="1"/>
  <c r="GVS23" i="1" s="1"/>
  <c r="GVT23" i="1" s="1"/>
  <c r="GVU23" i="1" s="1"/>
  <c r="GVV23" i="1" s="1"/>
  <c r="GVW23" i="1" s="1"/>
  <c r="GVX23" i="1" s="1"/>
  <c r="GVY23" i="1" s="1"/>
  <c r="GVZ23" i="1" s="1"/>
  <c r="GWA23" i="1" s="1"/>
  <c r="GWB23" i="1" s="1"/>
  <c r="GWC23" i="1" s="1"/>
  <c r="GWD23" i="1" s="1"/>
  <c r="GWE23" i="1" s="1"/>
  <c r="GWF23" i="1" s="1"/>
  <c r="GWG23" i="1" s="1"/>
  <c r="GWH23" i="1" s="1"/>
  <c r="GWI23" i="1" s="1"/>
  <c r="GWJ23" i="1" s="1"/>
  <c r="GWK23" i="1" s="1"/>
  <c r="GWL23" i="1" s="1"/>
  <c r="GWM23" i="1" s="1"/>
  <c r="GWN23" i="1" s="1"/>
  <c r="GWO23" i="1" s="1"/>
  <c r="GWP23" i="1" s="1"/>
  <c r="GWQ23" i="1" s="1"/>
  <c r="GWR23" i="1" s="1"/>
  <c r="GWS23" i="1" s="1"/>
  <c r="GWT23" i="1" s="1"/>
  <c r="GWU23" i="1" s="1"/>
  <c r="GWV23" i="1" s="1"/>
  <c r="GWW23" i="1" s="1"/>
  <c r="GWX23" i="1" s="1"/>
  <c r="GWY23" i="1" s="1"/>
  <c r="GWZ23" i="1" s="1"/>
  <c r="GXA23" i="1" s="1"/>
  <c r="GXB23" i="1" s="1"/>
  <c r="GXC23" i="1" s="1"/>
  <c r="GXD23" i="1" s="1"/>
  <c r="GXE23" i="1" s="1"/>
  <c r="GXF23" i="1" s="1"/>
  <c r="GXG23" i="1" s="1"/>
  <c r="GXH23" i="1" s="1"/>
  <c r="GXI23" i="1" s="1"/>
  <c r="GXJ23" i="1" s="1"/>
  <c r="GXK23" i="1" s="1"/>
  <c r="GXL23" i="1" s="1"/>
  <c r="GXM23" i="1" s="1"/>
  <c r="GXN23" i="1" s="1"/>
  <c r="GXO23" i="1" s="1"/>
  <c r="GXP23" i="1" s="1"/>
  <c r="GXQ23" i="1" s="1"/>
  <c r="GXR23" i="1" s="1"/>
  <c r="GXS23" i="1" s="1"/>
  <c r="GXT23" i="1" s="1"/>
  <c r="GXU23" i="1" s="1"/>
  <c r="GXV23" i="1" s="1"/>
  <c r="GXW23" i="1" s="1"/>
  <c r="GXX23" i="1" s="1"/>
  <c r="GXY23" i="1" s="1"/>
  <c r="GXZ23" i="1" s="1"/>
  <c r="GYA23" i="1" s="1"/>
  <c r="GYB23" i="1" s="1"/>
  <c r="GYC23" i="1" s="1"/>
  <c r="GYD23" i="1" s="1"/>
  <c r="GYE23" i="1" s="1"/>
  <c r="GYF23" i="1" s="1"/>
  <c r="GYG23" i="1" s="1"/>
  <c r="GYH23" i="1" s="1"/>
  <c r="GYI23" i="1" s="1"/>
  <c r="GYJ23" i="1" s="1"/>
  <c r="GYK23" i="1" s="1"/>
  <c r="GYL23" i="1" s="1"/>
  <c r="GYM23" i="1" s="1"/>
  <c r="GYN23" i="1" s="1"/>
  <c r="GYO23" i="1" s="1"/>
  <c r="GYP23" i="1" s="1"/>
  <c r="GYQ23" i="1" s="1"/>
  <c r="GYR23" i="1" s="1"/>
  <c r="GYS23" i="1" s="1"/>
  <c r="GYT23" i="1" s="1"/>
  <c r="GYU23" i="1" s="1"/>
  <c r="GYV23" i="1" s="1"/>
  <c r="GYW23" i="1" s="1"/>
  <c r="GYX23" i="1" s="1"/>
  <c r="GYY23" i="1" s="1"/>
  <c r="GYZ23" i="1" s="1"/>
  <c r="GZA23" i="1" s="1"/>
  <c r="GZB23" i="1" s="1"/>
  <c r="GZC23" i="1" s="1"/>
  <c r="GZD23" i="1" s="1"/>
  <c r="GZE23" i="1" s="1"/>
  <c r="GZF23" i="1" s="1"/>
  <c r="GZG23" i="1" s="1"/>
  <c r="GZH23" i="1" s="1"/>
  <c r="GZI23" i="1" s="1"/>
  <c r="GZJ23" i="1" s="1"/>
  <c r="GZK23" i="1" s="1"/>
  <c r="GZL23" i="1" s="1"/>
  <c r="GZM23" i="1" s="1"/>
  <c r="GZN23" i="1" s="1"/>
  <c r="GZO23" i="1" s="1"/>
  <c r="GZP23" i="1" s="1"/>
  <c r="GZQ23" i="1" s="1"/>
  <c r="GZR23" i="1" s="1"/>
  <c r="GZS23" i="1" s="1"/>
  <c r="GZT23" i="1" s="1"/>
  <c r="GZU23" i="1" s="1"/>
  <c r="GZV23" i="1" s="1"/>
  <c r="GZW23" i="1" s="1"/>
  <c r="GZX23" i="1" s="1"/>
  <c r="GZY23" i="1" s="1"/>
  <c r="GZZ23" i="1" s="1"/>
  <c r="HAA23" i="1" s="1"/>
  <c r="HAB23" i="1" s="1"/>
  <c r="HAC23" i="1" s="1"/>
  <c r="HAD23" i="1" s="1"/>
  <c r="HAE23" i="1" s="1"/>
  <c r="HAF23" i="1" s="1"/>
  <c r="HAG23" i="1" s="1"/>
  <c r="HAH23" i="1" s="1"/>
  <c r="HAI23" i="1" s="1"/>
  <c r="HAJ23" i="1" s="1"/>
  <c r="HAK23" i="1" s="1"/>
  <c r="HAL23" i="1" s="1"/>
  <c r="HAM23" i="1" s="1"/>
  <c r="HAN23" i="1" s="1"/>
  <c r="HAO23" i="1" s="1"/>
  <c r="HAP23" i="1" s="1"/>
  <c r="HAQ23" i="1" s="1"/>
  <c r="HAR23" i="1" s="1"/>
  <c r="HAS23" i="1" s="1"/>
  <c r="HAT23" i="1" s="1"/>
  <c r="HAU23" i="1" s="1"/>
  <c r="HAV23" i="1" s="1"/>
  <c r="HAW23" i="1" s="1"/>
  <c r="HAX23" i="1" s="1"/>
  <c r="HAY23" i="1" s="1"/>
  <c r="HAZ23" i="1" s="1"/>
  <c r="HBA23" i="1" s="1"/>
  <c r="HBB23" i="1" s="1"/>
  <c r="HBC23" i="1" s="1"/>
  <c r="HBD23" i="1" s="1"/>
  <c r="HBE23" i="1" s="1"/>
  <c r="HBF23" i="1" s="1"/>
  <c r="HBG23" i="1" s="1"/>
  <c r="HBH23" i="1" s="1"/>
  <c r="HBI23" i="1" s="1"/>
  <c r="HBJ23" i="1" s="1"/>
  <c r="HBK23" i="1" s="1"/>
  <c r="HBL23" i="1" s="1"/>
  <c r="HBM23" i="1" s="1"/>
  <c r="HBN23" i="1" s="1"/>
  <c r="HBO23" i="1" s="1"/>
  <c r="HBP23" i="1" s="1"/>
  <c r="HBQ23" i="1" s="1"/>
  <c r="HBR23" i="1" s="1"/>
  <c r="HBS23" i="1" s="1"/>
  <c r="HBT23" i="1" s="1"/>
  <c r="HBU23" i="1" s="1"/>
  <c r="HBV23" i="1" s="1"/>
  <c r="HBW23" i="1" s="1"/>
  <c r="HBX23" i="1" s="1"/>
  <c r="HBY23" i="1" s="1"/>
  <c r="HBZ23" i="1" s="1"/>
  <c r="HCA23" i="1" s="1"/>
  <c r="HCB23" i="1" s="1"/>
  <c r="HCC23" i="1" s="1"/>
  <c r="HCD23" i="1" s="1"/>
  <c r="HCE23" i="1" s="1"/>
  <c r="HCF23" i="1" s="1"/>
  <c r="HCG23" i="1" s="1"/>
  <c r="HCH23" i="1" s="1"/>
  <c r="HCI23" i="1" s="1"/>
  <c r="HCJ23" i="1" s="1"/>
  <c r="HCK23" i="1" s="1"/>
  <c r="HCL23" i="1" s="1"/>
  <c r="HCM23" i="1" s="1"/>
  <c r="HCN23" i="1" s="1"/>
  <c r="HCO23" i="1" s="1"/>
  <c r="HCP23" i="1" s="1"/>
  <c r="HCQ23" i="1" s="1"/>
  <c r="HCR23" i="1" s="1"/>
  <c r="HCS23" i="1" s="1"/>
  <c r="HCT23" i="1" s="1"/>
  <c r="HCU23" i="1" s="1"/>
  <c r="HCV23" i="1" s="1"/>
  <c r="HCW23" i="1" s="1"/>
  <c r="HCX23" i="1" s="1"/>
  <c r="HCY23" i="1" s="1"/>
  <c r="HCZ23" i="1" s="1"/>
  <c r="HDA23" i="1" s="1"/>
  <c r="HDB23" i="1" s="1"/>
  <c r="HDC23" i="1" s="1"/>
  <c r="HDD23" i="1" s="1"/>
  <c r="HDE23" i="1" s="1"/>
  <c r="HDF23" i="1" s="1"/>
  <c r="HDG23" i="1" s="1"/>
  <c r="HDH23" i="1" s="1"/>
  <c r="HDI23" i="1" s="1"/>
  <c r="HDJ23" i="1" s="1"/>
  <c r="HDK23" i="1" s="1"/>
  <c r="HDL23" i="1" s="1"/>
  <c r="HDM23" i="1" s="1"/>
  <c r="HDN23" i="1" s="1"/>
  <c r="HDO23" i="1" s="1"/>
  <c r="HDP23" i="1" s="1"/>
  <c r="HDQ23" i="1" s="1"/>
  <c r="HDR23" i="1" s="1"/>
  <c r="HDS23" i="1" s="1"/>
  <c r="HDT23" i="1" s="1"/>
  <c r="HDU23" i="1" s="1"/>
  <c r="HDV23" i="1" s="1"/>
  <c r="HDW23" i="1" s="1"/>
  <c r="HDX23" i="1" s="1"/>
  <c r="HDY23" i="1" s="1"/>
  <c r="HDZ23" i="1" s="1"/>
  <c r="HEA23" i="1" s="1"/>
  <c r="HEB23" i="1" s="1"/>
  <c r="HEC23" i="1" s="1"/>
  <c r="HED23" i="1" s="1"/>
  <c r="HEE23" i="1" s="1"/>
  <c r="HEF23" i="1" s="1"/>
  <c r="HEG23" i="1" s="1"/>
  <c r="HEH23" i="1" s="1"/>
  <c r="HEI23" i="1" s="1"/>
  <c r="HEJ23" i="1" s="1"/>
  <c r="HEK23" i="1" s="1"/>
  <c r="HEL23" i="1" s="1"/>
  <c r="HEM23" i="1" s="1"/>
  <c r="HEN23" i="1" s="1"/>
  <c r="HEO23" i="1" s="1"/>
  <c r="HEP23" i="1" s="1"/>
  <c r="HEQ23" i="1" s="1"/>
  <c r="HER23" i="1" s="1"/>
  <c r="HES23" i="1" s="1"/>
  <c r="HET23" i="1" s="1"/>
  <c r="HEU23" i="1" s="1"/>
  <c r="HEV23" i="1" s="1"/>
  <c r="HEW23" i="1" s="1"/>
  <c r="HEX23" i="1" s="1"/>
  <c r="HEY23" i="1" s="1"/>
  <c r="HEZ23" i="1" s="1"/>
  <c r="HFA23" i="1" s="1"/>
  <c r="HFB23" i="1" s="1"/>
  <c r="HFC23" i="1" s="1"/>
  <c r="HFD23" i="1" s="1"/>
  <c r="HFE23" i="1" s="1"/>
  <c r="HFF23" i="1" s="1"/>
  <c r="HFG23" i="1" s="1"/>
  <c r="HFH23" i="1" s="1"/>
  <c r="HFI23" i="1" s="1"/>
  <c r="HFJ23" i="1" s="1"/>
  <c r="HFK23" i="1" s="1"/>
  <c r="HFL23" i="1" s="1"/>
  <c r="HFM23" i="1" s="1"/>
  <c r="HFN23" i="1" s="1"/>
  <c r="HFO23" i="1" s="1"/>
  <c r="HFP23" i="1" s="1"/>
  <c r="HFQ23" i="1" s="1"/>
  <c r="HFR23" i="1" s="1"/>
  <c r="HFS23" i="1" s="1"/>
  <c r="HFT23" i="1" s="1"/>
  <c r="HFU23" i="1" s="1"/>
  <c r="HFV23" i="1" s="1"/>
  <c r="HFW23" i="1" s="1"/>
  <c r="HFX23" i="1" s="1"/>
  <c r="HFY23" i="1" s="1"/>
  <c r="HFZ23" i="1" s="1"/>
  <c r="HGA23" i="1" s="1"/>
  <c r="HGB23" i="1" s="1"/>
  <c r="HGC23" i="1" s="1"/>
  <c r="HGD23" i="1" s="1"/>
  <c r="HGE23" i="1" s="1"/>
  <c r="HGF23" i="1" s="1"/>
  <c r="HGG23" i="1" s="1"/>
  <c r="HGH23" i="1" s="1"/>
  <c r="HGI23" i="1" s="1"/>
  <c r="HGJ23" i="1" s="1"/>
  <c r="HGK23" i="1" s="1"/>
  <c r="HGL23" i="1" s="1"/>
  <c r="HGM23" i="1" s="1"/>
  <c r="HGN23" i="1" s="1"/>
  <c r="HGO23" i="1" s="1"/>
  <c r="HGP23" i="1" s="1"/>
  <c r="HGQ23" i="1" s="1"/>
  <c r="HGR23" i="1" s="1"/>
  <c r="HGS23" i="1" s="1"/>
  <c r="HGT23" i="1" s="1"/>
  <c r="HGU23" i="1" s="1"/>
  <c r="HGV23" i="1" s="1"/>
  <c r="HGW23" i="1" s="1"/>
  <c r="HGX23" i="1" s="1"/>
  <c r="HGY23" i="1" s="1"/>
  <c r="HGZ23" i="1" s="1"/>
  <c r="HHA23" i="1" s="1"/>
  <c r="HHB23" i="1" s="1"/>
  <c r="HHC23" i="1" s="1"/>
  <c r="HHD23" i="1" s="1"/>
  <c r="HHE23" i="1" s="1"/>
  <c r="HHF23" i="1" s="1"/>
  <c r="HHG23" i="1" s="1"/>
  <c r="HHH23" i="1" s="1"/>
  <c r="HHI23" i="1" s="1"/>
  <c r="HHJ23" i="1" s="1"/>
  <c r="HHK23" i="1" s="1"/>
  <c r="HHL23" i="1" s="1"/>
  <c r="HHM23" i="1" s="1"/>
  <c r="HHN23" i="1" s="1"/>
  <c r="HHO23" i="1" s="1"/>
  <c r="HHP23" i="1" s="1"/>
  <c r="HHQ23" i="1" s="1"/>
  <c r="HHR23" i="1" s="1"/>
  <c r="HHS23" i="1" s="1"/>
  <c r="HHT23" i="1" s="1"/>
  <c r="HHU23" i="1" s="1"/>
  <c r="HHV23" i="1" s="1"/>
  <c r="HHW23" i="1" s="1"/>
  <c r="HHX23" i="1" s="1"/>
  <c r="HHY23" i="1" s="1"/>
  <c r="HHZ23" i="1" s="1"/>
  <c r="HIA23" i="1" s="1"/>
  <c r="HIB23" i="1" s="1"/>
  <c r="HIC23" i="1" s="1"/>
  <c r="HID23" i="1" s="1"/>
  <c r="HIE23" i="1" s="1"/>
  <c r="HIF23" i="1" s="1"/>
  <c r="HIG23" i="1" s="1"/>
  <c r="HIH23" i="1" s="1"/>
  <c r="HII23" i="1" s="1"/>
  <c r="HIJ23" i="1" s="1"/>
  <c r="HIK23" i="1" s="1"/>
  <c r="HIL23" i="1" s="1"/>
  <c r="HIM23" i="1" s="1"/>
  <c r="HIN23" i="1" s="1"/>
  <c r="HIO23" i="1" s="1"/>
  <c r="HIP23" i="1" s="1"/>
  <c r="HIQ23" i="1" s="1"/>
  <c r="HIR23" i="1" s="1"/>
  <c r="HIS23" i="1" s="1"/>
  <c r="HIT23" i="1" s="1"/>
  <c r="HIU23" i="1" s="1"/>
  <c r="HIV23" i="1" s="1"/>
  <c r="HIW23" i="1" s="1"/>
  <c r="HIX23" i="1" s="1"/>
  <c r="HIY23" i="1" s="1"/>
  <c r="HIZ23" i="1" s="1"/>
  <c r="HJA23" i="1" s="1"/>
  <c r="HJB23" i="1" s="1"/>
  <c r="HJC23" i="1" s="1"/>
  <c r="HJD23" i="1" s="1"/>
  <c r="HJE23" i="1" s="1"/>
  <c r="HJF23" i="1" s="1"/>
  <c r="HJG23" i="1" s="1"/>
  <c r="HJH23" i="1" s="1"/>
  <c r="HJI23" i="1" s="1"/>
  <c r="HJJ23" i="1" s="1"/>
  <c r="HJK23" i="1" s="1"/>
  <c r="HJL23" i="1" s="1"/>
  <c r="HJM23" i="1" s="1"/>
  <c r="HJN23" i="1" s="1"/>
  <c r="HJO23" i="1" s="1"/>
  <c r="HJP23" i="1" s="1"/>
  <c r="HJQ23" i="1" s="1"/>
  <c r="HJR23" i="1" s="1"/>
  <c r="HJS23" i="1" s="1"/>
  <c r="HJT23" i="1" s="1"/>
  <c r="HJU23" i="1" s="1"/>
  <c r="HJV23" i="1" s="1"/>
  <c r="HJW23" i="1" s="1"/>
  <c r="HJX23" i="1" s="1"/>
  <c r="HJY23" i="1" s="1"/>
  <c r="HJZ23" i="1" s="1"/>
  <c r="HKA23" i="1" s="1"/>
  <c r="HKB23" i="1" s="1"/>
  <c r="HKC23" i="1" s="1"/>
  <c r="HKD23" i="1" s="1"/>
  <c r="HKE23" i="1" s="1"/>
  <c r="HKF23" i="1" s="1"/>
  <c r="HKG23" i="1" s="1"/>
  <c r="HKH23" i="1" s="1"/>
  <c r="HKI23" i="1" s="1"/>
  <c r="HKJ23" i="1" s="1"/>
  <c r="HKK23" i="1" s="1"/>
  <c r="HKL23" i="1" s="1"/>
  <c r="HKM23" i="1" s="1"/>
  <c r="HKN23" i="1" s="1"/>
  <c r="HKO23" i="1" s="1"/>
  <c r="HKP23" i="1" s="1"/>
  <c r="HKQ23" i="1" s="1"/>
  <c r="HKR23" i="1" s="1"/>
  <c r="HKS23" i="1" s="1"/>
  <c r="HKT23" i="1" s="1"/>
  <c r="HKU23" i="1" s="1"/>
  <c r="HKV23" i="1" s="1"/>
  <c r="HKW23" i="1" s="1"/>
  <c r="HKX23" i="1" s="1"/>
  <c r="HKY23" i="1" s="1"/>
  <c r="HKZ23" i="1" s="1"/>
  <c r="HLA23" i="1" s="1"/>
  <c r="HLB23" i="1" s="1"/>
  <c r="HLC23" i="1" s="1"/>
  <c r="HLD23" i="1" s="1"/>
  <c r="HLE23" i="1" s="1"/>
  <c r="HLF23" i="1" s="1"/>
  <c r="HLG23" i="1" s="1"/>
  <c r="HLH23" i="1" s="1"/>
  <c r="HLI23" i="1" s="1"/>
  <c r="HLJ23" i="1" s="1"/>
  <c r="HLK23" i="1" s="1"/>
  <c r="HLL23" i="1" s="1"/>
  <c r="HLM23" i="1" s="1"/>
  <c r="HLN23" i="1" s="1"/>
  <c r="HLO23" i="1" s="1"/>
  <c r="HLP23" i="1" s="1"/>
  <c r="HLQ23" i="1" s="1"/>
  <c r="HLR23" i="1" s="1"/>
  <c r="HLS23" i="1" s="1"/>
  <c r="HLT23" i="1" s="1"/>
  <c r="HLU23" i="1" s="1"/>
  <c r="HLV23" i="1" s="1"/>
  <c r="HLW23" i="1" s="1"/>
  <c r="HLX23" i="1" s="1"/>
  <c r="HLY23" i="1" s="1"/>
  <c r="HLZ23" i="1" s="1"/>
  <c r="HMA23" i="1" s="1"/>
  <c r="HMB23" i="1" s="1"/>
  <c r="HMC23" i="1" s="1"/>
  <c r="HMD23" i="1" s="1"/>
  <c r="HME23" i="1" s="1"/>
  <c r="HMF23" i="1" s="1"/>
  <c r="HMG23" i="1" s="1"/>
  <c r="HMH23" i="1" s="1"/>
  <c r="HMI23" i="1" s="1"/>
  <c r="HMJ23" i="1" s="1"/>
  <c r="HMK23" i="1" s="1"/>
  <c r="HML23" i="1" s="1"/>
  <c r="HMM23" i="1" s="1"/>
  <c r="HMN23" i="1" s="1"/>
  <c r="HMO23" i="1" s="1"/>
  <c r="HMP23" i="1" s="1"/>
  <c r="HMQ23" i="1" s="1"/>
  <c r="HMR23" i="1" s="1"/>
  <c r="HMS23" i="1" s="1"/>
  <c r="HMT23" i="1" s="1"/>
  <c r="HMU23" i="1" s="1"/>
  <c r="HMV23" i="1" s="1"/>
  <c r="HMW23" i="1" s="1"/>
  <c r="HMX23" i="1" s="1"/>
  <c r="HMY23" i="1" s="1"/>
  <c r="HMZ23" i="1" s="1"/>
  <c r="HNA23" i="1" s="1"/>
  <c r="HNB23" i="1" s="1"/>
  <c r="HNC23" i="1" s="1"/>
  <c r="HND23" i="1" s="1"/>
  <c r="HNE23" i="1" s="1"/>
  <c r="HNF23" i="1" s="1"/>
  <c r="HNG23" i="1" s="1"/>
  <c r="HNH23" i="1" s="1"/>
  <c r="HNI23" i="1" s="1"/>
  <c r="HNJ23" i="1" s="1"/>
  <c r="HNK23" i="1" s="1"/>
  <c r="HNL23" i="1" s="1"/>
  <c r="HNM23" i="1" s="1"/>
  <c r="HNN23" i="1" s="1"/>
  <c r="HNO23" i="1" s="1"/>
  <c r="HNP23" i="1" s="1"/>
  <c r="HNQ23" i="1" s="1"/>
  <c r="HNR23" i="1" s="1"/>
  <c r="HNS23" i="1" s="1"/>
  <c r="HNT23" i="1" s="1"/>
  <c r="HNU23" i="1" s="1"/>
  <c r="HNV23" i="1" s="1"/>
  <c r="HNW23" i="1" s="1"/>
  <c r="HNX23" i="1" s="1"/>
  <c r="HNY23" i="1" s="1"/>
  <c r="HNZ23" i="1" s="1"/>
  <c r="HOA23" i="1" s="1"/>
  <c r="HOB23" i="1" s="1"/>
  <c r="HOC23" i="1" s="1"/>
  <c r="HOD23" i="1" s="1"/>
  <c r="HOE23" i="1" s="1"/>
  <c r="HOF23" i="1" s="1"/>
  <c r="HOG23" i="1" s="1"/>
  <c r="HOH23" i="1" s="1"/>
  <c r="HOI23" i="1" s="1"/>
  <c r="HOJ23" i="1" s="1"/>
  <c r="HOK23" i="1" s="1"/>
  <c r="HOL23" i="1" s="1"/>
  <c r="HOM23" i="1" s="1"/>
  <c r="HON23" i="1" s="1"/>
  <c r="HOO23" i="1" s="1"/>
  <c r="HOP23" i="1" s="1"/>
  <c r="HOQ23" i="1" s="1"/>
  <c r="HOR23" i="1" s="1"/>
  <c r="HOS23" i="1" s="1"/>
  <c r="HOT23" i="1" s="1"/>
  <c r="HOU23" i="1" s="1"/>
  <c r="HOV23" i="1" s="1"/>
  <c r="HOW23" i="1" s="1"/>
  <c r="HOX23" i="1" s="1"/>
  <c r="HOY23" i="1" s="1"/>
  <c r="HOZ23" i="1" s="1"/>
  <c r="HPA23" i="1" s="1"/>
  <c r="HPB23" i="1" s="1"/>
  <c r="HPC23" i="1" s="1"/>
  <c r="HPD23" i="1" s="1"/>
  <c r="HPE23" i="1" s="1"/>
  <c r="HPF23" i="1" s="1"/>
  <c r="HPG23" i="1" s="1"/>
  <c r="HPH23" i="1" s="1"/>
  <c r="HPI23" i="1" s="1"/>
  <c r="HPJ23" i="1" s="1"/>
  <c r="HPK23" i="1" s="1"/>
  <c r="HPL23" i="1" s="1"/>
  <c r="HPM23" i="1" s="1"/>
  <c r="HPN23" i="1" s="1"/>
  <c r="HPO23" i="1" s="1"/>
  <c r="HPP23" i="1" s="1"/>
  <c r="HPQ23" i="1" s="1"/>
  <c r="HPR23" i="1" s="1"/>
  <c r="HPS23" i="1" s="1"/>
  <c r="HPT23" i="1" s="1"/>
  <c r="HPU23" i="1" s="1"/>
  <c r="HPV23" i="1" s="1"/>
  <c r="HPW23" i="1" s="1"/>
  <c r="HPX23" i="1" s="1"/>
  <c r="HPY23" i="1" s="1"/>
  <c r="HPZ23" i="1" s="1"/>
  <c r="HQA23" i="1" s="1"/>
  <c r="HQB23" i="1" s="1"/>
  <c r="HQC23" i="1" s="1"/>
  <c r="HQD23" i="1" s="1"/>
  <c r="HQE23" i="1" s="1"/>
  <c r="HQF23" i="1" s="1"/>
  <c r="HQG23" i="1" s="1"/>
  <c r="HQH23" i="1" s="1"/>
  <c r="HQI23" i="1" s="1"/>
  <c r="HQJ23" i="1" s="1"/>
  <c r="HQK23" i="1" s="1"/>
  <c r="HQL23" i="1" s="1"/>
  <c r="HQM23" i="1" s="1"/>
  <c r="HQN23" i="1" s="1"/>
  <c r="HQO23" i="1" s="1"/>
  <c r="HQP23" i="1" s="1"/>
  <c r="HQQ23" i="1" s="1"/>
  <c r="HQR23" i="1" s="1"/>
  <c r="HQS23" i="1" s="1"/>
  <c r="HQT23" i="1" s="1"/>
  <c r="HQU23" i="1" s="1"/>
  <c r="HQV23" i="1" s="1"/>
  <c r="HQW23" i="1" s="1"/>
  <c r="HQX23" i="1" s="1"/>
  <c r="HQY23" i="1" s="1"/>
  <c r="HQZ23" i="1" s="1"/>
  <c r="HRA23" i="1" s="1"/>
  <c r="HRB23" i="1" s="1"/>
  <c r="HRC23" i="1" s="1"/>
  <c r="HRD23" i="1" s="1"/>
  <c r="HRE23" i="1" s="1"/>
  <c r="HRF23" i="1" s="1"/>
  <c r="HRG23" i="1" s="1"/>
  <c r="HRH23" i="1" s="1"/>
  <c r="HRI23" i="1" s="1"/>
  <c r="HRJ23" i="1" s="1"/>
  <c r="HRK23" i="1" s="1"/>
  <c r="HRL23" i="1" s="1"/>
  <c r="HRM23" i="1" s="1"/>
  <c r="HRN23" i="1" s="1"/>
  <c r="HRO23" i="1" s="1"/>
  <c r="HRP23" i="1" s="1"/>
  <c r="HRQ23" i="1" s="1"/>
  <c r="HRR23" i="1" s="1"/>
  <c r="HRS23" i="1" s="1"/>
  <c r="HRT23" i="1" s="1"/>
  <c r="HRU23" i="1" s="1"/>
  <c r="HRV23" i="1" s="1"/>
  <c r="HRW23" i="1" s="1"/>
  <c r="HRX23" i="1" s="1"/>
  <c r="HRY23" i="1" s="1"/>
  <c r="HRZ23" i="1" s="1"/>
  <c r="HSA23" i="1" s="1"/>
  <c r="HSB23" i="1" s="1"/>
  <c r="HSC23" i="1" s="1"/>
  <c r="HSD23" i="1" s="1"/>
  <c r="HSE23" i="1" s="1"/>
  <c r="HSF23" i="1" s="1"/>
  <c r="HSG23" i="1" s="1"/>
  <c r="HSH23" i="1" s="1"/>
  <c r="HSI23" i="1" s="1"/>
  <c r="HSJ23" i="1" s="1"/>
  <c r="HSK23" i="1" s="1"/>
  <c r="HSL23" i="1" s="1"/>
  <c r="HSM23" i="1" s="1"/>
  <c r="HSN23" i="1" s="1"/>
  <c r="HSO23" i="1" s="1"/>
  <c r="HSP23" i="1" s="1"/>
  <c r="HSQ23" i="1" s="1"/>
  <c r="HSR23" i="1" s="1"/>
  <c r="HSS23" i="1" s="1"/>
  <c r="HST23" i="1" s="1"/>
  <c r="HSU23" i="1" s="1"/>
  <c r="HSV23" i="1" s="1"/>
  <c r="HSW23" i="1" s="1"/>
  <c r="HSX23" i="1" s="1"/>
  <c r="HSY23" i="1" s="1"/>
  <c r="HSZ23" i="1" s="1"/>
  <c r="HTA23" i="1" s="1"/>
  <c r="HTB23" i="1" s="1"/>
  <c r="HTC23" i="1" s="1"/>
  <c r="HTD23" i="1" s="1"/>
  <c r="HTE23" i="1" s="1"/>
  <c r="HTF23" i="1" s="1"/>
  <c r="HTG23" i="1" s="1"/>
  <c r="HTH23" i="1" s="1"/>
  <c r="HTI23" i="1" s="1"/>
  <c r="HTJ23" i="1" s="1"/>
  <c r="HTK23" i="1" s="1"/>
  <c r="HTL23" i="1" s="1"/>
  <c r="HTM23" i="1" s="1"/>
  <c r="HTN23" i="1" s="1"/>
  <c r="HTO23" i="1" s="1"/>
  <c r="HTP23" i="1" s="1"/>
  <c r="HTQ23" i="1" s="1"/>
  <c r="HTR23" i="1" s="1"/>
  <c r="HTS23" i="1" s="1"/>
  <c r="HTT23" i="1" s="1"/>
  <c r="HTU23" i="1" s="1"/>
  <c r="HTV23" i="1" s="1"/>
  <c r="HTW23" i="1" s="1"/>
  <c r="HTX23" i="1" s="1"/>
  <c r="HTY23" i="1" s="1"/>
  <c r="HTZ23" i="1" s="1"/>
  <c r="HUA23" i="1" s="1"/>
  <c r="HUB23" i="1" s="1"/>
  <c r="HUC23" i="1" s="1"/>
  <c r="HUD23" i="1" s="1"/>
  <c r="HUE23" i="1" s="1"/>
  <c r="HUF23" i="1" s="1"/>
  <c r="HUG23" i="1" s="1"/>
  <c r="HUH23" i="1" s="1"/>
  <c r="HUI23" i="1" s="1"/>
  <c r="HUJ23" i="1" s="1"/>
  <c r="HUK23" i="1" s="1"/>
  <c r="HUL23" i="1" s="1"/>
  <c r="HUM23" i="1" s="1"/>
  <c r="HUN23" i="1" s="1"/>
  <c r="HUO23" i="1" s="1"/>
  <c r="HUP23" i="1" s="1"/>
  <c r="HUQ23" i="1" s="1"/>
  <c r="HUR23" i="1" s="1"/>
  <c r="HUS23" i="1" s="1"/>
  <c r="HUT23" i="1" s="1"/>
  <c r="HUU23" i="1" s="1"/>
  <c r="HUV23" i="1" s="1"/>
  <c r="HUW23" i="1" s="1"/>
  <c r="HUX23" i="1" s="1"/>
  <c r="HUY23" i="1" s="1"/>
  <c r="HUZ23" i="1" s="1"/>
  <c r="HVA23" i="1" s="1"/>
  <c r="HVB23" i="1" s="1"/>
  <c r="HVC23" i="1" s="1"/>
  <c r="HVD23" i="1" s="1"/>
  <c r="HVE23" i="1" s="1"/>
  <c r="HVF23" i="1" s="1"/>
  <c r="HVG23" i="1" s="1"/>
  <c r="HVH23" i="1" s="1"/>
  <c r="HVI23" i="1" s="1"/>
  <c r="HVJ23" i="1" s="1"/>
  <c r="HVK23" i="1" s="1"/>
  <c r="HVL23" i="1" s="1"/>
  <c r="HVM23" i="1" s="1"/>
  <c r="HVN23" i="1" s="1"/>
  <c r="HVO23" i="1" s="1"/>
  <c r="HVP23" i="1" s="1"/>
  <c r="HVQ23" i="1" s="1"/>
  <c r="HVR23" i="1" s="1"/>
  <c r="HVS23" i="1" s="1"/>
  <c r="HVT23" i="1" s="1"/>
  <c r="HVU23" i="1" s="1"/>
  <c r="HVV23" i="1" s="1"/>
  <c r="HVW23" i="1" s="1"/>
  <c r="HVX23" i="1" s="1"/>
  <c r="HVY23" i="1" s="1"/>
  <c r="HVZ23" i="1" s="1"/>
  <c r="HWA23" i="1" s="1"/>
  <c r="HWB23" i="1" s="1"/>
  <c r="HWC23" i="1" s="1"/>
  <c r="HWD23" i="1" s="1"/>
  <c r="HWE23" i="1" s="1"/>
  <c r="HWF23" i="1" s="1"/>
  <c r="HWG23" i="1" s="1"/>
  <c r="HWH23" i="1" s="1"/>
  <c r="HWI23" i="1" s="1"/>
  <c r="HWJ23" i="1" s="1"/>
  <c r="HWK23" i="1" s="1"/>
  <c r="HWL23" i="1" s="1"/>
  <c r="HWM23" i="1" s="1"/>
  <c r="HWN23" i="1" s="1"/>
  <c r="HWO23" i="1" s="1"/>
  <c r="HWP23" i="1" s="1"/>
  <c r="HWQ23" i="1" s="1"/>
  <c r="HWR23" i="1" s="1"/>
  <c r="HWS23" i="1" s="1"/>
  <c r="HWT23" i="1" s="1"/>
  <c r="HWU23" i="1" s="1"/>
  <c r="HWV23" i="1" s="1"/>
  <c r="HWW23" i="1" s="1"/>
  <c r="HWX23" i="1" s="1"/>
  <c r="HWY23" i="1" s="1"/>
  <c r="HWZ23" i="1" s="1"/>
  <c r="HXA23" i="1" s="1"/>
  <c r="HXB23" i="1" s="1"/>
  <c r="HXC23" i="1" s="1"/>
  <c r="HXD23" i="1" s="1"/>
  <c r="HXE23" i="1" s="1"/>
  <c r="HXF23" i="1" s="1"/>
  <c r="HXG23" i="1" s="1"/>
  <c r="HXH23" i="1" s="1"/>
  <c r="HXI23" i="1" s="1"/>
  <c r="HXJ23" i="1" s="1"/>
  <c r="HXK23" i="1" s="1"/>
  <c r="HXL23" i="1" s="1"/>
  <c r="HXM23" i="1" s="1"/>
  <c r="HXN23" i="1" s="1"/>
  <c r="HXO23" i="1" s="1"/>
  <c r="HXP23" i="1" s="1"/>
  <c r="HXQ23" i="1" s="1"/>
  <c r="HXR23" i="1" s="1"/>
  <c r="HXS23" i="1" s="1"/>
  <c r="HXT23" i="1" s="1"/>
  <c r="HXU23" i="1" s="1"/>
  <c r="HXV23" i="1" s="1"/>
  <c r="HXW23" i="1" s="1"/>
  <c r="HXX23" i="1" s="1"/>
  <c r="HXY23" i="1" s="1"/>
  <c r="HXZ23" i="1" s="1"/>
  <c r="HYA23" i="1" s="1"/>
  <c r="HYB23" i="1" s="1"/>
  <c r="HYC23" i="1" s="1"/>
  <c r="HYD23" i="1" s="1"/>
  <c r="HYE23" i="1" s="1"/>
  <c r="HYF23" i="1" s="1"/>
  <c r="HYG23" i="1" s="1"/>
  <c r="HYH23" i="1" s="1"/>
  <c r="HYI23" i="1" s="1"/>
  <c r="HYJ23" i="1" s="1"/>
  <c r="HYK23" i="1" s="1"/>
  <c r="HYL23" i="1" s="1"/>
  <c r="HYM23" i="1" s="1"/>
  <c r="HYN23" i="1" s="1"/>
  <c r="HYO23" i="1" s="1"/>
  <c r="HYP23" i="1" s="1"/>
  <c r="HYQ23" i="1" s="1"/>
  <c r="HYR23" i="1" s="1"/>
  <c r="HYS23" i="1" s="1"/>
  <c r="HYT23" i="1" s="1"/>
  <c r="HYU23" i="1" s="1"/>
  <c r="HYV23" i="1" s="1"/>
  <c r="HYW23" i="1" s="1"/>
  <c r="HYX23" i="1" s="1"/>
  <c r="HYY23" i="1" s="1"/>
  <c r="HYZ23" i="1" s="1"/>
  <c r="HZA23" i="1" s="1"/>
  <c r="HZB23" i="1" s="1"/>
  <c r="HZC23" i="1" s="1"/>
  <c r="HZD23" i="1" s="1"/>
  <c r="HZE23" i="1" s="1"/>
  <c r="HZF23" i="1" s="1"/>
  <c r="HZG23" i="1" s="1"/>
  <c r="HZH23" i="1" s="1"/>
  <c r="HZI23" i="1" s="1"/>
  <c r="HZJ23" i="1" s="1"/>
  <c r="HZK23" i="1" s="1"/>
  <c r="HZL23" i="1" s="1"/>
  <c r="HZM23" i="1" s="1"/>
  <c r="HZN23" i="1" s="1"/>
  <c r="HZO23" i="1" s="1"/>
  <c r="HZP23" i="1" s="1"/>
  <c r="HZQ23" i="1" s="1"/>
  <c r="HZR23" i="1" s="1"/>
  <c r="HZS23" i="1" s="1"/>
  <c r="HZT23" i="1" s="1"/>
  <c r="HZU23" i="1" s="1"/>
  <c r="HZV23" i="1" s="1"/>
  <c r="HZW23" i="1" s="1"/>
  <c r="HZX23" i="1" s="1"/>
  <c r="HZY23" i="1" s="1"/>
  <c r="HZZ23" i="1" s="1"/>
  <c r="IAA23" i="1" s="1"/>
  <c r="IAB23" i="1" s="1"/>
  <c r="IAC23" i="1" s="1"/>
  <c r="IAD23" i="1" s="1"/>
  <c r="IAE23" i="1" s="1"/>
  <c r="IAF23" i="1" s="1"/>
  <c r="IAG23" i="1" s="1"/>
  <c r="IAH23" i="1" s="1"/>
  <c r="IAI23" i="1" s="1"/>
  <c r="IAJ23" i="1" s="1"/>
  <c r="IAK23" i="1" s="1"/>
  <c r="IAL23" i="1" s="1"/>
  <c r="IAM23" i="1" s="1"/>
  <c r="IAN23" i="1" s="1"/>
  <c r="IAO23" i="1" s="1"/>
  <c r="IAP23" i="1" s="1"/>
  <c r="IAQ23" i="1" s="1"/>
  <c r="IAR23" i="1" s="1"/>
  <c r="IAS23" i="1" s="1"/>
  <c r="IAT23" i="1" s="1"/>
  <c r="IAU23" i="1" s="1"/>
  <c r="IAV23" i="1" s="1"/>
  <c r="IAW23" i="1" s="1"/>
  <c r="IAX23" i="1" s="1"/>
  <c r="IAY23" i="1" s="1"/>
  <c r="IAZ23" i="1" s="1"/>
  <c r="IBA23" i="1" s="1"/>
  <c r="IBB23" i="1" s="1"/>
  <c r="IBC23" i="1" s="1"/>
  <c r="IBD23" i="1" s="1"/>
  <c r="IBE23" i="1" s="1"/>
  <c r="IBF23" i="1" s="1"/>
  <c r="IBG23" i="1" s="1"/>
  <c r="IBH23" i="1" s="1"/>
  <c r="IBI23" i="1" s="1"/>
  <c r="IBJ23" i="1" s="1"/>
  <c r="IBK23" i="1" s="1"/>
  <c r="IBL23" i="1" s="1"/>
  <c r="IBM23" i="1" s="1"/>
  <c r="IBN23" i="1" s="1"/>
  <c r="IBO23" i="1" s="1"/>
  <c r="IBP23" i="1" s="1"/>
  <c r="IBQ23" i="1" s="1"/>
  <c r="IBR23" i="1" s="1"/>
  <c r="IBS23" i="1" s="1"/>
  <c r="IBT23" i="1" s="1"/>
  <c r="IBU23" i="1" s="1"/>
  <c r="IBV23" i="1" s="1"/>
  <c r="IBW23" i="1" s="1"/>
  <c r="IBX23" i="1" s="1"/>
  <c r="IBY23" i="1" s="1"/>
  <c r="IBZ23" i="1" s="1"/>
  <c r="ICA23" i="1" s="1"/>
  <c r="ICB23" i="1" s="1"/>
  <c r="ICC23" i="1" s="1"/>
  <c r="ICD23" i="1" s="1"/>
  <c r="ICE23" i="1" s="1"/>
  <c r="ICF23" i="1" s="1"/>
  <c r="ICG23" i="1" s="1"/>
  <c r="ICH23" i="1" s="1"/>
  <c r="ICI23" i="1" s="1"/>
  <c r="ICJ23" i="1" s="1"/>
  <c r="ICK23" i="1" s="1"/>
  <c r="ICL23" i="1" s="1"/>
  <c r="ICM23" i="1" s="1"/>
  <c r="ICN23" i="1" s="1"/>
  <c r="ICO23" i="1" s="1"/>
  <c r="ICP23" i="1" s="1"/>
  <c r="ICQ23" i="1" s="1"/>
  <c r="ICR23" i="1" s="1"/>
  <c r="ICS23" i="1" s="1"/>
  <c r="ICT23" i="1" s="1"/>
  <c r="ICU23" i="1" s="1"/>
  <c r="ICV23" i="1" s="1"/>
  <c r="ICW23" i="1" s="1"/>
  <c r="ICX23" i="1" s="1"/>
  <c r="ICY23" i="1" s="1"/>
  <c r="ICZ23" i="1" s="1"/>
  <c r="IDA23" i="1" s="1"/>
  <c r="IDB23" i="1" s="1"/>
  <c r="IDC23" i="1" s="1"/>
  <c r="IDD23" i="1" s="1"/>
  <c r="IDE23" i="1" s="1"/>
  <c r="IDF23" i="1" s="1"/>
  <c r="IDG23" i="1" s="1"/>
  <c r="IDH23" i="1" s="1"/>
  <c r="IDI23" i="1" s="1"/>
  <c r="IDJ23" i="1" s="1"/>
  <c r="IDK23" i="1" s="1"/>
  <c r="IDL23" i="1" s="1"/>
  <c r="IDM23" i="1" s="1"/>
  <c r="IDN23" i="1" s="1"/>
  <c r="IDO23" i="1" s="1"/>
  <c r="IDP23" i="1" s="1"/>
  <c r="IDQ23" i="1" s="1"/>
  <c r="IDR23" i="1" s="1"/>
  <c r="IDS23" i="1" s="1"/>
  <c r="IDT23" i="1" s="1"/>
  <c r="IDU23" i="1" s="1"/>
  <c r="IDV23" i="1" s="1"/>
  <c r="IDW23" i="1" s="1"/>
  <c r="IDX23" i="1" s="1"/>
  <c r="IDY23" i="1" s="1"/>
  <c r="IDZ23" i="1" s="1"/>
  <c r="IEA23" i="1" s="1"/>
  <c r="IEB23" i="1" s="1"/>
  <c r="IEC23" i="1" s="1"/>
  <c r="IED23" i="1" s="1"/>
  <c r="IEE23" i="1" s="1"/>
  <c r="IEF23" i="1" s="1"/>
  <c r="IEG23" i="1" s="1"/>
  <c r="IEH23" i="1" s="1"/>
  <c r="IEI23" i="1" s="1"/>
  <c r="IEJ23" i="1" s="1"/>
  <c r="IEK23" i="1" s="1"/>
  <c r="IEL23" i="1" s="1"/>
  <c r="IEM23" i="1" s="1"/>
  <c r="IEN23" i="1" s="1"/>
  <c r="IEO23" i="1" s="1"/>
  <c r="IEP23" i="1" s="1"/>
  <c r="IEQ23" i="1" s="1"/>
  <c r="IER23" i="1" s="1"/>
  <c r="IES23" i="1" s="1"/>
  <c r="IET23" i="1" s="1"/>
  <c r="IEU23" i="1" s="1"/>
  <c r="IEV23" i="1" s="1"/>
  <c r="IEW23" i="1" s="1"/>
  <c r="IEX23" i="1" s="1"/>
  <c r="IEY23" i="1" s="1"/>
  <c r="IEZ23" i="1" s="1"/>
  <c r="IFA23" i="1" s="1"/>
  <c r="IFB23" i="1" s="1"/>
  <c r="IFC23" i="1" s="1"/>
  <c r="IFD23" i="1" s="1"/>
  <c r="IFE23" i="1" s="1"/>
  <c r="IFF23" i="1" s="1"/>
  <c r="IFG23" i="1" s="1"/>
  <c r="IFH23" i="1" s="1"/>
  <c r="IFI23" i="1" s="1"/>
  <c r="IFJ23" i="1" s="1"/>
  <c r="IFK23" i="1" s="1"/>
  <c r="IFL23" i="1" s="1"/>
  <c r="IFM23" i="1" s="1"/>
  <c r="IFN23" i="1" s="1"/>
  <c r="IFO23" i="1" s="1"/>
  <c r="IFP23" i="1" s="1"/>
  <c r="IFQ23" i="1" s="1"/>
  <c r="IFR23" i="1" s="1"/>
  <c r="IFS23" i="1" s="1"/>
  <c r="IFT23" i="1" s="1"/>
  <c r="IFU23" i="1" s="1"/>
  <c r="IFV23" i="1" s="1"/>
  <c r="IFW23" i="1" s="1"/>
  <c r="IFX23" i="1" s="1"/>
  <c r="IFY23" i="1" s="1"/>
  <c r="IFZ23" i="1" s="1"/>
  <c r="IGA23" i="1" s="1"/>
  <c r="IGB23" i="1" s="1"/>
  <c r="IGC23" i="1" s="1"/>
  <c r="IGD23" i="1" s="1"/>
  <c r="IGE23" i="1" s="1"/>
  <c r="IGF23" i="1" s="1"/>
  <c r="IGG23" i="1" s="1"/>
  <c r="IGH23" i="1" s="1"/>
  <c r="IGI23" i="1" s="1"/>
  <c r="IGJ23" i="1" s="1"/>
  <c r="IGK23" i="1" s="1"/>
  <c r="IGL23" i="1" s="1"/>
  <c r="IGM23" i="1" s="1"/>
  <c r="IGN23" i="1" s="1"/>
  <c r="IGO23" i="1" s="1"/>
  <c r="IGP23" i="1" s="1"/>
  <c r="IGQ23" i="1" s="1"/>
  <c r="IGR23" i="1" s="1"/>
  <c r="IGS23" i="1" s="1"/>
  <c r="IGT23" i="1" s="1"/>
  <c r="IGU23" i="1" s="1"/>
  <c r="IGV23" i="1" s="1"/>
  <c r="IGW23" i="1" s="1"/>
  <c r="IGX23" i="1" s="1"/>
  <c r="IGY23" i="1" s="1"/>
  <c r="IGZ23" i="1" s="1"/>
  <c r="IHA23" i="1" s="1"/>
  <c r="IHB23" i="1" s="1"/>
  <c r="IHC23" i="1" s="1"/>
  <c r="IHD23" i="1" s="1"/>
  <c r="IHE23" i="1" s="1"/>
  <c r="IHF23" i="1" s="1"/>
  <c r="IHG23" i="1" s="1"/>
  <c r="IHH23" i="1" s="1"/>
  <c r="IHI23" i="1" s="1"/>
  <c r="IHJ23" i="1" s="1"/>
  <c r="IHK23" i="1" s="1"/>
  <c r="IHL23" i="1" s="1"/>
  <c r="IHM23" i="1" s="1"/>
  <c r="IHN23" i="1" s="1"/>
  <c r="IHO23" i="1" s="1"/>
  <c r="IHP23" i="1" s="1"/>
  <c r="IHQ23" i="1" s="1"/>
  <c r="IHR23" i="1" s="1"/>
  <c r="IHS23" i="1" s="1"/>
  <c r="IHT23" i="1" s="1"/>
  <c r="IHU23" i="1" s="1"/>
  <c r="IHV23" i="1" s="1"/>
  <c r="IHW23" i="1" s="1"/>
  <c r="IHX23" i="1" s="1"/>
  <c r="IHY23" i="1" s="1"/>
  <c r="IHZ23" i="1" s="1"/>
  <c r="IIA23" i="1" s="1"/>
  <c r="IIB23" i="1" s="1"/>
  <c r="IIC23" i="1" s="1"/>
  <c r="IID23" i="1" s="1"/>
  <c r="IIE23" i="1" s="1"/>
  <c r="IIF23" i="1" s="1"/>
  <c r="IIG23" i="1" s="1"/>
  <c r="IIH23" i="1" s="1"/>
  <c r="III23" i="1" s="1"/>
  <c r="IIJ23" i="1" s="1"/>
  <c r="IIK23" i="1" s="1"/>
  <c r="IIL23" i="1" s="1"/>
  <c r="IIM23" i="1" s="1"/>
  <c r="IIN23" i="1" s="1"/>
  <c r="IIO23" i="1" s="1"/>
  <c r="IIP23" i="1" s="1"/>
  <c r="IIQ23" i="1" s="1"/>
  <c r="IIR23" i="1" s="1"/>
  <c r="IIS23" i="1" s="1"/>
  <c r="IIT23" i="1" s="1"/>
  <c r="IIU23" i="1" s="1"/>
  <c r="IIV23" i="1" s="1"/>
  <c r="IIW23" i="1" s="1"/>
  <c r="IIX23" i="1" s="1"/>
  <c r="IIY23" i="1" s="1"/>
  <c r="IIZ23" i="1" s="1"/>
  <c r="IJA23" i="1" s="1"/>
  <c r="IJB23" i="1" s="1"/>
  <c r="IJC23" i="1" s="1"/>
  <c r="IJD23" i="1" s="1"/>
  <c r="IJE23" i="1" s="1"/>
  <c r="IJF23" i="1" s="1"/>
  <c r="IJG23" i="1" s="1"/>
  <c r="IJH23" i="1" s="1"/>
  <c r="IJI23" i="1" s="1"/>
  <c r="IJJ23" i="1" s="1"/>
  <c r="IJK23" i="1" s="1"/>
  <c r="IJL23" i="1" s="1"/>
  <c r="IJM23" i="1" s="1"/>
  <c r="IJN23" i="1" s="1"/>
  <c r="IJO23" i="1" s="1"/>
  <c r="IJP23" i="1" s="1"/>
  <c r="IJQ23" i="1" s="1"/>
  <c r="IJR23" i="1" s="1"/>
  <c r="IJS23" i="1" s="1"/>
  <c r="IJT23" i="1" s="1"/>
  <c r="IJU23" i="1" s="1"/>
  <c r="IJV23" i="1" s="1"/>
  <c r="IJW23" i="1" s="1"/>
  <c r="IJX23" i="1" s="1"/>
  <c r="IJY23" i="1" s="1"/>
  <c r="IJZ23" i="1" s="1"/>
  <c r="IKA23" i="1" s="1"/>
  <c r="IKB23" i="1" s="1"/>
  <c r="IKC23" i="1" s="1"/>
  <c r="IKD23" i="1" s="1"/>
  <c r="IKE23" i="1" s="1"/>
  <c r="IKF23" i="1" s="1"/>
  <c r="IKG23" i="1" s="1"/>
  <c r="IKH23" i="1" s="1"/>
  <c r="IKI23" i="1" s="1"/>
  <c r="IKJ23" i="1" s="1"/>
  <c r="IKK23" i="1" s="1"/>
  <c r="IKL23" i="1" s="1"/>
  <c r="IKM23" i="1" s="1"/>
  <c r="IKN23" i="1" s="1"/>
  <c r="IKO23" i="1" s="1"/>
  <c r="IKP23" i="1" s="1"/>
  <c r="IKQ23" i="1" s="1"/>
  <c r="IKR23" i="1" s="1"/>
  <c r="IKS23" i="1" s="1"/>
  <c r="IKT23" i="1" s="1"/>
  <c r="IKU23" i="1" s="1"/>
  <c r="IKV23" i="1" s="1"/>
  <c r="IKW23" i="1" s="1"/>
  <c r="IKX23" i="1" s="1"/>
  <c r="IKY23" i="1" s="1"/>
  <c r="IKZ23" i="1" s="1"/>
  <c r="ILA23" i="1" s="1"/>
  <c r="ILB23" i="1" s="1"/>
  <c r="ILC23" i="1" s="1"/>
  <c r="ILD23" i="1" s="1"/>
  <c r="ILE23" i="1" s="1"/>
  <c r="ILF23" i="1" s="1"/>
  <c r="ILG23" i="1" s="1"/>
  <c r="ILH23" i="1" s="1"/>
  <c r="ILI23" i="1" s="1"/>
  <c r="ILJ23" i="1" s="1"/>
  <c r="ILK23" i="1" s="1"/>
  <c r="ILL23" i="1" s="1"/>
  <c r="ILM23" i="1" s="1"/>
  <c r="ILN23" i="1" s="1"/>
  <c r="ILO23" i="1" s="1"/>
  <c r="ILP23" i="1" s="1"/>
  <c r="ILQ23" i="1" s="1"/>
  <c r="ILR23" i="1" s="1"/>
  <c r="ILS23" i="1" s="1"/>
  <c r="ILT23" i="1" s="1"/>
  <c r="ILU23" i="1" s="1"/>
  <c r="ILV23" i="1" s="1"/>
  <c r="ILW23" i="1" s="1"/>
  <c r="ILX23" i="1" s="1"/>
  <c r="ILY23" i="1" s="1"/>
  <c r="ILZ23" i="1" s="1"/>
  <c r="IMA23" i="1" s="1"/>
  <c r="IMB23" i="1" s="1"/>
  <c r="IMC23" i="1" s="1"/>
  <c r="IMD23" i="1" s="1"/>
  <c r="IME23" i="1" s="1"/>
  <c r="IMF23" i="1" s="1"/>
  <c r="IMG23" i="1" s="1"/>
  <c r="IMH23" i="1" s="1"/>
  <c r="IMI23" i="1" s="1"/>
  <c r="IMJ23" i="1" s="1"/>
  <c r="IMK23" i="1" s="1"/>
  <c r="IML23" i="1" s="1"/>
  <c r="IMM23" i="1" s="1"/>
  <c r="IMN23" i="1" s="1"/>
  <c r="IMO23" i="1" s="1"/>
  <c r="IMP23" i="1" s="1"/>
  <c r="IMQ23" i="1" s="1"/>
  <c r="IMR23" i="1" s="1"/>
  <c r="IMS23" i="1" s="1"/>
  <c r="IMT23" i="1" s="1"/>
  <c r="IMU23" i="1" s="1"/>
  <c r="IMV23" i="1" s="1"/>
  <c r="IMW23" i="1" s="1"/>
  <c r="IMX23" i="1" s="1"/>
  <c r="IMY23" i="1" s="1"/>
  <c r="IMZ23" i="1" s="1"/>
  <c r="INA23" i="1" s="1"/>
  <c r="INB23" i="1" s="1"/>
  <c r="INC23" i="1" s="1"/>
  <c r="IND23" i="1" s="1"/>
  <c r="INE23" i="1" s="1"/>
  <c r="INF23" i="1" s="1"/>
  <c r="ING23" i="1" s="1"/>
  <c r="INH23" i="1" s="1"/>
  <c r="INI23" i="1" s="1"/>
  <c r="INJ23" i="1" s="1"/>
  <c r="INK23" i="1" s="1"/>
  <c r="INL23" i="1" s="1"/>
  <c r="INM23" i="1" s="1"/>
  <c r="INN23" i="1" s="1"/>
  <c r="INO23" i="1" s="1"/>
  <c r="INP23" i="1" s="1"/>
  <c r="INQ23" i="1" s="1"/>
  <c r="INR23" i="1" s="1"/>
  <c r="INS23" i="1" s="1"/>
  <c r="INT23" i="1" s="1"/>
  <c r="INU23" i="1" s="1"/>
  <c r="INV23" i="1" s="1"/>
  <c r="INW23" i="1" s="1"/>
  <c r="INX23" i="1" s="1"/>
  <c r="INY23" i="1" s="1"/>
  <c r="INZ23" i="1" s="1"/>
  <c r="IOA23" i="1" s="1"/>
  <c r="IOB23" i="1" s="1"/>
  <c r="IOC23" i="1" s="1"/>
  <c r="IOD23" i="1" s="1"/>
  <c r="IOE23" i="1" s="1"/>
  <c r="IOF23" i="1" s="1"/>
  <c r="IOG23" i="1" s="1"/>
  <c r="IOH23" i="1" s="1"/>
  <c r="IOI23" i="1" s="1"/>
  <c r="IOJ23" i="1" s="1"/>
  <c r="IOK23" i="1" s="1"/>
  <c r="IOL23" i="1" s="1"/>
  <c r="IOM23" i="1" s="1"/>
  <c r="ION23" i="1" s="1"/>
  <c r="IOO23" i="1" s="1"/>
  <c r="IOP23" i="1" s="1"/>
  <c r="IOQ23" i="1" s="1"/>
  <c r="IOR23" i="1" s="1"/>
  <c r="IOS23" i="1" s="1"/>
  <c r="IOT23" i="1" s="1"/>
  <c r="IOU23" i="1" s="1"/>
  <c r="IOV23" i="1" s="1"/>
  <c r="IOW23" i="1" s="1"/>
  <c r="IOX23" i="1" s="1"/>
  <c r="IOY23" i="1" s="1"/>
  <c r="IOZ23" i="1" s="1"/>
  <c r="IPA23" i="1" s="1"/>
  <c r="IPB23" i="1" s="1"/>
  <c r="IPC23" i="1" s="1"/>
  <c r="IPD23" i="1" s="1"/>
  <c r="IPE23" i="1" s="1"/>
  <c r="IPF23" i="1" s="1"/>
  <c r="IPG23" i="1" s="1"/>
  <c r="IPH23" i="1" s="1"/>
  <c r="IPI23" i="1" s="1"/>
  <c r="IPJ23" i="1" s="1"/>
  <c r="IPK23" i="1" s="1"/>
  <c r="IPL23" i="1" s="1"/>
  <c r="IPM23" i="1" s="1"/>
  <c r="IPN23" i="1" s="1"/>
  <c r="IPO23" i="1" s="1"/>
  <c r="IPP23" i="1" s="1"/>
  <c r="IPQ23" i="1" s="1"/>
  <c r="IPR23" i="1" s="1"/>
  <c r="IPS23" i="1" s="1"/>
  <c r="IPT23" i="1" s="1"/>
  <c r="IPU23" i="1" s="1"/>
  <c r="IPV23" i="1" s="1"/>
  <c r="IPW23" i="1" s="1"/>
  <c r="IPX23" i="1" s="1"/>
  <c r="IPY23" i="1" s="1"/>
  <c r="IPZ23" i="1" s="1"/>
  <c r="IQA23" i="1" s="1"/>
  <c r="IQB23" i="1" s="1"/>
  <c r="IQC23" i="1" s="1"/>
  <c r="IQD23" i="1" s="1"/>
  <c r="IQE23" i="1" s="1"/>
  <c r="IQF23" i="1" s="1"/>
  <c r="IQG23" i="1" s="1"/>
  <c r="IQH23" i="1" s="1"/>
  <c r="IQI23" i="1" s="1"/>
  <c r="IQJ23" i="1" s="1"/>
  <c r="IQK23" i="1" s="1"/>
  <c r="IQL23" i="1" s="1"/>
  <c r="IQM23" i="1" s="1"/>
  <c r="IQN23" i="1" s="1"/>
  <c r="IQO23" i="1" s="1"/>
  <c r="IQP23" i="1" s="1"/>
  <c r="IQQ23" i="1" s="1"/>
  <c r="IQR23" i="1" s="1"/>
  <c r="IQS23" i="1" s="1"/>
  <c r="IQT23" i="1" s="1"/>
  <c r="IQU23" i="1" s="1"/>
  <c r="IQV23" i="1" s="1"/>
  <c r="IQW23" i="1" s="1"/>
  <c r="IQX23" i="1" s="1"/>
  <c r="IQY23" i="1" s="1"/>
  <c r="IQZ23" i="1" s="1"/>
  <c r="IRA23" i="1" s="1"/>
  <c r="IRB23" i="1" s="1"/>
  <c r="IRC23" i="1" s="1"/>
  <c r="IRD23" i="1" s="1"/>
  <c r="IRE23" i="1" s="1"/>
  <c r="IRF23" i="1" s="1"/>
  <c r="IRG23" i="1" s="1"/>
  <c r="IRH23" i="1" s="1"/>
  <c r="IRI23" i="1" s="1"/>
  <c r="IRJ23" i="1" s="1"/>
  <c r="IRK23" i="1" s="1"/>
  <c r="IRL23" i="1" s="1"/>
  <c r="IRM23" i="1" s="1"/>
  <c r="IRN23" i="1" s="1"/>
  <c r="IRO23" i="1" s="1"/>
  <c r="IRP23" i="1" s="1"/>
  <c r="IRQ23" i="1" s="1"/>
  <c r="IRR23" i="1" s="1"/>
  <c r="IRS23" i="1" s="1"/>
  <c r="IRT23" i="1" s="1"/>
  <c r="IRU23" i="1" s="1"/>
  <c r="IRV23" i="1" s="1"/>
  <c r="IRW23" i="1" s="1"/>
  <c r="IRX23" i="1" s="1"/>
  <c r="IRY23" i="1" s="1"/>
  <c r="IRZ23" i="1" s="1"/>
  <c r="ISA23" i="1" s="1"/>
  <c r="ISB23" i="1" s="1"/>
  <c r="ISC23" i="1" s="1"/>
  <c r="ISD23" i="1" s="1"/>
  <c r="ISE23" i="1" s="1"/>
  <c r="ISF23" i="1" s="1"/>
  <c r="ISG23" i="1" s="1"/>
  <c r="ISH23" i="1" s="1"/>
  <c r="ISI23" i="1" s="1"/>
  <c r="ISJ23" i="1" s="1"/>
  <c r="ISK23" i="1" s="1"/>
  <c r="ISL23" i="1" s="1"/>
  <c r="ISM23" i="1" s="1"/>
  <c r="ISN23" i="1" s="1"/>
  <c r="ISO23" i="1" s="1"/>
  <c r="ISP23" i="1" s="1"/>
  <c r="ISQ23" i="1" s="1"/>
  <c r="ISR23" i="1" s="1"/>
  <c r="ISS23" i="1" s="1"/>
  <c r="IST23" i="1" s="1"/>
  <c r="ISU23" i="1" s="1"/>
  <c r="ISV23" i="1" s="1"/>
  <c r="ISW23" i="1" s="1"/>
  <c r="ISX23" i="1" s="1"/>
  <c r="ISY23" i="1" s="1"/>
  <c r="ISZ23" i="1" s="1"/>
  <c r="ITA23" i="1" s="1"/>
  <c r="ITB23" i="1" s="1"/>
  <c r="ITC23" i="1" s="1"/>
  <c r="ITD23" i="1" s="1"/>
  <c r="ITE23" i="1" s="1"/>
  <c r="ITF23" i="1" s="1"/>
  <c r="ITG23" i="1" s="1"/>
  <c r="ITH23" i="1" s="1"/>
  <c r="ITI23" i="1" s="1"/>
  <c r="ITJ23" i="1" s="1"/>
  <c r="ITK23" i="1" s="1"/>
  <c r="ITL23" i="1" s="1"/>
  <c r="ITM23" i="1" s="1"/>
  <c r="ITN23" i="1" s="1"/>
  <c r="ITO23" i="1" s="1"/>
  <c r="ITP23" i="1" s="1"/>
  <c r="ITQ23" i="1" s="1"/>
  <c r="ITR23" i="1" s="1"/>
  <c r="ITS23" i="1" s="1"/>
  <c r="ITT23" i="1" s="1"/>
  <c r="ITU23" i="1" s="1"/>
  <c r="ITV23" i="1" s="1"/>
  <c r="ITW23" i="1" s="1"/>
  <c r="ITX23" i="1" s="1"/>
  <c r="ITY23" i="1" s="1"/>
  <c r="ITZ23" i="1" s="1"/>
  <c r="IUA23" i="1" s="1"/>
  <c r="IUB23" i="1" s="1"/>
  <c r="IUC23" i="1" s="1"/>
  <c r="IUD23" i="1" s="1"/>
  <c r="IUE23" i="1" s="1"/>
  <c r="IUF23" i="1" s="1"/>
  <c r="IUG23" i="1" s="1"/>
  <c r="IUH23" i="1" s="1"/>
  <c r="IUI23" i="1" s="1"/>
  <c r="IUJ23" i="1" s="1"/>
  <c r="IUK23" i="1" s="1"/>
  <c r="IUL23" i="1" s="1"/>
  <c r="IUM23" i="1" s="1"/>
  <c r="IUN23" i="1" s="1"/>
  <c r="IUO23" i="1" s="1"/>
  <c r="IUP23" i="1" s="1"/>
  <c r="IUQ23" i="1" s="1"/>
  <c r="IUR23" i="1" s="1"/>
  <c r="IUS23" i="1" s="1"/>
  <c r="IUT23" i="1" s="1"/>
  <c r="IUU23" i="1" s="1"/>
  <c r="IUV23" i="1" s="1"/>
  <c r="IUW23" i="1" s="1"/>
  <c r="IUX23" i="1" s="1"/>
  <c r="IUY23" i="1" s="1"/>
  <c r="IUZ23" i="1" s="1"/>
  <c r="IVA23" i="1" s="1"/>
  <c r="IVB23" i="1" s="1"/>
  <c r="IVC23" i="1" s="1"/>
  <c r="IVD23" i="1" s="1"/>
  <c r="IVE23" i="1" s="1"/>
  <c r="IVF23" i="1" s="1"/>
  <c r="IVG23" i="1" s="1"/>
  <c r="IVH23" i="1" s="1"/>
  <c r="IVI23" i="1" s="1"/>
  <c r="IVJ23" i="1" s="1"/>
  <c r="IVK23" i="1" s="1"/>
  <c r="IVL23" i="1" s="1"/>
  <c r="IVM23" i="1" s="1"/>
  <c r="IVN23" i="1" s="1"/>
  <c r="IVO23" i="1" s="1"/>
  <c r="IVP23" i="1" s="1"/>
  <c r="IVQ23" i="1" s="1"/>
  <c r="IVR23" i="1" s="1"/>
  <c r="IVS23" i="1" s="1"/>
  <c r="IVT23" i="1" s="1"/>
  <c r="IVU23" i="1" s="1"/>
  <c r="IVV23" i="1" s="1"/>
  <c r="IVW23" i="1" s="1"/>
  <c r="IVX23" i="1" s="1"/>
  <c r="IVY23" i="1" s="1"/>
  <c r="IVZ23" i="1" s="1"/>
  <c r="IWA23" i="1" s="1"/>
  <c r="IWB23" i="1" s="1"/>
  <c r="IWC23" i="1" s="1"/>
  <c r="IWD23" i="1" s="1"/>
  <c r="IWE23" i="1" s="1"/>
  <c r="IWF23" i="1" s="1"/>
  <c r="IWG23" i="1" s="1"/>
  <c r="IWH23" i="1" s="1"/>
  <c r="IWI23" i="1" s="1"/>
  <c r="IWJ23" i="1" s="1"/>
  <c r="IWK23" i="1" s="1"/>
  <c r="IWL23" i="1" s="1"/>
  <c r="IWM23" i="1" s="1"/>
  <c r="IWN23" i="1" s="1"/>
  <c r="IWO23" i="1" s="1"/>
  <c r="IWP23" i="1" s="1"/>
  <c r="IWQ23" i="1" s="1"/>
  <c r="IWR23" i="1" s="1"/>
  <c r="IWS23" i="1" s="1"/>
  <c r="IWT23" i="1" s="1"/>
  <c r="IWU23" i="1" s="1"/>
  <c r="IWV23" i="1" s="1"/>
  <c r="IWW23" i="1" s="1"/>
  <c r="IWX23" i="1" s="1"/>
  <c r="IWY23" i="1" s="1"/>
  <c r="IWZ23" i="1" s="1"/>
  <c r="IXA23" i="1" s="1"/>
  <c r="IXB23" i="1" s="1"/>
  <c r="IXC23" i="1" s="1"/>
  <c r="IXD23" i="1" s="1"/>
  <c r="IXE23" i="1" s="1"/>
  <c r="IXF23" i="1" s="1"/>
  <c r="IXG23" i="1" s="1"/>
  <c r="IXH23" i="1" s="1"/>
  <c r="IXI23" i="1" s="1"/>
  <c r="IXJ23" i="1" s="1"/>
  <c r="IXK23" i="1" s="1"/>
  <c r="IXL23" i="1" s="1"/>
  <c r="IXM23" i="1" s="1"/>
  <c r="IXN23" i="1" s="1"/>
  <c r="IXO23" i="1" s="1"/>
  <c r="IXP23" i="1" s="1"/>
  <c r="IXQ23" i="1" s="1"/>
  <c r="IXR23" i="1" s="1"/>
  <c r="IXS23" i="1" s="1"/>
  <c r="IXT23" i="1" s="1"/>
  <c r="IXU23" i="1" s="1"/>
  <c r="IXV23" i="1" s="1"/>
  <c r="IXW23" i="1" s="1"/>
  <c r="IXX23" i="1" s="1"/>
  <c r="IXY23" i="1" s="1"/>
  <c r="IXZ23" i="1" s="1"/>
  <c r="IYA23" i="1" s="1"/>
  <c r="IYB23" i="1" s="1"/>
  <c r="IYC23" i="1" s="1"/>
  <c r="IYD23" i="1" s="1"/>
  <c r="IYE23" i="1" s="1"/>
  <c r="IYF23" i="1" s="1"/>
  <c r="IYG23" i="1" s="1"/>
  <c r="IYH23" i="1" s="1"/>
  <c r="IYI23" i="1" s="1"/>
  <c r="IYJ23" i="1" s="1"/>
  <c r="IYK23" i="1" s="1"/>
  <c r="IYL23" i="1" s="1"/>
  <c r="IYM23" i="1" s="1"/>
  <c r="IYN23" i="1" s="1"/>
  <c r="IYO23" i="1" s="1"/>
  <c r="IYP23" i="1" s="1"/>
  <c r="IYQ23" i="1" s="1"/>
  <c r="IYR23" i="1" s="1"/>
  <c r="IYS23" i="1" s="1"/>
  <c r="IYT23" i="1" s="1"/>
  <c r="IYU23" i="1" s="1"/>
  <c r="IYV23" i="1" s="1"/>
  <c r="IYW23" i="1" s="1"/>
  <c r="IYX23" i="1" s="1"/>
  <c r="IYY23" i="1" s="1"/>
  <c r="IYZ23" i="1" s="1"/>
  <c r="IZA23" i="1" s="1"/>
  <c r="IZB23" i="1" s="1"/>
  <c r="IZC23" i="1" s="1"/>
  <c r="IZD23" i="1" s="1"/>
  <c r="IZE23" i="1" s="1"/>
  <c r="IZF23" i="1" s="1"/>
  <c r="IZG23" i="1" s="1"/>
  <c r="IZH23" i="1" s="1"/>
  <c r="IZI23" i="1" s="1"/>
  <c r="IZJ23" i="1" s="1"/>
  <c r="IZK23" i="1" s="1"/>
  <c r="IZL23" i="1" s="1"/>
  <c r="IZM23" i="1" s="1"/>
  <c r="IZN23" i="1" s="1"/>
  <c r="IZO23" i="1" s="1"/>
  <c r="IZP23" i="1" s="1"/>
  <c r="IZQ23" i="1" s="1"/>
  <c r="IZR23" i="1" s="1"/>
  <c r="IZS23" i="1" s="1"/>
  <c r="IZT23" i="1" s="1"/>
  <c r="IZU23" i="1" s="1"/>
  <c r="IZV23" i="1" s="1"/>
  <c r="IZW23" i="1" s="1"/>
  <c r="IZX23" i="1" s="1"/>
  <c r="IZY23" i="1" s="1"/>
  <c r="IZZ23" i="1" s="1"/>
  <c r="JAA23" i="1" s="1"/>
  <c r="JAB23" i="1" s="1"/>
  <c r="JAC23" i="1" s="1"/>
  <c r="JAD23" i="1" s="1"/>
  <c r="JAE23" i="1" s="1"/>
  <c r="JAF23" i="1" s="1"/>
  <c r="JAG23" i="1" s="1"/>
  <c r="JAH23" i="1" s="1"/>
  <c r="JAI23" i="1" s="1"/>
  <c r="JAJ23" i="1" s="1"/>
  <c r="JAK23" i="1" s="1"/>
  <c r="JAL23" i="1" s="1"/>
  <c r="JAM23" i="1" s="1"/>
  <c r="JAN23" i="1" s="1"/>
  <c r="JAO23" i="1" s="1"/>
  <c r="JAP23" i="1" s="1"/>
  <c r="JAQ23" i="1" s="1"/>
  <c r="JAR23" i="1" s="1"/>
  <c r="JAS23" i="1" s="1"/>
  <c r="JAT23" i="1" s="1"/>
  <c r="JAU23" i="1" s="1"/>
  <c r="JAV23" i="1" s="1"/>
  <c r="JAW23" i="1" s="1"/>
  <c r="JAX23" i="1" s="1"/>
  <c r="JAY23" i="1" s="1"/>
  <c r="JAZ23" i="1" s="1"/>
  <c r="JBA23" i="1" s="1"/>
  <c r="JBB23" i="1" s="1"/>
  <c r="JBC23" i="1" s="1"/>
  <c r="JBD23" i="1" s="1"/>
  <c r="JBE23" i="1" s="1"/>
  <c r="JBF23" i="1" s="1"/>
  <c r="JBG23" i="1" s="1"/>
  <c r="JBH23" i="1" s="1"/>
  <c r="JBI23" i="1" s="1"/>
  <c r="JBJ23" i="1" s="1"/>
  <c r="JBK23" i="1" s="1"/>
  <c r="JBL23" i="1" s="1"/>
  <c r="JBM23" i="1" s="1"/>
  <c r="JBN23" i="1" s="1"/>
  <c r="JBO23" i="1" s="1"/>
  <c r="JBP23" i="1" s="1"/>
  <c r="JBQ23" i="1" s="1"/>
  <c r="JBR23" i="1" s="1"/>
  <c r="JBS23" i="1" s="1"/>
  <c r="JBT23" i="1" s="1"/>
  <c r="JBU23" i="1" s="1"/>
  <c r="JBV23" i="1" s="1"/>
  <c r="JBW23" i="1" s="1"/>
  <c r="JBX23" i="1" s="1"/>
  <c r="JBY23" i="1" s="1"/>
  <c r="JBZ23" i="1" s="1"/>
  <c r="JCA23" i="1" s="1"/>
  <c r="JCB23" i="1" s="1"/>
  <c r="JCC23" i="1" s="1"/>
  <c r="JCD23" i="1" s="1"/>
  <c r="JCE23" i="1" s="1"/>
  <c r="JCF23" i="1" s="1"/>
  <c r="JCG23" i="1" s="1"/>
  <c r="JCH23" i="1" s="1"/>
  <c r="JCI23" i="1" s="1"/>
  <c r="JCJ23" i="1" s="1"/>
  <c r="JCK23" i="1" s="1"/>
  <c r="JCL23" i="1" s="1"/>
  <c r="JCM23" i="1" s="1"/>
  <c r="JCN23" i="1" s="1"/>
  <c r="JCO23" i="1" s="1"/>
  <c r="JCP23" i="1" s="1"/>
  <c r="JCQ23" i="1" s="1"/>
  <c r="JCR23" i="1" s="1"/>
  <c r="JCS23" i="1" s="1"/>
  <c r="JCT23" i="1" s="1"/>
  <c r="JCU23" i="1" s="1"/>
  <c r="JCV23" i="1" s="1"/>
  <c r="JCW23" i="1" s="1"/>
  <c r="JCX23" i="1" s="1"/>
  <c r="JCY23" i="1" s="1"/>
  <c r="JCZ23" i="1" s="1"/>
  <c r="JDA23" i="1" s="1"/>
  <c r="JDB23" i="1" s="1"/>
  <c r="JDC23" i="1" s="1"/>
  <c r="JDD23" i="1" s="1"/>
  <c r="JDE23" i="1" s="1"/>
  <c r="JDF23" i="1" s="1"/>
  <c r="JDG23" i="1" s="1"/>
  <c r="JDH23" i="1" s="1"/>
  <c r="JDI23" i="1" s="1"/>
  <c r="JDJ23" i="1" s="1"/>
  <c r="JDK23" i="1" s="1"/>
  <c r="JDL23" i="1" s="1"/>
  <c r="JDM23" i="1" s="1"/>
  <c r="JDN23" i="1" s="1"/>
  <c r="JDO23" i="1" s="1"/>
  <c r="JDP23" i="1" s="1"/>
  <c r="JDQ23" i="1" s="1"/>
  <c r="JDR23" i="1" s="1"/>
  <c r="JDS23" i="1" s="1"/>
  <c r="JDT23" i="1" s="1"/>
  <c r="JDU23" i="1" s="1"/>
  <c r="JDV23" i="1" s="1"/>
  <c r="JDW23" i="1" s="1"/>
  <c r="JDX23" i="1" s="1"/>
  <c r="JDY23" i="1" s="1"/>
  <c r="JDZ23" i="1" s="1"/>
  <c r="JEA23" i="1" s="1"/>
  <c r="JEB23" i="1" s="1"/>
  <c r="JEC23" i="1" s="1"/>
  <c r="JED23" i="1" s="1"/>
  <c r="JEE23" i="1" s="1"/>
  <c r="JEF23" i="1" s="1"/>
  <c r="JEG23" i="1" s="1"/>
  <c r="JEH23" i="1" s="1"/>
  <c r="JEI23" i="1" s="1"/>
  <c r="JEJ23" i="1" s="1"/>
  <c r="JEK23" i="1" s="1"/>
  <c r="JEL23" i="1" s="1"/>
  <c r="JEM23" i="1" s="1"/>
  <c r="JEN23" i="1" s="1"/>
  <c r="JEO23" i="1" s="1"/>
  <c r="JEP23" i="1" s="1"/>
  <c r="JEQ23" i="1" s="1"/>
  <c r="JER23" i="1" s="1"/>
  <c r="JES23" i="1" s="1"/>
  <c r="JET23" i="1" s="1"/>
  <c r="JEU23" i="1" s="1"/>
  <c r="JEV23" i="1" s="1"/>
  <c r="JEW23" i="1" s="1"/>
  <c r="JEX23" i="1" s="1"/>
  <c r="JEY23" i="1" s="1"/>
  <c r="JEZ23" i="1" s="1"/>
  <c r="JFA23" i="1" s="1"/>
  <c r="JFB23" i="1" s="1"/>
  <c r="JFC23" i="1" s="1"/>
  <c r="JFD23" i="1" s="1"/>
  <c r="JFE23" i="1" s="1"/>
  <c r="JFF23" i="1" s="1"/>
  <c r="JFG23" i="1" s="1"/>
  <c r="JFH23" i="1" s="1"/>
  <c r="JFI23" i="1" s="1"/>
  <c r="JFJ23" i="1" s="1"/>
  <c r="JFK23" i="1" s="1"/>
  <c r="JFL23" i="1" s="1"/>
  <c r="JFM23" i="1" s="1"/>
  <c r="JFN23" i="1" s="1"/>
  <c r="JFO23" i="1" s="1"/>
  <c r="JFP23" i="1" s="1"/>
  <c r="JFQ23" i="1" s="1"/>
  <c r="JFR23" i="1" s="1"/>
  <c r="JFS23" i="1" s="1"/>
  <c r="JFT23" i="1" s="1"/>
  <c r="JFU23" i="1" s="1"/>
  <c r="JFV23" i="1" s="1"/>
  <c r="JFW23" i="1" s="1"/>
  <c r="JFX23" i="1" s="1"/>
  <c r="JFY23" i="1" s="1"/>
  <c r="JFZ23" i="1" s="1"/>
  <c r="JGA23" i="1" s="1"/>
  <c r="JGB23" i="1" s="1"/>
  <c r="JGC23" i="1" s="1"/>
  <c r="JGD23" i="1" s="1"/>
  <c r="JGE23" i="1" s="1"/>
  <c r="JGF23" i="1" s="1"/>
  <c r="JGG23" i="1" s="1"/>
  <c r="JGH23" i="1" s="1"/>
  <c r="JGI23" i="1" s="1"/>
  <c r="JGJ23" i="1" s="1"/>
  <c r="JGK23" i="1" s="1"/>
  <c r="JGL23" i="1" s="1"/>
  <c r="JGM23" i="1" s="1"/>
  <c r="JGN23" i="1" s="1"/>
  <c r="JGO23" i="1" s="1"/>
  <c r="JGP23" i="1" s="1"/>
  <c r="JGQ23" i="1" s="1"/>
  <c r="JGR23" i="1" s="1"/>
  <c r="JGS23" i="1" s="1"/>
  <c r="JGT23" i="1" s="1"/>
  <c r="JGU23" i="1" s="1"/>
  <c r="JGV23" i="1" s="1"/>
  <c r="JGW23" i="1" s="1"/>
  <c r="JGX23" i="1" s="1"/>
  <c r="JGY23" i="1" s="1"/>
  <c r="JGZ23" i="1" s="1"/>
  <c r="JHA23" i="1" s="1"/>
  <c r="JHB23" i="1" s="1"/>
  <c r="JHC23" i="1" s="1"/>
  <c r="JHD23" i="1" s="1"/>
  <c r="JHE23" i="1" s="1"/>
  <c r="JHF23" i="1" s="1"/>
  <c r="JHG23" i="1" s="1"/>
  <c r="JHH23" i="1" s="1"/>
  <c r="JHI23" i="1" s="1"/>
  <c r="JHJ23" i="1" s="1"/>
  <c r="JHK23" i="1" s="1"/>
  <c r="JHL23" i="1" s="1"/>
  <c r="JHM23" i="1" s="1"/>
  <c r="JHN23" i="1" s="1"/>
  <c r="JHO23" i="1" s="1"/>
  <c r="JHP23" i="1" s="1"/>
  <c r="JHQ23" i="1" s="1"/>
  <c r="JHR23" i="1" s="1"/>
  <c r="JHS23" i="1" s="1"/>
  <c r="JHT23" i="1" s="1"/>
  <c r="JHU23" i="1" s="1"/>
  <c r="JHV23" i="1" s="1"/>
  <c r="JHW23" i="1" s="1"/>
  <c r="JHX23" i="1" s="1"/>
  <c r="JHY23" i="1" s="1"/>
  <c r="JHZ23" i="1" s="1"/>
  <c r="JIA23" i="1" s="1"/>
  <c r="JIB23" i="1" s="1"/>
  <c r="JIC23" i="1" s="1"/>
  <c r="JID23" i="1" s="1"/>
  <c r="JIE23" i="1" s="1"/>
  <c r="JIF23" i="1" s="1"/>
  <c r="JIG23" i="1" s="1"/>
  <c r="JIH23" i="1" s="1"/>
  <c r="JII23" i="1" s="1"/>
  <c r="JIJ23" i="1" s="1"/>
  <c r="JIK23" i="1" s="1"/>
  <c r="JIL23" i="1" s="1"/>
  <c r="JIM23" i="1" s="1"/>
  <c r="JIN23" i="1" s="1"/>
  <c r="JIO23" i="1" s="1"/>
  <c r="JIP23" i="1" s="1"/>
  <c r="JIQ23" i="1" s="1"/>
  <c r="JIR23" i="1" s="1"/>
  <c r="JIS23" i="1" s="1"/>
  <c r="JIT23" i="1" s="1"/>
  <c r="JIU23" i="1" s="1"/>
  <c r="JIV23" i="1" s="1"/>
  <c r="JIW23" i="1" s="1"/>
  <c r="JIX23" i="1" s="1"/>
  <c r="JIY23" i="1" s="1"/>
  <c r="JIZ23" i="1" s="1"/>
  <c r="JJA23" i="1" s="1"/>
  <c r="JJB23" i="1" s="1"/>
  <c r="JJC23" i="1" s="1"/>
  <c r="JJD23" i="1" s="1"/>
  <c r="JJE23" i="1" s="1"/>
  <c r="JJF23" i="1" s="1"/>
  <c r="JJG23" i="1" s="1"/>
  <c r="JJH23" i="1" s="1"/>
  <c r="JJI23" i="1" s="1"/>
  <c r="JJJ23" i="1" s="1"/>
  <c r="JJK23" i="1" s="1"/>
  <c r="JJL23" i="1" s="1"/>
  <c r="JJM23" i="1" s="1"/>
  <c r="JJN23" i="1" s="1"/>
  <c r="JJO23" i="1" s="1"/>
  <c r="JJP23" i="1" s="1"/>
  <c r="JJQ23" i="1" s="1"/>
  <c r="JJR23" i="1" s="1"/>
  <c r="JJS23" i="1" s="1"/>
  <c r="JJT23" i="1" s="1"/>
  <c r="JJU23" i="1" s="1"/>
  <c r="JJV23" i="1" s="1"/>
  <c r="JJW23" i="1" s="1"/>
  <c r="JJX23" i="1" s="1"/>
  <c r="JJY23" i="1" s="1"/>
  <c r="JJZ23" i="1" s="1"/>
  <c r="JKA23" i="1" s="1"/>
  <c r="JKB23" i="1" s="1"/>
  <c r="JKC23" i="1" s="1"/>
  <c r="JKD23" i="1" s="1"/>
  <c r="JKE23" i="1" s="1"/>
  <c r="JKF23" i="1" s="1"/>
  <c r="JKG23" i="1" s="1"/>
  <c r="JKH23" i="1" s="1"/>
  <c r="JKI23" i="1" s="1"/>
  <c r="JKJ23" i="1" s="1"/>
  <c r="JKK23" i="1" s="1"/>
  <c r="JKL23" i="1" s="1"/>
  <c r="JKM23" i="1" s="1"/>
  <c r="JKN23" i="1" s="1"/>
  <c r="JKO23" i="1" s="1"/>
  <c r="JKP23" i="1" s="1"/>
  <c r="JKQ23" i="1" s="1"/>
  <c r="JKR23" i="1" s="1"/>
  <c r="JKS23" i="1" s="1"/>
  <c r="JKT23" i="1" s="1"/>
  <c r="JKU23" i="1" s="1"/>
  <c r="JKV23" i="1" s="1"/>
  <c r="JKW23" i="1" s="1"/>
  <c r="JKX23" i="1" s="1"/>
  <c r="JKY23" i="1" s="1"/>
  <c r="JKZ23" i="1" s="1"/>
  <c r="JLA23" i="1" s="1"/>
  <c r="JLB23" i="1" s="1"/>
  <c r="JLC23" i="1" s="1"/>
  <c r="JLD23" i="1" s="1"/>
  <c r="JLE23" i="1" s="1"/>
  <c r="JLF23" i="1" s="1"/>
  <c r="JLG23" i="1" s="1"/>
  <c r="JLH23" i="1" s="1"/>
  <c r="JLI23" i="1" s="1"/>
  <c r="JLJ23" i="1" s="1"/>
  <c r="JLK23" i="1" s="1"/>
  <c r="JLL23" i="1" s="1"/>
  <c r="JLM23" i="1" s="1"/>
  <c r="JLN23" i="1" s="1"/>
  <c r="JLO23" i="1" s="1"/>
  <c r="JLP23" i="1" s="1"/>
  <c r="JLQ23" i="1" s="1"/>
  <c r="JLR23" i="1" s="1"/>
  <c r="JLS23" i="1" s="1"/>
  <c r="JLT23" i="1" s="1"/>
  <c r="JLU23" i="1" s="1"/>
  <c r="JLV23" i="1" s="1"/>
  <c r="JLW23" i="1" s="1"/>
  <c r="JLX23" i="1" s="1"/>
  <c r="JLY23" i="1" s="1"/>
  <c r="JLZ23" i="1" s="1"/>
  <c r="JMA23" i="1" s="1"/>
  <c r="JMB23" i="1" s="1"/>
  <c r="JMC23" i="1" s="1"/>
  <c r="JMD23" i="1" s="1"/>
  <c r="JME23" i="1" s="1"/>
  <c r="JMF23" i="1" s="1"/>
  <c r="JMG23" i="1" s="1"/>
  <c r="JMH23" i="1" s="1"/>
  <c r="JMI23" i="1" s="1"/>
  <c r="JMJ23" i="1" s="1"/>
  <c r="JMK23" i="1" s="1"/>
  <c r="JML23" i="1" s="1"/>
  <c r="JMM23" i="1" s="1"/>
  <c r="JMN23" i="1" s="1"/>
  <c r="JMO23" i="1" s="1"/>
  <c r="JMP23" i="1" s="1"/>
  <c r="JMQ23" i="1" s="1"/>
  <c r="JMR23" i="1" s="1"/>
  <c r="JMS23" i="1" s="1"/>
  <c r="JMT23" i="1" s="1"/>
  <c r="JMU23" i="1" s="1"/>
  <c r="JMV23" i="1" s="1"/>
  <c r="JMW23" i="1" s="1"/>
  <c r="JMX23" i="1" s="1"/>
  <c r="JMY23" i="1" s="1"/>
  <c r="JMZ23" i="1" s="1"/>
  <c r="JNA23" i="1" s="1"/>
  <c r="JNB23" i="1" s="1"/>
  <c r="JNC23" i="1" s="1"/>
  <c r="JND23" i="1" s="1"/>
  <c r="JNE23" i="1" s="1"/>
  <c r="JNF23" i="1" s="1"/>
  <c r="JNG23" i="1" s="1"/>
  <c r="JNH23" i="1" s="1"/>
  <c r="JNI23" i="1" s="1"/>
  <c r="JNJ23" i="1" s="1"/>
  <c r="JNK23" i="1" s="1"/>
  <c r="JNL23" i="1" s="1"/>
  <c r="JNM23" i="1" s="1"/>
  <c r="JNN23" i="1" s="1"/>
  <c r="JNO23" i="1" s="1"/>
  <c r="JNP23" i="1" s="1"/>
  <c r="JNQ23" i="1" s="1"/>
  <c r="JNR23" i="1" s="1"/>
  <c r="JNS23" i="1" s="1"/>
  <c r="JNT23" i="1" s="1"/>
  <c r="JNU23" i="1" s="1"/>
  <c r="JNV23" i="1" s="1"/>
  <c r="JNW23" i="1" s="1"/>
  <c r="JNX23" i="1" s="1"/>
  <c r="JNY23" i="1" s="1"/>
  <c r="JNZ23" i="1" s="1"/>
  <c r="JOA23" i="1" s="1"/>
  <c r="JOB23" i="1" s="1"/>
  <c r="JOC23" i="1" s="1"/>
  <c r="JOD23" i="1" s="1"/>
  <c r="JOE23" i="1" s="1"/>
  <c r="JOF23" i="1" s="1"/>
  <c r="JOG23" i="1" s="1"/>
  <c r="JOH23" i="1" s="1"/>
  <c r="JOI23" i="1" s="1"/>
  <c r="JOJ23" i="1" s="1"/>
  <c r="JOK23" i="1" s="1"/>
  <c r="JOL23" i="1" s="1"/>
  <c r="JOM23" i="1" s="1"/>
  <c r="JON23" i="1" s="1"/>
  <c r="JOO23" i="1" s="1"/>
  <c r="JOP23" i="1" s="1"/>
  <c r="JOQ23" i="1" s="1"/>
  <c r="JOR23" i="1" s="1"/>
  <c r="JOS23" i="1" s="1"/>
  <c r="JOT23" i="1" s="1"/>
  <c r="JOU23" i="1" s="1"/>
  <c r="JOV23" i="1" s="1"/>
  <c r="JOW23" i="1" s="1"/>
  <c r="JOX23" i="1" s="1"/>
  <c r="JOY23" i="1" s="1"/>
  <c r="JOZ23" i="1" s="1"/>
  <c r="JPA23" i="1" s="1"/>
  <c r="JPB23" i="1" s="1"/>
  <c r="JPC23" i="1" s="1"/>
  <c r="JPD23" i="1" s="1"/>
  <c r="JPE23" i="1" s="1"/>
  <c r="JPF23" i="1" s="1"/>
  <c r="JPG23" i="1" s="1"/>
  <c r="JPH23" i="1" s="1"/>
  <c r="JPI23" i="1" s="1"/>
  <c r="JPJ23" i="1" s="1"/>
  <c r="JPK23" i="1" s="1"/>
  <c r="JPL23" i="1" s="1"/>
  <c r="JPM23" i="1" s="1"/>
  <c r="JPN23" i="1" s="1"/>
  <c r="JPO23" i="1" s="1"/>
  <c r="JPP23" i="1" s="1"/>
  <c r="JPQ23" i="1" s="1"/>
  <c r="JPR23" i="1" s="1"/>
  <c r="JPS23" i="1" s="1"/>
  <c r="JPT23" i="1" s="1"/>
  <c r="JPU23" i="1" s="1"/>
  <c r="JPV23" i="1" s="1"/>
  <c r="JPW23" i="1" s="1"/>
  <c r="JPX23" i="1" s="1"/>
  <c r="JPY23" i="1" s="1"/>
  <c r="JPZ23" i="1" s="1"/>
  <c r="JQA23" i="1" s="1"/>
  <c r="JQB23" i="1" s="1"/>
  <c r="JQC23" i="1" s="1"/>
  <c r="JQD23" i="1" s="1"/>
  <c r="JQE23" i="1" s="1"/>
  <c r="JQF23" i="1" s="1"/>
  <c r="JQG23" i="1" s="1"/>
  <c r="JQH23" i="1" s="1"/>
  <c r="JQI23" i="1" s="1"/>
  <c r="JQJ23" i="1" s="1"/>
  <c r="JQK23" i="1" s="1"/>
  <c r="JQL23" i="1" s="1"/>
  <c r="JQM23" i="1" s="1"/>
  <c r="JQN23" i="1" s="1"/>
  <c r="JQO23" i="1" s="1"/>
  <c r="JQP23" i="1" s="1"/>
  <c r="JQQ23" i="1" s="1"/>
  <c r="JQR23" i="1" s="1"/>
  <c r="JQS23" i="1" s="1"/>
  <c r="JQT23" i="1" s="1"/>
  <c r="JQU23" i="1" s="1"/>
  <c r="JQV23" i="1" s="1"/>
  <c r="JQW23" i="1" s="1"/>
  <c r="JQX23" i="1" s="1"/>
  <c r="JQY23" i="1" s="1"/>
  <c r="JQZ23" i="1" s="1"/>
  <c r="JRA23" i="1" s="1"/>
  <c r="JRB23" i="1" s="1"/>
  <c r="JRC23" i="1" s="1"/>
  <c r="JRD23" i="1" s="1"/>
  <c r="JRE23" i="1" s="1"/>
  <c r="JRF23" i="1" s="1"/>
  <c r="JRG23" i="1" s="1"/>
  <c r="JRH23" i="1" s="1"/>
  <c r="JRI23" i="1" s="1"/>
  <c r="JRJ23" i="1" s="1"/>
  <c r="JRK23" i="1" s="1"/>
  <c r="JRL23" i="1" s="1"/>
  <c r="JRM23" i="1" s="1"/>
  <c r="JRN23" i="1" s="1"/>
  <c r="JRO23" i="1" s="1"/>
  <c r="JRP23" i="1" s="1"/>
  <c r="JRQ23" i="1" s="1"/>
  <c r="JRR23" i="1" s="1"/>
  <c r="JRS23" i="1" s="1"/>
  <c r="JRT23" i="1" s="1"/>
  <c r="JRU23" i="1" s="1"/>
  <c r="JRV23" i="1" s="1"/>
  <c r="JRW23" i="1" s="1"/>
  <c r="JRX23" i="1" s="1"/>
  <c r="JRY23" i="1" s="1"/>
  <c r="JRZ23" i="1" s="1"/>
  <c r="JSA23" i="1" s="1"/>
  <c r="JSB23" i="1" s="1"/>
  <c r="JSC23" i="1" s="1"/>
  <c r="JSD23" i="1" s="1"/>
  <c r="JSE23" i="1" s="1"/>
  <c r="JSF23" i="1" s="1"/>
  <c r="JSG23" i="1" s="1"/>
  <c r="JSH23" i="1" s="1"/>
  <c r="JSI23" i="1" s="1"/>
  <c r="JSJ23" i="1" s="1"/>
  <c r="JSK23" i="1" s="1"/>
  <c r="JSL23" i="1" s="1"/>
  <c r="JSM23" i="1" s="1"/>
  <c r="JSN23" i="1" s="1"/>
  <c r="JSO23" i="1" s="1"/>
  <c r="JSP23" i="1" s="1"/>
  <c r="JSQ23" i="1" s="1"/>
  <c r="JSR23" i="1" s="1"/>
  <c r="JSS23" i="1" s="1"/>
  <c r="JST23" i="1" s="1"/>
  <c r="JSU23" i="1" s="1"/>
  <c r="JSV23" i="1" s="1"/>
  <c r="JSW23" i="1" s="1"/>
  <c r="JSX23" i="1" s="1"/>
  <c r="JSY23" i="1" s="1"/>
  <c r="JSZ23" i="1" s="1"/>
  <c r="JTA23" i="1" s="1"/>
  <c r="JTB23" i="1" s="1"/>
  <c r="JTC23" i="1" s="1"/>
  <c r="JTD23" i="1" s="1"/>
  <c r="JTE23" i="1" s="1"/>
  <c r="JTF23" i="1" s="1"/>
  <c r="JTG23" i="1" s="1"/>
  <c r="JTH23" i="1" s="1"/>
  <c r="JTI23" i="1" s="1"/>
  <c r="JTJ23" i="1" s="1"/>
  <c r="JTK23" i="1" s="1"/>
  <c r="JTL23" i="1" s="1"/>
  <c r="JTM23" i="1" s="1"/>
  <c r="JTN23" i="1" s="1"/>
  <c r="JTO23" i="1" s="1"/>
  <c r="JTP23" i="1" s="1"/>
  <c r="JTQ23" i="1" s="1"/>
  <c r="JTR23" i="1" s="1"/>
  <c r="JTS23" i="1" s="1"/>
  <c r="JTT23" i="1" s="1"/>
  <c r="JTU23" i="1" s="1"/>
  <c r="JTV23" i="1" s="1"/>
  <c r="JTW23" i="1" s="1"/>
  <c r="JTX23" i="1" s="1"/>
  <c r="JTY23" i="1" s="1"/>
  <c r="JTZ23" i="1" s="1"/>
  <c r="JUA23" i="1" s="1"/>
  <c r="JUB23" i="1" s="1"/>
  <c r="JUC23" i="1" s="1"/>
  <c r="JUD23" i="1" s="1"/>
  <c r="JUE23" i="1" s="1"/>
  <c r="JUF23" i="1" s="1"/>
  <c r="JUG23" i="1" s="1"/>
  <c r="JUH23" i="1" s="1"/>
  <c r="JUI23" i="1" s="1"/>
  <c r="JUJ23" i="1" s="1"/>
  <c r="JUK23" i="1" s="1"/>
  <c r="JUL23" i="1" s="1"/>
  <c r="JUM23" i="1" s="1"/>
  <c r="JUN23" i="1" s="1"/>
  <c r="JUO23" i="1" s="1"/>
  <c r="JUP23" i="1" s="1"/>
  <c r="JUQ23" i="1" s="1"/>
  <c r="JUR23" i="1" s="1"/>
  <c r="JUS23" i="1" s="1"/>
  <c r="JUT23" i="1" s="1"/>
  <c r="JUU23" i="1" s="1"/>
  <c r="JUV23" i="1" s="1"/>
  <c r="JUW23" i="1" s="1"/>
  <c r="JUX23" i="1" s="1"/>
  <c r="JUY23" i="1" s="1"/>
  <c r="JUZ23" i="1" s="1"/>
  <c r="JVA23" i="1" s="1"/>
  <c r="JVB23" i="1" s="1"/>
  <c r="JVC23" i="1" s="1"/>
  <c r="JVD23" i="1" s="1"/>
  <c r="JVE23" i="1" s="1"/>
  <c r="JVF23" i="1" s="1"/>
  <c r="JVG23" i="1" s="1"/>
  <c r="JVH23" i="1" s="1"/>
  <c r="JVI23" i="1" s="1"/>
  <c r="JVJ23" i="1" s="1"/>
  <c r="JVK23" i="1" s="1"/>
  <c r="JVL23" i="1" s="1"/>
  <c r="JVM23" i="1" s="1"/>
  <c r="JVN23" i="1" s="1"/>
  <c r="JVO23" i="1" s="1"/>
  <c r="JVP23" i="1" s="1"/>
  <c r="JVQ23" i="1" s="1"/>
  <c r="JVR23" i="1" s="1"/>
  <c r="JVS23" i="1" s="1"/>
  <c r="JVT23" i="1" s="1"/>
  <c r="JVU23" i="1" s="1"/>
  <c r="JVV23" i="1" s="1"/>
  <c r="JVW23" i="1" s="1"/>
  <c r="JVX23" i="1" s="1"/>
  <c r="JVY23" i="1" s="1"/>
  <c r="JVZ23" i="1" s="1"/>
  <c r="JWA23" i="1" s="1"/>
  <c r="JWB23" i="1" s="1"/>
  <c r="JWC23" i="1" s="1"/>
  <c r="JWD23" i="1" s="1"/>
  <c r="JWE23" i="1" s="1"/>
  <c r="JWF23" i="1" s="1"/>
  <c r="JWG23" i="1" s="1"/>
  <c r="JWH23" i="1" s="1"/>
  <c r="JWI23" i="1" s="1"/>
  <c r="JWJ23" i="1" s="1"/>
  <c r="JWK23" i="1" s="1"/>
  <c r="JWL23" i="1" s="1"/>
  <c r="JWM23" i="1" s="1"/>
  <c r="JWN23" i="1" s="1"/>
  <c r="JWO23" i="1" s="1"/>
  <c r="JWP23" i="1" s="1"/>
  <c r="JWQ23" i="1" s="1"/>
  <c r="JWR23" i="1" s="1"/>
  <c r="JWS23" i="1" s="1"/>
  <c r="JWT23" i="1" s="1"/>
  <c r="JWU23" i="1" s="1"/>
  <c r="JWV23" i="1" s="1"/>
  <c r="JWW23" i="1" s="1"/>
  <c r="JWX23" i="1" s="1"/>
  <c r="JWY23" i="1" s="1"/>
  <c r="JWZ23" i="1" s="1"/>
  <c r="JXA23" i="1" s="1"/>
  <c r="JXB23" i="1" s="1"/>
  <c r="JXC23" i="1" s="1"/>
  <c r="JXD23" i="1" s="1"/>
  <c r="JXE23" i="1" s="1"/>
  <c r="JXF23" i="1" s="1"/>
  <c r="JXG23" i="1" s="1"/>
  <c r="JXH23" i="1" s="1"/>
  <c r="JXI23" i="1" s="1"/>
  <c r="JXJ23" i="1" s="1"/>
  <c r="JXK23" i="1" s="1"/>
  <c r="JXL23" i="1" s="1"/>
  <c r="JXM23" i="1" s="1"/>
  <c r="JXN23" i="1" s="1"/>
  <c r="JXO23" i="1" s="1"/>
  <c r="JXP23" i="1" s="1"/>
  <c r="JXQ23" i="1" s="1"/>
  <c r="JXR23" i="1" s="1"/>
  <c r="JXS23" i="1" s="1"/>
  <c r="JXT23" i="1" s="1"/>
  <c r="JXU23" i="1" s="1"/>
  <c r="JXV23" i="1" s="1"/>
  <c r="JXW23" i="1" s="1"/>
  <c r="JXX23" i="1" s="1"/>
  <c r="JXY23" i="1" s="1"/>
  <c r="JXZ23" i="1" s="1"/>
  <c r="JYA23" i="1" s="1"/>
  <c r="JYB23" i="1" s="1"/>
  <c r="JYC23" i="1" s="1"/>
  <c r="JYD23" i="1" s="1"/>
  <c r="JYE23" i="1" s="1"/>
  <c r="JYF23" i="1" s="1"/>
  <c r="JYG23" i="1" s="1"/>
  <c r="JYH23" i="1" s="1"/>
  <c r="JYI23" i="1" s="1"/>
  <c r="JYJ23" i="1" s="1"/>
  <c r="JYK23" i="1" s="1"/>
  <c r="JYL23" i="1" s="1"/>
  <c r="JYM23" i="1" s="1"/>
  <c r="JYN23" i="1" s="1"/>
  <c r="JYO23" i="1" s="1"/>
  <c r="JYP23" i="1" s="1"/>
  <c r="JYQ23" i="1" s="1"/>
  <c r="JYR23" i="1" s="1"/>
  <c r="JYS23" i="1" s="1"/>
  <c r="JYT23" i="1" s="1"/>
  <c r="JYU23" i="1" s="1"/>
  <c r="JYV23" i="1" s="1"/>
  <c r="JYW23" i="1" s="1"/>
  <c r="JYX23" i="1" s="1"/>
  <c r="JYY23" i="1" s="1"/>
  <c r="JYZ23" i="1" s="1"/>
  <c r="JZA23" i="1" s="1"/>
  <c r="JZB23" i="1" s="1"/>
  <c r="JZC23" i="1" s="1"/>
  <c r="JZD23" i="1" s="1"/>
  <c r="JZE23" i="1" s="1"/>
  <c r="JZF23" i="1" s="1"/>
  <c r="JZG23" i="1" s="1"/>
  <c r="JZH23" i="1" s="1"/>
  <c r="JZI23" i="1" s="1"/>
  <c r="JZJ23" i="1" s="1"/>
  <c r="JZK23" i="1" s="1"/>
  <c r="JZL23" i="1" s="1"/>
  <c r="JZM23" i="1" s="1"/>
  <c r="JZN23" i="1" s="1"/>
  <c r="JZO23" i="1" s="1"/>
  <c r="JZP23" i="1" s="1"/>
  <c r="JZQ23" i="1" s="1"/>
  <c r="JZR23" i="1" s="1"/>
  <c r="JZS23" i="1" s="1"/>
  <c r="JZT23" i="1" s="1"/>
  <c r="JZU23" i="1" s="1"/>
  <c r="JZV23" i="1" s="1"/>
  <c r="JZW23" i="1" s="1"/>
  <c r="JZX23" i="1" s="1"/>
  <c r="JZY23" i="1" s="1"/>
  <c r="JZZ23" i="1" s="1"/>
  <c r="KAA23" i="1" s="1"/>
  <c r="KAB23" i="1" s="1"/>
  <c r="KAC23" i="1" s="1"/>
  <c r="KAD23" i="1" s="1"/>
  <c r="KAE23" i="1" s="1"/>
  <c r="KAF23" i="1" s="1"/>
  <c r="KAG23" i="1" s="1"/>
  <c r="KAH23" i="1" s="1"/>
  <c r="KAI23" i="1" s="1"/>
  <c r="KAJ23" i="1" s="1"/>
  <c r="KAK23" i="1" s="1"/>
  <c r="KAL23" i="1" s="1"/>
  <c r="KAM23" i="1" s="1"/>
  <c r="KAN23" i="1" s="1"/>
  <c r="KAO23" i="1" s="1"/>
  <c r="KAP23" i="1" s="1"/>
  <c r="KAQ23" i="1" s="1"/>
  <c r="KAR23" i="1" s="1"/>
  <c r="KAS23" i="1" s="1"/>
  <c r="KAT23" i="1" s="1"/>
  <c r="KAU23" i="1" s="1"/>
  <c r="KAV23" i="1" s="1"/>
  <c r="KAW23" i="1" s="1"/>
  <c r="KAX23" i="1" s="1"/>
  <c r="KAY23" i="1" s="1"/>
  <c r="KAZ23" i="1" s="1"/>
  <c r="KBA23" i="1" s="1"/>
  <c r="KBB23" i="1" s="1"/>
  <c r="KBC23" i="1" s="1"/>
  <c r="KBD23" i="1" s="1"/>
  <c r="KBE23" i="1" s="1"/>
  <c r="KBF23" i="1" s="1"/>
  <c r="KBG23" i="1" s="1"/>
  <c r="KBH23" i="1" s="1"/>
  <c r="KBI23" i="1" s="1"/>
  <c r="KBJ23" i="1" s="1"/>
  <c r="KBK23" i="1" s="1"/>
  <c r="KBL23" i="1" s="1"/>
  <c r="KBM23" i="1" s="1"/>
  <c r="KBN23" i="1" s="1"/>
  <c r="KBO23" i="1" s="1"/>
  <c r="KBP23" i="1" s="1"/>
  <c r="KBQ23" i="1" s="1"/>
  <c r="KBR23" i="1" s="1"/>
  <c r="KBS23" i="1" s="1"/>
  <c r="KBT23" i="1" s="1"/>
  <c r="KBU23" i="1" s="1"/>
  <c r="KBV23" i="1" s="1"/>
  <c r="KBW23" i="1" s="1"/>
  <c r="KBX23" i="1" s="1"/>
  <c r="KBY23" i="1" s="1"/>
  <c r="KBZ23" i="1" s="1"/>
  <c r="KCA23" i="1" s="1"/>
  <c r="KCB23" i="1" s="1"/>
  <c r="KCC23" i="1" s="1"/>
  <c r="KCD23" i="1" s="1"/>
  <c r="KCE23" i="1" s="1"/>
  <c r="KCF23" i="1" s="1"/>
  <c r="KCG23" i="1" s="1"/>
  <c r="KCH23" i="1" s="1"/>
  <c r="KCI23" i="1" s="1"/>
  <c r="KCJ23" i="1" s="1"/>
  <c r="KCK23" i="1" s="1"/>
  <c r="KCL23" i="1" s="1"/>
  <c r="KCM23" i="1" s="1"/>
  <c r="KCN23" i="1" s="1"/>
  <c r="KCO23" i="1" s="1"/>
  <c r="KCP23" i="1" s="1"/>
  <c r="KCQ23" i="1" s="1"/>
  <c r="KCR23" i="1" s="1"/>
  <c r="KCS23" i="1" s="1"/>
  <c r="KCT23" i="1" s="1"/>
  <c r="KCU23" i="1" s="1"/>
  <c r="KCV23" i="1" s="1"/>
  <c r="KCW23" i="1" s="1"/>
  <c r="KCX23" i="1" s="1"/>
  <c r="KCY23" i="1" s="1"/>
  <c r="KCZ23" i="1" s="1"/>
  <c r="KDA23" i="1" s="1"/>
  <c r="KDB23" i="1" s="1"/>
  <c r="KDC23" i="1" s="1"/>
  <c r="KDD23" i="1" s="1"/>
  <c r="KDE23" i="1" s="1"/>
  <c r="KDF23" i="1" s="1"/>
  <c r="KDG23" i="1" s="1"/>
  <c r="KDH23" i="1" s="1"/>
  <c r="KDI23" i="1" s="1"/>
  <c r="KDJ23" i="1" s="1"/>
  <c r="KDK23" i="1" s="1"/>
  <c r="KDL23" i="1" s="1"/>
  <c r="KDM23" i="1" s="1"/>
  <c r="KDN23" i="1" s="1"/>
  <c r="KDO23" i="1" s="1"/>
  <c r="KDP23" i="1" s="1"/>
  <c r="KDQ23" i="1" s="1"/>
  <c r="KDR23" i="1" s="1"/>
  <c r="KDS23" i="1" s="1"/>
  <c r="KDT23" i="1" s="1"/>
  <c r="KDU23" i="1" s="1"/>
  <c r="KDV23" i="1" s="1"/>
  <c r="KDW23" i="1" s="1"/>
  <c r="KDX23" i="1" s="1"/>
  <c r="KDY23" i="1" s="1"/>
  <c r="KDZ23" i="1" s="1"/>
  <c r="KEA23" i="1" s="1"/>
  <c r="KEB23" i="1" s="1"/>
  <c r="KEC23" i="1" s="1"/>
  <c r="KED23" i="1" s="1"/>
  <c r="KEE23" i="1" s="1"/>
  <c r="KEF23" i="1" s="1"/>
  <c r="KEG23" i="1" s="1"/>
  <c r="KEH23" i="1" s="1"/>
  <c r="KEI23" i="1" s="1"/>
  <c r="KEJ23" i="1" s="1"/>
  <c r="KEK23" i="1" s="1"/>
  <c r="KEL23" i="1" s="1"/>
  <c r="KEM23" i="1" s="1"/>
  <c r="KEN23" i="1" s="1"/>
  <c r="KEO23" i="1" s="1"/>
  <c r="KEP23" i="1" s="1"/>
  <c r="KEQ23" i="1" s="1"/>
  <c r="KER23" i="1" s="1"/>
  <c r="KES23" i="1" s="1"/>
  <c r="KET23" i="1" s="1"/>
  <c r="KEU23" i="1" s="1"/>
  <c r="KEV23" i="1" s="1"/>
  <c r="KEW23" i="1" s="1"/>
  <c r="KEX23" i="1" s="1"/>
  <c r="KEY23" i="1" s="1"/>
  <c r="KEZ23" i="1" s="1"/>
  <c r="KFA23" i="1" s="1"/>
  <c r="KFB23" i="1" s="1"/>
  <c r="KFC23" i="1" s="1"/>
  <c r="KFD23" i="1" s="1"/>
  <c r="KFE23" i="1" s="1"/>
  <c r="KFF23" i="1" s="1"/>
  <c r="KFG23" i="1" s="1"/>
  <c r="KFH23" i="1" s="1"/>
  <c r="KFI23" i="1" s="1"/>
  <c r="KFJ23" i="1" s="1"/>
  <c r="KFK23" i="1" s="1"/>
  <c r="KFL23" i="1" s="1"/>
  <c r="KFM23" i="1" s="1"/>
  <c r="KFN23" i="1" s="1"/>
  <c r="KFO23" i="1" s="1"/>
  <c r="KFP23" i="1" s="1"/>
  <c r="KFQ23" i="1" s="1"/>
  <c r="KFR23" i="1" s="1"/>
  <c r="KFS23" i="1" s="1"/>
  <c r="KFT23" i="1" s="1"/>
  <c r="KFU23" i="1" s="1"/>
  <c r="KFV23" i="1" s="1"/>
  <c r="KFW23" i="1" s="1"/>
  <c r="KFX23" i="1" s="1"/>
  <c r="KFY23" i="1" s="1"/>
  <c r="KFZ23" i="1" s="1"/>
  <c r="KGA23" i="1" s="1"/>
  <c r="KGB23" i="1" s="1"/>
  <c r="KGC23" i="1" s="1"/>
  <c r="KGD23" i="1" s="1"/>
  <c r="KGE23" i="1" s="1"/>
  <c r="KGF23" i="1" s="1"/>
  <c r="KGG23" i="1" s="1"/>
  <c r="KGH23" i="1" s="1"/>
  <c r="KGI23" i="1" s="1"/>
  <c r="KGJ23" i="1" s="1"/>
  <c r="KGK23" i="1" s="1"/>
  <c r="KGL23" i="1" s="1"/>
  <c r="KGM23" i="1" s="1"/>
  <c r="KGN23" i="1" s="1"/>
  <c r="KGO23" i="1" s="1"/>
  <c r="KGP23" i="1" s="1"/>
  <c r="KGQ23" i="1" s="1"/>
  <c r="KGR23" i="1" s="1"/>
  <c r="KGS23" i="1" s="1"/>
  <c r="KGT23" i="1" s="1"/>
  <c r="KGU23" i="1" s="1"/>
  <c r="KGV23" i="1" s="1"/>
  <c r="KGW23" i="1" s="1"/>
  <c r="KGX23" i="1" s="1"/>
  <c r="KGY23" i="1" s="1"/>
  <c r="KGZ23" i="1" s="1"/>
  <c r="KHA23" i="1" s="1"/>
  <c r="KHB23" i="1" s="1"/>
  <c r="KHC23" i="1" s="1"/>
  <c r="KHD23" i="1" s="1"/>
  <c r="KHE23" i="1" s="1"/>
  <c r="KHF23" i="1" s="1"/>
  <c r="KHG23" i="1" s="1"/>
  <c r="KHH23" i="1" s="1"/>
  <c r="KHI23" i="1" s="1"/>
  <c r="KHJ23" i="1" s="1"/>
  <c r="KHK23" i="1" s="1"/>
  <c r="KHL23" i="1" s="1"/>
  <c r="KHM23" i="1" s="1"/>
  <c r="KHN23" i="1" s="1"/>
  <c r="KHO23" i="1" s="1"/>
  <c r="KHP23" i="1" s="1"/>
  <c r="KHQ23" i="1" s="1"/>
  <c r="KHR23" i="1" s="1"/>
  <c r="KHS23" i="1" s="1"/>
  <c r="KHT23" i="1" s="1"/>
  <c r="KHU23" i="1" s="1"/>
  <c r="KHV23" i="1" s="1"/>
  <c r="KHW23" i="1" s="1"/>
  <c r="KHX23" i="1" s="1"/>
  <c r="KHY23" i="1" s="1"/>
  <c r="KHZ23" i="1" s="1"/>
  <c r="KIA23" i="1" s="1"/>
  <c r="KIB23" i="1" s="1"/>
  <c r="KIC23" i="1" s="1"/>
  <c r="KID23" i="1" s="1"/>
  <c r="KIE23" i="1" s="1"/>
  <c r="KIF23" i="1" s="1"/>
  <c r="KIG23" i="1" s="1"/>
  <c r="KIH23" i="1" s="1"/>
  <c r="KII23" i="1" s="1"/>
  <c r="KIJ23" i="1" s="1"/>
  <c r="KIK23" i="1" s="1"/>
  <c r="KIL23" i="1" s="1"/>
  <c r="KIM23" i="1" s="1"/>
  <c r="KIN23" i="1" s="1"/>
  <c r="KIO23" i="1" s="1"/>
  <c r="KIP23" i="1" s="1"/>
  <c r="KIQ23" i="1" s="1"/>
  <c r="KIR23" i="1" s="1"/>
  <c r="KIS23" i="1" s="1"/>
  <c r="KIT23" i="1" s="1"/>
  <c r="KIU23" i="1" s="1"/>
  <c r="KIV23" i="1" s="1"/>
  <c r="KIW23" i="1" s="1"/>
  <c r="KIX23" i="1" s="1"/>
  <c r="KIY23" i="1" s="1"/>
  <c r="KIZ23" i="1" s="1"/>
  <c r="KJA23" i="1" s="1"/>
  <c r="KJB23" i="1" s="1"/>
  <c r="KJC23" i="1" s="1"/>
  <c r="KJD23" i="1" s="1"/>
  <c r="KJE23" i="1" s="1"/>
  <c r="KJF23" i="1" s="1"/>
  <c r="KJG23" i="1" s="1"/>
  <c r="KJH23" i="1" s="1"/>
  <c r="KJI23" i="1" s="1"/>
  <c r="KJJ23" i="1" s="1"/>
  <c r="KJK23" i="1" s="1"/>
  <c r="KJL23" i="1" s="1"/>
  <c r="KJM23" i="1" s="1"/>
  <c r="KJN23" i="1" s="1"/>
  <c r="KJO23" i="1" s="1"/>
  <c r="KJP23" i="1" s="1"/>
  <c r="KJQ23" i="1" s="1"/>
  <c r="KJR23" i="1" s="1"/>
  <c r="KJS23" i="1" s="1"/>
  <c r="KJT23" i="1" s="1"/>
  <c r="KJU23" i="1" s="1"/>
  <c r="KJV23" i="1" s="1"/>
  <c r="KJW23" i="1" s="1"/>
  <c r="KJX23" i="1" s="1"/>
  <c r="KJY23" i="1" s="1"/>
  <c r="KJZ23" i="1" s="1"/>
  <c r="KKA23" i="1" s="1"/>
  <c r="KKB23" i="1" s="1"/>
  <c r="KKC23" i="1" s="1"/>
  <c r="KKD23" i="1" s="1"/>
  <c r="KKE23" i="1" s="1"/>
  <c r="KKF23" i="1" s="1"/>
  <c r="KKG23" i="1" s="1"/>
  <c r="KKH23" i="1" s="1"/>
  <c r="KKI23" i="1" s="1"/>
  <c r="KKJ23" i="1" s="1"/>
  <c r="KKK23" i="1" s="1"/>
  <c r="KKL23" i="1" s="1"/>
  <c r="KKM23" i="1" s="1"/>
  <c r="KKN23" i="1" s="1"/>
  <c r="KKO23" i="1" s="1"/>
  <c r="KKP23" i="1" s="1"/>
  <c r="KKQ23" i="1" s="1"/>
  <c r="KKR23" i="1" s="1"/>
  <c r="KKS23" i="1" s="1"/>
  <c r="KKT23" i="1" s="1"/>
  <c r="KKU23" i="1" s="1"/>
  <c r="KKV23" i="1" s="1"/>
  <c r="KKW23" i="1" s="1"/>
  <c r="KKX23" i="1" s="1"/>
  <c r="KKY23" i="1" s="1"/>
  <c r="KKZ23" i="1" s="1"/>
  <c r="KLA23" i="1" s="1"/>
  <c r="KLB23" i="1" s="1"/>
  <c r="KLC23" i="1" s="1"/>
  <c r="KLD23" i="1" s="1"/>
  <c r="KLE23" i="1" s="1"/>
  <c r="KLF23" i="1" s="1"/>
  <c r="KLG23" i="1" s="1"/>
  <c r="KLH23" i="1" s="1"/>
  <c r="KLI23" i="1" s="1"/>
  <c r="KLJ23" i="1" s="1"/>
  <c r="KLK23" i="1" s="1"/>
  <c r="KLL23" i="1" s="1"/>
  <c r="KLM23" i="1" s="1"/>
  <c r="KLN23" i="1" s="1"/>
  <c r="KLO23" i="1" s="1"/>
  <c r="KLP23" i="1" s="1"/>
  <c r="KLQ23" i="1" s="1"/>
  <c r="KLR23" i="1" s="1"/>
  <c r="KLS23" i="1" s="1"/>
  <c r="KLT23" i="1" s="1"/>
  <c r="KLU23" i="1" s="1"/>
  <c r="KLV23" i="1" s="1"/>
  <c r="KLW23" i="1" s="1"/>
  <c r="KLX23" i="1" s="1"/>
  <c r="KLY23" i="1" s="1"/>
  <c r="KLZ23" i="1" s="1"/>
  <c r="KMA23" i="1" s="1"/>
  <c r="KMB23" i="1" s="1"/>
  <c r="KMC23" i="1" s="1"/>
  <c r="KMD23" i="1" s="1"/>
  <c r="KME23" i="1" s="1"/>
  <c r="KMF23" i="1" s="1"/>
  <c r="KMG23" i="1" s="1"/>
  <c r="KMH23" i="1" s="1"/>
  <c r="KMI23" i="1" s="1"/>
  <c r="KMJ23" i="1" s="1"/>
  <c r="KMK23" i="1" s="1"/>
  <c r="KML23" i="1" s="1"/>
  <c r="KMM23" i="1" s="1"/>
  <c r="KMN23" i="1" s="1"/>
  <c r="KMO23" i="1" s="1"/>
  <c r="KMP23" i="1" s="1"/>
  <c r="KMQ23" i="1" s="1"/>
  <c r="KMR23" i="1" s="1"/>
  <c r="KMS23" i="1" s="1"/>
  <c r="KMT23" i="1" s="1"/>
  <c r="KMU23" i="1" s="1"/>
  <c r="KMV23" i="1" s="1"/>
  <c r="KMW23" i="1" s="1"/>
  <c r="KMX23" i="1" s="1"/>
  <c r="KMY23" i="1" s="1"/>
  <c r="KMZ23" i="1" s="1"/>
  <c r="KNA23" i="1" s="1"/>
  <c r="KNB23" i="1" s="1"/>
  <c r="KNC23" i="1" s="1"/>
  <c r="KND23" i="1" s="1"/>
  <c r="KNE23" i="1" s="1"/>
  <c r="KNF23" i="1" s="1"/>
  <c r="KNG23" i="1" s="1"/>
  <c r="KNH23" i="1" s="1"/>
  <c r="KNI23" i="1" s="1"/>
  <c r="KNJ23" i="1" s="1"/>
  <c r="KNK23" i="1" s="1"/>
  <c r="KNL23" i="1" s="1"/>
  <c r="KNM23" i="1" s="1"/>
  <c r="KNN23" i="1" s="1"/>
  <c r="KNO23" i="1" s="1"/>
  <c r="KNP23" i="1" s="1"/>
  <c r="KNQ23" i="1" s="1"/>
  <c r="KNR23" i="1" s="1"/>
  <c r="KNS23" i="1" s="1"/>
  <c r="KNT23" i="1" s="1"/>
  <c r="KNU23" i="1" s="1"/>
  <c r="KNV23" i="1" s="1"/>
  <c r="KNW23" i="1" s="1"/>
  <c r="KNX23" i="1" s="1"/>
  <c r="KNY23" i="1" s="1"/>
  <c r="KNZ23" i="1" s="1"/>
  <c r="KOA23" i="1" s="1"/>
  <c r="KOB23" i="1" s="1"/>
  <c r="KOC23" i="1" s="1"/>
  <c r="KOD23" i="1" s="1"/>
  <c r="KOE23" i="1" s="1"/>
  <c r="KOF23" i="1" s="1"/>
  <c r="KOG23" i="1" s="1"/>
  <c r="KOH23" i="1" s="1"/>
  <c r="KOI23" i="1" s="1"/>
  <c r="KOJ23" i="1" s="1"/>
  <c r="KOK23" i="1" s="1"/>
  <c r="KOL23" i="1" s="1"/>
  <c r="KOM23" i="1" s="1"/>
  <c r="KON23" i="1" s="1"/>
  <c r="KOO23" i="1" s="1"/>
  <c r="KOP23" i="1" s="1"/>
  <c r="KOQ23" i="1" s="1"/>
  <c r="KOR23" i="1" s="1"/>
  <c r="KOS23" i="1" s="1"/>
  <c r="KOT23" i="1" s="1"/>
  <c r="KOU23" i="1" s="1"/>
  <c r="KOV23" i="1" s="1"/>
  <c r="KOW23" i="1" s="1"/>
  <c r="KOX23" i="1" s="1"/>
  <c r="KOY23" i="1" s="1"/>
  <c r="KOZ23" i="1" s="1"/>
  <c r="KPA23" i="1" s="1"/>
  <c r="KPB23" i="1" s="1"/>
  <c r="KPC23" i="1" s="1"/>
  <c r="KPD23" i="1" s="1"/>
  <c r="KPE23" i="1" s="1"/>
  <c r="KPF23" i="1" s="1"/>
  <c r="KPG23" i="1" s="1"/>
  <c r="KPH23" i="1" s="1"/>
  <c r="KPI23" i="1" s="1"/>
  <c r="KPJ23" i="1" s="1"/>
  <c r="KPK23" i="1" s="1"/>
  <c r="KPL23" i="1" s="1"/>
  <c r="KPM23" i="1" s="1"/>
  <c r="KPN23" i="1" s="1"/>
  <c r="KPO23" i="1" s="1"/>
  <c r="KPP23" i="1" s="1"/>
  <c r="KPQ23" i="1" s="1"/>
  <c r="KPR23" i="1" s="1"/>
  <c r="KPS23" i="1" s="1"/>
  <c r="KPT23" i="1" s="1"/>
  <c r="KPU23" i="1" s="1"/>
  <c r="KPV23" i="1" s="1"/>
  <c r="KPW23" i="1" s="1"/>
  <c r="KPX23" i="1" s="1"/>
  <c r="KPY23" i="1" s="1"/>
  <c r="KPZ23" i="1" s="1"/>
  <c r="KQA23" i="1" s="1"/>
  <c r="KQB23" i="1" s="1"/>
  <c r="KQC23" i="1" s="1"/>
  <c r="KQD23" i="1" s="1"/>
  <c r="KQE23" i="1" s="1"/>
  <c r="KQF23" i="1" s="1"/>
  <c r="KQG23" i="1" s="1"/>
  <c r="KQH23" i="1" s="1"/>
  <c r="KQI23" i="1" s="1"/>
  <c r="KQJ23" i="1" s="1"/>
  <c r="KQK23" i="1" s="1"/>
  <c r="KQL23" i="1" s="1"/>
  <c r="KQM23" i="1" s="1"/>
  <c r="KQN23" i="1" s="1"/>
  <c r="KQO23" i="1" s="1"/>
  <c r="KQP23" i="1" s="1"/>
  <c r="KQQ23" i="1" s="1"/>
  <c r="KQR23" i="1" s="1"/>
  <c r="KQS23" i="1" s="1"/>
  <c r="KQT23" i="1" s="1"/>
  <c r="KQU23" i="1" s="1"/>
  <c r="KQV23" i="1" s="1"/>
  <c r="KQW23" i="1" s="1"/>
  <c r="KQX23" i="1" s="1"/>
  <c r="KQY23" i="1" s="1"/>
  <c r="KQZ23" i="1" s="1"/>
  <c r="KRA23" i="1" s="1"/>
  <c r="KRB23" i="1" s="1"/>
  <c r="KRC23" i="1" s="1"/>
  <c r="KRD23" i="1" s="1"/>
  <c r="KRE23" i="1" s="1"/>
  <c r="KRF23" i="1" s="1"/>
  <c r="KRG23" i="1" s="1"/>
  <c r="KRH23" i="1" s="1"/>
  <c r="KRI23" i="1" s="1"/>
  <c r="KRJ23" i="1" s="1"/>
  <c r="KRK23" i="1" s="1"/>
  <c r="KRL23" i="1" s="1"/>
  <c r="KRM23" i="1" s="1"/>
  <c r="KRN23" i="1" s="1"/>
  <c r="KRO23" i="1" s="1"/>
  <c r="KRP23" i="1" s="1"/>
  <c r="KRQ23" i="1" s="1"/>
  <c r="KRR23" i="1" s="1"/>
  <c r="KRS23" i="1" s="1"/>
  <c r="KRT23" i="1" s="1"/>
  <c r="KRU23" i="1" s="1"/>
  <c r="KRV23" i="1" s="1"/>
  <c r="KRW23" i="1" s="1"/>
  <c r="KRX23" i="1" s="1"/>
  <c r="KRY23" i="1" s="1"/>
  <c r="KRZ23" i="1" s="1"/>
  <c r="KSA23" i="1" s="1"/>
  <c r="KSB23" i="1" s="1"/>
  <c r="KSC23" i="1" s="1"/>
  <c r="KSD23" i="1" s="1"/>
  <c r="KSE23" i="1" s="1"/>
  <c r="KSF23" i="1" s="1"/>
  <c r="KSG23" i="1" s="1"/>
  <c r="KSH23" i="1" s="1"/>
  <c r="KSI23" i="1" s="1"/>
  <c r="KSJ23" i="1" s="1"/>
  <c r="KSK23" i="1" s="1"/>
  <c r="KSL23" i="1" s="1"/>
  <c r="KSM23" i="1" s="1"/>
  <c r="KSN23" i="1" s="1"/>
  <c r="KSO23" i="1" s="1"/>
  <c r="KSP23" i="1" s="1"/>
  <c r="KSQ23" i="1" s="1"/>
  <c r="KSR23" i="1" s="1"/>
  <c r="KSS23" i="1" s="1"/>
  <c r="KST23" i="1" s="1"/>
  <c r="KSU23" i="1" s="1"/>
  <c r="KSV23" i="1" s="1"/>
  <c r="KSW23" i="1" s="1"/>
  <c r="KSX23" i="1" s="1"/>
  <c r="KSY23" i="1" s="1"/>
  <c r="KSZ23" i="1" s="1"/>
  <c r="KTA23" i="1" s="1"/>
  <c r="KTB23" i="1" s="1"/>
  <c r="KTC23" i="1" s="1"/>
  <c r="KTD23" i="1" s="1"/>
  <c r="KTE23" i="1" s="1"/>
  <c r="KTF23" i="1" s="1"/>
  <c r="KTG23" i="1" s="1"/>
  <c r="KTH23" i="1" s="1"/>
  <c r="KTI23" i="1" s="1"/>
  <c r="KTJ23" i="1" s="1"/>
  <c r="KTK23" i="1" s="1"/>
  <c r="KTL23" i="1" s="1"/>
  <c r="KTM23" i="1" s="1"/>
  <c r="KTN23" i="1" s="1"/>
  <c r="KTO23" i="1" s="1"/>
  <c r="KTP23" i="1" s="1"/>
  <c r="KTQ23" i="1" s="1"/>
  <c r="KTR23" i="1" s="1"/>
  <c r="KTS23" i="1" s="1"/>
  <c r="KTT23" i="1" s="1"/>
  <c r="KTU23" i="1" s="1"/>
  <c r="KTV23" i="1" s="1"/>
  <c r="KTW23" i="1" s="1"/>
  <c r="KTX23" i="1" s="1"/>
  <c r="KTY23" i="1" s="1"/>
  <c r="KTZ23" i="1" s="1"/>
  <c r="KUA23" i="1" s="1"/>
  <c r="KUB23" i="1" s="1"/>
  <c r="KUC23" i="1" s="1"/>
  <c r="KUD23" i="1" s="1"/>
  <c r="KUE23" i="1" s="1"/>
  <c r="KUF23" i="1" s="1"/>
  <c r="KUG23" i="1" s="1"/>
  <c r="KUH23" i="1" s="1"/>
  <c r="KUI23" i="1" s="1"/>
  <c r="KUJ23" i="1" s="1"/>
  <c r="KUK23" i="1" s="1"/>
  <c r="KUL23" i="1" s="1"/>
  <c r="KUM23" i="1" s="1"/>
  <c r="KUN23" i="1" s="1"/>
  <c r="KUO23" i="1" s="1"/>
  <c r="KUP23" i="1" s="1"/>
  <c r="KUQ23" i="1" s="1"/>
  <c r="KUR23" i="1" s="1"/>
  <c r="KUS23" i="1" s="1"/>
  <c r="KUT23" i="1" s="1"/>
  <c r="KUU23" i="1" s="1"/>
  <c r="KUV23" i="1" s="1"/>
  <c r="KUW23" i="1" s="1"/>
  <c r="KUX23" i="1" s="1"/>
  <c r="KUY23" i="1" s="1"/>
  <c r="KUZ23" i="1" s="1"/>
  <c r="KVA23" i="1" s="1"/>
  <c r="KVB23" i="1" s="1"/>
  <c r="KVC23" i="1" s="1"/>
  <c r="KVD23" i="1" s="1"/>
  <c r="KVE23" i="1" s="1"/>
  <c r="KVF23" i="1" s="1"/>
  <c r="KVG23" i="1" s="1"/>
  <c r="KVH23" i="1" s="1"/>
  <c r="KVI23" i="1" s="1"/>
  <c r="KVJ23" i="1" s="1"/>
  <c r="KVK23" i="1" s="1"/>
  <c r="KVL23" i="1" s="1"/>
  <c r="KVM23" i="1" s="1"/>
  <c r="KVN23" i="1" s="1"/>
  <c r="KVO23" i="1" s="1"/>
  <c r="KVP23" i="1" s="1"/>
  <c r="KVQ23" i="1" s="1"/>
  <c r="KVR23" i="1" s="1"/>
  <c r="KVS23" i="1" s="1"/>
  <c r="KVT23" i="1" s="1"/>
  <c r="KVU23" i="1" s="1"/>
  <c r="KVV23" i="1" s="1"/>
  <c r="KVW23" i="1" s="1"/>
  <c r="KVX23" i="1" s="1"/>
  <c r="KVY23" i="1" s="1"/>
  <c r="KVZ23" i="1" s="1"/>
  <c r="KWA23" i="1" s="1"/>
  <c r="KWB23" i="1" s="1"/>
  <c r="KWC23" i="1" s="1"/>
  <c r="KWD23" i="1" s="1"/>
  <c r="KWE23" i="1" s="1"/>
  <c r="KWF23" i="1" s="1"/>
  <c r="KWG23" i="1" s="1"/>
  <c r="KWH23" i="1" s="1"/>
  <c r="KWI23" i="1" s="1"/>
  <c r="KWJ23" i="1" s="1"/>
  <c r="KWK23" i="1" s="1"/>
  <c r="KWL23" i="1" s="1"/>
  <c r="KWM23" i="1" s="1"/>
  <c r="KWN23" i="1" s="1"/>
  <c r="KWO23" i="1" s="1"/>
  <c r="KWP23" i="1" s="1"/>
  <c r="KWQ23" i="1" s="1"/>
  <c r="KWR23" i="1" s="1"/>
  <c r="KWS23" i="1" s="1"/>
  <c r="KWT23" i="1" s="1"/>
  <c r="KWU23" i="1" s="1"/>
  <c r="KWV23" i="1" s="1"/>
  <c r="KWW23" i="1" s="1"/>
  <c r="KWX23" i="1" s="1"/>
  <c r="KWY23" i="1" s="1"/>
  <c r="KWZ23" i="1" s="1"/>
  <c r="KXA23" i="1" s="1"/>
  <c r="KXB23" i="1" s="1"/>
  <c r="KXC23" i="1" s="1"/>
  <c r="KXD23" i="1" s="1"/>
  <c r="KXE23" i="1" s="1"/>
  <c r="KXF23" i="1" s="1"/>
  <c r="KXG23" i="1" s="1"/>
  <c r="KXH23" i="1" s="1"/>
  <c r="KXI23" i="1" s="1"/>
  <c r="KXJ23" i="1" s="1"/>
  <c r="KXK23" i="1" s="1"/>
  <c r="KXL23" i="1" s="1"/>
  <c r="KXM23" i="1" s="1"/>
  <c r="KXN23" i="1" s="1"/>
  <c r="KXO23" i="1" s="1"/>
  <c r="KXP23" i="1" s="1"/>
  <c r="KXQ23" i="1" s="1"/>
  <c r="KXR23" i="1" s="1"/>
  <c r="KXS23" i="1" s="1"/>
  <c r="KXT23" i="1" s="1"/>
  <c r="KXU23" i="1" s="1"/>
  <c r="KXV23" i="1" s="1"/>
  <c r="KXW23" i="1" s="1"/>
  <c r="KXX23" i="1" s="1"/>
  <c r="KXY23" i="1" s="1"/>
  <c r="KXZ23" i="1" s="1"/>
  <c r="KYA23" i="1" s="1"/>
  <c r="KYB23" i="1" s="1"/>
  <c r="KYC23" i="1" s="1"/>
  <c r="KYD23" i="1" s="1"/>
  <c r="KYE23" i="1" s="1"/>
  <c r="KYF23" i="1" s="1"/>
  <c r="KYG23" i="1" s="1"/>
  <c r="KYH23" i="1" s="1"/>
  <c r="KYI23" i="1" s="1"/>
  <c r="KYJ23" i="1" s="1"/>
  <c r="KYK23" i="1" s="1"/>
  <c r="KYL23" i="1" s="1"/>
  <c r="KYM23" i="1" s="1"/>
  <c r="KYN23" i="1" s="1"/>
  <c r="KYO23" i="1" s="1"/>
  <c r="KYP23" i="1" s="1"/>
  <c r="KYQ23" i="1" s="1"/>
  <c r="KYR23" i="1" s="1"/>
  <c r="KYS23" i="1" s="1"/>
  <c r="KYT23" i="1" s="1"/>
  <c r="KYU23" i="1" s="1"/>
  <c r="KYV23" i="1" s="1"/>
  <c r="KYW23" i="1" s="1"/>
  <c r="KYX23" i="1" s="1"/>
  <c r="KYY23" i="1" s="1"/>
  <c r="KYZ23" i="1" s="1"/>
  <c r="KZA23" i="1" s="1"/>
  <c r="KZB23" i="1" s="1"/>
  <c r="KZC23" i="1" s="1"/>
  <c r="KZD23" i="1" s="1"/>
  <c r="KZE23" i="1" s="1"/>
  <c r="KZF23" i="1" s="1"/>
  <c r="KZG23" i="1" s="1"/>
  <c r="KZH23" i="1" s="1"/>
  <c r="KZI23" i="1" s="1"/>
  <c r="KZJ23" i="1" s="1"/>
  <c r="KZK23" i="1" s="1"/>
  <c r="KZL23" i="1" s="1"/>
  <c r="KZM23" i="1" s="1"/>
  <c r="KZN23" i="1" s="1"/>
  <c r="KZO23" i="1" s="1"/>
  <c r="KZP23" i="1" s="1"/>
  <c r="KZQ23" i="1" s="1"/>
  <c r="KZR23" i="1" s="1"/>
  <c r="KZS23" i="1" s="1"/>
  <c r="KZT23" i="1" s="1"/>
  <c r="KZU23" i="1" s="1"/>
  <c r="KZV23" i="1" s="1"/>
  <c r="KZW23" i="1" s="1"/>
  <c r="KZX23" i="1" s="1"/>
  <c r="KZY23" i="1" s="1"/>
  <c r="KZZ23" i="1" s="1"/>
  <c r="LAA23" i="1" s="1"/>
  <c r="LAB23" i="1" s="1"/>
  <c r="LAC23" i="1" s="1"/>
  <c r="LAD23" i="1" s="1"/>
  <c r="LAE23" i="1" s="1"/>
  <c r="LAF23" i="1" s="1"/>
  <c r="LAG23" i="1" s="1"/>
  <c r="LAH23" i="1" s="1"/>
  <c r="LAI23" i="1" s="1"/>
  <c r="LAJ23" i="1" s="1"/>
  <c r="LAK23" i="1" s="1"/>
  <c r="LAL23" i="1" s="1"/>
  <c r="LAM23" i="1" s="1"/>
  <c r="LAN23" i="1" s="1"/>
  <c r="LAO23" i="1" s="1"/>
  <c r="LAP23" i="1" s="1"/>
  <c r="LAQ23" i="1" s="1"/>
  <c r="LAR23" i="1" s="1"/>
  <c r="LAS23" i="1" s="1"/>
  <c r="LAT23" i="1" s="1"/>
  <c r="LAU23" i="1" s="1"/>
  <c r="LAV23" i="1" s="1"/>
  <c r="LAW23" i="1" s="1"/>
  <c r="LAX23" i="1" s="1"/>
  <c r="LAY23" i="1" s="1"/>
  <c r="LAZ23" i="1" s="1"/>
  <c r="LBA23" i="1" s="1"/>
  <c r="LBB23" i="1" s="1"/>
  <c r="LBC23" i="1" s="1"/>
  <c r="LBD23" i="1" s="1"/>
  <c r="LBE23" i="1" s="1"/>
  <c r="LBF23" i="1" s="1"/>
  <c r="LBG23" i="1" s="1"/>
  <c r="LBH23" i="1" s="1"/>
  <c r="LBI23" i="1" s="1"/>
  <c r="LBJ23" i="1" s="1"/>
  <c r="LBK23" i="1" s="1"/>
  <c r="LBL23" i="1" s="1"/>
  <c r="LBM23" i="1" s="1"/>
  <c r="LBN23" i="1" s="1"/>
  <c r="LBO23" i="1" s="1"/>
  <c r="LBP23" i="1" s="1"/>
  <c r="LBQ23" i="1" s="1"/>
  <c r="LBR23" i="1" s="1"/>
  <c r="LBS23" i="1" s="1"/>
  <c r="LBT23" i="1" s="1"/>
  <c r="LBU23" i="1" s="1"/>
  <c r="LBV23" i="1" s="1"/>
  <c r="LBW23" i="1" s="1"/>
  <c r="LBX23" i="1" s="1"/>
  <c r="LBY23" i="1" s="1"/>
  <c r="LBZ23" i="1" s="1"/>
  <c r="LCA23" i="1" s="1"/>
  <c r="LCB23" i="1" s="1"/>
  <c r="LCC23" i="1" s="1"/>
  <c r="LCD23" i="1" s="1"/>
  <c r="LCE23" i="1" s="1"/>
  <c r="LCF23" i="1" s="1"/>
  <c r="LCG23" i="1" s="1"/>
  <c r="LCH23" i="1" s="1"/>
  <c r="LCI23" i="1" s="1"/>
  <c r="LCJ23" i="1" s="1"/>
  <c r="LCK23" i="1" s="1"/>
  <c r="LCL23" i="1" s="1"/>
  <c r="LCM23" i="1" s="1"/>
  <c r="LCN23" i="1" s="1"/>
  <c r="LCO23" i="1" s="1"/>
  <c r="LCP23" i="1" s="1"/>
  <c r="LCQ23" i="1" s="1"/>
  <c r="LCR23" i="1" s="1"/>
  <c r="LCS23" i="1" s="1"/>
  <c r="LCT23" i="1" s="1"/>
  <c r="LCU23" i="1" s="1"/>
  <c r="LCV23" i="1" s="1"/>
  <c r="LCW23" i="1" s="1"/>
  <c r="LCX23" i="1" s="1"/>
  <c r="LCY23" i="1" s="1"/>
  <c r="LCZ23" i="1" s="1"/>
  <c r="LDA23" i="1" s="1"/>
  <c r="LDB23" i="1" s="1"/>
  <c r="LDC23" i="1" s="1"/>
  <c r="LDD23" i="1" s="1"/>
  <c r="LDE23" i="1" s="1"/>
  <c r="LDF23" i="1" s="1"/>
  <c r="LDG23" i="1" s="1"/>
  <c r="LDH23" i="1" s="1"/>
  <c r="LDI23" i="1" s="1"/>
  <c r="LDJ23" i="1" s="1"/>
  <c r="LDK23" i="1" s="1"/>
  <c r="LDL23" i="1" s="1"/>
  <c r="LDM23" i="1" s="1"/>
  <c r="LDN23" i="1" s="1"/>
  <c r="LDO23" i="1" s="1"/>
  <c r="LDP23" i="1" s="1"/>
  <c r="LDQ23" i="1" s="1"/>
  <c r="LDR23" i="1" s="1"/>
  <c r="LDS23" i="1" s="1"/>
  <c r="LDT23" i="1" s="1"/>
  <c r="LDU23" i="1" s="1"/>
  <c r="LDV23" i="1" s="1"/>
  <c r="LDW23" i="1" s="1"/>
  <c r="LDX23" i="1" s="1"/>
  <c r="LDY23" i="1" s="1"/>
  <c r="LDZ23" i="1" s="1"/>
  <c r="LEA23" i="1" s="1"/>
  <c r="LEB23" i="1" s="1"/>
  <c r="LEC23" i="1" s="1"/>
  <c r="LED23" i="1" s="1"/>
  <c r="LEE23" i="1" s="1"/>
  <c r="LEF23" i="1" s="1"/>
  <c r="LEG23" i="1" s="1"/>
  <c r="LEH23" i="1" s="1"/>
  <c r="LEI23" i="1" s="1"/>
  <c r="LEJ23" i="1" s="1"/>
  <c r="LEK23" i="1" s="1"/>
  <c r="LEL23" i="1" s="1"/>
  <c r="LEM23" i="1" s="1"/>
  <c r="LEN23" i="1" s="1"/>
  <c r="LEO23" i="1" s="1"/>
  <c r="LEP23" i="1" s="1"/>
  <c r="LEQ23" i="1" s="1"/>
  <c r="LER23" i="1" s="1"/>
  <c r="LES23" i="1" s="1"/>
  <c r="LET23" i="1" s="1"/>
  <c r="LEU23" i="1" s="1"/>
  <c r="LEV23" i="1" s="1"/>
  <c r="LEW23" i="1" s="1"/>
  <c r="LEX23" i="1" s="1"/>
  <c r="LEY23" i="1" s="1"/>
  <c r="LEZ23" i="1" s="1"/>
  <c r="LFA23" i="1" s="1"/>
  <c r="LFB23" i="1" s="1"/>
  <c r="LFC23" i="1" s="1"/>
  <c r="LFD23" i="1" s="1"/>
  <c r="LFE23" i="1" s="1"/>
  <c r="LFF23" i="1" s="1"/>
  <c r="LFG23" i="1" s="1"/>
  <c r="LFH23" i="1" s="1"/>
  <c r="LFI23" i="1" s="1"/>
  <c r="LFJ23" i="1" s="1"/>
  <c r="LFK23" i="1" s="1"/>
  <c r="LFL23" i="1" s="1"/>
  <c r="LFM23" i="1" s="1"/>
  <c r="LFN23" i="1" s="1"/>
  <c r="LFO23" i="1" s="1"/>
  <c r="LFP23" i="1" s="1"/>
  <c r="LFQ23" i="1" s="1"/>
  <c r="LFR23" i="1" s="1"/>
  <c r="LFS23" i="1" s="1"/>
  <c r="LFT23" i="1" s="1"/>
  <c r="LFU23" i="1" s="1"/>
  <c r="LFV23" i="1" s="1"/>
  <c r="LFW23" i="1" s="1"/>
  <c r="LFX23" i="1" s="1"/>
  <c r="LFY23" i="1" s="1"/>
  <c r="LFZ23" i="1" s="1"/>
  <c r="LGA23" i="1" s="1"/>
  <c r="LGB23" i="1" s="1"/>
  <c r="LGC23" i="1" s="1"/>
  <c r="LGD23" i="1" s="1"/>
  <c r="LGE23" i="1" s="1"/>
  <c r="LGF23" i="1" s="1"/>
  <c r="LGG23" i="1" s="1"/>
  <c r="LGH23" i="1" s="1"/>
  <c r="LGI23" i="1" s="1"/>
  <c r="LGJ23" i="1" s="1"/>
  <c r="LGK23" i="1" s="1"/>
  <c r="LGL23" i="1" s="1"/>
  <c r="LGM23" i="1" s="1"/>
  <c r="LGN23" i="1" s="1"/>
  <c r="LGO23" i="1" s="1"/>
  <c r="LGP23" i="1" s="1"/>
  <c r="LGQ23" i="1" s="1"/>
  <c r="LGR23" i="1" s="1"/>
  <c r="LGS23" i="1" s="1"/>
  <c r="LGT23" i="1" s="1"/>
  <c r="LGU23" i="1" s="1"/>
  <c r="LGV23" i="1" s="1"/>
  <c r="LGW23" i="1" s="1"/>
  <c r="LGX23" i="1" s="1"/>
  <c r="LGY23" i="1" s="1"/>
  <c r="LGZ23" i="1" s="1"/>
  <c r="LHA23" i="1" s="1"/>
  <c r="LHB23" i="1" s="1"/>
  <c r="LHC23" i="1" s="1"/>
  <c r="LHD23" i="1" s="1"/>
  <c r="LHE23" i="1" s="1"/>
  <c r="LHF23" i="1" s="1"/>
  <c r="LHG23" i="1" s="1"/>
  <c r="LHH23" i="1" s="1"/>
  <c r="LHI23" i="1" s="1"/>
  <c r="LHJ23" i="1" s="1"/>
  <c r="LHK23" i="1" s="1"/>
  <c r="LHL23" i="1" s="1"/>
  <c r="LHM23" i="1" s="1"/>
  <c r="LHN23" i="1" s="1"/>
  <c r="LHO23" i="1" s="1"/>
  <c r="LHP23" i="1" s="1"/>
  <c r="LHQ23" i="1" s="1"/>
  <c r="LHR23" i="1" s="1"/>
  <c r="LHS23" i="1" s="1"/>
  <c r="LHT23" i="1" s="1"/>
  <c r="LHU23" i="1" s="1"/>
  <c r="LHV23" i="1" s="1"/>
  <c r="LHW23" i="1" s="1"/>
  <c r="LHX23" i="1" s="1"/>
  <c r="LHY23" i="1" s="1"/>
  <c r="LHZ23" i="1" s="1"/>
  <c r="LIA23" i="1" s="1"/>
  <c r="LIB23" i="1" s="1"/>
  <c r="LIC23" i="1" s="1"/>
  <c r="LID23" i="1" s="1"/>
  <c r="LIE23" i="1" s="1"/>
  <c r="LIF23" i="1" s="1"/>
  <c r="LIG23" i="1" s="1"/>
  <c r="LIH23" i="1" s="1"/>
  <c r="LII23" i="1" s="1"/>
  <c r="LIJ23" i="1" s="1"/>
  <c r="LIK23" i="1" s="1"/>
  <c r="LIL23" i="1" s="1"/>
  <c r="LIM23" i="1" s="1"/>
  <c r="LIN23" i="1" s="1"/>
  <c r="LIO23" i="1" s="1"/>
  <c r="LIP23" i="1" s="1"/>
  <c r="LIQ23" i="1" s="1"/>
  <c r="LIR23" i="1" s="1"/>
  <c r="LIS23" i="1" s="1"/>
  <c r="LIT23" i="1" s="1"/>
  <c r="LIU23" i="1" s="1"/>
  <c r="LIV23" i="1" s="1"/>
  <c r="LIW23" i="1" s="1"/>
  <c r="LIX23" i="1" s="1"/>
  <c r="LIY23" i="1" s="1"/>
  <c r="LIZ23" i="1" s="1"/>
  <c r="LJA23" i="1" s="1"/>
  <c r="LJB23" i="1" s="1"/>
  <c r="LJC23" i="1" s="1"/>
  <c r="LJD23" i="1" s="1"/>
  <c r="LJE23" i="1" s="1"/>
  <c r="LJF23" i="1" s="1"/>
  <c r="LJG23" i="1" s="1"/>
  <c r="LJH23" i="1" s="1"/>
  <c r="LJI23" i="1" s="1"/>
  <c r="LJJ23" i="1" s="1"/>
  <c r="LJK23" i="1" s="1"/>
  <c r="LJL23" i="1" s="1"/>
  <c r="LJM23" i="1" s="1"/>
  <c r="LJN23" i="1" s="1"/>
  <c r="LJO23" i="1" s="1"/>
  <c r="LJP23" i="1" s="1"/>
  <c r="LJQ23" i="1" s="1"/>
  <c r="LJR23" i="1" s="1"/>
  <c r="LJS23" i="1" s="1"/>
  <c r="LJT23" i="1" s="1"/>
  <c r="LJU23" i="1" s="1"/>
  <c r="LJV23" i="1" s="1"/>
  <c r="LJW23" i="1" s="1"/>
  <c r="LJX23" i="1" s="1"/>
  <c r="LJY23" i="1" s="1"/>
  <c r="LJZ23" i="1" s="1"/>
  <c r="LKA23" i="1" s="1"/>
  <c r="LKB23" i="1" s="1"/>
  <c r="LKC23" i="1" s="1"/>
  <c r="LKD23" i="1" s="1"/>
  <c r="LKE23" i="1" s="1"/>
  <c r="LKF23" i="1" s="1"/>
  <c r="LKG23" i="1" s="1"/>
  <c r="LKH23" i="1" s="1"/>
  <c r="LKI23" i="1" s="1"/>
  <c r="LKJ23" i="1" s="1"/>
  <c r="LKK23" i="1" s="1"/>
  <c r="LKL23" i="1" s="1"/>
  <c r="LKM23" i="1" s="1"/>
  <c r="LKN23" i="1" s="1"/>
  <c r="LKO23" i="1" s="1"/>
  <c r="LKP23" i="1" s="1"/>
  <c r="LKQ23" i="1" s="1"/>
  <c r="LKR23" i="1" s="1"/>
  <c r="LKS23" i="1" s="1"/>
  <c r="LKT23" i="1" s="1"/>
  <c r="LKU23" i="1" s="1"/>
  <c r="LKV23" i="1" s="1"/>
  <c r="LKW23" i="1" s="1"/>
  <c r="LKX23" i="1" s="1"/>
  <c r="LKY23" i="1" s="1"/>
  <c r="LKZ23" i="1" s="1"/>
  <c r="LLA23" i="1" s="1"/>
  <c r="LLB23" i="1" s="1"/>
  <c r="LLC23" i="1" s="1"/>
  <c r="LLD23" i="1" s="1"/>
  <c r="LLE23" i="1" s="1"/>
  <c r="LLF23" i="1" s="1"/>
  <c r="LLG23" i="1" s="1"/>
  <c r="LLH23" i="1" s="1"/>
  <c r="LLI23" i="1" s="1"/>
  <c r="LLJ23" i="1" s="1"/>
  <c r="LLK23" i="1" s="1"/>
  <c r="LLL23" i="1" s="1"/>
  <c r="LLM23" i="1" s="1"/>
  <c r="LLN23" i="1" s="1"/>
  <c r="LLO23" i="1" s="1"/>
  <c r="LLP23" i="1" s="1"/>
  <c r="LLQ23" i="1" s="1"/>
  <c r="LLR23" i="1" s="1"/>
  <c r="LLS23" i="1" s="1"/>
  <c r="LLT23" i="1" s="1"/>
  <c r="LLU23" i="1" s="1"/>
  <c r="LLV23" i="1" s="1"/>
  <c r="LLW23" i="1" s="1"/>
  <c r="LLX23" i="1" s="1"/>
  <c r="LLY23" i="1" s="1"/>
  <c r="LLZ23" i="1" s="1"/>
  <c r="LMA23" i="1" s="1"/>
  <c r="LMB23" i="1" s="1"/>
  <c r="LMC23" i="1" s="1"/>
  <c r="LMD23" i="1" s="1"/>
  <c r="LME23" i="1" s="1"/>
  <c r="LMF23" i="1" s="1"/>
  <c r="LMG23" i="1" s="1"/>
  <c r="LMH23" i="1" s="1"/>
  <c r="LMI23" i="1" s="1"/>
  <c r="LMJ23" i="1" s="1"/>
  <c r="LMK23" i="1" s="1"/>
  <c r="LML23" i="1" s="1"/>
  <c r="LMM23" i="1" s="1"/>
  <c r="LMN23" i="1" s="1"/>
  <c r="LMO23" i="1" s="1"/>
  <c r="LMP23" i="1" s="1"/>
  <c r="LMQ23" i="1" s="1"/>
  <c r="LMR23" i="1" s="1"/>
  <c r="LMS23" i="1" s="1"/>
  <c r="LMT23" i="1" s="1"/>
  <c r="LMU23" i="1" s="1"/>
  <c r="LMV23" i="1" s="1"/>
  <c r="LMW23" i="1" s="1"/>
  <c r="LMX23" i="1" s="1"/>
  <c r="LMY23" i="1" s="1"/>
  <c r="LMZ23" i="1" s="1"/>
  <c r="LNA23" i="1" s="1"/>
  <c r="LNB23" i="1" s="1"/>
  <c r="LNC23" i="1" s="1"/>
  <c r="LND23" i="1" s="1"/>
  <c r="LNE23" i="1" s="1"/>
  <c r="LNF23" i="1" s="1"/>
  <c r="LNG23" i="1" s="1"/>
  <c r="LNH23" i="1" s="1"/>
  <c r="LNI23" i="1" s="1"/>
  <c r="LNJ23" i="1" s="1"/>
  <c r="LNK23" i="1" s="1"/>
  <c r="LNL23" i="1" s="1"/>
  <c r="LNM23" i="1" s="1"/>
  <c r="LNN23" i="1" s="1"/>
  <c r="LNO23" i="1" s="1"/>
  <c r="LNP23" i="1" s="1"/>
  <c r="LNQ23" i="1" s="1"/>
  <c r="LNR23" i="1" s="1"/>
  <c r="LNS23" i="1" s="1"/>
  <c r="LNT23" i="1" s="1"/>
  <c r="LNU23" i="1" s="1"/>
  <c r="LNV23" i="1" s="1"/>
  <c r="LNW23" i="1" s="1"/>
  <c r="LNX23" i="1" s="1"/>
  <c r="LNY23" i="1" s="1"/>
  <c r="LNZ23" i="1" s="1"/>
  <c r="LOA23" i="1" s="1"/>
  <c r="LOB23" i="1" s="1"/>
  <c r="LOC23" i="1" s="1"/>
  <c r="LOD23" i="1" s="1"/>
  <c r="LOE23" i="1" s="1"/>
  <c r="LOF23" i="1" s="1"/>
  <c r="LOG23" i="1" s="1"/>
  <c r="LOH23" i="1" s="1"/>
  <c r="LOI23" i="1" s="1"/>
  <c r="LOJ23" i="1" s="1"/>
  <c r="LOK23" i="1" s="1"/>
  <c r="LOL23" i="1" s="1"/>
  <c r="LOM23" i="1" s="1"/>
  <c r="LON23" i="1" s="1"/>
  <c r="LOO23" i="1" s="1"/>
  <c r="LOP23" i="1" s="1"/>
  <c r="LOQ23" i="1" s="1"/>
  <c r="LOR23" i="1" s="1"/>
  <c r="LOS23" i="1" s="1"/>
  <c r="LOT23" i="1" s="1"/>
  <c r="LOU23" i="1" s="1"/>
  <c r="LOV23" i="1" s="1"/>
  <c r="LOW23" i="1" s="1"/>
  <c r="LOX23" i="1" s="1"/>
  <c r="LOY23" i="1" s="1"/>
  <c r="LOZ23" i="1" s="1"/>
  <c r="LPA23" i="1" s="1"/>
  <c r="LPB23" i="1" s="1"/>
  <c r="LPC23" i="1" s="1"/>
  <c r="LPD23" i="1" s="1"/>
  <c r="LPE23" i="1" s="1"/>
  <c r="LPF23" i="1" s="1"/>
  <c r="LPG23" i="1" s="1"/>
  <c r="LPH23" i="1" s="1"/>
  <c r="LPI23" i="1" s="1"/>
  <c r="LPJ23" i="1" s="1"/>
  <c r="LPK23" i="1" s="1"/>
  <c r="LPL23" i="1" s="1"/>
  <c r="LPM23" i="1" s="1"/>
  <c r="LPN23" i="1" s="1"/>
  <c r="LPO23" i="1" s="1"/>
  <c r="LPP23" i="1" s="1"/>
  <c r="LPQ23" i="1" s="1"/>
  <c r="LPR23" i="1" s="1"/>
  <c r="LPS23" i="1" s="1"/>
  <c r="LPT23" i="1" s="1"/>
  <c r="LPU23" i="1" s="1"/>
  <c r="LPV23" i="1" s="1"/>
  <c r="LPW23" i="1" s="1"/>
  <c r="LPX23" i="1" s="1"/>
  <c r="LPY23" i="1" s="1"/>
  <c r="LPZ23" i="1" s="1"/>
  <c r="LQA23" i="1" s="1"/>
  <c r="LQB23" i="1" s="1"/>
  <c r="LQC23" i="1" s="1"/>
  <c r="LQD23" i="1" s="1"/>
  <c r="LQE23" i="1" s="1"/>
  <c r="LQF23" i="1" s="1"/>
  <c r="LQG23" i="1" s="1"/>
  <c r="LQH23" i="1" s="1"/>
  <c r="LQI23" i="1" s="1"/>
  <c r="LQJ23" i="1" s="1"/>
  <c r="LQK23" i="1" s="1"/>
  <c r="LQL23" i="1" s="1"/>
  <c r="LQM23" i="1" s="1"/>
  <c r="LQN23" i="1" s="1"/>
  <c r="LQO23" i="1" s="1"/>
  <c r="LQP23" i="1" s="1"/>
  <c r="LQQ23" i="1" s="1"/>
  <c r="LQR23" i="1" s="1"/>
  <c r="LQS23" i="1" s="1"/>
  <c r="LQT23" i="1" s="1"/>
  <c r="LQU23" i="1" s="1"/>
  <c r="LQV23" i="1" s="1"/>
  <c r="LQW23" i="1" s="1"/>
  <c r="LQX23" i="1" s="1"/>
  <c r="LQY23" i="1" s="1"/>
  <c r="LQZ23" i="1" s="1"/>
  <c r="LRA23" i="1" s="1"/>
  <c r="LRB23" i="1" s="1"/>
  <c r="LRC23" i="1" s="1"/>
  <c r="LRD23" i="1" s="1"/>
  <c r="LRE23" i="1" s="1"/>
  <c r="LRF23" i="1" s="1"/>
  <c r="LRG23" i="1" s="1"/>
  <c r="LRH23" i="1" s="1"/>
  <c r="LRI23" i="1" s="1"/>
  <c r="LRJ23" i="1" s="1"/>
  <c r="LRK23" i="1" s="1"/>
  <c r="LRL23" i="1" s="1"/>
  <c r="LRM23" i="1" s="1"/>
  <c r="LRN23" i="1" s="1"/>
  <c r="LRO23" i="1" s="1"/>
  <c r="LRP23" i="1" s="1"/>
  <c r="LRQ23" i="1" s="1"/>
  <c r="LRR23" i="1" s="1"/>
  <c r="LRS23" i="1" s="1"/>
  <c r="LRT23" i="1" s="1"/>
  <c r="LRU23" i="1" s="1"/>
  <c r="LRV23" i="1" s="1"/>
  <c r="LRW23" i="1" s="1"/>
  <c r="LRX23" i="1" s="1"/>
  <c r="LRY23" i="1" s="1"/>
  <c r="LRZ23" i="1" s="1"/>
  <c r="LSA23" i="1" s="1"/>
  <c r="LSB23" i="1" s="1"/>
  <c r="LSC23" i="1" s="1"/>
  <c r="LSD23" i="1" s="1"/>
  <c r="LSE23" i="1" s="1"/>
  <c r="LSF23" i="1" s="1"/>
  <c r="LSG23" i="1" s="1"/>
  <c r="LSH23" i="1" s="1"/>
  <c r="LSI23" i="1" s="1"/>
  <c r="LSJ23" i="1" s="1"/>
  <c r="LSK23" i="1" s="1"/>
  <c r="LSL23" i="1" s="1"/>
  <c r="LSM23" i="1" s="1"/>
  <c r="LSN23" i="1" s="1"/>
  <c r="LSO23" i="1" s="1"/>
  <c r="LSP23" i="1" s="1"/>
  <c r="LSQ23" i="1" s="1"/>
  <c r="LSR23" i="1" s="1"/>
  <c r="LSS23" i="1" s="1"/>
  <c r="LST23" i="1" s="1"/>
  <c r="LSU23" i="1" s="1"/>
  <c r="LSV23" i="1" s="1"/>
  <c r="LSW23" i="1" s="1"/>
  <c r="LSX23" i="1" s="1"/>
  <c r="LSY23" i="1" s="1"/>
  <c r="LSZ23" i="1" s="1"/>
  <c r="LTA23" i="1" s="1"/>
  <c r="LTB23" i="1" s="1"/>
  <c r="LTC23" i="1" s="1"/>
  <c r="LTD23" i="1" s="1"/>
  <c r="LTE23" i="1" s="1"/>
  <c r="LTF23" i="1" s="1"/>
  <c r="LTG23" i="1" s="1"/>
  <c r="LTH23" i="1" s="1"/>
  <c r="LTI23" i="1" s="1"/>
  <c r="LTJ23" i="1" s="1"/>
  <c r="LTK23" i="1" s="1"/>
  <c r="LTL23" i="1" s="1"/>
  <c r="LTM23" i="1" s="1"/>
  <c r="LTN23" i="1" s="1"/>
  <c r="LTO23" i="1" s="1"/>
  <c r="LTP23" i="1" s="1"/>
  <c r="LTQ23" i="1" s="1"/>
  <c r="LTR23" i="1" s="1"/>
  <c r="LTS23" i="1" s="1"/>
  <c r="LTT23" i="1" s="1"/>
  <c r="LTU23" i="1" s="1"/>
  <c r="LTV23" i="1" s="1"/>
  <c r="LTW23" i="1" s="1"/>
  <c r="LTX23" i="1" s="1"/>
  <c r="LTY23" i="1" s="1"/>
  <c r="LTZ23" i="1" s="1"/>
  <c r="LUA23" i="1" s="1"/>
  <c r="LUB23" i="1" s="1"/>
  <c r="LUC23" i="1" s="1"/>
  <c r="LUD23" i="1" s="1"/>
  <c r="LUE23" i="1" s="1"/>
  <c r="LUF23" i="1" s="1"/>
  <c r="LUG23" i="1" s="1"/>
  <c r="LUH23" i="1" s="1"/>
  <c r="LUI23" i="1" s="1"/>
  <c r="LUJ23" i="1" s="1"/>
  <c r="LUK23" i="1" s="1"/>
  <c r="LUL23" i="1" s="1"/>
  <c r="LUM23" i="1" s="1"/>
  <c r="LUN23" i="1" s="1"/>
  <c r="LUO23" i="1" s="1"/>
  <c r="LUP23" i="1" s="1"/>
  <c r="LUQ23" i="1" s="1"/>
  <c r="LUR23" i="1" s="1"/>
  <c r="LUS23" i="1" s="1"/>
  <c r="LUT23" i="1" s="1"/>
  <c r="LUU23" i="1" s="1"/>
  <c r="LUV23" i="1" s="1"/>
  <c r="LUW23" i="1" s="1"/>
  <c r="LUX23" i="1" s="1"/>
  <c r="LUY23" i="1" s="1"/>
  <c r="LUZ23" i="1" s="1"/>
  <c r="LVA23" i="1" s="1"/>
  <c r="LVB23" i="1" s="1"/>
  <c r="LVC23" i="1" s="1"/>
  <c r="LVD23" i="1" s="1"/>
  <c r="LVE23" i="1" s="1"/>
  <c r="LVF23" i="1" s="1"/>
  <c r="LVG23" i="1" s="1"/>
  <c r="LVH23" i="1" s="1"/>
  <c r="LVI23" i="1" s="1"/>
  <c r="LVJ23" i="1" s="1"/>
  <c r="LVK23" i="1" s="1"/>
  <c r="LVL23" i="1" s="1"/>
  <c r="LVM23" i="1" s="1"/>
  <c r="LVN23" i="1" s="1"/>
  <c r="LVO23" i="1" s="1"/>
  <c r="LVP23" i="1" s="1"/>
  <c r="LVQ23" i="1" s="1"/>
  <c r="LVR23" i="1" s="1"/>
  <c r="LVS23" i="1" s="1"/>
  <c r="LVT23" i="1" s="1"/>
  <c r="LVU23" i="1" s="1"/>
  <c r="LVV23" i="1" s="1"/>
  <c r="LVW23" i="1" s="1"/>
  <c r="LVX23" i="1" s="1"/>
  <c r="LVY23" i="1" s="1"/>
  <c r="LVZ23" i="1" s="1"/>
  <c r="LWA23" i="1" s="1"/>
  <c r="LWB23" i="1" s="1"/>
  <c r="LWC23" i="1" s="1"/>
  <c r="LWD23" i="1" s="1"/>
  <c r="LWE23" i="1" s="1"/>
  <c r="LWF23" i="1" s="1"/>
  <c r="LWG23" i="1" s="1"/>
  <c r="LWH23" i="1" s="1"/>
  <c r="LWI23" i="1" s="1"/>
  <c r="LWJ23" i="1" s="1"/>
  <c r="LWK23" i="1" s="1"/>
  <c r="LWL23" i="1" s="1"/>
  <c r="LWM23" i="1" s="1"/>
  <c r="LWN23" i="1" s="1"/>
  <c r="LWO23" i="1" s="1"/>
  <c r="LWP23" i="1" s="1"/>
  <c r="LWQ23" i="1" s="1"/>
  <c r="LWR23" i="1" s="1"/>
  <c r="LWS23" i="1" s="1"/>
  <c r="LWT23" i="1" s="1"/>
  <c r="LWU23" i="1" s="1"/>
  <c r="LWV23" i="1" s="1"/>
  <c r="LWW23" i="1" s="1"/>
  <c r="LWX23" i="1" s="1"/>
  <c r="LWY23" i="1" s="1"/>
  <c r="LWZ23" i="1" s="1"/>
  <c r="LXA23" i="1" s="1"/>
  <c r="LXB23" i="1" s="1"/>
  <c r="LXC23" i="1" s="1"/>
  <c r="LXD23" i="1" s="1"/>
  <c r="LXE23" i="1" s="1"/>
  <c r="LXF23" i="1" s="1"/>
  <c r="LXG23" i="1" s="1"/>
  <c r="LXH23" i="1" s="1"/>
  <c r="LXI23" i="1" s="1"/>
  <c r="LXJ23" i="1" s="1"/>
  <c r="LXK23" i="1" s="1"/>
  <c r="LXL23" i="1" s="1"/>
  <c r="LXM23" i="1" s="1"/>
  <c r="LXN23" i="1" s="1"/>
  <c r="LXO23" i="1" s="1"/>
  <c r="LXP23" i="1" s="1"/>
  <c r="LXQ23" i="1" s="1"/>
  <c r="LXR23" i="1" s="1"/>
  <c r="LXS23" i="1" s="1"/>
  <c r="LXT23" i="1" s="1"/>
  <c r="LXU23" i="1" s="1"/>
  <c r="LXV23" i="1" s="1"/>
  <c r="LXW23" i="1" s="1"/>
  <c r="LXX23" i="1" s="1"/>
  <c r="LXY23" i="1" s="1"/>
  <c r="LXZ23" i="1" s="1"/>
  <c r="LYA23" i="1" s="1"/>
  <c r="LYB23" i="1" s="1"/>
  <c r="LYC23" i="1" s="1"/>
  <c r="LYD23" i="1" s="1"/>
  <c r="LYE23" i="1" s="1"/>
  <c r="LYF23" i="1" s="1"/>
  <c r="LYG23" i="1" s="1"/>
  <c r="LYH23" i="1" s="1"/>
  <c r="LYI23" i="1" s="1"/>
  <c r="LYJ23" i="1" s="1"/>
  <c r="LYK23" i="1" s="1"/>
  <c r="LYL23" i="1" s="1"/>
  <c r="LYM23" i="1" s="1"/>
  <c r="LYN23" i="1" s="1"/>
  <c r="LYO23" i="1" s="1"/>
  <c r="LYP23" i="1" s="1"/>
  <c r="LYQ23" i="1" s="1"/>
  <c r="LYR23" i="1" s="1"/>
  <c r="LYS23" i="1" s="1"/>
  <c r="LYT23" i="1" s="1"/>
  <c r="LYU23" i="1" s="1"/>
  <c r="LYV23" i="1" s="1"/>
  <c r="LYW23" i="1" s="1"/>
  <c r="LYX23" i="1" s="1"/>
  <c r="LYY23" i="1" s="1"/>
  <c r="LYZ23" i="1" s="1"/>
  <c r="LZA23" i="1" s="1"/>
  <c r="LZB23" i="1" s="1"/>
  <c r="LZC23" i="1" s="1"/>
  <c r="LZD23" i="1" s="1"/>
  <c r="LZE23" i="1" s="1"/>
  <c r="LZF23" i="1" s="1"/>
  <c r="LZG23" i="1" s="1"/>
  <c r="LZH23" i="1" s="1"/>
  <c r="LZI23" i="1" s="1"/>
  <c r="LZJ23" i="1" s="1"/>
  <c r="LZK23" i="1" s="1"/>
  <c r="LZL23" i="1" s="1"/>
  <c r="LZM23" i="1" s="1"/>
  <c r="LZN23" i="1" s="1"/>
  <c r="LZO23" i="1" s="1"/>
  <c r="LZP23" i="1" s="1"/>
  <c r="LZQ23" i="1" s="1"/>
  <c r="LZR23" i="1" s="1"/>
  <c r="LZS23" i="1" s="1"/>
  <c r="LZT23" i="1" s="1"/>
  <c r="LZU23" i="1" s="1"/>
  <c r="LZV23" i="1" s="1"/>
  <c r="LZW23" i="1" s="1"/>
  <c r="LZX23" i="1" s="1"/>
  <c r="LZY23" i="1" s="1"/>
  <c r="LZZ23" i="1" s="1"/>
  <c r="MAA23" i="1" s="1"/>
  <c r="MAB23" i="1" s="1"/>
  <c r="MAC23" i="1" s="1"/>
  <c r="MAD23" i="1" s="1"/>
  <c r="MAE23" i="1" s="1"/>
  <c r="MAF23" i="1" s="1"/>
  <c r="MAG23" i="1" s="1"/>
  <c r="MAH23" i="1" s="1"/>
  <c r="MAI23" i="1" s="1"/>
  <c r="MAJ23" i="1" s="1"/>
  <c r="MAK23" i="1" s="1"/>
  <c r="MAL23" i="1" s="1"/>
  <c r="MAM23" i="1" s="1"/>
  <c r="MAN23" i="1" s="1"/>
  <c r="MAO23" i="1" s="1"/>
  <c r="MAP23" i="1" s="1"/>
  <c r="MAQ23" i="1" s="1"/>
  <c r="MAR23" i="1" s="1"/>
  <c r="MAS23" i="1" s="1"/>
  <c r="MAT23" i="1" s="1"/>
  <c r="MAU23" i="1" s="1"/>
  <c r="MAV23" i="1" s="1"/>
  <c r="MAW23" i="1" s="1"/>
  <c r="MAX23" i="1" s="1"/>
  <c r="MAY23" i="1" s="1"/>
  <c r="MAZ23" i="1" s="1"/>
  <c r="MBA23" i="1" s="1"/>
  <c r="MBB23" i="1" s="1"/>
  <c r="MBC23" i="1" s="1"/>
  <c r="MBD23" i="1" s="1"/>
  <c r="MBE23" i="1" s="1"/>
  <c r="MBF23" i="1" s="1"/>
  <c r="MBG23" i="1" s="1"/>
  <c r="MBH23" i="1" s="1"/>
  <c r="MBI23" i="1" s="1"/>
  <c r="MBJ23" i="1" s="1"/>
  <c r="MBK23" i="1" s="1"/>
  <c r="MBL23" i="1" s="1"/>
  <c r="MBM23" i="1" s="1"/>
  <c r="MBN23" i="1" s="1"/>
  <c r="MBO23" i="1" s="1"/>
  <c r="MBP23" i="1" s="1"/>
  <c r="MBQ23" i="1" s="1"/>
  <c r="MBR23" i="1" s="1"/>
  <c r="MBS23" i="1" s="1"/>
  <c r="MBT23" i="1" s="1"/>
  <c r="MBU23" i="1" s="1"/>
  <c r="MBV23" i="1" s="1"/>
  <c r="MBW23" i="1" s="1"/>
  <c r="MBX23" i="1" s="1"/>
  <c r="MBY23" i="1" s="1"/>
  <c r="MBZ23" i="1" s="1"/>
  <c r="MCA23" i="1" s="1"/>
  <c r="MCB23" i="1" s="1"/>
  <c r="MCC23" i="1" s="1"/>
  <c r="MCD23" i="1" s="1"/>
  <c r="MCE23" i="1" s="1"/>
  <c r="MCF23" i="1" s="1"/>
  <c r="MCG23" i="1" s="1"/>
  <c r="MCH23" i="1" s="1"/>
  <c r="MCI23" i="1" s="1"/>
  <c r="MCJ23" i="1" s="1"/>
  <c r="MCK23" i="1" s="1"/>
  <c r="MCL23" i="1" s="1"/>
  <c r="MCM23" i="1" s="1"/>
  <c r="MCN23" i="1" s="1"/>
  <c r="MCO23" i="1" s="1"/>
  <c r="MCP23" i="1" s="1"/>
  <c r="MCQ23" i="1" s="1"/>
  <c r="MCR23" i="1" s="1"/>
  <c r="MCS23" i="1" s="1"/>
  <c r="MCT23" i="1" s="1"/>
  <c r="MCU23" i="1" s="1"/>
  <c r="MCV23" i="1" s="1"/>
  <c r="MCW23" i="1" s="1"/>
  <c r="MCX23" i="1" s="1"/>
  <c r="MCY23" i="1" s="1"/>
  <c r="MCZ23" i="1" s="1"/>
  <c r="MDA23" i="1" s="1"/>
  <c r="MDB23" i="1" s="1"/>
  <c r="MDC23" i="1" s="1"/>
  <c r="MDD23" i="1" s="1"/>
  <c r="MDE23" i="1" s="1"/>
  <c r="MDF23" i="1" s="1"/>
  <c r="MDG23" i="1" s="1"/>
  <c r="MDH23" i="1" s="1"/>
  <c r="MDI23" i="1" s="1"/>
  <c r="MDJ23" i="1" s="1"/>
  <c r="MDK23" i="1" s="1"/>
  <c r="MDL23" i="1" s="1"/>
  <c r="MDM23" i="1" s="1"/>
  <c r="MDN23" i="1" s="1"/>
  <c r="MDO23" i="1" s="1"/>
  <c r="MDP23" i="1" s="1"/>
  <c r="MDQ23" i="1" s="1"/>
  <c r="MDR23" i="1" s="1"/>
  <c r="MDS23" i="1" s="1"/>
  <c r="MDT23" i="1" s="1"/>
  <c r="MDU23" i="1" s="1"/>
  <c r="MDV23" i="1" s="1"/>
  <c r="MDW23" i="1" s="1"/>
  <c r="MDX23" i="1" s="1"/>
  <c r="MDY23" i="1" s="1"/>
  <c r="MDZ23" i="1" s="1"/>
  <c r="MEA23" i="1" s="1"/>
  <c r="MEB23" i="1" s="1"/>
  <c r="MEC23" i="1" s="1"/>
  <c r="MED23" i="1" s="1"/>
  <c r="MEE23" i="1" s="1"/>
  <c r="MEF23" i="1" s="1"/>
  <c r="MEG23" i="1" s="1"/>
  <c r="MEH23" i="1" s="1"/>
  <c r="MEI23" i="1" s="1"/>
  <c r="MEJ23" i="1" s="1"/>
  <c r="MEK23" i="1" s="1"/>
  <c r="MEL23" i="1" s="1"/>
  <c r="MEM23" i="1" s="1"/>
  <c r="MEN23" i="1" s="1"/>
  <c r="MEO23" i="1" s="1"/>
  <c r="MEP23" i="1" s="1"/>
  <c r="MEQ23" i="1" s="1"/>
  <c r="MER23" i="1" s="1"/>
  <c r="MES23" i="1" s="1"/>
  <c r="MET23" i="1" s="1"/>
  <c r="MEU23" i="1" s="1"/>
  <c r="MEV23" i="1" s="1"/>
  <c r="MEW23" i="1" s="1"/>
  <c r="MEX23" i="1" s="1"/>
  <c r="MEY23" i="1" s="1"/>
  <c r="MEZ23" i="1" s="1"/>
  <c r="MFA23" i="1" s="1"/>
  <c r="MFB23" i="1" s="1"/>
  <c r="MFC23" i="1" s="1"/>
  <c r="MFD23" i="1" s="1"/>
  <c r="MFE23" i="1" s="1"/>
  <c r="MFF23" i="1" s="1"/>
  <c r="MFG23" i="1" s="1"/>
  <c r="MFH23" i="1" s="1"/>
  <c r="MFI23" i="1" s="1"/>
  <c r="MFJ23" i="1" s="1"/>
  <c r="MFK23" i="1" s="1"/>
  <c r="MFL23" i="1" s="1"/>
  <c r="MFM23" i="1" s="1"/>
  <c r="MFN23" i="1" s="1"/>
  <c r="MFO23" i="1" s="1"/>
  <c r="MFP23" i="1" s="1"/>
  <c r="MFQ23" i="1" s="1"/>
  <c r="MFR23" i="1" s="1"/>
  <c r="MFS23" i="1" s="1"/>
  <c r="MFT23" i="1" s="1"/>
  <c r="MFU23" i="1" s="1"/>
  <c r="MFV23" i="1" s="1"/>
  <c r="MFW23" i="1" s="1"/>
  <c r="MFX23" i="1" s="1"/>
  <c r="MFY23" i="1" s="1"/>
  <c r="MFZ23" i="1" s="1"/>
  <c r="MGA23" i="1" s="1"/>
  <c r="MGB23" i="1" s="1"/>
  <c r="MGC23" i="1" s="1"/>
  <c r="MGD23" i="1" s="1"/>
  <c r="MGE23" i="1" s="1"/>
  <c r="MGF23" i="1" s="1"/>
  <c r="MGG23" i="1" s="1"/>
  <c r="MGH23" i="1" s="1"/>
  <c r="MGI23" i="1" s="1"/>
  <c r="MGJ23" i="1" s="1"/>
  <c r="MGK23" i="1" s="1"/>
  <c r="MGL23" i="1" s="1"/>
  <c r="MGM23" i="1" s="1"/>
  <c r="MGN23" i="1" s="1"/>
  <c r="MGO23" i="1" s="1"/>
  <c r="MGP23" i="1" s="1"/>
  <c r="MGQ23" i="1" s="1"/>
  <c r="MGR23" i="1" s="1"/>
  <c r="MGS23" i="1" s="1"/>
  <c r="MGT23" i="1" s="1"/>
  <c r="MGU23" i="1" s="1"/>
  <c r="MGV23" i="1" s="1"/>
  <c r="MGW23" i="1" s="1"/>
  <c r="MGX23" i="1" s="1"/>
  <c r="MGY23" i="1" s="1"/>
  <c r="MGZ23" i="1" s="1"/>
  <c r="MHA23" i="1" s="1"/>
  <c r="MHB23" i="1" s="1"/>
  <c r="MHC23" i="1" s="1"/>
  <c r="MHD23" i="1" s="1"/>
  <c r="MHE23" i="1" s="1"/>
  <c r="MHF23" i="1" s="1"/>
  <c r="MHG23" i="1" s="1"/>
  <c r="MHH23" i="1" s="1"/>
  <c r="MHI23" i="1" s="1"/>
  <c r="MHJ23" i="1" s="1"/>
  <c r="MHK23" i="1" s="1"/>
  <c r="MHL23" i="1" s="1"/>
  <c r="MHM23" i="1" s="1"/>
  <c r="MHN23" i="1" s="1"/>
  <c r="MHO23" i="1" s="1"/>
  <c r="MHP23" i="1" s="1"/>
  <c r="MHQ23" i="1" s="1"/>
  <c r="MHR23" i="1" s="1"/>
  <c r="MHS23" i="1" s="1"/>
  <c r="MHT23" i="1" s="1"/>
  <c r="MHU23" i="1" s="1"/>
  <c r="MHV23" i="1" s="1"/>
  <c r="MHW23" i="1" s="1"/>
  <c r="MHX23" i="1" s="1"/>
  <c r="MHY23" i="1" s="1"/>
  <c r="MHZ23" i="1" s="1"/>
  <c r="MIA23" i="1" s="1"/>
  <c r="MIB23" i="1" s="1"/>
  <c r="MIC23" i="1" s="1"/>
  <c r="MID23" i="1" s="1"/>
  <c r="MIE23" i="1" s="1"/>
  <c r="MIF23" i="1" s="1"/>
  <c r="MIG23" i="1" s="1"/>
  <c r="MIH23" i="1" s="1"/>
  <c r="MII23" i="1" s="1"/>
  <c r="MIJ23" i="1" s="1"/>
  <c r="MIK23" i="1" s="1"/>
  <c r="MIL23" i="1" s="1"/>
  <c r="MIM23" i="1" s="1"/>
  <c r="MIN23" i="1" s="1"/>
  <c r="MIO23" i="1" s="1"/>
  <c r="MIP23" i="1" s="1"/>
  <c r="MIQ23" i="1" s="1"/>
  <c r="MIR23" i="1" s="1"/>
  <c r="MIS23" i="1" s="1"/>
  <c r="MIT23" i="1" s="1"/>
  <c r="MIU23" i="1" s="1"/>
  <c r="MIV23" i="1" s="1"/>
  <c r="MIW23" i="1" s="1"/>
  <c r="MIX23" i="1" s="1"/>
  <c r="MIY23" i="1" s="1"/>
  <c r="MIZ23" i="1" s="1"/>
  <c r="MJA23" i="1" s="1"/>
  <c r="MJB23" i="1" s="1"/>
  <c r="MJC23" i="1" s="1"/>
  <c r="MJD23" i="1" s="1"/>
  <c r="MJE23" i="1" s="1"/>
  <c r="MJF23" i="1" s="1"/>
  <c r="MJG23" i="1" s="1"/>
  <c r="MJH23" i="1" s="1"/>
  <c r="MJI23" i="1" s="1"/>
  <c r="MJJ23" i="1" s="1"/>
  <c r="MJK23" i="1" s="1"/>
  <c r="MJL23" i="1" s="1"/>
  <c r="MJM23" i="1" s="1"/>
  <c r="MJN23" i="1" s="1"/>
  <c r="MJO23" i="1" s="1"/>
  <c r="MJP23" i="1" s="1"/>
  <c r="MJQ23" i="1" s="1"/>
  <c r="MJR23" i="1" s="1"/>
  <c r="MJS23" i="1" s="1"/>
  <c r="MJT23" i="1" s="1"/>
  <c r="MJU23" i="1" s="1"/>
  <c r="MJV23" i="1" s="1"/>
  <c r="MJW23" i="1" s="1"/>
  <c r="MJX23" i="1" s="1"/>
  <c r="MJY23" i="1" s="1"/>
  <c r="MJZ23" i="1" s="1"/>
  <c r="MKA23" i="1" s="1"/>
  <c r="MKB23" i="1" s="1"/>
  <c r="MKC23" i="1" s="1"/>
  <c r="MKD23" i="1" s="1"/>
  <c r="MKE23" i="1" s="1"/>
  <c r="MKF23" i="1" s="1"/>
  <c r="MKG23" i="1" s="1"/>
  <c r="MKH23" i="1" s="1"/>
  <c r="MKI23" i="1" s="1"/>
  <c r="MKJ23" i="1" s="1"/>
  <c r="MKK23" i="1" s="1"/>
  <c r="MKL23" i="1" s="1"/>
  <c r="MKM23" i="1" s="1"/>
  <c r="MKN23" i="1" s="1"/>
  <c r="MKO23" i="1" s="1"/>
  <c r="MKP23" i="1" s="1"/>
  <c r="MKQ23" i="1" s="1"/>
  <c r="MKR23" i="1" s="1"/>
  <c r="MKS23" i="1" s="1"/>
  <c r="MKT23" i="1" s="1"/>
  <c r="MKU23" i="1" s="1"/>
  <c r="MKV23" i="1" s="1"/>
  <c r="MKW23" i="1" s="1"/>
  <c r="MKX23" i="1" s="1"/>
  <c r="MKY23" i="1" s="1"/>
  <c r="MKZ23" i="1" s="1"/>
  <c r="MLA23" i="1" s="1"/>
  <c r="MLB23" i="1" s="1"/>
  <c r="MLC23" i="1" s="1"/>
  <c r="MLD23" i="1" s="1"/>
  <c r="MLE23" i="1" s="1"/>
  <c r="MLF23" i="1" s="1"/>
  <c r="MLG23" i="1" s="1"/>
  <c r="MLH23" i="1" s="1"/>
  <c r="MLI23" i="1" s="1"/>
  <c r="MLJ23" i="1" s="1"/>
  <c r="MLK23" i="1" s="1"/>
  <c r="MLL23" i="1" s="1"/>
  <c r="MLM23" i="1" s="1"/>
  <c r="MLN23" i="1" s="1"/>
  <c r="MLO23" i="1" s="1"/>
  <c r="MLP23" i="1" s="1"/>
  <c r="MLQ23" i="1" s="1"/>
  <c r="MLR23" i="1" s="1"/>
  <c r="MLS23" i="1" s="1"/>
  <c r="MLT23" i="1" s="1"/>
  <c r="MLU23" i="1" s="1"/>
  <c r="MLV23" i="1" s="1"/>
  <c r="MLW23" i="1" s="1"/>
  <c r="MLX23" i="1" s="1"/>
  <c r="MLY23" i="1" s="1"/>
  <c r="MLZ23" i="1" s="1"/>
  <c r="MMA23" i="1" s="1"/>
  <c r="MMB23" i="1" s="1"/>
  <c r="MMC23" i="1" s="1"/>
  <c r="MMD23" i="1" s="1"/>
  <c r="MME23" i="1" s="1"/>
  <c r="MMF23" i="1" s="1"/>
  <c r="MMG23" i="1" s="1"/>
  <c r="MMH23" i="1" s="1"/>
  <c r="MMI23" i="1" s="1"/>
  <c r="MMJ23" i="1" s="1"/>
  <c r="MMK23" i="1" s="1"/>
  <c r="MML23" i="1" s="1"/>
  <c r="MMM23" i="1" s="1"/>
  <c r="MMN23" i="1" s="1"/>
  <c r="MMO23" i="1" s="1"/>
  <c r="MMP23" i="1" s="1"/>
  <c r="MMQ23" i="1" s="1"/>
  <c r="MMR23" i="1" s="1"/>
  <c r="MMS23" i="1" s="1"/>
  <c r="MMT23" i="1" s="1"/>
  <c r="MMU23" i="1" s="1"/>
  <c r="MMV23" i="1" s="1"/>
  <c r="MMW23" i="1" s="1"/>
  <c r="MMX23" i="1" s="1"/>
  <c r="MMY23" i="1" s="1"/>
  <c r="MMZ23" i="1" s="1"/>
  <c r="MNA23" i="1" s="1"/>
  <c r="MNB23" i="1" s="1"/>
  <c r="MNC23" i="1" s="1"/>
  <c r="MND23" i="1" s="1"/>
  <c r="MNE23" i="1" s="1"/>
  <c r="MNF23" i="1" s="1"/>
  <c r="MNG23" i="1" s="1"/>
  <c r="MNH23" i="1" s="1"/>
  <c r="MNI23" i="1" s="1"/>
  <c r="MNJ23" i="1" s="1"/>
  <c r="MNK23" i="1" s="1"/>
  <c r="MNL23" i="1" s="1"/>
  <c r="MNM23" i="1" s="1"/>
  <c r="MNN23" i="1" s="1"/>
  <c r="MNO23" i="1" s="1"/>
  <c r="MNP23" i="1" s="1"/>
  <c r="MNQ23" i="1" s="1"/>
  <c r="MNR23" i="1" s="1"/>
  <c r="MNS23" i="1" s="1"/>
  <c r="MNT23" i="1" s="1"/>
  <c r="MNU23" i="1" s="1"/>
  <c r="MNV23" i="1" s="1"/>
  <c r="MNW23" i="1" s="1"/>
  <c r="MNX23" i="1" s="1"/>
  <c r="MNY23" i="1" s="1"/>
  <c r="MNZ23" i="1" s="1"/>
  <c r="MOA23" i="1" s="1"/>
  <c r="MOB23" i="1" s="1"/>
  <c r="MOC23" i="1" s="1"/>
  <c r="MOD23" i="1" s="1"/>
  <c r="MOE23" i="1" s="1"/>
  <c r="MOF23" i="1" s="1"/>
  <c r="MOG23" i="1" s="1"/>
  <c r="MOH23" i="1" s="1"/>
  <c r="MOI23" i="1" s="1"/>
  <c r="MOJ23" i="1" s="1"/>
  <c r="MOK23" i="1" s="1"/>
  <c r="MOL23" i="1" s="1"/>
  <c r="MOM23" i="1" s="1"/>
  <c r="MON23" i="1" s="1"/>
  <c r="MOO23" i="1" s="1"/>
  <c r="MOP23" i="1" s="1"/>
  <c r="MOQ23" i="1" s="1"/>
  <c r="MOR23" i="1" s="1"/>
  <c r="MOS23" i="1" s="1"/>
  <c r="MOT23" i="1" s="1"/>
  <c r="MOU23" i="1" s="1"/>
  <c r="MOV23" i="1" s="1"/>
  <c r="MOW23" i="1" s="1"/>
  <c r="MOX23" i="1" s="1"/>
  <c r="MOY23" i="1" s="1"/>
  <c r="MOZ23" i="1" s="1"/>
  <c r="MPA23" i="1" s="1"/>
  <c r="MPB23" i="1" s="1"/>
  <c r="MPC23" i="1" s="1"/>
  <c r="MPD23" i="1" s="1"/>
  <c r="MPE23" i="1" s="1"/>
  <c r="MPF23" i="1" s="1"/>
  <c r="MPG23" i="1" s="1"/>
  <c r="MPH23" i="1" s="1"/>
  <c r="MPI23" i="1" s="1"/>
  <c r="MPJ23" i="1" s="1"/>
  <c r="MPK23" i="1" s="1"/>
  <c r="MPL23" i="1" s="1"/>
  <c r="MPM23" i="1" s="1"/>
  <c r="MPN23" i="1" s="1"/>
  <c r="MPO23" i="1" s="1"/>
  <c r="MPP23" i="1" s="1"/>
  <c r="MPQ23" i="1" s="1"/>
  <c r="MPR23" i="1" s="1"/>
  <c r="MPS23" i="1" s="1"/>
  <c r="MPT23" i="1" s="1"/>
  <c r="MPU23" i="1" s="1"/>
  <c r="MPV23" i="1" s="1"/>
  <c r="MPW23" i="1" s="1"/>
  <c r="MPX23" i="1" s="1"/>
  <c r="MPY23" i="1" s="1"/>
  <c r="MPZ23" i="1" s="1"/>
  <c r="MQA23" i="1" s="1"/>
  <c r="MQB23" i="1" s="1"/>
  <c r="MQC23" i="1" s="1"/>
  <c r="MQD23" i="1" s="1"/>
  <c r="MQE23" i="1" s="1"/>
  <c r="MQF23" i="1" s="1"/>
  <c r="MQG23" i="1" s="1"/>
  <c r="MQH23" i="1" s="1"/>
  <c r="MQI23" i="1" s="1"/>
  <c r="MQJ23" i="1" s="1"/>
  <c r="MQK23" i="1" s="1"/>
  <c r="MQL23" i="1" s="1"/>
  <c r="MQM23" i="1" s="1"/>
  <c r="MQN23" i="1" s="1"/>
  <c r="MQO23" i="1" s="1"/>
  <c r="MQP23" i="1" s="1"/>
  <c r="MQQ23" i="1" s="1"/>
  <c r="MQR23" i="1" s="1"/>
  <c r="MQS23" i="1" s="1"/>
  <c r="MQT23" i="1" s="1"/>
  <c r="MQU23" i="1" s="1"/>
  <c r="MQV23" i="1" s="1"/>
  <c r="MQW23" i="1" s="1"/>
  <c r="MQX23" i="1" s="1"/>
  <c r="MQY23" i="1" s="1"/>
  <c r="MQZ23" i="1" s="1"/>
  <c r="MRA23" i="1" s="1"/>
  <c r="MRB23" i="1" s="1"/>
  <c r="MRC23" i="1" s="1"/>
  <c r="MRD23" i="1" s="1"/>
  <c r="MRE23" i="1" s="1"/>
  <c r="MRF23" i="1" s="1"/>
  <c r="MRG23" i="1" s="1"/>
  <c r="MRH23" i="1" s="1"/>
  <c r="MRI23" i="1" s="1"/>
  <c r="MRJ23" i="1" s="1"/>
  <c r="MRK23" i="1" s="1"/>
  <c r="MRL23" i="1" s="1"/>
  <c r="MRM23" i="1" s="1"/>
  <c r="MRN23" i="1" s="1"/>
  <c r="MRO23" i="1" s="1"/>
  <c r="MRP23" i="1" s="1"/>
  <c r="MRQ23" i="1" s="1"/>
  <c r="MRR23" i="1" s="1"/>
  <c r="MRS23" i="1" s="1"/>
  <c r="MRT23" i="1" s="1"/>
  <c r="MRU23" i="1" s="1"/>
  <c r="MRV23" i="1" s="1"/>
  <c r="MRW23" i="1" s="1"/>
  <c r="MRX23" i="1" s="1"/>
  <c r="MRY23" i="1" s="1"/>
  <c r="MRZ23" i="1" s="1"/>
  <c r="MSA23" i="1" s="1"/>
  <c r="MSB23" i="1" s="1"/>
  <c r="MSC23" i="1" s="1"/>
  <c r="MSD23" i="1" s="1"/>
  <c r="MSE23" i="1" s="1"/>
  <c r="MSF23" i="1" s="1"/>
  <c r="MSG23" i="1" s="1"/>
  <c r="MSH23" i="1" s="1"/>
  <c r="MSI23" i="1" s="1"/>
  <c r="MSJ23" i="1" s="1"/>
  <c r="MSK23" i="1" s="1"/>
  <c r="MSL23" i="1" s="1"/>
  <c r="MSM23" i="1" s="1"/>
  <c r="MSN23" i="1" s="1"/>
  <c r="MSO23" i="1" s="1"/>
  <c r="MSP23" i="1" s="1"/>
  <c r="MSQ23" i="1" s="1"/>
  <c r="MSR23" i="1" s="1"/>
  <c r="MSS23" i="1" s="1"/>
  <c r="MST23" i="1" s="1"/>
  <c r="MSU23" i="1" s="1"/>
  <c r="MSV23" i="1" s="1"/>
  <c r="MSW23" i="1" s="1"/>
  <c r="MSX23" i="1" s="1"/>
  <c r="MSY23" i="1" s="1"/>
  <c r="MSZ23" i="1" s="1"/>
  <c r="MTA23" i="1" s="1"/>
  <c r="MTB23" i="1" s="1"/>
  <c r="MTC23" i="1" s="1"/>
  <c r="MTD23" i="1" s="1"/>
  <c r="MTE23" i="1" s="1"/>
  <c r="MTF23" i="1" s="1"/>
  <c r="MTG23" i="1" s="1"/>
  <c r="MTH23" i="1" s="1"/>
  <c r="MTI23" i="1" s="1"/>
  <c r="MTJ23" i="1" s="1"/>
  <c r="MTK23" i="1" s="1"/>
  <c r="MTL23" i="1" s="1"/>
  <c r="MTM23" i="1" s="1"/>
  <c r="MTN23" i="1" s="1"/>
  <c r="MTO23" i="1" s="1"/>
  <c r="MTP23" i="1" s="1"/>
  <c r="MTQ23" i="1" s="1"/>
  <c r="MTR23" i="1" s="1"/>
  <c r="MTS23" i="1" s="1"/>
  <c r="MTT23" i="1" s="1"/>
  <c r="MTU23" i="1" s="1"/>
  <c r="MTV23" i="1" s="1"/>
  <c r="MTW23" i="1" s="1"/>
  <c r="MTX23" i="1" s="1"/>
  <c r="MTY23" i="1" s="1"/>
  <c r="MTZ23" i="1" s="1"/>
  <c r="MUA23" i="1" s="1"/>
  <c r="MUB23" i="1" s="1"/>
  <c r="MUC23" i="1" s="1"/>
  <c r="MUD23" i="1" s="1"/>
  <c r="MUE23" i="1" s="1"/>
  <c r="MUF23" i="1" s="1"/>
  <c r="MUG23" i="1" s="1"/>
  <c r="MUH23" i="1" s="1"/>
  <c r="MUI23" i="1" s="1"/>
  <c r="MUJ23" i="1" s="1"/>
  <c r="MUK23" i="1" s="1"/>
  <c r="MUL23" i="1" s="1"/>
  <c r="MUM23" i="1" s="1"/>
  <c r="MUN23" i="1" s="1"/>
  <c r="MUO23" i="1" s="1"/>
  <c r="MUP23" i="1" s="1"/>
  <c r="MUQ23" i="1" s="1"/>
  <c r="MUR23" i="1" s="1"/>
  <c r="MUS23" i="1" s="1"/>
  <c r="MUT23" i="1" s="1"/>
  <c r="MUU23" i="1" s="1"/>
  <c r="MUV23" i="1" s="1"/>
  <c r="MUW23" i="1" s="1"/>
  <c r="MUX23" i="1" s="1"/>
  <c r="MUY23" i="1" s="1"/>
  <c r="MUZ23" i="1" s="1"/>
  <c r="MVA23" i="1" s="1"/>
  <c r="MVB23" i="1" s="1"/>
  <c r="MVC23" i="1" s="1"/>
  <c r="MVD23" i="1" s="1"/>
  <c r="MVE23" i="1" s="1"/>
  <c r="MVF23" i="1" s="1"/>
  <c r="MVG23" i="1" s="1"/>
  <c r="MVH23" i="1" s="1"/>
  <c r="MVI23" i="1" s="1"/>
  <c r="MVJ23" i="1" s="1"/>
  <c r="MVK23" i="1" s="1"/>
  <c r="MVL23" i="1" s="1"/>
  <c r="MVM23" i="1" s="1"/>
  <c r="MVN23" i="1" s="1"/>
  <c r="MVO23" i="1" s="1"/>
  <c r="MVP23" i="1" s="1"/>
  <c r="MVQ23" i="1" s="1"/>
  <c r="MVR23" i="1" s="1"/>
  <c r="MVS23" i="1" s="1"/>
  <c r="MVT23" i="1" s="1"/>
  <c r="MVU23" i="1" s="1"/>
  <c r="MVV23" i="1" s="1"/>
  <c r="MVW23" i="1" s="1"/>
  <c r="MVX23" i="1" s="1"/>
  <c r="MVY23" i="1" s="1"/>
  <c r="MVZ23" i="1" s="1"/>
  <c r="MWA23" i="1" s="1"/>
  <c r="MWB23" i="1" s="1"/>
  <c r="MWC23" i="1" s="1"/>
  <c r="MWD23" i="1" s="1"/>
  <c r="MWE23" i="1" s="1"/>
  <c r="MWF23" i="1" s="1"/>
  <c r="MWG23" i="1" s="1"/>
  <c r="MWH23" i="1" s="1"/>
  <c r="MWI23" i="1" s="1"/>
  <c r="MWJ23" i="1" s="1"/>
  <c r="MWK23" i="1" s="1"/>
  <c r="MWL23" i="1" s="1"/>
  <c r="MWM23" i="1" s="1"/>
  <c r="MWN23" i="1" s="1"/>
  <c r="MWO23" i="1" s="1"/>
  <c r="MWP23" i="1" s="1"/>
  <c r="MWQ23" i="1" s="1"/>
  <c r="MWR23" i="1" s="1"/>
  <c r="MWS23" i="1" s="1"/>
  <c r="MWT23" i="1" s="1"/>
  <c r="MWU23" i="1" s="1"/>
  <c r="MWV23" i="1" s="1"/>
  <c r="MWW23" i="1" s="1"/>
  <c r="MWX23" i="1" s="1"/>
  <c r="MWY23" i="1" s="1"/>
  <c r="MWZ23" i="1" s="1"/>
  <c r="MXA23" i="1" s="1"/>
  <c r="MXB23" i="1" s="1"/>
  <c r="MXC23" i="1" s="1"/>
  <c r="MXD23" i="1" s="1"/>
  <c r="MXE23" i="1" s="1"/>
  <c r="MXF23" i="1" s="1"/>
  <c r="MXG23" i="1" s="1"/>
  <c r="MXH23" i="1" s="1"/>
  <c r="MXI23" i="1" s="1"/>
  <c r="MXJ23" i="1" s="1"/>
  <c r="MXK23" i="1" s="1"/>
  <c r="MXL23" i="1" s="1"/>
  <c r="MXM23" i="1" s="1"/>
  <c r="MXN23" i="1" s="1"/>
  <c r="MXO23" i="1" s="1"/>
  <c r="MXP23" i="1" s="1"/>
  <c r="MXQ23" i="1" s="1"/>
  <c r="MXR23" i="1" s="1"/>
  <c r="MXS23" i="1" s="1"/>
  <c r="MXT23" i="1" s="1"/>
  <c r="MXU23" i="1" s="1"/>
  <c r="MXV23" i="1" s="1"/>
  <c r="MXW23" i="1" s="1"/>
  <c r="MXX23" i="1" s="1"/>
  <c r="MXY23" i="1" s="1"/>
  <c r="MXZ23" i="1" s="1"/>
  <c r="MYA23" i="1" s="1"/>
  <c r="MYB23" i="1" s="1"/>
  <c r="MYC23" i="1" s="1"/>
  <c r="MYD23" i="1" s="1"/>
  <c r="MYE23" i="1" s="1"/>
  <c r="MYF23" i="1" s="1"/>
  <c r="MYG23" i="1" s="1"/>
  <c r="MYH23" i="1" s="1"/>
  <c r="MYI23" i="1" s="1"/>
  <c r="MYJ23" i="1" s="1"/>
  <c r="MYK23" i="1" s="1"/>
  <c r="MYL23" i="1" s="1"/>
  <c r="MYM23" i="1" s="1"/>
  <c r="MYN23" i="1" s="1"/>
  <c r="MYO23" i="1" s="1"/>
  <c r="MYP23" i="1" s="1"/>
  <c r="MYQ23" i="1" s="1"/>
  <c r="MYR23" i="1" s="1"/>
  <c r="MYS23" i="1" s="1"/>
  <c r="MYT23" i="1" s="1"/>
  <c r="MYU23" i="1" s="1"/>
  <c r="MYV23" i="1" s="1"/>
  <c r="MYW23" i="1" s="1"/>
  <c r="MYX23" i="1" s="1"/>
  <c r="MYY23" i="1" s="1"/>
  <c r="MYZ23" i="1" s="1"/>
  <c r="MZA23" i="1" s="1"/>
  <c r="MZB23" i="1" s="1"/>
  <c r="MZC23" i="1" s="1"/>
  <c r="MZD23" i="1" s="1"/>
  <c r="MZE23" i="1" s="1"/>
  <c r="MZF23" i="1" s="1"/>
  <c r="MZG23" i="1" s="1"/>
  <c r="MZH23" i="1" s="1"/>
  <c r="MZI23" i="1" s="1"/>
  <c r="MZJ23" i="1" s="1"/>
  <c r="MZK23" i="1" s="1"/>
  <c r="MZL23" i="1" s="1"/>
  <c r="MZM23" i="1" s="1"/>
  <c r="MZN23" i="1" s="1"/>
  <c r="MZO23" i="1" s="1"/>
  <c r="MZP23" i="1" s="1"/>
  <c r="MZQ23" i="1" s="1"/>
  <c r="MZR23" i="1" s="1"/>
  <c r="MZS23" i="1" s="1"/>
  <c r="MZT23" i="1" s="1"/>
  <c r="MZU23" i="1" s="1"/>
  <c r="MZV23" i="1" s="1"/>
  <c r="MZW23" i="1" s="1"/>
  <c r="MZX23" i="1" s="1"/>
  <c r="MZY23" i="1" s="1"/>
  <c r="MZZ23" i="1" s="1"/>
  <c r="NAA23" i="1" s="1"/>
  <c r="NAB23" i="1" s="1"/>
  <c r="NAC23" i="1" s="1"/>
  <c r="NAD23" i="1" s="1"/>
  <c r="NAE23" i="1" s="1"/>
  <c r="NAF23" i="1" s="1"/>
  <c r="NAG23" i="1" s="1"/>
  <c r="NAH23" i="1" s="1"/>
  <c r="NAI23" i="1" s="1"/>
  <c r="NAJ23" i="1" s="1"/>
  <c r="NAK23" i="1" s="1"/>
  <c r="NAL23" i="1" s="1"/>
  <c r="NAM23" i="1" s="1"/>
  <c r="NAN23" i="1" s="1"/>
  <c r="NAO23" i="1" s="1"/>
  <c r="NAP23" i="1" s="1"/>
  <c r="NAQ23" i="1" s="1"/>
  <c r="NAR23" i="1" s="1"/>
  <c r="NAS23" i="1" s="1"/>
  <c r="NAT23" i="1" s="1"/>
  <c r="NAU23" i="1" s="1"/>
  <c r="NAV23" i="1" s="1"/>
  <c r="NAW23" i="1" s="1"/>
  <c r="NAX23" i="1" s="1"/>
  <c r="NAY23" i="1" s="1"/>
  <c r="NAZ23" i="1" s="1"/>
  <c r="NBA23" i="1" s="1"/>
  <c r="NBB23" i="1" s="1"/>
  <c r="NBC23" i="1" s="1"/>
  <c r="NBD23" i="1" s="1"/>
  <c r="NBE23" i="1" s="1"/>
  <c r="NBF23" i="1" s="1"/>
  <c r="NBG23" i="1" s="1"/>
  <c r="NBH23" i="1" s="1"/>
  <c r="NBI23" i="1" s="1"/>
  <c r="NBJ23" i="1" s="1"/>
  <c r="NBK23" i="1" s="1"/>
  <c r="NBL23" i="1" s="1"/>
  <c r="NBM23" i="1" s="1"/>
  <c r="NBN23" i="1" s="1"/>
  <c r="NBO23" i="1" s="1"/>
  <c r="NBP23" i="1" s="1"/>
  <c r="NBQ23" i="1" s="1"/>
  <c r="NBR23" i="1" s="1"/>
  <c r="NBS23" i="1" s="1"/>
  <c r="NBT23" i="1" s="1"/>
  <c r="NBU23" i="1" s="1"/>
  <c r="NBV23" i="1" s="1"/>
  <c r="NBW23" i="1" s="1"/>
  <c r="NBX23" i="1" s="1"/>
  <c r="NBY23" i="1" s="1"/>
  <c r="NBZ23" i="1" s="1"/>
  <c r="NCA23" i="1" s="1"/>
  <c r="NCB23" i="1" s="1"/>
  <c r="NCC23" i="1" s="1"/>
  <c r="NCD23" i="1" s="1"/>
  <c r="NCE23" i="1" s="1"/>
  <c r="NCF23" i="1" s="1"/>
  <c r="NCG23" i="1" s="1"/>
  <c r="NCH23" i="1" s="1"/>
  <c r="NCI23" i="1" s="1"/>
  <c r="NCJ23" i="1" s="1"/>
  <c r="NCK23" i="1" s="1"/>
  <c r="NCL23" i="1" s="1"/>
  <c r="NCM23" i="1" s="1"/>
  <c r="NCN23" i="1" s="1"/>
  <c r="NCO23" i="1" s="1"/>
  <c r="NCP23" i="1" s="1"/>
  <c r="NCQ23" i="1" s="1"/>
  <c r="NCR23" i="1" s="1"/>
  <c r="NCS23" i="1" s="1"/>
  <c r="NCT23" i="1" s="1"/>
  <c r="NCU23" i="1" s="1"/>
  <c r="NCV23" i="1" s="1"/>
  <c r="NCW23" i="1" s="1"/>
  <c r="NCX23" i="1" s="1"/>
  <c r="NCY23" i="1" s="1"/>
  <c r="NCZ23" i="1" s="1"/>
  <c r="NDA23" i="1" s="1"/>
  <c r="NDB23" i="1" s="1"/>
  <c r="NDC23" i="1" s="1"/>
  <c r="NDD23" i="1" s="1"/>
  <c r="NDE23" i="1" s="1"/>
  <c r="NDF23" i="1" s="1"/>
  <c r="NDG23" i="1" s="1"/>
  <c r="NDH23" i="1" s="1"/>
  <c r="NDI23" i="1" s="1"/>
  <c r="NDJ23" i="1" s="1"/>
  <c r="NDK23" i="1" s="1"/>
  <c r="NDL23" i="1" s="1"/>
  <c r="NDM23" i="1" s="1"/>
  <c r="NDN23" i="1" s="1"/>
  <c r="NDO23" i="1" s="1"/>
  <c r="NDP23" i="1" s="1"/>
  <c r="NDQ23" i="1" s="1"/>
  <c r="NDR23" i="1" s="1"/>
  <c r="NDS23" i="1" s="1"/>
  <c r="NDT23" i="1" s="1"/>
  <c r="NDU23" i="1" s="1"/>
  <c r="NDV23" i="1" s="1"/>
  <c r="NDW23" i="1" s="1"/>
  <c r="NDX23" i="1" s="1"/>
  <c r="NDY23" i="1" s="1"/>
  <c r="NDZ23" i="1" s="1"/>
  <c r="NEA23" i="1" s="1"/>
  <c r="NEB23" i="1" s="1"/>
  <c r="NEC23" i="1" s="1"/>
  <c r="NED23" i="1" s="1"/>
  <c r="NEE23" i="1" s="1"/>
  <c r="NEF23" i="1" s="1"/>
  <c r="NEG23" i="1" s="1"/>
  <c r="NEH23" i="1" s="1"/>
  <c r="NEI23" i="1" s="1"/>
  <c r="NEJ23" i="1" s="1"/>
  <c r="NEK23" i="1" s="1"/>
  <c r="NEL23" i="1" s="1"/>
  <c r="NEM23" i="1" s="1"/>
  <c r="NEN23" i="1" s="1"/>
  <c r="NEO23" i="1" s="1"/>
  <c r="NEP23" i="1" s="1"/>
  <c r="NEQ23" i="1" s="1"/>
  <c r="NER23" i="1" s="1"/>
  <c r="NES23" i="1" s="1"/>
  <c r="NET23" i="1" s="1"/>
  <c r="NEU23" i="1" s="1"/>
  <c r="NEV23" i="1" s="1"/>
  <c r="NEW23" i="1" s="1"/>
  <c r="NEX23" i="1" s="1"/>
  <c r="NEY23" i="1" s="1"/>
  <c r="NEZ23" i="1" s="1"/>
  <c r="NFA23" i="1" s="1"/>
  <c r="NFB23" i="1" s="1"/>
  <c r="NFC23" i="1" s="1"/>
  <c r="NFD23" i="1" s="1"/>
  <c r="NFE23" i="1" s="1"/>
  <c r="NFF23" i="1" s="1"/>
  <c r="NFG23" i="1" s="1"/>
  <c r="NFH23" i="1" s="1"/>
  <c r="NFI23" i="1" s="1"/>
  <c r="NFJ23" i="1" s="1"/>
  <c r="NFK23" i="1" s="1"/>
  <c r="NFL23" i="1" s="1"/>
  <c r="NFM23" i="1" s="1"/>
  <c r="NFN23" i="1" s="1"/>
  <c r="NFO23" i="1" s="1"/>
  <c r="NFP23" i="1" s="1"/>
  <c r="NFQ23" i="1" s="1"/>
  <c r="NFR23" i="1" s="1"/>
  <c r="NFS23" i="1" s="1"/>
  <c r="NFT23" i="1" s="1"/>
  <c r="NFU23" i="1" s="1"/>
  <c r="NFV23" i="1" s="1"/>
  <c r="NFW23" i="1" s="1"/>
  <c r="NFX23" i="1" s="1"/>
  <c r="NFY23" i="1" s="1"/>
  <c r="NFZ23" i="1" s="1"/>
  <c r="NGA23" i="1" s="1"/>
  <c r="NGB23" i="1" s="1"/>
  <c r="NGC23" i="1" s="1"/>
  <c r="NGD23" i="1" s="1"/>
  <c r="NGE23" i="1" s="1"/>
  <c r="NGF23" i="1" s="1"/>
  <c r="NGG23" i="1" s="1"/>
  <c r="NGH23" i="1" s="1"/>
  <c r="NGI23" i="1" s="1"/>
  <c r="NGJ23" i="1" s="1"/>
  <c r="NGK23" i="1" s="1"/>
  <c r="NGL23" i="1" s="1"/>
  <c r="NGM23" i="1" s="1"/>
  <c r="NGN23" i="1" s="1"/>
  <c r="NGO23" i="1" s="1"/>
  <c r="NGP23" i="1" s="1"/>
  <c r="NGQ23" i="1" s="1"/>
  <c r="NGR23" i="1" s="1"/>
  <c r="NGS23" i="1" s="1"/>
  <c r="NGT23" i="1" s="1"/>
  <c r="NGU23" i="1" s="1"/>
  <c r="NGV23" i="1" s="1"/>
  <c r="NGW23" i="1" s="1"/>
  <c r="NGX23" i="1" s="1"/>
  <c r="NGY23" i="1" s="1"/>
  <c r="NGZ23" i="1" s="1"/>
  <c r="NHA23" i="1" s="1"/>
  <c r="NHB23" i="1" s="1"/>
  <c r="NHC23" i="1" s="1"/>
  <c r="NHD23" i="1" s="1"/>
  <c r="NHE23" i="1" s="1"/>
  <c r="NHF23" i="1" s="1"/>
  <c r="NHG23" i="1" s="1"/>
  <c r="NHH23" i="1" s="1"/>
  <c r="NHI23" i="1" s="1"/>
  <c r="NHJ23" i="1" s="1"/>
  <c r="NHK23" i="1" s="1"/>
  <c r="NHL23" i="1" s="1"/>
  <c r="NHM23" i="1" s="1"/>
  <c r="NHN23" i="1" s="1"/>
  <c r="NHO23" i="1" s="1"/>
  <c r="NHP23" i="1" s="1"/>
  <c r="NHQ23" i="1" s="1"/>
  <c r="NHR23" i="1" s="1"/>
  <c r="NHS23" i="1" s="1"/>
  <c r="NHT23" i="1" s="1"/>
  <c r="NHU23" i="1" s="1"/>
  <c r="NHV23" i="1" s="1"/>
  <c r="NHW23" i="1" s="1"/>
  <c r="NHX23" i="1" s="1"/>
  <c r="NHY23" i="1" s="1"/>
  <c r="NHZ23" i="1" s="1"/>
  <c r="NIA23" i="1" s="1"/>
  <c r="NIB23" i="1" s="1"/>
  <c r="NIC23" i="1" s="1"/>
  <c r="NID23" i="1" s="1"/>
  <c r="NIE23" i="1" s="1"/>
  <c r="NIF23" i="1" s="1"/>
  <c r="NIG23" i="1" s="1"/>
  <c r="NIH23" i="1" s="1"/>
  <c r="NII23" i="1" s="1"/>
  <c r="NIJ23" i="1" s="1"/>
  <c r="NIK23" i="1" s="1"/>
  <c r="NIL23" i="1" s="1"/>
  <c r="NIM23" i="1" s="1"/>
  <c r="NIN23" i="1" s="1"/>
  <c r="NIO23" i="1" s="1"/>
  <c r="NIP23" i="1" s="1"/>
  <c r="NIQ23" i="1" s="1"/>
  <c r="NIR23" i="1" s="1"/>
  <c r="NIS23" i="1" s="1"/>
  <c r="NIT23" i="1" s="1"/>
  <c r="NIU23" i="1" s="1"/>
  <c r="NIV23" i="1" s="1"/>
  <c r="NIW23" i="1" s="1"/>
  <c r="NIX23" i="1" s="1"/>
  <c r="NIY23" i="1" s="1"/>
  <c r="NIZ23" i="1" s="1"/>
  <c r="NJA23" i="1" s="1"/>
  <c r="NJB23" i="1" s="1"/>
  <c r="NJC23" i="1" s="1"/>
  <c r="NJD23" i="1" s="1"/>
  <c r="NJE23" i="1" s="1"/>
  <c r="NJF23" i="1" s="1"/>
  <c r="NJG23" i="1" s="1"/>
  <c r="NJH23" i="1" s="1"/>
  <c r="NJI23" i="1" s="1"/>
  <c r="NJJ23" i="1" s="1"/>
  <c r="NJK23" i="1" s="1"/>
  <c r="NJL23" i="1" s="1"/>
  <c r="NJM23" i="1" s="1"/>
  <c r="NJN23" i="1" s="1"/>
  <c r="NJO23" i="1" s="1"/>
  <c r="NJP23" i="1" s="1"/>
  <c r="NJQ23" i="1" s="1"/>
  <c r="NJR23" i="1" s="1"/>
  <c r="NJS23" i="1" s="1"/>
  <c r="NJT23" i="1" s="1"/>
  <c r="NJU23" i="1" s="1"/>
  <c r="NJV23" i="1" s="1"/>
  <c r="NJW23" i="1" s="1"/>
  <c r="NJX23" i="1" s="1"/>
  <c r="NJY23" i="1" s="1"/>
  <c r="NJZ23" i="1" s="1"/>
  <c r="NKA23" i="1" s="1"/>
  <c r="NKB23" i="1" s="1"/>
  <c r="NKC23" i="1" s="1"/>
  <c r="NKD23" i="1" s="1"/>
  <c r="NKE23" i="1" s="1"/>
  <c r="NKF23" i="1" s="1"/>
  <c r="NKG23" i="1" s="1"/>
  <c r="NKH23" i="1" s="1"/>
  <c r="NKI23" i="1" s="1"/>
  <c r="NKJ23" i="1" s="1"/>
  <c r="NKK23" i="1" s="1"/>
  <c r="NKL23" i="1" s="1"/>
  <c r="NKM23" i="1" s="1"/>
  <c r="NKN23" i="1" s="1"/>
  <c r="NKO23" i="1" s="1"/>
  <c r="NKP23" i="1" s="1"/>
  <c r="NKQ23" i="1" s="1"/>
  <c r="NKR23" i="1" s="1"/>
  <c r="NKS23" i="1" s="1"/>
  <c r="NKT23" i="1" s="1"/>
  <c r="NKU23" i="1" s="1"/>
  <c r="NKV23" i="1" s="1"/>
  <c r="NKW23" i="1" s="1"/>
  <c r="NKX23" i="1" s="1"/>
  <c r="NKY23" i="1" s="1"/>
  <c r="NKZ23" i="1" s="1"/>
  <c r="NLA23" i="1" s="1"/>
  <c r="NLB23" i="1" s="1"/>
  <c r="NLC23" i="1" s="1"/>
  <c r="NLD23" i="1" s="1"/>
  <c r="NLE23" i="1" s="1"/>
  <c r="NLF23" i="1" s="1"/>
  <c r="NLG23" i="1" s="1"/>
  <c r="NLH23" i="1" s="1"/>
  <c r="NLI23" i="1" s="1"/>
  <c r="NLJ23" i="1" s="1"/>
  <c r="NLK23" i="1" s="1"/>
  <c r="NLL23" i="1" s="1"/>
  <c r="NLM23" i="1" s="1"/>
  <c r="NLN23" i="1" s="1"/>
  <c r="NLO23" i="1" s="1"/>
  <c r="NLP23" i="1" s="1"/>
  <c r="NLQ23" i="1" s="1"/>
  <c r="NLR23" i="1" s="1"/>
  <c r="NLS23" i="1" s="1"/>
  <c r="NLT23" i="1" s="1"/>
  <c r="NLU23" i="1" s="1"/>
  <c r="NLV23" i="1" s="1"/>
  <c r="NLW23" i="1" s="1"/>
  <c r="NLX23" i="1" s="1"/>
  <c r="NLY23" i="1" s="1"/>
  <c r="NLZ23" i="1" s="1"/>
  <c r="NMA23" i="1" s="1"/>
  <c r="NMB23" i="1" s="1"/>
  <c r="NMC23" i="1" s="1"/>
  <c r="NMD23" i="1" s="1"/>
  <c r="NME23" i="1" s="1"/>
  <c r="NMF23" i="1" s="1"/>
  <c r="NMG23" i="1" s="1"/>
  <c r="NMH23" i="1" s="1"/>
  <c r="NMI23" i="1" s="1"/>
  <c r="NMJ23" i="1" s="1"/>
  <c r="NMK23" i="1" s="1"/>
  <c r="NML23" i="1" s="1"/>
  <c r="NMM23" i="1" s="1"/>
  <c r="NMN23" i="1" s="1"/>
  <c r="NMO23" i="1" s="1"/>
  <c r="NMP23" i="1" s="1"/>
  <c r="NMQ23" i="1" s="1"/>
  <c r="NMR23" i="1" s="1"/>
  <c r="NMS23" i="1" s="1"/>
  <c r="NMT23" i="1" s="1"/>
  <c r="NMU23" i="1" s="1"/>
  <c r="NMV23" i="1" s="1"/>
  <c r="NMW23" i="1" s="1"/>
  <c r="NMX23" i="1" s="1"/>
  <c r="NMY23" i="1" s="1"/>
  <c r="NMZ23" i="1" s="1"/>
  <c r="NNA23" i="1" s="1"/>
  <c r="NNB23" i="1" s="1"/>
  <c r="NNC23" i="1" s="1"/>
  <c r="NND23" i="1" s="1"/>
  <c r="NNE23" i="1" s="1"/>
  <c r="NNF23" i="1" s="1"/>
  <c r="NNG23" i="1" s="1"/>
  <c r="NNH23" i="1" s="1"/>
  <c r="NNI23" i="1" s="1"/>
  <c r="NNJ23" i="1" s="1"/>
  <c r="NNK23" i="1" s="1"/>
  <c r="NNL23" i="1" s="1"/>
  <c r="NNM23" i="1" s="1"/>
  <c r="NNN23" i="1" s="1"/>
  <c r="NNO23" i="1" s="1"/>
  <c r="NNP23" i="1" s="1"/>
  <c r="NNQ23" i="1" s="1"/>
  <c r="NNR23" i="1" s="1"/>
  <c r="NNS23" i="1" s="1"/>
  <c r="NNT23" i="1" s="1"/>
  <c r="NNU23" i="1" s="1"/>
  <c r="NNV23" i="1" s="1"/>
  <c r="NNW23" i="1" s="1"/>
  <c r="NNX23" i="1" s="1"/>
  <c r="NNY23" i="1" s="1"/>
  <c r="NNZ23" i="1" s="1"/>
  <c r="NOA23" i="1" s="1"/>
  <c r="NOB23" i="1" s="1"/>
  <c r="NOC23" i="1" s="1"/>
  <c r="NOD23" i="1" s="1"/>
  <c r="NOE23" i="1" s="1"/>
  <c r="NOF23" i="1" s="1"/>
  <c r="NOG23" i="1" s="1"/>
  <c r="NOH23" i="1" s="1"/>
  <c r="NOI23" i="1" s="1"/>
  <c r="NOJ23" i="1" s="1"/>
  <c r="NOK23" i="1" s="1"/>
  <c r="NOL23" i="1" s="1"/>
  <c r="NOM23" i="1" s="1"/>
  <c r="NON23" i="1" s="1"/>
  <c r="NOO23" i="1" s="1"/>
  <c r="NOP23" i="1" s="1"/>
  <c r="NOQ23" i="1" s="1"/>
  <c r="NOR23" i="1" s="1"/>
  <c r="NOS23" i="1" s="1"/>
  <c r="NOT23" i="1" s="1"/>
  <c r="NOU23" i="1" s="1"/>
  <c r="NOV23" i="1" s="1"/>
  <c r="NOW23" i="1" s="1"/>
  <c r="NOX23" i="1" s="1"/>
  <c r="NOY23" i="1" s="1"/>
  <c r="NOZ23" i="1" s="1"/>
  <c r="NPA23" i="1" s="1"/>
  <c r="NPB23" i="1" s="1"/>
  <c r="NPC23" i="1" s="1"/>
  <c r="NPD23" i="1" s="1"/>
  <c r="NPE23" i="1" s="1"/>
  <c r="NPF23" i="1" s="1"/>
  <c r="NPG23" i="1" s="1"/>
  <c r="NPH23" i="1" s="1"/>
  <c r="NPI23" i="1" s="1"/>
  <c r="NPJ23" i="1" s="1"/>
  <c r="NPK23" i="1" s="1"/>
  <c r="NPL23" i="1" s="1"/>
  <c r="NPM23" i="1" s="1"/>
  <c r="NPN23" i="1" s="1"/>
  <c r="NPO23" i="1" s="1"/>
  <c r="NPP23" i="1" s="1"/>
  <c r="NPQ23" i="1" s="1"/>
  <c r="NPR23" i="1" s="1"/>
  <c r="NPS23" i="1" s="1"/>
  <c r="NPT23" i="1" s="1"/>
  <c r="NPU23" i="1" s="1"/>
  <c r="NPV23" i="1" s="1"/>
  <c r="NPW23" i="1" s="1"/>
  <c r="NPX23" i="1" s="1"/>
  <c r="NPY23" i="1" s="1"/>
  <c r="NPZ23" i="1" s="1"/>
  <c r="NQA23" i="1" s="1"/>
  <c r="NQB23" i="1" s="1"/>
  <c r="NQC23" i="1" s="1"/>
  <c r="NQD23" i="1" s="1"/>
  <c r="NQE23" i="1" s="1"/>
  <c r="NQF23" i="1" s="1"/>
  <c r="NQG23" i="1" s="1"/>
  <c r="NQH23" i="1" s="1"/>
  <c r="NQI23" i="1" s="1"/>
  <c r="NQJ23" i="1" s="1"/>
  <c r="NQK23" i="1" s="1"/>
  <c r="NQL23" i="1" s="1"/>
  <c r="NQM23" i="1" s="1"/>
  <c r="NQN23" i="1" s="1"/>
  <c r="NQO23" i="1" s="1"/>
  <c r="NQP23" i="1" s="1"/>
  <c r="NQQ23" i="1" s="1"/>
  <c r="NQR23" i="1" s="1"/>
  <c r="NQS23" i="1" s="1"/>
  <c r="NQT23" i="1" s="1"/>
  <c r="NQU23" i="1" s="1"/>
  <c r="NQV23" i="1" s="1"/>
  <c r="NQW23" i="1" s="1"/>
  <c r="NQX23" i="1" s="1"/>
  <c r="NQY23" i="1" s="1"/>
  <c r="NQZ23" i="1" s="1"/>
  <c r="NRA23" i="1" s="1"/>
  <c r="NRB23" i="1" s="1"/>
  <c r="NRC23" i="1" s="1"/>
  <c r="NRD23" i="1" s="1"/>
  <c r="NRE23" i="1" s="1"/>
  <c r="NRF23" i="1" s="1"/>
  <c r="NRG23" i="1" s="1"/>
  <c r="NRH23" i="1" s="1"/>
  <c r="NRI23" i="1" s="1"/>
  <c r="NRJ23" i="1" s="1"/>
  <c r="NRK23" i="1" s="1"/>
  <c r="NRL23" i="1" s="1"/>
  <c r="NRM23" i="1" s="1"/>
  <c r="NRN23" i="1" s="1"/>
  <c r="NRO23" i="1" s="1"/>
  <c r="NRP23" i="1" s="1"/>
  <c r="NRQ23" i="1" s="1"/>
  <c r="NRR23" i="1" s="1"/>
  <c r="NRS23" i="1" s="1"/>
  <c r="NRT23" i="1" s="1"/>
  <c r="NRU23" i="1" s="1"/>
  <c r="NRV23" i="1" s="1"/>
  <c r="NRW23" i="1" s="1"/>
  <c r="NRX23" i="1" s="1"/>
  <c r="NRY23" i="1" s="1"/>
  <c r="NRZ23" i="1" s="1"/>
  <c r="NSA23" i="1" s="1"/>
  <c r="NSB23" i="1" s="1"/>
  <c r="NSC23" i="1" s="1"/>
  <c r="NSD23" i="1" s="1"/>
  <c r="NSE23" i="1" s="1"/>
  <c r="NSF23" i="1" s="1"/>
  <c r="NSG23" i="1" s="1"/>
  <c r="NSH23" i="1" s="1"/>
  <c r="NSI23" i="1" s="1"/>
  <c r="NSJ23" i="1" s="1"/>
  <c r="NSK23" i="1" s="1"/>
  <c r="NSL23" i="1" s="1"/>
  <c r="NSM23" i="1" s="1"/>
  <c r="NSN23" i="1" s="1"/>
  <c r="NSO23" i="1" s="1"/>
  <c r="NSP23" i="1" s="1"/>
  <c r="NSQ23" i="1" s="1"/>
  <c r="NSR23" i="1" s="1"/>
  <c r="NSS23" i="1" s="1"/>
  <c r="NST23" i="1" s="1"/>
  <c r="NSU23" i="1" s="1"/>
  <c r="NSV23" i="1" s="1"/>
  <c r="NSW23" i="1" s="1"/>
  <c r="NSX23" i="1" s="1"/>
  <c r="NSY23" i="1" s="1"/>
  <c r="NSZ23" i="1" s="1"/>
  <c r="NTA23" i="1" s="1"/>
  <c r="NTB23" i="1" s="1"/>
  <c r="NTC23" i="1" s="1"/>
  <c r="NTD23" i="1" s="1"/>
  <c r="NTE23" i="1" s="1"/>
  <c r="NTF23" i="1" s="1"/>
  <c r="NTG23" i="1" s="1"/>
  <c r="NTH23" i="1" s="1"/>
  <c r="NTI23" i="1" s="1"/>
  <c r="NTJ23" i="1" s="1"/>
  <c r="NTK23" i="1" s="1"/>
  <c r="NTL23" i="1" s="1"/>
  <c r="NTM23" i="1" s="1"/>
  <c r="NTN23" i="1" s="1"/>
  <c r="NTO23" i="1" s="1"/>
  <c r="NTP23" i="1" s="1"/>
  <c r="NTQ23" i="1" s="1"/>
  <c r="NTR23" i="1" s="1"/>
  <c r="NTS23" i="1" s="1"/>
  <c r="NTT23" i="1" s="1"/>
  <c r="NTU23" i="1" s="1"/>
  <c r="NTV23" i="1" s="1"/>
  <c r="NTW23" i="1" s="1"/>
  <c r="NTX23" i="1" s="1"/>
  <c r="NTY23" i="1" s="1"/>
  <c r="NTZ23" i="1" s="1"/>
  <c r="NUA23" i="1" s="1"/>
  <c r="NUB23" i="1" s="1"/>
  <c r="NUC23" i="1" s="1"/>
  <c r="NUD23" i="1" s="1"/>
  <c r="NUE23" i="1" s="1"/>
  <c r="NUF23" i="1" s="1"/>
  <c r="NUG23" i="1" s="1"/>
  <c r="NUH23" i="1" s="1"/>
  <c r="NUI23" i="1" s="1"/>
  <c r="NUJ23" i="1" s="1"/>
  <c r="NUK23" i="1" s="1"/>
  <c r="NUL23" i="1" s="1"/>
  <c r="NUM23" i="1" s="1"/>
  <c r="NUN23" i="1" s="1"/>
  <c r="NUO23" i="1" s="1"/>
  <c r="NUP23" i="1" s="1"/>
  <c r="NUQ23" i="1" s="1"/>
  <c r="NUR23" i="1" s="1"/>
  <c r="NUS23" i="1" s="1"/>
  <c r="NUT23" i="1" s="1"/>
  <c r="NUU23" i="1" s="1"/>
  <c r="NUV23" i="1" s="1"/>
  <c r="NUW23" i="1" s="1"/>
  <c r="NUX23" i="1" s="1"/>
  <c r="NUY23" i="1" s="1"/>
  <c r="NUZ23" i="1" s="1"/>
  <c r="NVA23" i="1" s="1"/>
  <c r="NVB23" i="1" s="1"/>
  <c r="NVC23" i="1" s="1"/>
  <c r="NVD23" i="1" s="1"/>
  <c r="NVE23" i="1" s="1"/>
  <c r="NVF23" i="1" s="1"/>
  <c r="NVG23" i="1" s="1"/>
  <c r="NVH23" i="1" s="1"/>
  <c r="NVI23" i="1" s="1"/>
  <c r="NVJ23" i="1" s="1"/>
  <c r="NVK23" i="1" s="1"/>
  <c r="NVL23" i="1" s="1"/>
  <c r="NVM23" i="1" s="1"/>
  <c r="NVN23" i="1" s="1"/>
  <c r="NVO23" i="1" s="1"/>
  <c r="NVP23" i="1" s="1"/>
  <c r="NVQ23" i="1" s="1"/>
  <c r="NVR23" i="1" s="1"/>
  <c r="NVS23" i="1" s="1"/>
  <c r="NVT23" i="1" s="1"/>
  <c r="NVU23" i="1" s="1"/>
  <c r="NVV23" i="1" s="1"/>
  <c r="NVW23" i="1" s="1"/>
  <c r="NVX23" i="1" s="1"/>
  <c r="NVY23" i="1" s="1"/>
  <c r="NVZ23" i="1" s="1"/>
  <c r="NWA23" i="1" s="1"/>
  <c r="NWB23" i="1" s="1"/>
  <c r="NWC23" i="1" s="1"/>
  <c r="NWD23" i="1" s="1"/>
  <c r="NWE23" i="1" s="1"/>
  <c r="NWF23" i="1" s="1"/>
  <c r="NWG23" i="1" s="1"/>
  <c r="NWH23" i="1" s="1"/>
  <c r="NWI23" i="1" s="1"/>
  <c r="NWJ23" i="1" s="1"/>
  <c r="NWK23" i="1" s="1"/>
  <c r="NWL23" i="1" s="1"/>
  <c r="NWM23" i="1" s="1"/>
  <c r="NWN23" i="1" s="1"/>
  <c r="NWO23" i="1" s="1"/>
  <c r="NWP23" i="1" s="1"/>
  <c r="NWQ23" i="1" s="1"/>
  <c r="NWR23" i="1" s="1"/>
  <c r="NWS23" i="1" s="1"/>
  <c r="NWT23" i="1" s="1"/>
  <c r="NWU23" i="1" s="1"/>
  <c r="NWV23" i="1" s="1"/>
  <c r="NWW23" i="1" s="1"/>
  <c r="NWX23" i="1" s="1"/>
  <c r="NWY23" i="1" s="1"/>
  <c r="NWZ23" i="1" s="1"/>
  <c r="NXA23" i="1" s="1"/>
  <c r="NXB23" i="1" s="1"/>
  <c r="NXC23" i="1" s="1"/>
  <c r="NXD23" i="1" s="1"/>
  <c r="NXE23" i="1" s="1"/>
  <c r="NXF23" i="1" s="1"/>
  <c r="NXG23" i="1" s="1"/>
  <c r="NXH23" i="1" s="1"/>
  <c r="NXI23" i="1" s="1"/>
  <c r="NXJ23" i="1" s="1"/>
  <c r="NXK23" i="1" s="1"/>
  <c r="NXL23" i="1" s="1"/>
  <c r="NXM23" i="1" s="1"/>
  <c r="NXN23" i="1" s="1"/>
  <c r="NXO23" i="1" s="1"/>
  <c r="NXP23" i="1" s="1"/>
  <c r="NXQ23" i="1" s="1"/>
  <c r="NXR23" i="1" s="1"/>
  <c r="NXS23" i="1" s="1"/>
  <c r="NXT23" i="1" s="1"/>
  <c r="NXU23" i="1" s="1"/>
  <c r="NXV23" i="1" s="1"/>
  <c r="NXW23" i="1" s="1"/>
  <c r="NXX23" i="1" s="1"/>
  <c r="NXY23" i="1" s="1"/>
  <c r="NXZ23" i="1" s="1"/>
  <c r="NYA23" i="1" s="1"/>
  <c r="NYB23" i="1" s="1"/>
  <c r="NYC23" i="1" s="1"/>
  <c r="NYD23" i="1" s="1"/>
  <c r="NYE23" i="1" s="1"/>
  <c r="NYF23" i="1" s="1"/>
  <c r="NYG23" i="1" s="1"/>
  <c r="NYH23" i="1" s="1"/>
  <c r="NYI23" i="1" s="1"/>
  <c r="NYJ23" i="1" s="1"/>
  <c r="NYK23" i="1" s="1"/>
  <c r="NYL23" i="1" s="1"/>
  <c r="NYM23" i="1" s="1"/>
  <c r="NYN23" i="1" s="1"/>
  <c r="NYO23" i="1" s="1"/>
  <c r="NYP23" i="1" s="1"/>
  <c r="NYQ23" i="1" s="1"/>
  <c r="NYR23" i="1" s="1"/>
  <c r="NYS23" i="1" s="1"/>
  <c r="NYT23" i="1" s="1"/>
  <c r="NYU23" i="1" s="1"/>
  <c r="NYV23" i="1" s="1"/>
  <c r="NYW23" i="1" s="1"/>
  <c r="NYX23" i="1" s="1"/>
  <c r="NYY23" i="1" s="1"/>
  <c r="NYZ23" i="1" s="1"/>
  <c r="NZA23" i="1" s="1"/>
  <c r="NZB23" i="1" s="1"/>
  <c r="NZC23" i="1" s="1"/>
  <c r="NZD23" i="1" s="1"/>
  <c r="NZE23" i="1" s="1"/>
  <c r="NZF23" i="1" s="1"/>
  <c r="NZG23" i="1" s="1"/>
  <c r="NZH23" i="1" s="1"/>
  <c r="NZI23" i="1" s="1"/>
  <c r="NZJ23" i="1" s="1"/>
  <c r="NZK23" i="1" s="1"/>
  <c r="NZL23" i="1" s="1"/>
  <c r="NZM23" i="1" s="1"/>
  <c r="NZN23" i="1" s="1"/>
  <c r="NZO23" i="1" s="1"/>
  <c r="NZP23" i="1" s="1"/>
  <c r="NZQ23" i="1" s="1"/>
  <c r="NZR23" i="1" s="1"/>
  <c r="NZS23" i="1" s="1"/>
  <c r="NZT23" i="1" s="1"/>
  <c r="NZU23" i="1" s="1"/>
  <c r="NZV23" i="1" s="1"/>
  <c r="NZW23" i="1" s="1"/>
  <c r="NZX23" i="1" s="1"/>
  <c r="NZY23" i="1" s="1"/>
  <c r="NZZ23" i="1" s="1"/>
  <c r="OAA23" i="1" s="1"/>
  <c r="OAB23" i="1" s="1"/>
  <c r="OAC23" i="1" s="1"/>
  <c r="OAD23" i="1" s="1"/>
  <c r="OAE23" i="1" s="1"/>
  <c r="OAF23" i="1" s="1"/>
  <c r="OAG23" i="1" s="1"/>
  <c r="OAH23" i="1" s="1"/>
  <c r="OAI23" i="1" s="1"/>
  <c r="OAJ23" i="1" s="1"/>
  <c r="OAK23" i="1" s="1"/>
  <c r="OAL23" i="1" s="1"/>
  <c r="OAM23" i="1" s="1"/>
  <c r="OAN23" i="1" s="1"/>
  <c r="OAO23" i="1" s="1"/>
  <c r="OAP23" i="1" s="1"/>
  <c r="OAQ23" i="1" s="1"/>
  <c r="OAR23" i="1" s="1"/>
  <c r="OAS23" i="1" s="1"/>
  <c r="OAT23" i="1" s="1"/>
  <c r="OAU23" i="1" s="1"/>
  <c r="OAV23" i="1" s="1"/>
  <c r="OAW23" i="1" s="1"/>
  <c r="OAX23" i="1" s="1"/>
  <c r="OAY23" i="1" s="1"/>
  <c r="OAZ23" i="1" s="1"/>
  <c r="OBA23" i="1" s="1"/>
  <c r="OBB23" i="1" s="1"/>
  <c r="OBC23" i="1" s="1"/>
  <c r="OBD23" i="1" s="1"/>
  <c r="OBE23" i="1" s="1"/>
  <c r="OBF23" i="1" s="1"/>
  <c r="OBG23" i="1" s="1"/>
  <c r="OBH23" i="1" s="1"/>
  <c r="OBI23" i="1" s="1"/>
  <c r="OBJ23" i="1" s="1"/>
  <c r="OBK23" i="1" s="1"/>
  <c r="OBL23" i="1" s="1"/>
  <c r="OBM23" i="1" s="1"/>
  <c r="OBN23" i="1" s="1"/>
  <c r="OBO23" i="1" s="1"/>
  <c r="OBP23" i="1" s="1"/>
  <c r="OBQ23" i="1" s="1"/>
  <c r="OBR23" i="1" s="1"/>
  <c r="OBS23" i="1" s="1"/>
  <c r="OBT23" i="1" s="1"/>
  <c r="OBU23" i="1" s="1"/>
  <c r="OBV23" i="1" s="1"/>
  <c r="OBW23" i="1" s="1"/>
  <c r="OBX23" i="1" s="1"/>
  <c r="OBY23" i="1" s="1"/>
  <c r="OBZ23" i="1" s="1"/>
  <c r="OCA23" i="1" s="1"/>
  <c r="OCB23" i="1" s="1"/>
  <c r="OCC23" i="1" s="1"/>
  <c r="OCD23" i="1" s="1"/>
  <c r="OCE23" i="1" s="1"/>
  <c r="OCF23" i="1" s="1"/>
  <c r="OCG23" i="1" s="1"/>
  <c r="OCH23" i="1" s="1"/>
  <c r="OCI23" i="1" s="1"/>
  <c r="OCJ23" i="1" s="1"/>
  <c r="OCK23" i="1" s="1"/>
  <c r="OCL23" i="1" s="1"/>
  <c r="OCM23" i="1" s="1"/>
  <c r="OCN23" i="1" s="1"/>
  <c r="OCO23" i="1" s="1"/>
  <c r="OCP23" i="1" s="1"/>
  <c r="OCQ23" i="1" s="1"/>
  <c r="OCR23" i="1" s="1"/>
  <c r="OCS23" i="1" s="1"/>
  <c r="OCT23" i="1" s="1"/>
  <c r="OCU23" i="1" s="1"/>
  <c r="OCV23" i="1" s="1"/>
  <c r="OCW23" i="1" s="1"/>
  <c r="OCX23" i="1" s="1"/>
  <c r="OCY23" i="1" s="1"/>
  <c r="OCZ23" i="1" s="1"/>
  <c r="ODA23" i="1" s="1"/>
  <c r="ODB23" i="1" s="1"/>
  <c r="ODC23" i="1" s="1"/>
  <c r="ODD23" i="1" s="1"/>
  <c r="ODE23" i="1" s="1"/>
  <c r="ODF23" i="1" s="1"/>
  <c r="ODG23" i="1" s="1"/>
  <c r="ODH23" i="1" s="1"/>
  <c r="ODI23" i="1" s="1"/>
  <c r="ODJ23" i="1" s="1"/>
  <c r="ODK23" i="1" s="1"/>
  <c r="ODL23" i="1" s="1"/>
  <c r="ODM23" i="1" s="1"/>
  <c r="ODN23" i="1" s="1"/>
  <c r="ODO23" i="1" s="1"/>
  <c r="ODP23" i="1" s="1"/>
  <c r="ODQ23" i="1" s="1"/>
  <c r="ODR23" i="1" s="1"/>
  <c r="ODS23" i="1" s="1"/>
  <c r="ODT23" i="1" s="1"/>
  <c r="ODU23" i="1" s="1"/>
  <c r="ODV23" i="1" s="1"/>
  <c r="ODW23" i="1" s="1"/>
  <c r="ODX23" i="1" s="1"/>
  <c r="ODY23" i="1" s="1"/>
  <c r="ODZ23" i="1" s="1"/>
  <c r="OEA23" i="1" s="1"/>
  <c r="OEB23" i="1" s="1"/>
  <c r="OEC23" i="1" s="1"/>
  <c r="OED23" i="1" s="1"/>
  <c r="OEE23" i="1" s="1"/>
  <c r="OEF23" i="1" s="1"/>
  <c r="OEG23" i="1" s="1"/>
  <c r="OEH23" i="1" s="1"/>
  <c r="OEI23" i="1" s="1"/>
  <c r="OEJ23" i="1" s="1"/>
  <c r="OEK23" i="1" s="1"/>
  <c r="OEL23" i="1" s="1"/>
  <c r="OEM23" i="1" s="1"/>
  <c r="OEN23" i="1" s="1"/>
  <c r="OEO23" i="1" s="1"/>
  <c r="OEP23" i="1" s="1"/>
  <c r="OEQ23" i="1" s="1"/>
  <c r="OER23" i="1" s="1"/>
  <c r="OES23" i="1" s="1"/>
  <c r="OET23" i="1" s="1"/>
  <c r="OEU23" i="1" s="1"/>
  <c r="OEV23" i="1" s="1"/>
  <c r="OEW23" i="1" s="1"/>
  <c r="OEX23" i="1" s="1"/>
  <c r="OEY23" i="1" s="1"/>
  <c r="OEZ23" i="1" s="1"/>
  <c r="OFA23" i="1" s="1"/>
  <c r="OFB23" i="1" s="1"/>
  <c r="OFC23" i="1" s="1"/>
  <c r="OFD23" i="1" s="1"/>
  <c r="OFE23" i="1" s="1"/>
  <c r="OFF23" i="1" s="1"/>
  <c r="OFG23" i="1" s="1"/>
  <c r="OFH23" i="1" s="1"/>
  <c r="OFI23" i="1" s="1"/>
  <c r="OFJ23" i="1" s="1"/>
  <c r="OFK23" i="1" s="1"/>
  <c r="OFL23" i="1" s="1"/>
  <c r="OFM23" i="1" s="1"/>
  <c r="OFN23" i="1" s="1"/>
  <c r="OFO23" i="1" s="1"/>
  <c r="OFP23" i="1" s="1"/>
  <c r="OFQ23" i="1" s="1"/>
  <c r="OFR23" i="1" s="1"/>
  <c r="OFS23" i="1" s="1"/>
  <c r="OFT23" i="1" s="1"/>
  <c r="OFU23" i="1" s="1"/>
  <c r="OFV23" i="1" s="1"/>
  <c r="OFW23" i="1" s="1"/>
  <c r="OFX23" i="1" s="1"/>
  <c r="OFY23" i="1" s="1"/>
  <c r="OFZ23" i="1" s="1"/>
  <c r="OGA23" i="1" s="1"/>
  <c r="OGB23" i="1" s="1"/>
  <c r="OGC23" i="1" s="1"/>
  <c r="OGD23" i="1" s="1"/>
  <c r="OGE23" i="1" s="1"/>
  <c r="OGF23" i="1" s="1"/>
  <c r="OGG23" i="1" s="1"/>
  <c r="OGH23" i="1" s="1"/>
  <c r="OGI23" i="1" s="1"/>
  <c r="OGJ23" i="1" s="1"/>
  <c r="OGK23" i="1" s="1"/>
  <c r="OGL23" i="1" s="1"/>
  <c r="OGM23" i="1" s="1"/>
  <c r="OGN23" i="1" s="1"/>
  <c r="OGO23" i="1" s="1"/>
  <c r="OGP23" i="1" s="1"/>
  <c r="OGQ23" i="1" s="1"/>
  <c r="OGR23" i="1" s="1"/>
  <c r="OGS23" i="1" s="1"/>
  <c r="OGT23" i="1" s="1"/>
  <c r="OGU23" i="1" s="1"/>
  <c r="OGV23" i="1" s="1"/>
  <c r="OGW23" i="1" s="1"/>
  <c r="OGX23" i="1" s="1"/>
  <c r="OGY23" i="1" s="1"/>
  <c r="OGZ23" i="1" s="1"/>
  <c r="OHA23" i="1" s="1"/>
  <c r="OHB23" i="1" s="1"/>
  <c r="OHC23" i="1" s="1"/>
  <c r="OHD23" i="1" s="1"/>
  <c r="OHE23" i="1" s="1"/>
  <c r="OHF23" i="1" s="1"/>
  <c r="OHG23" i="1" s="1"/>
  <c r="OHH23" i="1" s="1"/>
  <c r="OHI23" i="1" s="1"/>
  <c r="OHJ23" i="1" s="1"/>
  <c r="OHK23" i="1" s="1"/>
  <c r="OHL23" i="1" s="1"/>
  <c r="OHM23" i="1" s="1"/>
  <c r="OHN23" i="1" s="1"/>
  <c r="OHO23" i="1" s="1"/>
  <c r="OHP23" i="1" s="1"/>
  <c r="OHQ23" i="1" s="1"/>
  <c r="OHR23" i="1" s="1"/>
  <c r="OHS23" i="1" s="1"/>
  <c r="OHT23" i="1" s="1"/>
  <c r="OHU23" i="1" s="1"/>
  <c r="OHV23" i="1" s="1"/>
  <c r="OHW23" i="1" s="1"/>
  <c r="OHX23" i="1" s="1"/>
  <c r="OHY23" i="1" s="1"/>
  <c r="OHZ23" i="1" s="1"/>
  <c r="OIA23" i="1" s="1"/>
  <c r="OIB23" i="1" s="1"/>
  <c r="OIC23" i="1" s="1"/>
  <c r="OID23" i="1" s="1"/>
  <c r="OIE23" i="1" s="1"/>
  <c r="OIF23" i="1" s="1"/>
  <c r="OIG23" i="1" s="1"/>
  <c r="OIH23" i="1" s="1"/>
  <c r="OII23" i="1" s="1"/>
  <c r="OIJ23" i="1" s="1"/>
  <c r="OIK23" i="1" s="1"/>
  <c r="OIL23" i="1" s="1"/>
  <c r="OIM23" i="1" s="1"/>
  <c r="OIN23" i="1" s="1"/>
  <c r="OIO23" i="1" s="1"/>
  <c r="OIP23" i="1" s="1"/>
  <c r="OIQ23" i="1" s="1"/>
  <c r="OIR23" i="1" s="1"/>
  <c r="OIS23" i="1" s="1"/>
  <c r="OIT23" i="1" s="1"/>
  <c r="OIU23" i="1" s="1"/>
  <c r="OIV23" i="1" s="1"/>
  <c r="OIW23" i="1" s="1"/>
  <c r="OIX23" i="1" s="1"/>
  <c r="OIY23" i="1" s="1"/>
  <c r="OIZ23" i="1" s="1"/>
  <c r="OJA23" i="1" s="1"/>
  <c r="OJB23" i="1" s="1"/>
  <c r="OJC23" i="1" s="1"/>
  <c r="OJD23" i="1" s="1"/>
  <c r="OJE23" i="1" s="1"/>
  <c r="OJF23" i="1" s="1"/>
  <c r="OJG23" i="1" s="1"/>
  <c r="OJH23" i="1" s="1"/>
  <c r="OJI23" i="1" s="1"/>
  <c r="OJJ23" i="1" s="1"/>
  <c r="OJK23" i="1" s="1"/>
  <c r="OJL23" i="1" s="1"/>
  <c r="OJM23" i="1" s="1"/>
  <c r="OJN23" i="1" s="1"/>
  <c r="OJO23" i="1" s="1"/>
  <c r="OJP23" i="1" s="1"/>
  <c r="OJQ23" i="1" s="1"/>
  <c r="OJR23" i="1" s="1"/>
  <c r="OJS23" i="1" s="1"/>
  <c r="OJT23" i="1" s="1"/>
  <c r="OJU23" i="1" s="1"/>
  <c r="OJV23" i="1" s="1"/>
  <c r="OJW23" i="1" s="1"/>
  <c r="OJX23" i="1" s="1"/>
  <c r="OJY23" i="1" s="1"/>
  <c r="OJZ23" i="1" s="1"/>
  <c r="OKA23" i="1" s="1"/>
  <c r="OKB23" i="1" s="1"/>
  <c r="OKC23" i="1" s="1"/>
  <c r="OKD23" i="1" s="1"/>
  <c r="OKE23" i="1" s="1"/>
  <c r="OKF23" i="1" s="1"/>
  <c r="OKG23" i="1" s="1"/>
  <c r="OKH23" i="1" s="1"/>
  <c r="OKI23" i="1" s="1"/>
  <c r="OKJ23" i="1" s="1"/>
  <c r="OKK23" i="1" s="1"/>
  <c r="OKL23" i="1" s="1"/>
  <c r="OKM23" i="1" s="1"/>
  <c r="OKN23" i="1" s="1"/>
  <c r="OKO23" i="1" s="1"/>
  <c r="OKP23" i="1" s="1"/>
  <c r="OKQ23" i="1" s="1"/>
  <c r="OKR23" i="1" s="1"/>
  <c r="OKS23" i="1" s="1"/>
  <c r="OKT23" i="1" s="1"/>
  <c r="OKU23" i="1" s="1"/>
  <c r="OKV23" i="1" s="1"/>
  <c r="OKW23" i="1" s="1"/>
  <c r="OKX23" i="1" s="1"/>
  <c r="OKY23" i="1" s="1"/>
  <c r="OKZ23" i="1" s="1"/>
  <c r="OLA23" i="1" s="1"/>
  <c r="OLB23" i="1" s="1"/>
  <c r="OLC23" i="1" s="1"/>
  <c r="OLD23" i="1" s="1"/>
  <c r="OLE23" i="1" s="1"/>
  <c r="OLF23" i="1" s="1"/>
  <c r="OLG23" i="1" s="1"/>
  <c r="OLH23" i="1" s="1"/>
  <c r="OLI23" i="1" s="1"/>
  <c r="OLJ23" i="1" s="1"/>
  <c r="OLK23" i="1" s="1"/>
  <c r="OLL23" i="1" s="1"/>
  <c r="OLM23" i="1" s="1"/>
  <c r="OLN23" i="1" s="1"/>
  <c r="OLO23" i="1" s="1"/>
  <c r="OLP23" i="1" s="1"/>
  <c r="OLQ23" i="1" s="1"/>
  <c r="OLR23" i="1" s="1"/>
  <c r="OLS23" i="1" s="1"/>
  <c r="OLT23" i="1" s="1"/>
  <c r="OLU23" i="1" s="1"/>
  <c r="OLV23" i="1" s="1"/>
  <c r="OLW23" i="1" s="1"/>
  <c r="OLX23" i="1" s="1"/>
  <c r="OLY23" i="1" s="1"/>
  <c r="OLZ23" i="1" s="1"/>
  <c r="OMA23" i="1" s="1"/>
  <c r="OMB23" i="1" s="1"/>
  <c r="OMC23" i="1" s="1"/>
  <c r="OMD23" i="1" s="1"/>
  <c r="OME23" i="1" s="1"/>
  <c r="OMF23" i="1" s="1"/>
  <c r="OMG23" i="1" s="1"/>
  <c r="OMH23" i="1" s="1"/>
  <c r="OMI23" i="1" s="1"/>
  <c r="OMJ23" i="1" s="1"/>
  <c r="OMK23" i="1" s="1"/>
  <c r="OML23" i="1" s="1"/>
  <c r="OMM23" i="1" s="1"/>
  <c r="OMN23" i="1" s="1"/>
  <c r="OMO23" i="1" s="1"/>
  <c r="OMP23" i="1" s="1"/>
  <c r="OMQ23" i="1" s="1"/>
  <c r="OMR23" i="1" s="1"/>
  <c r="OMS23" i="1" s="1"/>
  <c r="OMT23" i="1" s="1"/>
  <c r="OMU23" i="1" s="1"/>
  <c r="OMV23" i="1" s="1"/>
  <c r="OMW23" i="1" s="1"/>
  <c r="OMX23" i="1" s="1"/>
  <c r="OMY23" i="1" s="1"/>
  <c r="OMZ23" i="1" s="1"/>
  <c r="ONA23" i="1" s="1"/>
  <c r="ONB23" i="1" s="1"/>
  <c r="ONC23" i="1" s="1"/>
  <c r="OND23" i="1" s="1"/>
  <c r="ONE23" i="1" s="1"/>
  <c r="ONF23" i="1" s="1"/>
  <c r="ONG23" i="1" s="1"/>
  <c r="ONH23" i="1" s="1"/>
  <c r="ONI23" i="1" s="1"/>
  <c r="ONJ23" i="1" s="1"/>
  <c r="ONK23" i="1" s="1"/>
  <c r="ONL23" i="1" s="1"/>
  <c r="ONM23" i="1" s="1"/>
  <c r="ONN23" i="1" s="1"/>
  <c r="ONO23" i="1" s="1"/>
  <c r="ONP23" i="1" s="1"/>
  <c r="ONQ23" i="1" s="1"/>
  <c r="ONR23" i="1" s="1"/>
  <c r="ONS23" i="1" s="1"/>
  <c r="ONT23" i="1" s="1"/>
  <c r="ONU23" i="1" s="1"/>
  <c r="ONV23" i="1" s="1"/>
  <c r="ONW23" i="1" s="1"/>
  <c r="ONX23" i="1" s="1"/>
  <c r="ONY23" i="1" s="1"/>
  <c r="ONZ23" i="1" s="1"/>
  <c r="OOA23" i="1" s="1"/>
  <c r="OOB23" i="1" s="1"/>
  <c r="OOC23" i="1" s="1"/>
  <c r="OOD23" i="1" s="1"/>
  <c r="OOE23" i="1" s="1"/>
  <c r="OOF23" i="1" s="1"/>
  <c r="OOG23" i="1" s="1"/>
  <c r="OOH23" i="1" s="1"/>
  <c r="OOI23" i="1" s="1"/>
  <c r="OOJ23" i="1" s="1"/>
  <c r="OOK23" i="1" s="1"/>
  <c r="OOL23" i="1" s="1"/>
  <c r="OOM23" i="1" s="1"/>
  <c r="OON23" i="1" s="1"/>
  <c r="OOO23" i="1" s="1"/>
  <c r="OOP23" i="1" s="1"/>
  <c r="OOQ23" i="1" s="1"/>
  <c r="OOR23" i="1" s="1"/>
  <c r="OOS23" i="1" s="1"/>
  <c r="OOT23" i="1" s="1"/>
  <c r="OOU23" i="1" s="1"/>
  <c r="OOV23" i="1" s="1"/>
  <c r="OOW23" i="1" s="1"/>
  <c r="OOX23" i="1" s="1"/>
  <c r="OOY23" i="1" s="1"/>
  <c r="OOZ23" i="1" s="1"/>
  <c r="OPA23" i="1" s="1"/>
  <c r="OPB23" i="1" s="1"/>
  <c r="OPC23" i="1" s="1"/>
  <c r="OPD23" i="1" s="1"/>
  <c r="OPE23" i="1" s="1"/>
  <c r="OPF23" i="1" s="1"/>
  <c r="OPG23" i="1" s="1"/>
  <c r="OPH23" i="1" s="1"/>
  <c r="OPI23" i="1" s="1"/>
  <c r="OPJ23" i="1" s="1"/>
  <c r="OPK23" i="1" s="1"/>
  <c r="OPL23" i="1" s="1"/>
  <c r="OPM23" i="1" s="1"/>
  <c r="OPN23" i="1" s="1"/>
  <c r="OPO23" i="1" s="1"/>
  <c r="OPP23" i="1" s="1"/>
  <c r="OPQ23" i="1" s="1"/>
  <c r="OPR23" i="1" s="1"/>
  <c r="OPS23" i="1" s="1"/>
  <c r="OPT23" i="1" s="1"/>
  <c r="OPU23" i="1" s="1"/>
  <c r="OPV23" i="1" s="1"/>
  <c r="OPW23" i="1" s="1"/>
  <c r="OPX23" i="1" s="1"/>
  <c r="OPY23" i="1" s="1"/>
  <c r="OPZ23" i="1" s="1"/>
  <c r="OQA23" i="1" s="1"/>
  <c r="OQB23" i="1" s="1"/>
  <c r="OQC23" i="1" s="1"/>
  <c r="OQD23" i="1" s="1"/>
  <c r="OQE23" i="1" s="1"/>
  <c r="OQF23" i="1" s="1"/>
  <c r="OQG23" i="1" s="1"/>
  <c r="OQH23" i="1" s="1"/>
  <c r="OQI23" i="1" s="1"/>
  <c r="OQJ23" i="1" s="1"/>
  <c r="OQK23" i="1" s="1"/>
  <c r="OQL23" i="1" s="1"/>
  <c r="OQM23" i="1" s="1"/>
  <c r="OQN23" i="1" s="1"/>
  <c r="OQO23" i="1" s="1"/>
  <c r="OQP23" i="1" s="1"/>
  <c r="OQQ23" i="1" s="1"/>
  <c r="OQR23" i="1" s="1"/>
  <c r="OQS23" i="1" s="1"/>
  <c r="OQT23" i="1" s="1"/>
  <c r="OQU23" i="1" s="1"/>
  <c r="OQV23" i="1" s="1"/>
  <c r="OQW23" i="1" s="1"/>
  <c r="OQX23" i="1" s="1"/>
  <c r="OQY23" i="1" s="1"/>
  <c r="OQZ23" i="1" s="1"/>
  <c r="ORA23" i="1" s="1"/>
  <c r="ORB23" i="1" s="1"/>
  <c r="ORC23" i="1" s="1"/>
  <c r="ORD23" i="1" s="1"/>
  <c r="ORE23" i="1" s="1"/>
  <c r="ORF23" i="1" s="1"/>
  <c r="ORG23" i="1" s="1"/>
  <c r="ORH23" i="1" s="1"/>
  <c r="ORI23" i="1" s="1"/>
  <c r="ORJ23" i="1" s="1"/>
  <c r="ORK23" i="1" s="1"/>
  <c r="ORL23" i="1" s="1"/>
  <c r="ORM23" i="1" s="1"/>
  <c r="ORN23" i="1" s="1"/>
  <c r="ORO23" i="1" s="1"/>
  <c r="ORP23" i="1" s="1"/>
  <c r="ORQ23" i="1" s="1"/>
  <c r="ORR23" i="1" s="1"/>
  <c r="ORS23" i="1" s="1"/>
  <c r="ORT23" i="1" s="1"/>
  <c r="ORU23" i="1" s="1"/>
  <c r="ORV23" i="1" s="1"/>
  <c r="ORW23" i="1" s="1"/>
  <c r="ORX23" i="1" s="1"/>
  <c r="ORY23" i="1" s="1"/>
  <c r="ORZ23" i="1" s="1"/>
  <c r="OSA23" i="1" s="1"/>
  <c r="OSB23" i="1" s="1"/>
  <c r="OSC23" i="1" s="1"/>
  <c r="OSD23" i="1" s="1"/>
  <c r="OSE23" i="1" s="1"/>
  <c r="OSF23" i="1" s="1"/>
  <c r="OSG23" i="1" s="1"/>
  <c r="OSH23" i="1" s="1"/>
  <c r="OSI23" i="1" s="1"/>
  <c r="OSJ23" i="1" s="1"/>
  <c r="OSK23" i="1" s="1"/>
  <c r="OSL23" i="1" s="1"/>
  <c r="OSM23" i="1" s="1"/>
  <c r="OSN23" i="1" s="1"/>
  <c r="OSO23" i="1" s="1"/>
  <c r="OSP23" i="1" s="1"/>
  <c r="OSQ23" i="1" s="1"/>
  <c r="OSR23" i="1" s="1"/>
  <c r="OSS23" i="1" s="1"/>
  <c r="OST23" i="1" s="1"/>
  <c r="OSU23" i="1" s="1"/>
  <c r="OSV23" i="1" s="1"/>
  <c r="OSW23" i="1" s="1"/>
  <c r="OSX23" i="1" s="1"/>
  <c r="OSY23" i="1" s="1"/>
  <c r="OSZ23" i="1" s="1"/>
  <c r="OTA23" i="1" s="1"/>
  <c r="OTB23" i="1" s="1"/>
  <c r="OTC23" i="1" s="1"/>
  <c r="OTD23" i="1" s="1"/>
  <c r="OTE23" i="1" s="1"/>
  <c r="OTF23" i="1" s="1"/>
  <c r="OTG23" i="1" s="1"/>
  <c r="OTH23" i="1" s="1"/>
  <c r="OTI23" i="1" s="1"/>
  <c r="OTJ23" i="1" s="1"/>
  <c r="OTK23" i="1" s="1"/>
  <c r="OTL23" i="1" s="1"/>
  <c r="OTM23" i="1" s="1"/>
  <c r="OTN23" i="1" s="1"/>
  <c r="OTO23" i="1" s="1"/>
  <c r="OTP23" i="1" s="1"/>
  <c r="OTQ23" i="1" s="1"/>
  <c r="OTR23" i="1" s="1"/>
  <c r="OTS23" i="1" s="1"/>
  <c r="OTT23" i="1" s="1"/>
  <c r="OTU23" i="1" s="1"/>
  <c r="OTV23" i="1" s="1"/>
  <c r="OTW23" i="1" s="1"/>
  <c r="OTX23" i="1" s="1"/>
  <c r="OTY23" i="1" s="1"/>
  <c r="OTZ23" i="1" s="1"/>
  <c r="OUA23" i="1" s="1"/>
  <c r="OUB23" i="1" s="1"/>
  <c r="OUC23" i="1" s="1"/>
  <c r="OUD23" i="1" s="1"/>
  <c r="OUE23" i="1" s="1"/>
  <c r="OUF23" i="1" s="1"/>
  <c r="OUG23" i="1" s="1"/>
  <c r="OUH23" i="1" s="1"/>
  <c r="OUI23" i="1" s="1"/>
  <c r="OUJ23" i="1" s="1"/>
  <c r="OUK23" i="1" s="1"/>
  <c r="OUL23" i="1" s="1"/>
  <c r="OUM23" i="1" s="1"/>
  <c r="OUN23" i="1" s="1"/>
  <c r="OUO23" i="1" s="1"/>
  <c r="OUP23" i="1" s="1"/>
  <c r="OUQ23" i="1" s="1"/>
  <c r="OUR23" i="1" s="1"/>
  <c r="OUS23" i="1" s="1"/>
  <c r="OUT23" i="1" s="1"/>
  <c r="OUU23" i="1" s="1"/>
  <c r="OUV23" i="1" s="1"/>
  <c r="OUW23" i="1" s="1"/>
  <c r="OUX23" i="1" s="1"/>
  <c r="OUY23" i="1" s="1"/>
  <c r="OUZ23" i="1" s="1"/>
  <c r="OVA23" i="1" s="1"/>
  <c r="OVB23" i="1" s="1"/>
  <c r="OVC23" i="1" s="1"/>
  <c r="OVD23" i="1" s="1"/>
  <c r="OVE23" i="1" s="1"/>
  <c r="OVF23" i="1" s="1"/>
  <c r="OVG23" i="1" s="1"/>
  <c r="OVH23" i="1" s="1"/>
  <c r="OVI23" i="1" s="1"/>
  <c r="OVJ23" i="1" s="1"/>
  <c r="OVK23" i="1" s="1"/>
  <c r="OVL23" i="1" s="1"/>
  <c r="OVM23" i="1" s="1"/>
  <c r="OVN23" i="1" s="1"/>
  <c r="OVO23" i="1" s="1"/>
  <c r="OVP23" i="1" s="1"/>
  <c r="OVQ23" i="1" s="1"/>
  <c r="OVR23" i="1" s="1"/>
  <c r="OVS23" i="1" s="1"/>
  <c r="OVT23" i="1" s="1"/>
  <c r="OVU23" i="1" s="1"/>
  <c r="OVV23" i="1" s="1"/>
  <c r="OVW23" i="1" s="1"/>
  <c r="OVX23" i="1" s="1"/>
  <c r="OVY23" i="1" s="1"/>
  <c r="OVZ23" i="1" s="1"/>
  <c r="OWA23" i="1" s="1"/>
  <c r="OWB23" i="1" s="1"/>
  <c r="OWC23" i="1" s="1"/>
  <c r="OWD23" i="1" s="1"/>
  <c r="OWE23" i="1" s="1"/>
  <c r="OWF23" i="1" s="1"/>
  <c r="OWG23" i="1" s="1"/>
  <c r="OWH23" i="1" s="1"/>
  <c r="OWI23" i="1" s="1"/>
  <c r="OWJ23" i="1" s="1"/>
  <c r="OWK23" i="1" s="1"/>
  <c r="OWL23" i="1" s="1"/>
  <c r="OWM23" i="1" s="1"/>
  <c r="OWN23" i="1" s="1"/>
  <c r="OWO23" i="1" s="1"/>
  <c r="OWP23" i="1" s="1"/>
  <c r="OWQ23" i="1" s="1"/>
  <c r="OWR23" i="1" s="1"/>
  <c r="OWS23" i="1" s="1"/>
  <c r="OWT23" i="1" s="1"/>
  <c r="OWU23" i="1" s="1"/>
  <c r="OWV23" i="1" s="1"/>
  <c r="OWW23" i="1" s="1"/>
  <c r="OWX23" i="1" s="1"/>
  <c r="OWY23" i="1" s="1"/>
  <c r="OWZ23" i="1" s="1"/>
  <c r="OXA23" i="1" s="1"/>
  <c r="OXB23" i="1" s="1"/>
  <c r="OXC23" i="1" s="1"/>
  <c r="OXD23" i="1" s="1"/>
  <c r="OXE23" i="1" s="1"/>
  <c r="OXF23" i="1" s="1"/>
  <c r="OXG23" i="1" s="1"/>
  <c r="OXH23" i="1" s="1"/>
  <c r="OXI23" i="1" s="1"/>
  <c r="OXJ23" i="1" s="1"/>
  <c r="OXK23" i="1" s="1"/>
  <c r="OXL23" i="1" s="1"/>
  <c r="OXM23" i="1" s="1"/>
  <c r="OXN23" i="1" s="1"/>
  <c r="OXO23" i="1" s="1"/>
  <c r="OXP23" i="1" s="1"/>
  <c r="OXQ23" i="1" s="1"/>
  <c r="OXR23" i="1" s="1"/>
  <c r="OXS23" i="1" s="1"/>
  <c r="OXT23" i="1" s="1"/>
  <c r="OXU23" i="1" s="1"/>
  <c r="OXV23" i="1" s="1"/>
  <c r="OXW23" i="1" s="1"/>
  <c r="OXX23" i="1" s="1"/>
  <c r="OXY23" i="1" s="1"/>
  <c r="OXZ23" i="1" s="1"/>
  <c r="OYA23" i="1" s="1"/>
  <c r="OYB23" i="1" s="1"/>
  <c r="OYC23" i="1" s="1"/>
  <c r="OYD23" i="1" s="1"/>
  <c r="OYE23" i="1" s="1"/>
  <c r="OYF23" i="1" s="1"/>
  <c r="OYG23" i="1" s="1"/>
  <c r="OYH23" i="1" s="1"/>
  <c r="OYI23" i="1" s="1"/>
  <c r="OYJ23" i="1" s="1"/>
  <c r="OYK23" i="1" s="1"/>
  <c r="OYL23" i="1" s="1"/>
  <c r="OYM23" i="1" s="1"/>
  <c r="OYN23" i="1" s="1"/>
  <c r="OYO23" i="1" s="1"/>
  <c r="OYP23" i="1" s="1"/>
  <c r="OYQ23" i="1" s="1"/>
  <c r="OYR23" i="1" s="1"/>
  <c r="OYS23" i="1" s="1"/>
  <c r="OYT23" i="1" s="1"/>
  <c r="OYU23" i="1" s="1"/>
  <c r="OYV23" i="1" s="1"/>
  <c r="OYW23" i="1" s="1"/>
  <c r="OYX23" i="1" s="1"/>
  <c r="OYY23" i="1" s="1"/>
  <c r="OYZ23" i="1" s="1"/>
  <c r="OZA23" i="1" s="1"/>
  <c r="OZB23" i="1" s="1"/>
  <c r="OZC23" i="1" s="1"/>
  <c r="OZD23" i="1" s="1"/>
  <c r="OZE23" i="1" s="1"/>
  <c r="OZF23" i="1" s="1"/>
  <c r="OZG23" i="1" s="1"/>
  <c r="OZH23" i="1" s="1"/>
  <c r="OZI23" i="1" s="1"/>
  <c r="OZJ23" i="1" s="1"/>
  <c r="OZK23" i="1" s="1"/>
  <c r="OZL23" i="1" s="1"/>
  <c r="OZM23" i="1" s="1"/>
  <c r="OZN23" i="1" s="1"/>
  <c r="OZO23" i="1" s="1"/>
  <c r="OZP23" i="1" s="1"/>
  <c r="OZQ23" i="1" s="1"/>
  <c r="OZR23" i="1" s="1"/>
  <c r="OZS23" i="1" s="1"/>
  <c r="OZT23" i="1" s="1"/>
  <c r="OZU23" i="1" s="1"/>
  <c r="OZV23" i="1" s="1"/>
  <c r="OZW23" i="1" s="1"/>
  <c r="OZX23" i="1" s="1"/>
  <c r="OZY23" i="1" s="1"/>
  <c r="OZZ23" i="1" s="1"/>
  <c r="PAA23" i="1" s="1"/>
  <c r="PAB23" i="1" s="1"/>
  <c r="PAC23" i="1" s="1"/>
  <c r="PAD23" i="1" s="1"/>
  <c r="PAE23" i="1" s="1"/>
  <c r="PAF23" i="1" s="1"/>
  <c r="PAG23" i="1" s="1"/>
  <c r="PAH23" i="1" s="1"/>
  <c r="PAI23" i="1" s="1"/>
  <c r="PAJ23" i="1" s="1"/>
  <c r="PAK23" i="1" s="1"/>
  <c r="PAL23" i="1" s="1"/>
  <c r="PAM23" i="1" s="1"/>
  <c r="PAN23" i="1" s="1"/>
  <c r="PAO23" i="1" s="1"/>
  <c r="PAP23" i="1" s="1"/>
  <c r="PAQ23" i="1" s="1"/>
  <c r="PAR23" i="1" s="1"/>
  <c r="PAS23" i="1" s="1"/>
  <c r="PAT23" i="1" s="1"/>
  <c r="PAU23" i="1" s="1"/>
  <c r="PAV23" i="1" s="1"/>
  <c r="PAW23" i="1" s="1"/>
  <c r="PAX23" i="1" s="1"/>
  <c r="PAY23" i="1" s="1"/>
  <c r="PAZ23" i="1" s="1"/>
  <c r="PBA23" i="1" s="1"/>
  <c r="PBB23" i="1" s="1"/>
  <c r="PBC23" i="1" s="1"/>
  <c r="PBD23" i="1" s="1"/>
  <c r="PBE23" i="1" s="1"/>
  <c r="PBF23" i="1" s="1"/>
  <c r="PBG23" i="1" s="1"/>
  <c r="PBH23" i="1" s="1"/>
  <c r="PBI23" i="1" s="1"/>
  <c r="PBJ23" i="1" s="1"/>
  <c r="PBK23" i="1" s="1"/>
  <c r="PBL23" i="1" s="1"/>
  <c r="PBM23" i="1" s="1"/>
  <c r="PBN23" i="1" s="1"/>
  <c r="PBO23" i="1" s="1"/>
  <c r="PBP23" i="1" s="1"/>
  <c r="PBQ23" i="1" s="1"/>
  <c r="PBR23" i="1" s="1"/>
  <c r="PBS23" i="1" s="1"/>
  <c r="PBT23" i="1" s="1"/>
  <c r="PBU23" i="1" s="1"/>
  <c r="PBV23" i="1" s="1"/>
  <c r="PBW23" i="1" s="1"/>
  <c r="PBX23" i="1" s="1"/>
  <c r="PBY23" i="1" s="1"/>
  <c r="PBZ23" i="1" s="1"/>
  <c r="PCA23" i="1" s="1"/>
  <c r="PCB23" i="1" s="1"/>
  <c r="PCC23" i="1" s="1"/>
  <c r="PCD23" i="1" s="1"/>
  <c r="PCE23" i="1" s="1"/>
  <c r="PCF23" i="1" s="1"/>
  <c r="PCG23" i="1" s="1"/>
  <c r="PCH23" i="1" s="1"/>
  <c r="PCI23" i="1" s="1"/>
  <c r="PCJ23" i="1" s="1"/>
  <c r="PCK23" i="1" s="1"/>
  <c r="PCL23" i="1" s="1"/>
  <c r="PCM23" i="1" s="1"/>
  <c r="PCN23" i="1" s="1"/>
  <c r="PCO23" i="1" s="1"/>
  <c r="PCP23" i="1" s="1"/>
  <c r="PCQ23" i="1" s="1"/>
  <c r="PCR23" i="1" s="1"/>
  <c r="PCS23" i="1" s="1"/>
  <c r="PCT23" i="1" s="1"/>
  <c r="PCU23" i="1" s="1"/>
  <c r="PCV23" i="1" s="1"/>
  <c r="PCW23" i="1" s="1"/>
  <c r="PCX23" i="1" s="1"/>
  <c r="PCY23" i="1" s="1"/>
  <c r="PCZ23" i="1" s="1"/>
  <c r="PDA23" i="1" s="1"/>
  <c r="PDB23" i="1" s="1"/>
  <c r="PDC23" i="1" s="1"/>
  <c r="PDD23" i="1" s="1"/>
  <c r="PDE23" i="1" s="1"/>
  <c r="PDF23" i="1" s="1"/>
  <c r="PDG23" i="1" s="1"/>
  <c r="PDH23" i="1" s="1"/>
  <c r="PDI23" i="1" s="1"/>
  <c r="PDJ23" i="1" s="1"/>
  <c r="PDK23" i="1" s="1"/>
  <c r="PDL23" i="1" s="1"/>
  <c r="PDM23" i="1" s="1"/>
  <c r="PDN23" i="1" s="1"/>
  <c r="PDO23" i="1" s="1"/>
  <c r="PDP23" i="1" s="1"/>
  <c r="PDQ23" i="1" s="1"/>
  <c r="PDR23" i="1" s="1"/>
  <c r="PDS23" i="1" s="1"/>
  <c r="PDT23" i="1" s="1"/>
  <c r="PDU23" i="1" s="1"/>
  <c r="PDV23" i="1" s="1"/>
  <c r="PDW23" i="1" s="1"/>
  <c r="PDX23" i="1" s="1"/>
  <c r="PDY23" i="1" s="1"/>
  <c r="PDZ23" i="1" s="1"/>
  <c r="PEA23" i="1" s="1"/>
  <c r="PEB23" i="1" s="1"/>
  <c r="PEC23" i="1" s="1"/>
  <c r="PED23" i="1" s="1"/>
  <c r="PEE23" i="1" s="1"/>
  <c r="PEF23" i="1" s="1"/>
  <c r="PEG23" i="1" s="1"/>
  <c r="PEH23" i="1" s="1"/>
  <c r="PEI23" i="1" s="1"/>
  <c r="PEJ23" i="1" s="1"/>
  <c r="PEK23" i="1" s="1"/>
  <c r="PEL23" i="1" s="1"/>
  <c r="PEM23" i="1" s="1"/>
  <c r="PEN23" i="1" s="1"/>
  <c r="PEO23" i="1" s="1"/>
  <c r="PEP23" i="1" s="1"/>
  <c r="PEQ23" i="1" s="1"/>
  <c r="PER23" i="1" s="1"/>
  <c r="PES23" i="1" s="1"/>
  <c r="PET23" i="1" s="1"/>
  <c r="PEU23" i="1" s="1"/>
  <c r="PEV23" i="1" s="1"/>
  <c r="PEW23" i="1" s="1"/>
  <c r="PEX23" i="1" s="1"/>
  <c r="PEY23" i="1" s="1"/>
  <c r="PEZ23" i="1" s="1"/>
  <c r="PFA23" i="1" s="1"/>
  <c r="PFB23" i="1" s="1"/>
  <c r="PFC23" i="1" s="1"/>
  <c r="PFD23" i="1" s="1"/>
  <c r="PFE23" i="1" s="1"/>
  <c r="PFF23" i="1" s="1"/>
  <c r="PFG23" i="1" s="1"/>
  <c r="PFH23" i="1" s="1"/>
  <c r="PFI23" i="1" s="1"/>
  <c r="PFJ23" i="1" s="1"/>
  <c r="PFK23" i="1" s="1"/>
  <c r="PFL23" i="1" s="1"/>
  <c r="PFM23" i="1" s="1"/>
  <c r="PFN23" i="1" s="1"/>
  <c r="PFO23" i="1" s="1"/>
  <c r="PFP23" i="1" s="1"/>
  <c r="PFQ23" i="1" s="1"/>
  <c r="PFR23" i="1" s="1"/>
  <c r="PFS23" i="1" s="1"/>
  <c r="PFT23" i="1" s="1"/>
  <c r="PFU23" i="1" s="1"/>
  <c r="PFV23" i="1" s="1"/>
  <c r="PFW23" i="1" s="1"/>
  <c r="PFX23" i="1" s="1"/>
  <c r="PFY23" i="1" s="1"/>
  <c r="PFZ23" i="1" s="1"/>
  <c r="PGA23" i="1" s="1"/>
  <c r="PGB23" i="1" s="1"/>
  <c r="PGC23" i="1" s="1"/>
  <c r="PGD23" i="1" s="1"/>
  <c r="PGE23" i="1" s="1"/>
  <c r="PGF23" i="1" s="1"/>
  <c r="PGG23" i="1" s="1"/>
  <c r="PGH23" i="1" s="1"/>
  <c r="PGI23" i="1" s="1"/>
  <c r="PGJ23" i="1" s="1"/>
  <c r="PGK23" i="1" s="1"/>
  <c r="PGL23" i="1" s="1"/>
  <c r="PGM23" i="1" s="1"/>
  <c r="PGN23" i="1" s="1"/>
  <c r="PGO23" i="1" s="1"/>
  <c r="PGP23" i="1" s="1"/>
  <c r="PGQ23" i="1" s="1"/>
  <c r="PGR23" i="1" s="1"/>
  <c r="PGS23" i="1" s="1"/>
  <c r="PGT23" i="1" s="1"/>
  <c r="PGU23" i="1" s="1"/>
  <c r="PGV23" i="1" s="1"/>
  <c r="PGW23" i="1" s="1"/>
  <c r="PGX23" i="1" s="1"/>
  <c r="PGY23" i="1" s="1"/>
  <c r="PGZ23" i="1" s="1"/>
  <c r="PHA23" i="1" s="1"/>
  <c r="PHB23" i="1" s="1"/>
  <c r="PHC23" i="1" s="1"/>
  <c r="PHD23" i="1" s="1"/>
  <c r="PHE23" i="1" s="1"/>
  <c r="PHF23" i="1" s="1"/>
  <c r="PHG23" i="1" s="1"/>
  <c r="PHH23" i="1" s="1"/>
  <c r="PHI23" i="1" s="1"/>
  <c r="PHJ23" i="1" s="1"/>
  <c r="PHK23" i="1" s="1"/>
  <c r="PHL23" i="1" s="1"/>
  <c r="PHM23" i="1" s="1"/>
  <c r="PHN23" i="1" s="1"/>
  <c r="PHO23" i="1" s="1"/>
  <c r="PHP23" i="1" s="1"/>
  <c r="PHQ23" i="1" s="1"/>
  <c r="PHR23" i="1" s="1"/>
  <c r="PHS23" i="1" s="1"/>
  <c r="PHT23" i="1" s="1"/>
  <c r="PHU23" i="1" s="1"/>
  <c r="PHV23" i="1" s="1"/>
  <c r="PHW23" i="1" s="1"/>
  <c r="PHX23" i="1" s="1"/>
  <c r="PHY23" i="1" s="1"/>
  <c r="PHZ23" i="1" s="1"/>
  <c r="PIA23" i="1" s="1"/>
  <c r="PIB23" i="1" s="1"/>
  <c r="PIC23" i="1" s="1"/>
  <c r="PID23" i="1" s="1"/>
  <c r="PIE23" i="1" s="1"/>
  <c r="PIF23" i="1" s="1"/>
  <c r="PIG23" i="1" s="1"/>
  <c r="PIH23" i="1" s="1"/>
  <c r="PII23" i="1" s="1"/>
  <c r="PIJ23" i="1" s="1"/>
  <c r="PIK23" i="1" s="1"/>
  <c r="PIL23" i="1" s="1"/>
  <c r="PIM23" i="1" s="1"/>
  <c r="PIN23" i="1" s="1"/>
  <c r="PIO23" i="1" s="1"/>
  <c r="PIP23" i="1" s="1"/>
  <c r="PIQ23" i="1" s="1"/>
  <c r="PIR23" i="1" s="1"/>
  <c r="PIS23" i="1" s="1"/>
  <c r="PIT23" i="1" s="1"/>
  <c r="PIU23" i="1" s="1"/>
  <c r="PIV23" i="1" s="1"/>
  <c r="PIW23" i="1" s="1"/>
  <c r="PIX23" i="1" s="1"/>
  <c r="PIY23" i="1" s="1"/>
  <c r="PIZ23" i="1" s="1"/>
  <c r="PJA23" i="1" s="1"/>
  <c r="PJB23" i="1" s="1"/>
  <c r="PJC23" i="1" s="1"/>
  <c r="PJD23" i="1" s="1"/>
  <c r="PJE23" i="1" s="1"/>
  <c r="PJF23" i="1" s="1"/>
  <c r="PJG23" i="1" s="1"/>
  <c r="PJH23" i="1" s="1"/>
  <c r="PJI23" i="1" s="1"/>
  <c r="PJJ23" i="1" s="1"/>
  <c r="PJK23" i="1" s="1"/>
  <c r="PJL23" i="1" s="1"/>
  <c r="PJM23" i="1" s="1"/>
  <c r="PJN23" i="1" s="1"/>
  <c r="PJO23" i="1" s="1"/>
  <c r="PJP23" i="1" s="1"/>
  <c r="PJQ23" i="1" s="1"/>
  <c r="PJR23" i="1" s="1"/>
  <c r="PJS23" i="1" s="1"/>
  <c r="PJT23" i="1" s="1"/>
  <c r="PJU23" i="1" s="1"/>
  <c r="PJV23" i="1" s="1"/>
  <c r="PJW23" i="1" s="1"/>
  <c r="PJX23" i="1" s="1"/>
  <c r="PJY23" i="1" s="1"/>
  <c r="PJZ23" i="1" s="1"/>
  <c r="PKA23" i="1" s="1"/>
  <c r="PKB23" i="1" s="1"/>
  <c r="PKC23" i="1" s="1"/>
  <c r="PKD23" i="1" s="1"/>
  <c r="PKE23" i="1" s="1"/>
  <c r="PKF23" i="1" s="1"/>
  <c r="PKG23" i="1" s="1"/>
  <c r="PKH23" i="1" s="1"/>
  <c r="PKI23" i="1" s="1"/>
  <c r="PKJ23" i="1" s="1"/>
  <c r="PKK23" i="1" s="1"/>
  <c r="PKL23" i="1" s="1"/>
  <c r="PKM23" i="1" s="1"/>
  <c r="PKN23" i="1" s="1"/>
  <c r="PKO23" i="1" s="1"/>
  <c r="PKP23" i="1" s="1"/>
  <c r="PKQ23" i="1" s="1"/>
  <c r="PKR23" i="1" s="1"/>
  <c r="PKS23" i="1" s="1"/>
  <c r="PKT23" i="1" s="1"/>
  <c r="PKU23" i="1" s="1"/>
  <c r="PKV23" i="1" s="1"/>
  <c r="PKW23" i="1" s="1"/>
  <c r="PKX23" i="1" s="1"/>
  <c r="PKY23" i="1" s="1"/>
  <c r="PKZ23" i="1" s="1"/>
  <c r="PLA23" i="1" s="1"/>
  <c r="PLB23" i="1" s="1"/>
  <c r="PLC23" i="1" s="1"/>
  <c r="PLD23" i="1" s="1"/>
  <c r="PLE23" i="1" s="1"/>
  <c r="PLF23" i="1" s="1"/>
  <c r="PLG23" i="1" s="1"/>
  <c r="PLH23" i="1" s="1"/>
  <c r="PLI23" i="1" s="1"/>
  <c r="PLJ23" i="1" s="1"/>
  <c r="PLK23" i="1" s="1"/>
  <c r="PLL23" i="1" s="1"/>
  <c r="PLM23" i="1" s="1"/>
  <c r="PLN23" i="1" s="1"/>
  <c r="PLO23" i="1" s="1"/>
  <c r="PLP23" i="1" s="1"/>
  <c r="PLQ23" i="1" s="1"/>
  <c r="PLR23" i="1" s="1"/>
  <c r="PLS23" i="1" s="1"/>
  <c r="PLT23" i="1" s="1"/>
  <c r="PLU23" i="1" s="1"/>
  <c r="PLV23" i="1" s="1"/>
  <c r="PLW23" i="1" s="1"/>
  <c r="PLX23" i="1" s="1"/>
  <c r="PLY23" i="1" s="1"/>
  <c r="PLZ23" i="1" s="1"/>
  <c r="PMA23" i="1" s="1"/>
  <c r="PMB23" i="1" s="1"/>
  <c r="PMC23" i="1" s="1"/>
  <c r="PMD23" i="1" s="1"/>
  <c r="PME23" i="1" s="1"/>
  <c r="PMF23" i="1" s="1"/>
  <c r="PMG23" i="1" s="1"/>
  <c r="PMH23" i="1" s="1"/>
  <c r="PMI23" i="1" s="1"/>
  <c r="PMJ23" i="1" s="1"/>
  <c r="PMK23" i="1" s="1"/>
  <c r="PML23" i="1" s="1"/>
  <c r="PMM23" i="1" s="1"/>
  <c r="PMN23" i="1" s="1"/>
  <c r="PMO23" i="1" s="1"/>
  <c r="PMP23" i="1" s="1"/>
  <c r="PMQ23" i="1" s="1"/>
  <c r="PMR23" i="1" s="1"/>
  <c r="PMS23" i="1" s="1"/>
  <c r="PMT23" i="1" s="1"/>
  <c r="PMU23" i="1" s="1"/>
  <c r="PMV23" i="1" s="1"/>
  <c r="PMW23" i="1" s="1"/>
  <c r="PMX23" i="1" s="1"/>
  <c r="PMY23" i="1" s="1"/>
  <c r="PMZ23" i="1" s="1"/>
  <c r="PNA23" i="1" s="1"/>
  <c r="PNB23" i="1" s="1"/>
  <c r="PNC23" i="1" s="1"/>
  <c r="PND23" i="1" s="1"/>
  <c r="PNE23" i="1" s="1"/>
  <c r="PNF23" i="1" s="1"/>
  <c r="PNG23" i="1" s="1"/>
  <c r="PNH23" i="1" s="1"/>
  <c r="PNI23" i="1" s="1"/>
  <c r="PNJ23" i="1" s="1"/>
  <c r="PNK23" i="1" s="1"/>
  <c r="PNL23" i="1" s="1"/>
  <c r="PNM23" i="1" s="1"/>
  <c r="PNN23" i="1" s="1"/>
  <c r="PNO23" i="1" s="1"/>
  <c r="PNP23" i="1" s="1"/>
  <c r="PNQ23" i="1" s="1"/>
  <c r="PNR23" i="1" s="1"/>
  <c r="PNS23" i="1" s="1"/>
  <c r="PNT23" i="1" s="1"/>
  <c r="PNU23" i="1" s="1"/>
  <c r="PNV23" i="1" s="1"/>
  <c r="PNW23" i="1" s="1"/>
  <c r="PNX23" i="1" s="1"/>
  <c r="PNY23" i="1" s="1"/>
  <c r="PNZ23" i="1" s="1"/>
  <c r="POA23" i="1" s="1"/>
  <c r="POB23" i="1" s="1"/>
  <c r="POC23" i="1" s="1"/>
  <c r="POD23" i="1" s="1"/>
  <c r="POE23" i="1" s="1"/>
  <c r="POF23" i="1" s="1"/>
  <c r="POG23" i="1" s="1"/>
  <c r="POH23" i="1" s="1"/>
  <c r="POI23" i="1" s="1"/>
  <c r="POJ23" i="1" s="1"/>
  <c r="POK23" i="1" s="1"/>
  <c r="POL23" i="1" s="1"/>
  <c r="POM23" i="1" s="1"/>
  <c r="PON23" i="1" s="1"/>
  <c r="POO23" i="1" s="1"/>
  <c r="POP23" i="1" s="1"/>
  <c r="POQ23" i="1" s="1"/>
  <c r="POR23" i="1" s="1"/>
  <c r="POS23" i="1" s="1"/>
  <c r="POT23" i="1" s="1"/>
  <c r="POU23" i="1" s="1"/>
  <c r="POV23" i="1" s="1"/>
  <c r="POW23" i="1" s="1"/>
  <c r="POX23" i="1" s="1"/>
  <c r="POY23" i="1" s="1"/>
  <c r="POZ23" i="1" s="1"/>
  <c r="PPA23" i="1" s="1"/>
  <c r="PPB23" i="1" s="1"/>
  <c r="PPC23" i="1" s="1"/>
  <c r="PPD23" i="1" s="1"/>
  <c r="PPE23" i="1" s="1"/>
  <c r="PPF23" i="1" s="1"/>
  <c r="PPG23" i="1" s="1"/>
  <c r="PPH23" i="1" s="1"/>
  <c r="PPI23" i="1" s="1"/>
  <c r="PPJ23" i="1" s="1"/>
  <c r="PPK23" i="1" s="1"/>
  <c r="PPL23" i="1" s="1"/>
  <c r="PPM23" i="1" s="1"/>
  <c r="PPN23" i="1" s="1"/>
  <c r="PPO23" i="1" s="1"/>
  <c r="PPP23" i="1" s="1"/>
  <c r="PPQ23" i="1" s="1"/>
  <c r="PPR23" i="1" s="1"/>
  <c r="PPS23" i="1" s="1"/>
  <c r="PPT23" i="1" s="1"/>
  <c r="PPU23" i="1" s="1"/>
  <c r="PPV23" i="1" s="1"/>
  <c r="PPW23" i="1" s="1"/>
  <c r="PPX23" i="1" s="1"/>
  <c r="PPY23" i="1" s="1"/>
  <c r="PPZ23" i="1" s="1"/>
  <c r="PQA23" i="1" s="1"/>
  <c r="PQB23" i="1" s="1"/>
  <c r="PQC23" i="1" s="1"/>
  <c r="PQD23" i="1" s="1"/>
  <c r="PQE23" i="1" s="1"/>
  <c r="PQF23" i="1" s="1"/>
  <c r="PQG23" i="1" s="1"/>
  <c r="PQH23" i="1" s="1"/>
  <c r="PQI23" i="1" s="1"/>
  <c r="PQJ23" i="1" s="1"/>
  <c r="PQK23" i="1" s="1"/>
  <c r="PQL23" i="1" s="1"/>
  <c r="PQM23" i="1" s="1"/>
  <c r="PQN23" i="1" s="1"/>
  <c r="PQO23" i="1" s="1"/>
  <c r="PQP23" i="1" s="1"/>
  <c r="PQQ23" i="1" s="1"/>
  <c r="PQR23" i="1" s="1"/>
  <c r="PQS23" i="1" s="1"/>
  <c r="PQT23" i="1" s="1"/>
  <c r="PQU23" i="1" s="1"/>
  <c r="PQV23" i="1" s="1"/>
  <c r="PQW23" i="1" s="1"/>
  <c r="PQX23" i="1" s="1"/>
  <c r="PQY23" i="1" s="1"/>
  <c r="PQZ23" i="1" s="1"/>
  <c r="PRA23" i="1" s="1"/>
  <c r="PRB23" i="1" s="1"/>
  <c r="PRC23" i="1" s="1"/>
  <c r="PRD23" i="1" s="1"/>
  <c r="PRE23" i="1" s="1"/>
  <c r="PRF23" i="1" s="1"/>
  <c r="PRG23" i="1" s="1"/>
  <c r="PRH23" i="1" s="1"/>
  <c r="PRI23" i="1" s="1"/>
  <c r="PRJ23" i="1" s="1"/>
  <c r="PRK23" i="1" s="1"/>
  <c r="PRL23" i="1" s="1"/>
  <c r="PRM23" i="1" s="1"/>
  <c r="PRN23" i="1" s="1"/>
  <c r="PRO23" i="1" s="1"/>
  <c r="PRP23" i="1" s="1"/>
  <c r="PRQ23" i="1" s="1"/>
  <c r="PRR23" i="1" s="1"/>
  <c r="PRS23" i="1" s="1"/>
  <c r="PRT23" i="1" s="1"/>
  <c r="PRU23" i="1" s="1"/>
  <c r="PRV23" i="1" s="1"/>
  <c r="PRW23" i="1" s="1"/>
  <c r="PRX23" i="1" s="1"/>
  <c r="PRY23" i="1" s="1"/>
  <c r="PRZ23" i="1" s="1"/>
  <c r="PSA23" i="1" s="1"/>
  <c r="PSB23" i="1" s="1"/>
  <c r="PSC23" i="1" s="1"/>
  <c r="PSD23" i="1" s="1"/>
  <c r="PSE23" i="1" s="1"/>
  <c r="PSF23" i="1" s="1"/>
  <c r="PSG23" i="1" s="1"/>
  <c r="PSH23" i="1" s="1"/>
  <c r="PSI23" i="1" s="1"/>
  <c r="PSJ23" i="1" s="1"/>
  <c r="PSK23" i="1" s="1"/>
  <c r="PSL23" i="1" s="1"/>
  <c r="PSM23" i="1" s="1"/>
  <c r="PSN23" i="1" s="1"/>
  <c r="PSO23" i="1" s="1"/>
  <c r="PSP23" i="1" s="1"/>
  <c r="PSQ23" i="1" s="1"/>
  <c r="PSR23" i="1" s="1"/>
  <c r="PSS23" i="1" s="1"/>
  <c r="PST23" i="1" s="1"/>
  <c r="PSU23" i="1" s="1"/>
  <c r="PSV23" i="1" s="1"/>
  <c r="PSW23" i="1" s="1"/>
  <c r="PSX23" i="1" s="1"/>
  <c r="PSY23" i="1" s="1"/>
  <c r="PSZ23" i="1" s="1"/>
  <c r="PTA23" i="1" s="1"/>
  <c r="PTB23" i="1" s="1"/>
  <c r="PTC23" i="1" s="1"/>
  <c r="PTD23" i="1" s="1"/>
  <c r="PTE23" i="1" s="1"/>
  <c r="PTF23" i="1" s="1"/>
  <c r="PTG23" i="1" s="1"/>
  <c r="PTH23" i="1" s="1"/>
  <c r="PTI23" i="1" s="1"/>
  <c r="PTJ23" i="1" s="1"/>
  <c r="PTK23" i="1" s="1"/>
  <c r="PTL23" i="1" s="1"/>
  <c r="PTM23" i="1" s="1"/>
  <c r="PTN23" i="1" s="1"/>
  <c r="PTO23" i="1" s="1"/>
  <c r="PTP23" i="1" s="1"/>
  <c r="PTQ23" i="1" s="1"/>
  <c r="PTR23" i="1" s="1"/>
  <c r="PTS23" i="1" s="1"/>
  <c r="PTT23" i="1" s="1"/>
  <c r="PTU23" i="1" s="1"/>
  <c r="PTV23" i="1" s="1"/>
  <c r="PTW23" i="1" s="1"/>
  <c r="PTX23" i="1" s="1"/>
  <c r="PTY23" i="1" s="1"/>
  <c r="PTZ23" i="1" s="1"/>
  <c r="PUA23" i="1" s="1"/>
  <c r="PUB23" i="1" s="1"/>
  <c r="PUC23" i="1" s="1"/>
  <c r="PUD23" i="1" s="1"/>
  <c r="PUE23" i="1" s="1"/>
  <c r="PUF23" i="1" s="1"/>
  <c r="PUG23" i="1" s="1"/>
  <c r="PUH23" i="1" s="1"/>
  <c r="PUI23" i="1" s="1"/>
  <c r="PUJ23" i="1" s="1"/>
  <c r="PUK23" i="1" s="1"/>
  <c r="PUL23" i="1" s="1"/>
  <c r="PUM23" i="1" s="1"/>
  <c r="PUN23" i="1" s="1"/>
  <c r="PUO23" i="1" s="1"/>
  <c r="PUP23" i="1" s="1"/>
  <c r="PUQ23" i="1" s="1"/>
  <c r="PUR23" i="1" s="1"/>
  <c r="PUS23" i="1" s="1"/>
  <c r="PUT23" i="1" s="1"/>
  <c r="PUU23" i="1" s="1"/>
  <c r="PUV23" i="1" s="1"/>
  <c r="PUW23" i="1" s="1"/>
  <c r="PUX23" i="1" s="1"/>
  <c r="PUY23" i="1" s="1"/>
  <c r="PUZ23" i="1" s="1"/>
  <c r="PVA23" i="1" s="1"/>
  <c r="PVB23" i="1" s="1"/>
  <c r="PVC23" i="1" s="1"/>
  <c r="PVD23" i="1" s="1"/>
  <c r="PVE23" i="1" s="1"/>
  <c r="PVF23" i="1" s="1"/>
  <c r="PVG23" i="1" s="1"/>
  <c r="PVH23" i="1" s="1"/>
  <c r="PVI23" i="1" s="1"/>
  <c r="PVJ23" i="1" s="1"/>
  <c r="PVK23" i="1" s="1"/>
  <c r="PVL23" i="1" s="1"/>
  <c r="PVM23" i="1" s="1"/>
  <c r="PVN23" i="1" s="1"/>
  <c r="PVO23" i="1" s="1"/>
  <c r="PVP23" i="1" s="1"/>
  <c r="PVQ23" i="1" s="1"/>
  <c r="PVR23" i="1" s="1"/>
  <c r="PVS23" i="1" s="1"/>
  <c r="PVT23" i="1" s="1"/>
  <c r="PVU23" i="1" s="1"/>
  <c r="PVV23" i="1" s="1"/>
  <c r="PVW23" i="1" s="1"/>
  <c r="PVX23" i="1" s="1"/>
  <c r="PVY23" i="1" s="1"/>
  <c r="PVZ23" i="1" s="1"/>
  <c r="PWA23" i="1" s="1"/>
  <c r="PWB23" i="1" s="1"/>
  <c r="PWC23" i="1" s="1"/>
  <c r="PWD23" i="1" s="1"/>
  <c r="PWE23" i="1" s="1"/>
  <c r="PWF23" i="1" s="1"/>
  <c r="PWG23" i="1" s="1"/>
  <c r="PWH23" i="1" s="1"/>
  <c r="PWI23" i="1" s="1"/>
  <c r="PWJ23" i="1" s="1"/>
  <c r="PWK23" i="1" s="1"/>
  <c r="PWL23" i="1" s="1"/>
  <c r="PWM23" i="1" s="1"/>
  <c r="PWN23" i="1" s="1"/>
  <c r="PWO23" i="1" s="1"/>
  <c r="PWP23" i="1" s="1"/>
  <c r="PWQ23" i="1" s="1"/>
  <c r="PWR23" i="1" s="1"/>
  <c r="PWS23" i="1" s="1"/>
  <c r="PWT23" i="1" s="1"/>
  <c r="PWU23" i="1" s="1"/>
  <c r="PWV23" i="1" s="1"/>
  <c r="PWW23" i="1" s="1"/>
  <c r="PWX23" i="1" s="1"/>
  <c r="PWY23" i="1" s="1"/>
  <c r="PWZ23" i="1" s="1"/>
  <c r="PXA23" i="1" s="1"/>
  <c r="PXB23" i="1" s="1"/>
  <c r="PXC23" i="1" s="1"/>
  <c r="PXD23" i="1" s="1"/>
  <c r="PXE23" i="1" s="1"/>
  <c r="PXF23" i="1" s="1"/>
  <c r="PXG23" i="1" s="1"/>
  <c r="PXH23" i="1" s="1"/>
  <c r="PXI23" i="1" s="1"/>
  <c r="PXJ23" i="1" s="1"/>
  <c r="PXK23" i="1" s="1"/>
  <c r="PXL23" i="1" s="1"/>
  <c r="PXM23" i="1" s="1"/>
  <c r="PXN23" i="1" s="1"/>
  <c r="PXO23" i="1" s="1"/>
  <c r="PXP23" i="1" s="1"/>
  <c r="PXQ23" i="1" s="1"/>
  <c r="PXR23" i="1" s="1"/>
  <c r="PXS23" i="1" s="1"/>
  <c r="PXT23" i="1" s="1"/>
  <c r="PXU23" i="1" s="1"/>
  <c r="PXV23" i="1" s="1"/>
  <c r="PXW23" i="1" s="1"/>
  <c r="PXX23" i="1" s="1"/>
  <c r="PXY23" i="1" s="1"/>
  <c r="PXZ23" i="1" s="1"/>
  <c r="PYA23" i="1" s="1"/>
  <c r="PYB23" i="1" s="1"/>
  <c r="PYC23" i="1" s="1"/>
  <c r="PYD23" i="1" s="1"/>
  <c r="PYE23" i="1" s="1"/>
  <c r="PYF23" i="1" s="1"/>
  <c r="PYG23" i="1" s="1"/>
  <c r="PYH23" i="1" s="1"/>
  <c r="PYI23" i="1" s="1"/>
  <c r="PYJ23" i="1" s="1"/>
  <c r="PYK23" i="1" s="1"/>
  <c r="PYL23" i="1" s="1"/>
  <c r="PYM23" i="1" s="1"/>
  <c r="PYN23" i="1" s="1"/>
  <c r="PYO23" i="1" s="1"/>
  <c r="PYP23" i="1" s="1"/>
  <c r="PYQ23" i="1" s="1"/>
  <c r="PYR23" i="1" s="1"/>
  <c r="PYS23" i="1" s="1"/>
  <c r="PYT23" i="1" s="1"/>
  <c r="PYU23" i="1" s="1"/>
  <c r="PYV23" i="1" s="1"/>
  <c r="PYW23" i="1" s="1"/>
  <c r="PYX23" i="1" s="1"/>
  <c r="PYY23" i="1" s="1"/>
  <c r="PYZ23" i="1" s="1"/>
  <c r="PZA23" i="1" s="1"/>
  <c r="PZB23" i="1" s="1"/>
  <c r="PZC23" i="1" s="1"/>
  <c r="PZD23" i="1" s="1"/>
  <c r="PZE23" i="1" s="1"/>
  <c r="PZF23" i="1" s="1"/>
  <c r="PZG23" i="1" s="1"/>
  <c r="PZH23" i="1" s="1"/>
  <c r="PZI23" i="1" s="1"/>
  <c r="PZJ23" i="1" s="1"/>
  <c r="PZK23" i="1" s="1"/>
  <c r="PZL23" i="1" s="1"/>
  <c r="PZM23" i="1" s="1"/>
  <c r="PZN23" i="1" s="1"/>
  <c r="PZO23" i="1" s="1"/>
  <c r="PZP23" i="1" s="1"/>
  <c r="PZQ23" i="1" s="1"/>
  <c r="PZR23" i="1" s="1"/>
  <c r="PZS23" i="1" s="1"/>
  <c r="PZT23" i="1" s="1"/>
  <c r="PZU23" i="1" s="1"/>
  <c r="PZV23" i="1" s="1"/>
  <c r="PZW23" i="1" s="1"/>
  <c r="PZX23" i="1" s="1"/>
  <c r="PZY23" i="1" s="1"/>
  <c r="PZZ23" i="1" s="1"/>
  <c r="QAA23" i="1" s="1"/>
  <c r="QAB23" i="1" s="1"/>
  <c r="QAC23" i="1" s="1"/>
  <c r="QAD23" i="1" s="1"/>
  <c r="QAE23" i="1" s="1"/>
  <c r="QAF23" i="1" s="1"/>
  <c r="QAG23" i="1" s="1"/>
  <c r="QAH23" i="1" s="1"/>
  <c r="QAI23" i="1" s="1"/>
  <c r="QAJ23" i="1" s="1"/>
  <c r="QAK23" i="1" s="1"/>
  <c r="QAL23" i="1" s="1"/>
  <c r="QAM23" i="1" s="1"/>
  <c r="QAN23" i="1" s="1"/>
  <c r="QAO23" i="1" s="1"/>
  <c r="QAP23" i="1" s="1"/>
  <c r="QAQ23" i="1" s="1"/>
  <c r="QAR23" i="1" s="1"/>
  <c r="QAS23" i="1" s="1"/>
  <c r="QAT23" i="1" s="1"/>
  <c r="QAU23" i="1" s="1"/>
  <c r="QAV23" i="1" s="1"/>
  <c r="QAW23" i="1" s="1"/>
  <c r="QAX23" i="1" s="1"/>
  <c r="QAY23" i="1" s="1"/>
  <c r="QAZ23" i="1" s="1"/>
  <c r="QBA23" i="1" s="1"/>
  <c r="QBB23" i="1" s="1"/>
  <c r="QBC23" i="1" s="1"/>
  <c r="QBD23" i="1" s="1"/>
  <c r="QBE23" i="1" s="1"/>
  <c r="QBF23" i="1" s="1"/>
  <c r="QBG23" i="1" s="1"/>
  <c r="QBH23" i="1" s="1"/>
  <c r="QBI23" i="1" s="1"/>
  <c r="QBJ23" i="1" s="1"/>
  <c r="QBK23" i="1" s="1"/>
  <c r="QBL23" i="1" s="1"/>
  <c r="QBM23" i="1" s="1"/>
  <c r="QBN23" i="1" s="1"/>
  <c r="QBO23" i="1" s="1"/>
  <c r="QBP23" i="1" s="1"/>
  <c r="QBQ23" i="1" s="1"/>
  <c r="QBR23" i="1" s="1"/>
  <c r="QBS23" i="1" s="1"/>
  <c r="QBT23" i="1" s="1"/>
  <c r="QBU23" i="1" s="1"/>
  <c r="QBV23" i="1" s="1"/>
  <c r="QBW23" i="1" s="1"/>
  <c r="QBX23" i="1" s="1"/>
  <c r="QBY23" i="1" s="1"/>
  <c r="QBZ23" i="1" s="1"/>
  <c r="QCA23" i="1" s="1"/>
  <c r="QCB23" i="1" s="1"/>
  <c r="QCC23" i="1" s="1"/>
  <c r="QCD23" i="1" s="1"/>
  <c r="QCE23" i="1" s="1"/>
  <c r="QCF23" i="1" s="1"/>
  <c r="QCG23" i="1" s="1"/>
  <c r="QCH23" i="1" s="1"/>
  <c r="QCI23" i="1" s="1"/>
  <c r="QCJ23" i="1" s="1"/>
  <c r="QCK23" i="1" s="1"/>
  <c r="QCL23" i="1" s="1"/>
  <c r="QCM23" i="1" s="1"/>
  <c r="QCN23" i="1" s="1"/>
  <c r="QCO23" i="1" s="1"/>
  <c r="QCP23" i="1" s="1"/>
  <c r="QCQ23" i="1" s="1"/>
  <c r="QCR23" i="1" s="1"/>
  <c r="QCS23" i="1" s="1"/>
  <c r="QCT23" i="1" s="1"/>
  <c r="QCU23" i="1" s="1"/>
  <c r="QCV23" i="1" s="1"/>
  <c r="QCW23" i="1" s="1"/>
  <c r="QCX23" i="1" s="1"/>
  <c r="QCY23" i="1" s="1"/>
  <c r="QCZ23" i="1" s="1"/>
  <c r="QDA23" i="1" s="1"/>
  <c r="QDB23" i="1" s="1"/>
  <c r="QDC23" i="1" s="1"/>
  <c r="QDD23" i="1" s="1"/>
  <c r="QDE23" i="1" s="1"/>
  <c r="QDF23" i="1" s="1"/>
  <c r="QDG23" i="1" s="1"/>
  <c r="QDH23" i="1" s="1"/>
  <c r="QDI23" i="1" s="1"/>
  <c r="QDJ23" i="1" s="1"/>
  <c r="QDK23" i="1" s="1"/>
  <c r="QDL23" i="1" s="1"/>
  <c r="QDM23" i="1" s="1"/>
  <c r="QDN23" i="1" s="1"/>
  <c r="QDO23" i="1" s="1"/>
  <c r="QDP23" i="1" s="1"/>
  <c r="QDQ23" i="1" s="1"/>
  <c r="QDR23" i="1" s="1"/>
  <c r="QDS23" i="1" s="1"/>
  <c r="QDT23" i="1" s="1"/>
  <c r="QDU23" i="1" s="1"/>
  <c r="QDV23" i="1" s="1"/>
  <c r="QDW23" i="1" s="1"/>
  <c r="QDX23" i="1" s="1"/>
  <c r="QDY23" i="1" s="1"/>
  <c r="QDZ23" i="1" s="1"/>
  <c r="QEA23" i="1" s="1"/>
  <c r="QEB23" i="1" s="1"/>
  <c r="QEC23" i="1" s="1"/>
  <c r="QED23" i="1" s="1"/>
  <c r="QEE23" i="1" s="1"/>
  <c r="QEF23" i="1" s="1"/>
  <c r="QEG23" i="1" s="1"/>
  <c r="QEH23" i="1" s="1"/>
  <c r="QEI23" i="1" s="1"/>
  <c r="QEJ23" i="1" s="1"/>
  <c r="QEK23" i="1" s="1"/>
  <c r="QEL23" i="1" s="1"/>
  <c r="QEM23" i="1" s="1"/>
  <c r="QEN23" i="1" s="1"/>
  <c r="QEO23" i="1" s="1"/>
  <c r="QEP23" i="1" s="1"/>
  <c r="QEQ23" i="1" s="1"/>
  <c r="QER23" i="1" s="1"/>
  <c r="QES23" i="1" s="1"/>
  <c r="QET23" i="1" s="1"/>
  <c r="QEU23" i="1" s="1"/>
  <c r="QEV23" i="1" s="1"/>
  <c r="QEW23" i="1" s="1"/>
  <c r="QEX23" i="1" s="1"/>
  <c r="QEY23" i="1" s="1"/>
  <c r="QEZ23" i="1" s="1"/>
  <c r="QFA23" i="1" s="1"/>
  <c r="QFB23" i="1" s="1"/>
  <c r="QFC23" i="1" s="1"/>
  <c r="QFD23" i="1" s="1"/>
  <c r="QFE23" i="1" s="1"/>
  <c r="QFF23" i="1" s="1"/>
  <c r="QFG23" i="1" s="1"/>
  <c r="QFH23" i="1" s="1"/>
  <c r="QFI23" i="1" s="1"/>
  <c r="QFJ23" i="1" s="1"/>
  <c r="QFK23" i="1" s="1"/>
  <c r="QFL23" i="1" s="1"/>
  <c r="QFM23" i="1" s="1"/>
  <c r="QFN23" i="1" s="1"/>
  <c r="QFO23" i="1" s="1"/>
  <c r="QFP23" i="1" s="1"/>
  <c r="QFQ23" i="1" s="1"/>
  <c r="QFR23" i="1" s="1"/>
  <c r="QFS23" i="1" s="1"/>
  <c r="QFT23" i="1" s="1"/>
  <c r="QFU23" i="1" s="1"/>
  <c r="QFV23" i="1" s="1"/>
  <c r="QFW23" i="1" s="1"/>
  <c r="QFX23" i="1" s="1"/>
  <c r="QFY23" i="1" s="1"/>
  <c r="QFZ23" i="1" s="1"/>
  <c r="QGA23" i="1" s="1"/>
  <c r="QGB23" i="1" s="1"/>
  <c r="QGC23" i="1" s="1"/>
  <c r="QGD23" i="1" s="1"/>
  <c r="QGE23" i="1" s="1"/>
  <c r="QGF23" i="1" s="1"/>
  <c r="QGG23" i="1" s="1"/>
  <c r="QGH23" i="1" s="1"/>
  <c r="QGI23" i="1" s="1"/>
  <c r="QGJ23" i="1" s="1"/>
  <c r="QGK23" i="1" s="1"/>
  <c r="QGL23" i="1" s="1"/>
  <c r="QGM23" i="1" s="1"/>
  <c r="QGN23" i="1" s="1"/>
  <c r="QGO23" i="1" s="1"/>
  <c r="QGP23" i="1" s="1"/>
  <c r="QGQ23" i="1" s="1"/>
  <c r="QGR23" i="1" s="1"/>
  <c r="QGS23" i="1" s="1"/>
  <c r="QGT23" i="1" s="1"/>
  <c r="QGU23" i="1" s="1"/>
  <c r="QGV23" i="1" s="1"/>
  <c r="QGW23" i="1" s="1"/>
  <c r="QGX23" i="1" s="1"/>
  <c r="QGY23" i="1" s="1"/>
  <c r="QGZ23" i="1" s="1"/>
  <c r="QHA23" i="1" s="1"/>
  <c r="QHB23" i="1" s="1"/>
  <c r="QHC23" i="1" s="1"/>
  <c r="QHD23" i="1" s="1"/>
  <c r="QHE23" i="1" s="1"/>
  <c r="QHF23" i="1" s="1"/>
  <c r="QHG23" i="1" s="1"/>
  <c r="QHH23" i="1" s="1"/>
  <c r="QHI23" i="1" s="1"/>
  <c r="QHJ23" i="1" s="1"/>
  <c r="QHK23" i="1" s="1"/>
  <c r="QHL23" i="1" s="1"/>
  <c r="QHM23" i="1" s="1"/>
  <c r="QHN23" i="1" s="1"/>
  <c r="QHO23" i="1" s="1"/>
  <c r="QHP23" i="1" s="1"/>
  <c r="QHQ23" i="1" s="1"/>
  <c r="QHR23" i="1" s="1"/>
  <c r="QHS23" i="1" s="1"/>
  <c r="QHT23" i="1" s="1"/>
  <c r="QHU23" i="1" s="1"/>
  <c r="QHV23" i="1" s="1"/>
  <c r="QHW23" i="1" s="1"/>
  <c r="QHX23" i="1" s="1"/>
  <c r="QHY23" i="1" s="1"/>
  <c r="QHZ23" i="1" s="1"/>
  <c r="QIA23" i="1" s="1"/>
  <c r="QIB23" i="1" s="1"/>
  <c r="QIC23" i="1" s="1"/>
  <c r="QID23" i="1" s="1"/>
  <c r="QIE23" i="1" s="1"/>
  <c r="QIF23" i="1" s="1"/>
  <c r="QIG23" i="1" s="1"/>
  <c r="QIH23" i="1" s="1"/>
  <c r="QII23" i="1" s="1"/>
  <c r="QIJ23" i="1" s="1"/>
  <c r="QIK23" i="1" s="1"/>
  <c r="QIL23" i="1" s="1"/>
  <c r="QIM23" i="1" s="1"/>
  <c r="QIN23" i="1" s="1"/>
  <c r="QIO23" i="1" s="1"/>
  <c r="QIP23" i="1" s="1"/>
  <c r="QIQ23" i="1" s="1"/>
  <c r="QIR23" i="1" s="1"/>
  <c r="QIS23" i="1" s="1"/>
  <c r="QIT23" i="1" s="1"/>
  <c r="QIU23" i="1" s="1"/>
  <c r="QIV23" i="1" s="1"/>
  <c r="QIW23" i="1" s="1"/>
  <c r="QIX23" i="1" s="1"/>
  <c r="QIY23" i="1" s="1"/>
  <c r="QIZ23" i="1" s="1"/>
  <c r="QJA23" i="1" s="1"/>
  <c r="QJB23" i="1" s="1"/>
  <c r="QJC23" i="1" s="1"/>
  <c r="QJD23" i="1" s="1"/>
  <c r="QJE23" i="1" s="1"/>
  <c r="QJF23" i="1" s="1"/>
  <c r="QJG23" i="1" s="1"/>
  <c r="QJH23" i="1" s="1"/>
  <c r="QJI23" i="1" s="1"/>
  <c r="QJJ23" i="1" s="1"/>
  <c r="QJK23" i="1" s="1"/>
  <c r="QJL23" i="1" s="1"/>
  <c r="QJM23" i="1" s="1"/>
  <c r="QJN23" i="1" s="1"/>
  <c r="QJO23" i="1" s="1"/>
  <c r="QJP23" i="1" s="1"/>
  <c r="QJQ23" i="1" s="1"/>
  <c r="QJR23" i="1" s="1"/>
  <c r="QJS23" i="1" s="1"/>
  <c r="QJT23" i="1" s="1"/>
  <c r="QJU23" i="1" s="1"/>
  <c r="QJV23" i="1" s="1"/>
  <c r="QJW23" i="1" s="1"/>
  <c r="QJX23" i="1" s="1"/>
  <c r="QJY23" i="1" s="1"/>
  <c r="QJZ23" i="1" s="1"/>
  <c r="QKA23" i="1" s="1"/>
  <c r="QKB23" i="1" s="1"/>
  <c r="QKC23" i="1" s="1"/>
  <c r="QKD23" i="1" s="1"/>
  <c r="QKE23" i="1" s="1"/>
  <c r="QKF23" i="1" s="1"/>
  <c r="QKG23" i="1" s="1"/>
  <c r="QKH23" i="1" s="1"/>
  <c r="QKI23" i="1" s="1"/>
  <c r="QKJ23" i="1" s="1"/>
  <c r="QKK23" i="1" s="1"/>
  <c r="QKL23" i="1" s="1"/>
  <c r="QKM23" i="1" s="1"/>
  <c r="QKN23" i="1" s="1"/>
  <c r="QKO23" i="1" s="1"/>
  <c r="QKP23" i="1" s="1"/>
  <c r="QKQ23" i="1" s="1"/>
  <c r="QKR23" i="1" s="1"/>
  <c r="QKS23" i="1" s="1"/>
  <c r="QKT23" i="1" s="1"/>
  <c r="QKU23" i="1" s="1"/>
  <c r="QKV23" i="1" s="1"/>
  <c r="QKW23" i="1" s="1"/>
  <c r="QKX23" i="1" s="1"/>
  <c r="QKY23" i="1" s="1"/>
  <c r="QKZ23" i="1" s="1"/>
  <c r="QLA23" i="1" s="1"/>
  <c r="QLB23" i="1" s="1"/>
  <c r="QLC23" i="1" s="1"/>
  <c r="QLD23" i="1" s="1"/>
  <c r="QLE23" i="1" s="1"/>
  <c r="QLF23" i="1" s="1"/>
  <c r="QLG23" i="1" s="1"/>
  <c r="QLH23" i="1" s="1"/>
  <c r="QLI23" i="1" s="1"/>
  <c r="QLJ23" i="1" s="1"/>
  <c r="QLK23" i="1" s="1"/>
  <c r="QLL23" i="1" s="1"/>
  <c r="QLM23" i="1" s="1"/>
  <c r="QLN23" i="1" s="1"/>
  <c r="QLO23" i="1" s="1"/>
  <c r="QLP23" i="1" s="1"/>
  <c r="QLQ23" i="1" s="1"/>
  <c r="QLR23" i="1" s="1"/>
  <c r="QLS23" i="1" s="1"/>
  <c r="QLT23" i="1" s="1"/>
  <c r="QLU23" i="1" s="1"/>
  <c r="QLV23" i="1" s="1"/>
  <c r="QLW23" i="1" s="1"/>
  <c r="QLX23" i="1" s="1"/>
  <c r="QLY23" i="1" s="1"/>
  <c r="QLZ23" i="1" s="1"/>
  <c r="QMA23" i="1" s="1"/>
  <c r="QMB23" i="1" s="1"/>
  <c r="QMC23" i="1" s="1"/>
  <c r="QMD23" i="1" s="1"/>
  <c r="QME23" i="1" s="1"/>
  <c r="QMF23" i="1" s="1"/>
  <c r="QMG23" i="1" s="1"/>
  <c r="QMH23" i="1" s="1"/>
  <c r="QMI23" i="1" s="1"/>
  <c r="QMJ23" i="1" s="1"/>
  <c r="QMK23" i="1" s="1"/>
  <c r="QML23" i="1" s="1"/>
  <c r="QMM23" i="1" s="1"/>
  <c r="QMN23" i="1" s="1"/>
  <c r="QMO23" i="1" s="1"/>
  <c r="QMP23" i="1" s="1"/>
  <c r="QMQ23" i="1" s="1"/>
  <c r="QMR23" i="1" s="1"/>
  <c r="QMS23" i="1" s="1"/>
  <c r="QMT23" i="1" s="1"/>
  <c r="QMU23" i="1" s="1"/>
  <c r="QMV23" i="1" s="1"/>
  <c r="QMW23" i="1" s="1"/>
  <c r="QMX23" i="1" s="1"/>
  <c r="QMY23" i="1" s="1"/>
  <c r="QMZ23" i="1" s="1"/>
  <c r="QNA23" i="1" s="1"/>
  <c r="QNB23" i="1" s="1"/>
  <c r="QNC23" i="1" s="1"/>
  <c r="QND23" i="1" s="1"/>
  <c r="QNE23" i="1" s="1"/>
  <c r="QNF23" i="1" s="1"/>
  <c r="QNG23" i="1" s="1"/>
  <c r="QNH23" i="1" s="1"/>
  <c r="QNI23" i="1" s="1"/>
  <c r="QNJ23" i="1" s="1"/>
  <c r="QNK23" i="1" s="1"/>
  <c r="QNL23" i="1" s="1"/>
  <c r="QNM23" i="1" s="1"/>
  <c r="QNN23" i="1" s="1"/>
  <c r="QNO23" i="1" s="1"/>
  <c r="QNP23" i="1" s="1"/>
  <c r="QNQ23" i="1" s="1"/>
  <c r="QNR23" i="1" s="1"/>
  <c r="QNS23" i="1" s="1"/>
  <c r="QNT23" i="1" s="1"/>
  <c r="QNU23" i="1" s="1"/>
  <c r="QNV23" i="1" s="1"/>
  <c r="QNW23" i="1" s="1"/>
  <c r="QNX23" i="1" s="1"/>
  <c r="QNY23" i="1" s="1"/>
  <c r="QNZ23" i="1" s="1"/>
  <c r="QOA23" i="1" s="1"/>
  <c r="QOB23" i="1" s="1"/>
  <c r="QOC23" i="1" s="1"/>
  <c r="QOD23" i="1" s="1"/>
  <c r="QOE23" i="1" s="1"/>
  <c r="QOF23" i="1" s="1"/>
  <c r="QOG23" i="1" s="1"/>
  <c r="QOH23" i="1" s="1"/>
  <c r="QOI23" i="1" s="1"/>
  <c r="QOJ23" i="1" s="1"/>
  <c r="QOK23" i="1" s="1"/>
  <c r="QOL23" i="1" s="1"/>
  <c r="QOM23" i="1" s="1"/>
  <c r="QON23" i="1" s="1"/>
  <c r="QOO23" i="1" s="1"/>
  <c r="QOP23" i="1" s="1"/>
  <c r="QOQ23" i="1" s="1"/>
  <c r="QOR23" i="1" s="1"/>
  <c r="QOS23" i="1" s="1"/>
  <c r="QOT23" i="1" s="1"/>
  <c r="QOU23" i="1" s="1"/>
  <c r="QOV23" i="1" s="1"/>
  <c r="QOW23" i="1" s="1"/>
  <c r="QOX23" i="1" s="1"/>
  <c r="QOY23" i="1" s="1"/>
  <c r="QOZ23" i="1" s="1"/>
  <c r="QPA23" i="1" s="1"/>
  <c r="QPB23" i="1" s="1"/>
  <c r="QPC23" i="1" s="1"/>
  <c r="QPD23" i="1" s="1"/>
  <c r="QPE23" i="1" s="1"/>
  <c r="QPF23" i="1" s="1"/>
  <c r="QPG23" i="1" s="1"/>
  <c r="QPH23" i="1" s="1"/>
  <c r="QPI23" i="1" s="1"/>
  <c r="QPJ23" i="1" s="1"/>
  <c r="QPK23" i="1" s="1"/>
  <c r="QPL23" i="1" s="1"/>
  <c r="QPM23" i="1" s="1"/>
  <c r="QPN23" i="1" s="1"/>
  <c r="QPO23" i="1" s="1"/>
  <c r="QPP23" i="1" s="1"/>
  <c r="QPQ23" i="1" s="1"/>
  <c r="QPR23" i="1" s="1"/>
  <c r="QPS23" i="1" s="1"/>
  <c r="QPT23" i="1" s="1"/>
  <c r="QPU23" i="1" s="1"/>
  <c r="QPV23" i="1" s="1"/>
  <c r="QPW23" i="1" s="1"/>
  <c r="QPX23" i="1" s="1"/>
  <c r="QPY23" i="1" s="1"/>
  <c r="QPZ23" i="1" s="1"/>
  <c r="QQA23" i="1" s="1"/>
  <c r="QQB23" i="1" s="1"/>
  <c r="QQC23" i="1" s="1"/>
  <c r="QQD23" i="1" s="1"/>
  <c r="QQE23" i="1" s="1"/>
  <c r="QQF23" i="1" s="1"/>
  <c r="QQG23" i="1" s="1"/>
  <c r="QQH23" i="1" s="1"/>
  <c r="QQI23" i="1" s="1"/>
  <c r="QQJ23" i="1" s="1"/>
  <c r="QQK23" i="1" s="1"/>
  <c r="QQL23" i="1" s="1"/>
  <c r="QQM23" i="1" s="1"/>
  <c r="QQN23" i="1" s="1"/>
  <c r="QQO23" i="1" s="1"/>
  <c r="QQP23" i="1" s="1"/>
  <c r="QQQ23" i="1" s="1"/>
  <c r="QQR23" i="1" s="1"/>
  <c r="QQS23" i="1" s="1"/>
  <c r="QQT23" i="1" s="1"/>
  <c r="QQU23" i="1" s="1"/>
  <c r="QQV23" i="1" s="1"/>
  <c r="QQW23" i="1" s="1"/>
  <c r="QQX23" i="1" s="1"/>
  <c r="QQY23" i="1" s="1"/>
  <c r="QQZ23" i="1" s="1"/>
  <c r="QRA23" i="1" s="1"/>
  <c r="QRB23" i="1" s="1"/>
  <c r="QRC23" i="1" s="1"/>
  <c r="QRD23" i="1" s="1"/>
  <c r="QRE23" i="1" s="1"/>
  <c r="QRF23" i="1" s="1"/>
  <c r="QRG23" i="1" s="1"/>
  <c r="QRH23" i="1" s="1"/>
  <c r="QRI23" i="1" s="1"/>
  <c r="QRJ23" i="1" s="1"/>
  <c r="QRK23" i="1" s="1"/>
  <c r="QRL23" i="1" s="1"/>
  <c r="QRM23" i="1" s="1"/>
  <c r="QRN23" i="1" s="1"/>
  <c r="QRO23" i="1" s="1"/>
  <c r="QRP23" i="1" s="1"/>
  <c r="QRQ23" i="1" s="1"/>
  <c r="QRR23" i="1" s="1"/>
  <c r="QRS23" i="1" s="1"/>
  <c r="QRT23" i="1" s="1"/>
  <c r="QRU23" i="1" s="1"/>
  <c r="QRV23" i="1" s="1"/>
  <c r="QRW23" i="1" s="1"/>
  <c r="QRX23" i="1" s="1"/>
  <c r="QRY23" i="1" s="1"/>
  <c r="QRZ23" i="1" s="1"/>
  <c r="QSA23" i="1" s="1"/>
  <c r="QSB23" i="1" s="1"/>
  <c r="QSC23" i="1" s="1"/>
  <c r="QSD23" i="1" s="1"/>
  <c r="QSE23" i="1" s="1"/>
  <c r="QSF23" i="1" s="1"/>
  <c r="QSG23" i="1" s="1"/>
  <c r="QSH23" i="1" s="1"/>
  <c r="QSI23" i="1" s="1"/>
  <c r="QSJ23" i="1" s="1"/>
  <c r="QSK23" i="1" s="1"/>
  <c r="QSL23" i="1" s="1"/>
  <c r="QSM23" i="1" s="1"/>
  <c r="QSN23" i="1" s="1"/>
  <c r="QSO23" i="1" s="1"/>
  <c r="QSP23" i="1" s="1"/>
  <c r="QSQ23" i="1" s="1"/>
  <c r="QSR23" i="1" s="1"/>
  <c r="QSS23" i="1" s="1"/>
  <c r="QST23" i="1" s="1"/>
  <c r="QSU23" i="1" s="1"/>
  <c r="QSV23" i="1" s="1"/>
  <c r="QSW23" i="1" s="1"/>
  <c r="QSX23" i="1" s="1"/>
  <c r="QSY23" i="1" s="1"/>
  <c r="QSZ23" i="1" s="1"/>
  <c r="QTA23" i="1" s="1"/>
  <c r="QTB23" i="1" s="1"/>
  <c r="QTC23" i="1" s="1"/>
  <c r="QTD23" i="1" s="1"/>
  <c r="QTE23" i="1" s="1"/>
  <c r="QTF23" i="1" s="1"/>
  <c r="QTG23" i="1" s="1"/>
  <c r="QTH23" i="1" s="1"/>
  <c r="QTI23" i="1" s="1"/>
  <c r="QTJ23" i="1" s="1"/>
  <c r="QTK23" i="1" s="1"/>
  <c r="QTL23" i="1" s="1"/>
  <c r="QTM23" i="1" s="1"/>
  <c r="QTN23" i="1" s="1"/>
  <c r="QTO23" i="1" s="1"/>
  <c r="QTP23" i="1" s="1"/>
  <c r="QTQ23" i="1" s="1"/>
  <c r="QTR23" i="1" s="1"/>
  <c r="QTS23" i="1" s="1"/>
  <c r="QTT23" i="1" s="1"/>
  <c r="QTU23" i="1" s="1"/>
  <c r="QTV23" i="1" s="1"/>
  <c r="QTW23" i="1" s="1"/>
  <c r="QTX23" i="1" s="1"/>
  <c r="QTY23" i="1" s="1"/>
  <c r="QTZ23" i="1" s="1"/>
  <c r="QUA23" i="1" s="1"/>
  <c r="QUB23" i="1" s="1"/>
  <c r="QUC23" i="1" s="1"/>
  <c r="QUD23" i="1" s="1"/>
  <c r="QUE23" i="1" s="1"/>
  <c r="QUF23" i="1" s="1"/>
  <c r="QUG23" i="1" s="1"/>
  <c r="QUH23" i="1" s="1"/>
  <c r="QUI23" i="1" s="1"/>
  <c r="QUJ23" i="1" s="1"/>
  <c r="QUK23" i="1" s="1"/>
  <c r="QUL23" i="1" s="1"/>
  <c r="QUM23" i="1" s="1"/>
  <c r="QUN23" i="1" s="1"/>
  <c r="QUO23" i="1" s="1"/>
  <c r="QUP23" i="1" s="1"/>
  <c r="QUQ23" i="1" s="1"/>
  <c r="QUR23" i="1" s="1"/>
  <c r="QUS23" i="1" s="1"/>
  <c r="QUT23" i="1" s="1"/>
  <c r="QUU23" i="1" s="1"/>
  <c r="QUV23" i="1" s="1"/>
  <c r="QUW23" i="1" s="1"/>
  <c r="QUX23" i="1" s="1"/>
  <c r="QUY23" i="1" s="1"/>
  <c r="QUZ23" i="1" s="1"/>
  <c r="QVA23" i="1" s="1"/>
  <c r="QVB23" i="1" s="1"/>
  <c r="QVC23" i="1" s="1"/>
  <c r="QVD23" i="1" s="1"/>
  <c r="QVE23" i="1" s="1"/>
  <c r="QVF23" i="1" s="1"/>
  <c r="QVG23" i="1" s="1"/>
  <c r="QVH23" i="1" s="1"/>
  <c r="QVI23" i="1" s="1"/>
  <c r="QVJ23" i="1" s="1"/>
  <c r="QVK23" i="1" s="1"/>
  <c r="QVL23" i="1" s="1"/>
  <c r="QVM23" i="1" s="1"/>
  <c r="QVN23" i="1" s="1"/>
  <c r="QVO23" i="1" s="1"/>
  <c r="QVP23" i="1" s="1"/>
  <c r="QVQ23" i="1" s="1"/>
  <c r="QVR23" i="1" s="1"/>
  <c r="QVS23" i="1" s="1"/>
  <c r="QVT23" i="1" s="1"/>
  <c r="QVU23" i="1" s="1"/>
  <c r="QVV23" i="1" s="1"/>
  <c r="QVW23" i="1" s="1"/>
  <c r="QVX23" i="1" s="1"/>
  <c r="QVY23" i="1" s="1"/>
  <c r="QVZ23" i="1" s="1"/>
  <c r="QWA23" i="1" s="1"/>
  <c r="QWB23" i="1" s="1"/>
  <c r="QWC23" i="1" s="1"/>
  <c r="QWD23" i="1" s="1"/>
  <c r="QWE23" i="1" s="1"/>
  <c r="QWF23" i="1" s="1"/>
  <c r="QWG23" i="1" s="1"/>
  <c r="QWH23" i="1" s="1"/>
  <c r="QWI23" i="1" s="1"/>
  <c r="QWJ23" i="1" s="1"/>
  <c r="QWK23" i="1" s="1"/>
  <c r="QWL23" i="1" s="1"/>
  <c r="QWM23" i="1" s="1"/>
  <c r="QWN23" i="1" s="1"/>
  <c r="QWO23" i="1" s="1"/>
  <c r="QWP23" i="1" s="1"/>
  <c r="QWQ23" i="1" s="1"/>
  <c r="QWR23" i="1" s="1"/>
  <c r="QWS23" i="1" s="1"/>
  <c r="QWT23" i="1" s="1"/>
  <c r="QWU23" i="1" s="1"/>
  <c r="QWV23" i="1" s="1"/>
  <c r="QWW23" i="1" s="1"/>
  <c r="QWX23" i="1" s="1"/>
  <c r="QWY23" i="1" s="1"/>
  <c r="QWZ23" i="1" s="1"/>
  <c r="QXA23" i="1" s="1"/>
  <c r="QXB23" i="1" s="1"/>
  <c r="QXC23" i="1" s="1"/>
  <c r="QXD23" i="1" s="1"/>
  <c r="QXE23" i="1" s="1"/>
  <c r="QXF23" i="1" s="1"/>
  <c r="QXG23" i="1" s="1"/>
  <c r="QXH23" i="1" s="1"/>
  <c r="QXI23" i="1" s="1"/>
  <c r="QXJ23" i="1" s="1"/>
  <c r="QXK23" i="1" s="1"/>
  <c r="QXL23" i="1" s="1"/>
  <c r="QXM23" i="1" s="1"/>
  <c r="QXN23" i="1" s="1"/>
  <c r="QXO23" i="1" s="1"/>
  <c r="QXP23" i="1" s="1"/>
  <c r="QXQ23" i="1" s="1"/>
  <c r="QXR23" i="1" s="1"/>
  <c r="QXS23" i="1" s="1"/>
  <c r="QXT23" i="1" s="1"/>
  <c r="QXU23" i="1" s="1"/>
  <c r="QXV23" i="1" s="1"/>
  <c r="QXW23" i="1" s="1"/>
  <c r="QXX23" i="1" s="1"/>
  <c r="QXY23" i="1" s="1"/>
  <c r="QXZ23" i="1" s="1"/>
  <c r="QYA23" i="1" s="1"/>
  <c r="QYB23" i="1" s="1"/>
  <c r="QYC23" i="1" s="1"/>
  <c r="QYD23" i="1" s="1"/>
  <c r="QYE23" i="1" s="1"/>
  <c r="QYF23" i="1" s="1"/>
  <c r="QYG23" i="1" s="1"/>
  <c r="QYH23" i="1" s="1"/>
  <c r="QYI23" i="1" s="1"/>
  <c r="QYJ23" i="1" s="1"/>
  <c r="QYK23" i="1" s="1"/>
  <c r="QYL23" i="1" s="1"/>
  <c r="QYM23" i="1" s="1"/>
  <c r="QYN23" i="1" s="1"/>
  <c r="QYO23" i="1" s="1"/>
  <c r="QYP23" i="1" s="1"/>
  <c r="QYQ23" i="1" s="1"/>
  <c r="QYR23" i="1" s="1"/>
  <c r="QYS23" i="1" s="1"/>
  <c r="QYT23" i="1" s="1"/>
  <c r="QYU23" i="1" s="1"/>
  <c r="QYV23" i="1" s="1"/>
  <c r="QYW23" i="1" s="1"/>
  <c r="QYX23" i="1" s="1"/>
  <c r="QYY23" i="1" s="1"/>
  <c r="QYZ23" i="1" s="1"/>
  <c r="QZA23" i="1" s="1"/>
  <c r="QZB23" i="1" s="1"/>
  <c r="QZC23" i="1" s="1"/>
  <c r="QZD23" i="1" s="1"/>
  <c r="QZE23" i="1" s="1"/>
  <c r="QZF23" i="1" s="1"/>
  <c r="QZG23" i="1" s="1"/>
  <c r="QZH23" i="1" s="1"/>
  <c r="QZI23" i="1" s="1"/>
  <c r="QZJ23" i="1" s="1"/>
  <c r="QZK23" i="1" s="1"/>
  <c r="QZL23" i="1" s="1"/>
  <c r="QZM23" i="1" s="1"/>
  <c r="QZN23" i="1" s="1"/>
  <c r="QZO23" i="1" s="1"/>
  <c r="QZP23" i="1" s="1"/>
  <c r="QZQ23" i="1" s="1"/>
  <c r="QZR23" i="1" s="1"/>
  <c r="QZS23" i="1" s="1"/>
  <c r="QZT23" i="1" s="1"/>
  <c r="QZU23" i="1" s="1"/>
  <c r="QZV23" i="1" s="1"/>
  <c r="QZW23" i="1" s="1"/>
  <c r="QZX23" i="1" s="1"/>
  <c r="QZY23" i="1" s="1"/>
  <c r="QZZ23" i="1" s="1"/>
  <c r="RAA23" i="1" s="1"/>
  <c r="RAB23" i="1" s="1"/>
  <c r="RAC23" i="1" s="1"/>
  <c r="RAD23" i="1" s="1"/>
  <c r="RAE23" i="1" s="1"/>
  <c r="RAF23" i="1" s="1"/>
  <c r="RAG23" i="1" s="1"/>
  <c r="RAH23" i="1" s="1"/>
  <c r="RAI23" i="1" s="1"/>
  <c r="RAJ23" i="1" s="1"/>
  <c r="RAK23" i="1" s="1"/>
  <c r="RAL23" i="1" s="1"/>
  <c r="RAM23" i="1" s="1"/>
  <c r="RAN23" i="1" s="1"/>
  <c r="RAO23" i="1" s="1"/>
  <c r="RAP23" i="1" s="1"/>
  <c r="RAQ23" i="1" s="1"/>
  <c r="RAR23" i="1" s="1"/>
  <c r="RAS23" i="1" s="1"/>
  <c r="RAT23" i="1" s="1"/>
  <c r="RAU23" i="1" s="1"/>
  <c r="RAV23" i="1" s="1"/>
  <c r="RAW23" i="1" s="1"/>
  <c r="RAX23" i="1" s="1"/>
  <c r="RAY23" i="1" s="1"/>
  <c r="RAZ23" i="1" s="1"/>
  <c r="RBA23" i="1" s="1"/>
  <c r="RBB23" i="1" s="1"/>
  <c r="RBC23" i="1" s="1"/>
  <c r="RBD23" i="1" s="1"/>
  <c r="RBE23" i="1" s="1"/>
  <c r="RBF23" i="1" s="1"/>
  <c r="RBG23" i="1" s="1"/>
  <c r="RBH23" i="1" s="1"/>
  <c r="RBI23" i="1" s="1"/>
  <c r="RBJ23" i="1" s="1"/>
  <c r="RBK23" i="1" s="1"/>
  <c r="RBL23" i="1" s="1"/>
  <c r="RBM23" i="1" s="1"/>
  <c r="RBN23" i="1" s="1"/>
  <c r="RBO23" i="1" s="1"/>
  <c r="RBP23" i="1" s="1"/>
  <c r="RBQ23" i="1" s="1"/>
  <c r="RBR23" i="1" s="1"/>
  <c r="RBS23" i="1" s="1"/>
  <c r="RBT23" i="1" s="1"/>
  <c r="RBU23" i="1" s="1"/>
  <c r="RBV23" i="1" s="1"/>
  <c r="RBW23" i="1" s="1"/>
  <c r="RBX23" i="1" s="1"/>
  <c r="RBY23" i="1" s="1"/>
  <c r="RBZ23" i="1" s="1"/>
  <c r="RCA23" i="1" s="1"/>
  <c r="RCB23" i="1" s="1"/>
  <c r="RCC23" i="1" s="1"/>
  <c r="RCD23" i="1" s="1"/>
  <c r="RCE23" i="1" s="1"/>
  <c r="RCF23" i="1" s="1"/>
  <c r="RCG23" i="1" s="1"/>
  <c r="RCH23" i="1" s="1"/>
  <c r="RCI23" i="1" s="1"/>
  <c r="RCJ23" i="1" s="1"/>
  <c r="RCK23" i="1" s="1"/>
  <c r="RCL23" i="1" s="1"/>
  <c r="RCM23" i="1" s="1"/>
  <c r="RCN23" i="1" s="1"/>
  <c r="RCO23" i="1" s="1"/>
  <c r="RCP23" i="1" s="1"/>
  <c r="RCQ23" i="1" s="1"/>
  <c r="RCR23" i="1" s="1"/>
  <c r="RCS23" i="1" s="1"/>
  <c r="RCT23" i="1" s="1"/>
  <c r="RCU23" i="1" s="1"/>
  <c r="RCV23" i="1" s="1"/>
  <c r="RCW23" i="1" s="1"/>
  <c r="RCX23" i="1" s="1"/>
  <c r="RCY23" i="1" s="1"/>
  <c r="RCZ23" i="1" s="1"/>
  <c r="RDA23" i="1" s="1"/>
  <c r="RDB23" i="1" s="1"/>
  <c r="RDC23" i="1" s="1"/>
  <c r="RDD23" i="1" s="1"/>
  <c r="RDE23" i="1" s="1"/>
  <c r="RDF23" i="1" s="1"/>
  <c r="RDG23" i="1" s="1"/>
  <c r="RDH23" i="1" s="1"/>
  <c r="RDI23" i="1" s="1"/>
  <c r="RDJ23" i="1" s="1"/>
  <c r="RDK23" i="1" s="1"/>
  <c r="RDL23" i="1" s="1"/>
  <c r="RDM23" i="1" s="1"/>
  <c r="RDN23" i="1" s="1"/>
  <c r="RDO23" i="1" s="1"/>
  <c r="RDP23" i="1" s="1"/>
  <c r="RDQ23" i="1" s="1"/>
  <c r="RDR23" i="1" s="1"/>
  <c r="RDS23" i="1" s="1"/>
  <c r="RDT23" i="1" s="1"/>
  <c r="RDU23" i="1" s="1"/>
  <c r="RDV23" i="1" s="1"/>
  <c r="RDW23" i="1" s="1"/>
  <c r="RDX23" i="1" s="1"/>
  <c r="RDY23" i="1" s="1"/>
  <c r="RDZ23" i="1" s="1"/>
  <c r="REA23" i="1" s="1"/>
  <c r="REB23" i="1" s="1"/>
  <c r="REC23" i="1" s="1"/>
  <c r="RED23" i="1" s="1"/>
  <c r="REE23" i="1" s="1"/>
  <c r="REF23" i="1" s="1"/>
  <c r="REG23" i="1" s="1"/>
  <c r="REH23" i="1" s="1"/>
  <c r="REI23" i="1" s="1"/>
  <c r="REJ23" i="1" s="1"/>
  <c r="REK23" i="1" s="1"/>
  <c r="REL23" i="1" s="1"/>
  <c r="REM23" i="1" s="1"/>
  <c r="REN23" i="1" s="1"/>
  <c r="REO23" i="1" s="1"/>
  <c r="REP23" i="1" s="1"/>
  <c r="REQ23" i="1" s="1"/>
  <c r="RER23" i="1" s="1"/>
  <c r="RES23" i="1" s="1"/>
  <c r="RET23" i="1" s="1"/>
  <c r="REU23" i="1" s="1"/>
  <c r="REV23" i="1" s="1"/>
  <c r="REW23" i="1" s="1"/>
  <c r="REX23" i="1" s="1"/>
  <c r="REY23" i="1" s="1"/>
  <c r="REZ23" i="1" s="1"/>
  <c r="RFA23" i="1" s="1"/>
  <c r="RFB23" i="1" s="1"/>
  <c r="RFC23" i="1" s="1"/>
  <c r="RFD23" i="1" s="1"/>
  <c r="RFE23" i="1" s="1"/>
  <c r="RFF23" i="1" s="1"/>
  <c r="RFG23" i="1" s="1"/>
  <c r="RFH23" i="1" s="1"/>
  <c r="RFI23" i="1" s="1"/>
  <c r="RFJ23" i="1" s="1"/>
  <c r="RFK23" i="1" s="1"/>
  <c r="RFL23" i="1" s="1"/>
  <c r="RFM23" i="1" s="1"/>
  <c r="RFN23" i="1" s="1"/>
  <c r="RFO23" i="1" s="1"/>
  <c r="RFP23" i="1" s="1"/>
  <c r="RFQ23" i="1" s="1"/>
  <c r="RFR23" i="1" s="1"/>
  <c r="RFS23" i="1" s="1"/>
  <c r="RFT23" i="1" s="1"/>
  <c r="RFU23" i="1" s="1"/>
  <c r="RFV23" i="1" s="1"/>
  <c r="RFW23" i="1" s="1"/>
  <c r="RFX23" i="1" s="1"/>
  <c r="RFY23" i="1" s="1"/>
  <c r="RFZ23" i="1" s="1"/>
  <c r="RGA23" i="1" s="1"/>
  <c r="RGB23" i="1" s="1"/>
  <c r="RGC23" i="1" s="1"/>
  <c r="RGD23" i="1" s="1"/>
  <c r="RGE23" i="1" s="1"/>
  <c r="RGF23" i="1" s="1"/>
  <c r="RGG23" i="1" s="1"/>
  <c r="RGH23" i="1" s="1"/>
  <c r="RGI23" i="1" s="1"/>
  <c r="RGJ23" i="1" s="1"/>
  <c r="RGK23" i="1" s="1"/>
  <c r="RGL23" i="1" s="1"/>
  <c r="RGM23" i="1" s="1"/>
  <c r="RGN23" i="1" s="1"/>
  <c r="RGO23" i="1" s="1"/>
  <c r="RGP23" i="1" s="1"/>
  <c r="RGQ23" i="1" s="1"/>
  <c r="RGR23" i="1" s="1"/>
  <c r="RGS23" i="1" s="1"/>
  <c r="RGT23" i="1" s="1"/>
  <c r="RGU23" i="1" s="1"/>
  <c r="RGV23" i="1" s="1"/>
  <c r="RGW23" i="1" s="1"/>
  <c r="RGX23" i="1" s="1"/>
  <c r="RGY23" i="1" s="1"/>
  <c r="RGZ23" i="1" s="1"/>
  <c r="RHA23" i="1" s="1"/>
  <c r="RHB23" i="1" s="1"/>
  <c r="RHC23" i="1" s="1"/>
  <c r="RHD23" i="1" s="1"/>
  <c r="RHE23" i="1" s="1"/>
  <c r="RHF23" i="1" s="1"/>
  <c r="RHG23" i="1" s="1"/>
  <c r="RHH23" i="1" s="1"/>
  <c r="RHI23" i="1" s="1"/>
  <c r="RHJ23" i="1" s="1"/>
  <c r="RHK23" i="1" s="1"/>
  <c r="RHL23" i="1" s="1"/>
  <c r="RHM23" i="1" s="1"/>
  <c r="RHN23" i="1" s="1"/>
  <c r="RHO23" i="1" s="1"/>
  <c r="RHP23" i="1" s="1"/>
  <c r="RHQ23" i="1" s="1"/>
  <c r="RHR23" i="1" s="1"/>
  <c r="RHS23" i="1" s="1"/>
  <c r="RHT23" i="1" s="1"/>
  <c r="RHU23" i="1" s="1"/>
  <c r="RHV23" i="1" s="1"/>
  <c r="RHW23" i="1" s="1"/>
  <c r="RHX23" i="1" s="1"/>
  <c r="RHY23" i="1" s="1"/>
  <c r="RHZ23" i="1" s="1"/>
  <c r="RIA23" i="1" s="1"/>
  <c r="RIB23" i="1" s="1"/>
  <c r="RIC23" i="1" s="1"/>
  <c r="RID23" i="1" s="1"/>
  <c r="RIE23" i="1" s="1"/>
  <c r="RIF23" i="1" s="1"/>
  <c r="RIG23" i="1" s="1"/>
  <c r="RIH23" i="1" s="1"/>
  <c r="RII23" i="1" s="1"/>
  <c r="RIJ23" i="1" s="1"/>
  <c r="RIK23" i="1" s="1"/>
  <c r="RIL23" i="1" s="1"/>
  <c r="RIM23" i="1" s="1"/>
  <c r="RIN23" i="1" s="1"/>
  <c r="RIO23" i="1" s="1"/>
  <c r="RIP23" i="1" s="1"/>
  <c r="RIQ23" i="1" s="1"/>
  <c r="RIR23" i="1" s="1"/>
  <c r="RIS23" i="1" s="1"/>
  <c r="RIT23" i="1" s="1"/>
  <c r="RIU23" i="1" s="1"/>
  <c r="RIV23" i="1" s="1"/>
  <c r="RIW23" i="1" s="1"/>
  <c r="RIX23" i="1" s="1"/>
  <c r="RIY23" i="1" s="1"/>
  <c r="RIZ23" i="1" s="1"/>
  <c r="RJA23" i="1" s="1"/>
  <c r="RJB23" i="1" s="1"/>
  <c r="RJC23" i="1" s="1"/>
  <c r="RJD23" i="1" s="1"/>
  <c r="RJE23" i="1" s="1"/>
  <c r="RJF23" i="1" s="1"/>
  <c r="RJG23" i="1" s="1"/>
  <c r="RJH23" i="1" s="1"/>
  <c r="RJI23" i="1" s="1"/>
  <c r="RJJ23" i="1" s="1"/>
  <c r="RJK23" i="1" s="1"/>
  <c r="RJL23" i="1" s="1"/>
  <c r="RJM23" i="1" s="1"/>
  <c r="RJN23" i="1" s="1"/>
  <c r="RJO23" i="1" s="1"/>
  <c r="RJP23" i="1" s="1"/>
  <c r="RJQ23" i="1" s="1"/>
  <c r="RJR23" i="1" s="1"/>
  <c r="RJS23" i="1" s="1"/>
  <c r="RJT23" i="1" s="1"/>
  <c r="RJU23" i="1" s="1"/>
  <c r="RJV23" i="1" s="1"/>
  <c r="RJW23" i="1" s="1"/>
  <c r="RJX23" i="1" s="1"/>
  <c r="RJY23" i="1" s="1"/>
  <c r="RJZ23" i="1" s="1"/>
  <c r="RKA23" i="1" s="1"/>
  <c r="RKB23" i="1" s="1"/>
  <c r="RKC23" i="1" s="1"/>
  <c r="RKD23" i="1" s="1"/>
  <c r="RKE23" i="1" s="1"/>
  <c r="RKF23" i="1" s="1"/>
  <c r="RKG23" i="1" s="1"/>
  <c r="RKH23" i="1" s="1"/>
  <c r="RKI23" i="1" s="1"/>
  <c r="RKJ23" i="1" s="1"/>
  <c r="RKK23" i="1" s="1"/>
  <c r="RKL23" i="1" s="1"/>
  <c r="RKM23" i="1" s="1"/>
  <c r="RKN23" i="1" s="1"/>
  <c r="RKO23" i="1" s="1"/>
  <c r="RKP23" i="1" s="1"/>
  <c r="RKQ23" i="1" s="1"/>
  <c r="RKR23" i="1" s="1"/>
  <c r="RKS23" i="1" s="1"/>
  <c r="RKT23" i="1" s="1"/>
  <c r="RKU23" i="1" s="1"/>
  <c r="RKV23" i="1" s="1"/>
  <c r="RKW23" i="1" s="1"/>
  <c r="RKX23" i="1" s="1"/>
  <c r="RKY23" i="1" s="1"/>
  <c r="RKZ23" i="1" s="1"/>
  <c r="RLA23" i="1" s="1"/>
  <c r="RLB23" i="1" s="1"/>
  <c r="RLC23" i="1" s="1"/>
  <c r="RLD23" i="1" s="1"/>
  <c r="RLE23" i="1" s="1"/>
  <c r="RLF23" i="1" s="1"/>
  <c r="RLG23" i="1" s="1"/>
  <c r="RLH23" i="1" s="1"/>
  <c r="RLI23" i="1" s="1"/>
  <c r="RLJ23" i="1" s="1"/>
  <c r="RLK23" i="1" s="1"/>
  <c r="RLL23" i="1" s="1"/>
  <c r="RLM23" i="1" s="1"/>
  <c r="RLN23" i="1" s="1"/>
  <c r="RLO23" i="1" s="1"/>
  <c r="RLP23" i="1" s="1"/>
  <c r="RLQ23" i="1" s="1"/>
  <c r="RLR23" i="1" s="1"/>
  <c r="RLS23" i="1" s="1"/>
  <c r="RLT23" i="1" s="1"/>
  <c r="RLU23" i="1" s="1"/>
  <c r="RLV23" i="1" s="1"/>
  <c r="RLW23" i="1" s="1"/>
  <c r="RLX23" i="1" s="1"/>
  <c r="RLY23" i="1" s="1"/>
  <c r="RLZ23" i="1" s="1"/>
  <c r="RMA23" i="1" s="1"/>
  <c r="RMB23" i="1" s="1"/>
  <c r="RMC23" i="1" s="1"/>
  <c r="RMD23" i="1" s="1"/>
  <c r="RME23" i="1" s="1"/>
  <c r="RMF23" i="1" s="1"/>
  <c r="RMG23" i="1" s="1"/>
  <c r="RMH23" i="1" s="1"/>
  <c r="RMI23" i="1" s="1"/>
  <c r="RMJ23" i="1" s="1"/>
  <c r="RMK23" i="1" s="1"/>
  <c r="RML23" i="1" s="1"/>
  <c r="RMM23" i="1" s="1"/>
  <c r="RMN23" i="1" s="1"/>
  <c r="RMO23" i="1" s="1"/>
  <c r="RMP23" i="1" s="1"/>
  <c r="RMQ23" i="1" s="1"/>
  <c r="RMR23" i="1" s="1"/>
  <c r="RMS23" i="1" s="1"/>
  <c r="RMT23" i="1" s="1"/>
  <c r="RMU23" i="1" s="1"/>
  <c r="RMV23" i="1" s="1"/>
  <c r="RMW23" i="1" s="1"/>
  <c r="RMX23" i="1" s="1"/>
  <c r="RMY23" i="1" s="1"/>
  <c r="RMZ23" i="1" s="1"/>
  <c r="RNA23" i="1" s="1"/>
  <c r="RNB23" i="1" s="1"/>
  <c r="RNC23" i="1" s="1"/>
  <c r="RND23" i="1" s="1"/>
  <c r="RNE23" i="1" s="1"/>
  <c r="RNF23" i="1" s="1"/>
  <c r="RNG23" i="1" s="1"/>
  <c r="RNH23" i="1" s="1"/>
  <c r="RNI23" i="1" s="1"/>
  <c r="RNJ23" i="1" s="1"/>
  <c r="RNK23" i="1" s="1"/>
  <c r="RNL23" i="1" s="1"/>
  <c r="RNM23" i="1" s="1"/>
  <c r="RNN23" i="1" s="1"/>
  <c r="RNO23" i="1" s="1"/>
  <c r="RNP23" i="1" s="1"/>
  <c r="RNQ23" i="1" s="1"/>
  <c r="RNR23" i="1" s="1"/>
  <c r="RNS23" i="1" s="1"/>
  <c r="RNT23" i="1" s="1"/>
  <c r="RNU23" i="1" s="1"/>
  <c r="RNV23" i="1" s="1"/>
  <c r="RNW23" i="1" s="1"/>
  <c r="RNX23" i="1" s="1"/>
  <c r="RNY23" i="1" s="1"/>
  <c r="RNZ23" i="1" s="1"/>
  <c r="ROA23" i="1" s="1"/>
  <c r="ROB23" i="1" s="1"/>
  <c r="ROC23" i="1" s="1"/>
  <c r="ROD23" i="1" s="1"/>
  <c r="ROE23" i="1" s="1"/>
  <c r="ROF23" i="1" s="1"/>
  <c r="ROG23" i="1" s="1"/>
  <c r="ROH23" i="1" s="1"/>
  <c r="ROI23" i="1" s="1"/>
  <c r="ROJ23" i="1" s="1"/>
  <c r="ROK23" i="1" s="1"/>
  <c r="ROL23" i="1" s="1"/>
  <c r="ROM23" i="1" s="1"/>
  <c r="RON23" i="1" s="1"/>
  <c r="ROO23" i="1" s="1"/>
  <c r="ROP23" i="1" s="1"/>
  <c r="ROQ23" i="1" s="1"/>
  <c r="ROR23" i="1" s="1"/>
  <c r="ROS23" i="1" s="1"/>
  <c r="ROT23" i="1" s="1"/>
  <c r="ROU23" i="1" s="1"/>
  <c r="ROV23" i="1" s="1"/>
  <c r="ROW23" i="1" s="1"/>
  <c r="ROX23" i="1" s="1"/>
  <c r="ROY23" i="1" s="1"/>
  <c r="ROZ23" i="1" s="1"/>
  <c r="RPA23" i="1" s="1"/>
  <c r="RPB23" i="1" s="1"/>
  <c r="RPC23" i="1" s="1"/>
  <c r="RPD23" i="1" s="1"/>
  <c r="RPE23" i="1" s="1"/>
  <c r="RPF23" i="1" s="1"/>
  <c r="RPG23" i="1" s="1"/>
  <c r="RPH23" i="1" s="1"/>
  <c r="RPI23" i="1" s="1"/>
  <c r="RPJ23" i="1" s="1"/>
  <c r="RPK23" i="1" s="1"/>
  <c r="RPL23" i="1" s="1"/>
  <c r="RPM23" i="1" s="1"/>
  <c r="RPN23" i="1" s="1"/>
  <c r="RPO23" i="1" s="1"/>
  <c r="RPP23" i="1" s="1"/>
  <c r="RPQ23" i="1" s="1"/>
  <c r="RPR23" i="1" s="1"/>
  <c r="RPS23" i="1" s="1"/>
  <c r="RPT23" i="1" s="1"/>
  <c r="RPU23" i="1" s="1"/>
  <c r="RPV23" i="1" s="1"/>
  <c r="RPW23" i="1" s="1"/>
  <c r="RPX23" i="1" s="1"/>
  <c r="RPY23" i="1" s="1"/>
  <c r="RPZ23" i="1" s="1"/>
  <c r="RQA23" i="1" s="1"/>
  <c r="RQB23" i="1" s="1"/>
  <c r="RQC23" i="1" s="1"/>
  <c r="RQD23" i="1" s="1"/>
  <c r="RQE23" i="1" s="1"/>
  <c r="RQF23" i="1" s="1"/>
  <c r="RQG23" i="1" s="1"/>
  <c r="RQH23" i="1" s="1"/>
  <c r="RQI23" i="1" s="1"/>
  <c r="RQJ23" i="1" s="1"/>
  <c r="RQK23" i="1" s="1"/>
  <c r="RQL23" i="1" s="1"/>
  <c r="RQM23" i="1" s="1"/>
  <c r="RQN23" i="1" s="1"/>
  <c r="RQO23" i="1" s="1"/>
  <c r="RQP23" i="1" s="1"/>
  <c r="RQQ23" i="1" s="1"/>
  <c r="RQR23" i="1" s="1"/>
  <c r="RQS23" i="1" s="1"/>
  <c r="RQT23" i="1" s="1"/>
  <c r="RQU23" i="1" s="1"/>
  <c r="RQV23" i="1" s="1"/>
  <c r="RQW23" i="1" s="1"/>
  <c r="RQX23" i="1" s="1"/>
  <c r="RQY23" i="1" s="1"/>
  <c r="RQZ23" i="1" s="1"/>
  <c r="RRA23" i="1" s="1"/>
  <c r="RRB23" i="1" s="1"/>
  <c r="RRC23" i="1" s="1"/>
  <c r="RRD23" i="1" s="1"/>
  <c r="RRE23" i="1" s="1"/>
  <c r="RRF23" i="1" s="1"/>
  <c r="RRG23" i="1" s="1"/>
  <c r="RRH23" i="1" s="1"/>
  <c r="RRI23" i="1" s="1"/>
  <c r="RRJ23" i="1" s="1"/>
  <c r="RRK23" i="1" s="1"/>
  <c r="RRL23" i="1" s="1"/>
  <c r="RRM23" i="1" s="1"/>
  <c r="RRN23" i="1" s="1"/>
  <c r="RRO23" i="1" s="1"/>
  <c r="RRP23" i="1" s="1"/>
  <c r="RRQ23" i="1" s="1"/>
  <c r="RRR23" i="1" s="1"/>
  <c r="RRS23" i="1" s="1"/>
  <c r="RRT23" i="1" s="1"/>
  <c r="RRU23" i="1" s="1"/>
  <c r="RRV23" i="1" s="1"/>
  <c r="RRW23" i="1" s="1"/>
  <c r="RRX23" i="1" s="1"/>
  <c r="RRY23" i="1" s="1"/>
  <c r="RRZ23" i="1" s="1"/>
  <c r="RSA23" i="1" s="1"/>
  <c r="RSB23" i="1" s="1"/>
  <c r="RSC23" i="1" s="1"/>
  <c r="RSD23" i="1" s="1"/>
  <c r="RSE23" i="1" s="1"/>
  <c r="RSF23" i="1" s="1"/>
  <c r="RSG23" i="1" s="1"/>
  <c r="RSH23" i="1" s="1"/>
  <c r="RSI23" i="1" s="1"/>
  <c r="RSJ23" i="1" s="1"/>
  <c r="RSK23" i="1" s="1"/>
  <c r="RSL23" i="1" s="1"/>
  <c r="RSM23" i="1" s="1"/>
  <c r="RSN23" i="1" s="1"/>
  <c r="RSO23" i="1" s="1"/>
  <c r="RSP23" i="1" s="1"/>
  <c r="RSQ23" i="1" s="1"/>
  <c r="RSR23" i="1" s="1"/>
  <c r="RSS23" i="1" s="1"/>
  <c r="RST23" i="1" s="1"/>
  <c r="RSU23" i="1" s="1"/>
  <c r="RSV23" i="1" s="1"/>
  <c r="RSW23" i="1" s="1"/>
  <c r="RSX23" i="1" s="1"/>
  <c r="RSY23" i="1" s="1"/>
  <c r="RSZ23" i="1" s="1"/>
  <c r="RTA23" i="1" s="1"/>
  <c r="RTB23" i="1" s="1"/>
  <c r="RTC23" i="1" s="1"/>
  <c r="RTD23" i="1" s="1"/>
  <c r="RTE23" i="1" s="1"/>
  <c r="RTF23" i="1" s="1"/>
  <c r="RTG23" i="1" s="1"/>
  <c r="RTH23" i="1" s="1"/>
  <c r="RTI23" i="1" s="1"/>
  <c r="RTJ23" i="1" s="1"/>
  <c r="RTK23" i="1" s="1"/>
  <c r="RTL23" i="1" s="1"/>
  <c r="RTM23" i="1" s="1"/>
  <c r="RTN23" i="1" s="1"/>
  <c r="RTO23" i="1" s="1"/>
  <c r="RTP23" i="1" s="1"/>
  <c r="RTQ23" i="1" s="1"/>
  <c r="RTR23" i="1" s="1"/>
  <c r="RTS23" i="1" s="1"/>
  <c r="RTT23" i="1" s="1"/>
  <c r="RTU23" i="1" s="1"/>
  <c r="RTV23" i="1" s="1"/>
  <c r="RTW23" i="1" s="1"/>
  <c r="RTX23" i="1" s="1"/>
  <c r="RTY23" i="1" s="1"/>
  <c r="RTZ23" i="1" s="1"/>
  <c r="RUA23" i="1" s="1"/>
  <c r="RUB23" i="1" s="1"/>
  <c r="RUC23" i="1" s="1"/>
  <c r="RUD23" i="1" s="1"/>
  <c r="RUE23" i="1" s="1"/>
  <c r="RUF23" i="1" s="1"/>
  <c r="RUG23" i="1" s="1"/>
  <c r="RUH23" i="1" s="1"/>
  <c r="RUI23" i="1" s="1"/>
  <c r="RUJ23" i="1" s="1"/>
  <c r="RUK23" i="1" s="1"/>
  <c r="RUL23" i="1" s="1"/>
  <c r="RUM23" i="1" s="1"/>
  <c r="RUN23" i="1" s="1"/>
  <c r="RUO23" i="1" s="1"/>
  <c r="RUP23" i="1" s="1"/>
  <c r="RUQ23" i="1" s="1"/>
  <c r="RUR23" i="1" s="1"/>
  <c r="RUS23" i="1" s="1"/>
  <c r="RUT23" i="1" s="1"/>
  <c r="RUU23" i="1" s="1"/>
  <c r="RUV23" i="1" s="1"/>
  <c r="RUW23" i="1" s="1"/>
  <c r="RUX23" i="1" s="1"/>
  <c r="RUY23" i="1" s="1"/>
  <c r="RUZ23" i="1" s="1"/>
  <c r="RVA23" i="1" s="1"/>
  <c r="RVB23" i="1" s="1"/>
  <c r="RVC23" i="1" s="1"/>
  <c r="RVD23" i="1" s="1"/>
  <c r="RVE23" i="1" s="1"/>
  <c r="RVF23" i="1" s="1"/>
  <c r="RVG23" i="1" s="1"/>
  <c r="RVH23" i="1" s="1"/>
  <c r="RVI23" i="1" s="1"/>
  <c r="RVJ23" i="1" s="1"/>
  <c r="RVK23" i="1" s="1"/>
  <c r="RVL23" i="1" s="1"/>
  <c r="RVM23" i="1" s="1"/>
  <c r="RVN23" i="1" s="1"/>
  <c r="RVO23" i="1" s="1"/>
  <c r="RVP23" i="1" s="1"/>
  <c r="RVQ23" i="1" s="1"/>
  <c r="RVR23" i="1" s="1"/>
  <c r="RVS23" i="1" s="1"/>
  <c r="RVT23" i="1" s="1"/>
  <c r="RVU23" i="1" s="1"/>
  <c r="RVV23" i="1" s="1"/>
  <c r="RVW23" i="1" s="1"/>
  <c r="RVX23" i="1" s="1"/>
  <c r="RVY23" i="1" s="1"/>
  <c r="RVZ23" i="1" s="1"/>
  <c r="RWA23" i="1" s="1"/>
  <c r="RWB23" i="1" s="1"/>
  <c r="RWC23" i="1" s="1"/>
  <c r="RWD23" i="1" s="1"/>
  <c r="RWE23" i="1" s="1"/>
  <c r="RWF23" i="1" s="1"/>
  <c r="RWG23" i="1" s="1"/>
  <c r="RWH23" i="1" s="1"/>
  <c r="RWI23" i="1" s="1"/>
  <c r="RWJ23" i="1" s="1"/>
  <c r="RWK23" i="1" s="1"/>
  <c r="RWL23" i="1" s="1"/>
  <c r="RWM23" i="1" s="1"/>
  <c r="RWN23" i="1" s="1"/>
  <c r="RWO23" i="1" s="1"/>
  <c r="RWP23" i="1" s="1"/>
  <c r="RWQ23" i="1" s="1"/>
  <c r="RWR23" i="1" s="1"/>
  <c r="RWS23" i="1" s="1"/>
  <c r="RWT23" i="1" s="1"/>
  <c r="RWU23" i="1" s="1"/>
  <c r="RWV23" i="1" s="1"/>
  <c r="RWW23" i="1" s="1"/>
  <c r="RWX23" i="1" s="1"/>
  <c r="RWY23" i="1" s="1"/>
  <c r="RWZ23" i="1" s="1"/>
  <c r="RXA23" i="1" s="1"/>
  <c r="RXB23" i="1" s="1"/>
  <c r="RXC23" i="1" s="1"/>
  <c r="RXD23" i="1" s="1"/>
  <c r="RXE23" i="1" s="1"/>
  <c r="RXF23" i="1" s="1"/>
  <c r="RXG23" i="1" s="1"/>
  <c r="RXH23" i="1" s="1"/>
  <c r="RXI23" i="1" s="1"/>
  <c r="RXJ23" i="1" s="1"/>
  <c r="RXK23" i="1" s="1"/>
  <c r="RXL23" i="1" s="1"/>
  <c r="RXM23" i="1" s="1"/>
  <c r="RXN23" i="1" s="1"/>
  <c r="RXO23" i="1" s="1"/>
  <c r="RXP23" i="1" s="1"/>
  <c r="RXQ23" i="1" s="1"/>
  <c r="RXR23" i="1" s="1"/>
  <c r="RXS23" i="1" s="1"/>
  <c r="RXT23" i="1" s="1"/>
  <c r="RXU23" i="1" s="1"/>
  <c r="RXV23" i="1" s="1"/>
  <c r="RXW23" i="1" s="1"/>
  <c r="RXX23" i="1" s="1"/>
  <c r="RXY23" i="1" s="1"/>
  <c r="RXZ23" i="1" s="1"/>
  <c r="RYA23" i="1" s="1"/>
  <c r="RYB23" i="1" s="1"/>
  <c r="RYC23" i="1" s="1"/>
  <c r="RYD23" i="1" s="1"/>
  <c r="RYE23" i="1" s="1"/>
  <c r="RYF23" i="1" s="1"/>
  <c r="RYG23" i="1" s="1"/>
  <c r="RYH23" i="1" s="1"/>
  <c r="RYI23" i="1" s="1"/>
  <c r="RYJ23" i="1" s="1"/>
  <c r="RYK23" i="1" s="1"/>
  <c r="RYL23" i="1" s="1"/>
  <c r="RYM23" i="1" s="1"/>
  <c r="RYN23" i="1" s="1"/>
  <c r="RYO23" i="1" s="1"/>
  <c r="RYP23" i="1" s="1"/>
  <c r="RYQ23" i="1" s="1"/>
  <c r="RYR23" i="1" s="1"/>
  <c r="RYS23" i="1" s="1"/>
  <c r="RYT23" i="1" s="1"/>
  <c r="RYU23" i="1" s="1"/>
  <c r="RYV23" i="1" s="1"/>
  <c r="RYW23" i="1" s="1"/>
  <c r="RYX23" i="1" s="1"/>
  <c r="RYY23" i="1" s="1"/>
  <c r="RYZ23" i="1" s="1"/>
  <c r="RZA23" i="1" s="1"/>
  <c r="RZB23" i="1" s="1"/>
  <c r="RZC23" i="1" s="1"/>
  <c r="RZD23" i="1" s="1"/>
  <c r="RZE23" i="1" s="1"/>
  <c r="RZF23" i="1" s="1"/>
  <c r="RZG23" i="1" s="1"/>
  <c r="RZH23" i="1" s="1"/>
  <c r="RZI23" i="1" s="1"/>
  <c r="RZJ23" i="1" s="1"/>
  <c r="RZK23" i="1" s="1"/>
  <c r="RZL23" i="1" s="1"/>
  <c r="RZM23" i="1" s="1"/>
  <c r="RZN23" i="1" s="1"/>
  <c r="RZO23" i="1" s="1"/>
  <c r="RZP23" i="1" s="1"/>
  <c r="RZQ23" i="1" s="1"/>
  <c r="RZR23" i="1" s="1"/>
  <c r="RZS23" i="1" s="1"/>
  <c r="RZT23" i="1" s="1"/>
  <c r="RZU23" i="1" s="1"/>
  <c r="RZV23" i="1" s="1"/>
  <c r="RZW23" i="1" s="1"/>
  <c r="RZX23" i="1" s="1"/>
  <c r="RZY23" i="1" s="1"/>
  <c r="RZZ23" i="1" s="1"/>
  <c r="SAA23" i="1" s="1"/>
  <c r="SAB23" i="1" s="1"/>
  <c r="SAC23" i="1" s="1"/>
  <c r="SAD23" i="1" s="1"/>
  <c r="SAE23" i="1" s="1"/>
  <c r="SAF23" i="1" s="1"/>
  <c r="SAG23" i="1" s="1"/>
  <c r="SAH23" i="1" s="1"/>
  <c r="SAI23" i="1" s="1"/>
  <c r="SAJ23" i="1" s="1"/>
  <c r="SAK23" i="1" s="1"/>
  <c r="SAL23" i="1" s="1"/>
  <c r="SAM23" i="1" s="1"/>
  <c r="SAN23" i="1" s="1"/>
  <c r="SAO23" i="1" s="1"/>
  <c r="SAP23" i="1" s="1"/>
  <c r="SAQ23" i="1" s="1"/>
  <c r="SAR23" i="1" s="1"/>
  <c r="SAS23" i="1" s="1"/>
  <c r="SAT23" i="1" s="1"/>
  <c r="SAU23" i="1" s="1"/>
  <c r="SAV23" i="1" s="1"/>
  <c r="SAW23" i="1" s="1"/>
  <c r="SAX23" i="1" s="1"/>
  <c r="SAY23" i="1" s="1"/>
  <c r="SAZ23" i="1" s="1"/>
  <c r="SBA23" i="1" s="1"/>
  <c r="SBB23" i="1" s="1"/>
  <c r="SBC23" i="1" s="1"/>
  <c r="SBD23" i="1" s="1"/>
  <c r="SBE23" i="1" s="1"/>
  <c r="SBF23" i="1" s="1"/>
  <c r="SBG23" i="1" s="1"/>
  <c r="SBH23" i="1" s="1"/>
  <c r="SBI23" i="1" s="1"/>
  <c r="SBJ23" i="1" s="1"/>
  <c r="SBK23" i="1" s="1"/>
  <c r="SBL23" i="1" s="1"/>
  <c r="SBM23" i="1" s="1"/>
  <c r="SBN23" i="1" s="1"/>
  <c r="SBO23" i="1" s="1"/>
  <c r="SBP23" i="1" s="1"/>
  <c r="SBQ23" i="1" s="1"/>
  <c r="SBR23" i="1" s="1"/>
  <c r="SBS23" i="1" s="1"/>
  <c r="SBT23" i="1" s="1"/>
  <c r="SBU23" i="1" s="1"/>
  <c r="SBV23" i="1" s="1"/>
  <c r="SBW23" i="1" s="1"/>
  <c r="SBX23" i="1" s="1"/>
  <c r="SBY23" i="1" s="1"/>
  <c r="SBZ23" i="1" s="1"/>
  <c r="SCA23" i="1" s="1"/>
  <c r="SCB23" i="1" s="1"/>
  <c r="SCC23" i="1" s="1"/>
  <c r="SCD23" i="1" s="1"/>
  <c r="SCE23" i="1" s="1"/>
  <c r="SCF23" i="1" s="1"/>
  <c r="SCG23" i="1" s="1"/>
  <c r="SCH23" i="1" s="1"/>
  <c r="SCI23" i="1" s="1"/>
  <c r="SCJ23" i="1" s="1"/>
  <c r="SCK23" i="1" s="1"/>
  <c r="SCL23" i="1" s="1"/>
  <c r="SCM23" i="1" s="1"/>
  <c r="SCN23" i="1" s="1"/>
  <c r="SCO23" i="1" s="1"/>
  <c r="SCP23" i="1" s="1"/>
  <c r="SCQ23" i="1" s="1"/>
  <c r="SCR23" i="1" s="1"/>
  <c r="SCS23" i="1" s="1"/>
  <c r="SCT23" i="1" s="1"/>
  <c r="SCU23" i="1" s="1"/>
  <c r="SCV23" i="1" s="1"/>
  <c r="SCW23" i="1" s="1"/>
  <c r="SCX23" i="1" s="1"/>
  <c r="SCY23" i="1" s="1"/>
  <c r="SCZ23" i="1" s="1"/>
  <c r="SDA23" i="1" s="1"/>
  <c r="SDB23" i="1" s="1"/>
  <c r="SDC23" i="1" s="1"/>
  <c r="SDD23" i="1" s="1"/>
  <c r="SDE23" i="1" s="1"/>
  <c r="SDF23" i="1" s="1"/>
  <c r="SDG23" i="1" s="1"/>
  <c r="SDH23" i="1" s="1"/>
  <c r="SDI23" i="1" s="1"/>
  <c r="SDJ23" i="1" s="1"/>
  <c r="SDK23" i="1" s="1"/>
  <c r="SDL23" i="1" s="1"/>
  <c r="SDM23" i="1" s="1"/>
  <c r="SDN23" i="1" s="1"/>
  <c r="SDO23" i="1" s="1"/>
  <c r="SDP23" i="1" s="1"/>
  <c r="SDQ23" i="1" s="1"/>
  <c r="SDR23" i="1" s="1"/>
  <c r="SDS23" i="1" s="1"/>
  <c r="SDT23" i="1" s="1"/>
  <c r="SDU23" i="1" s="1"/>
  <c r="SDV23" i="1" s="1"/>
  <c r="SDW23" i="1" s="1"/>
  <c r="SDX23" i="1" s="1"/>
  <c r="SDY23" i="1" s="1"/>
  <c r="SDZ23" i="1" s="1"/>
  <c r="SEA23" i="1" s="1"/>
  <c r="SEB23" i="1" s="1"/>
  <c r="SEC23" i="1" s="1"/>
  <c r="SED23" i="1" s="1"/>
  <c r="SEE23" i="1" s="1"/>
  <c r="SEF23" i="1" s="1"/>
  <c r="SEG23" i="1" s="1"/>
  <c r="SEH23" i="1" s="1"/>
  <c r="SEI23" i="1" s="1"/>
  <c r="SEJ23" i="1" s="1"/>
  <c r="SEK23" i="1" s="1"/>
  <c r="SEL23" i="1" s="1"/>
  <c r="SEM23" i="1" s="1"/>
  <c r="SEN23" i="1" s="1"/>
  <c r="SEO23" i="1" s="1"/>
  <c r="SEP23" i="1" s="1"/>
  <c r="SEQ23" i="1" s="1"/>
  <c r="SER23" i="1" s="1"/>
  <c r="SES23" i="1" s="1"/>
  <c r="SET23" i="1" s="1"/>
  <c r="SEU23" i="1" s="1"/>
  <c r="SEV23" i="1" s="1"/>
  <c r="SEW23" i="1" s="1"/>
  <c r="SEX23" i="1" s="1"/>
  <c r="SEY23" i="1" s="1"/>
  <c r="SEZ23" i="1" s="1"/>
  <c r="SFA23" i="1" s="1"/>
  <c r="SFB23" i="1" s="1"/>
  <c r="SFC23" i="1" s="1"/>
  <c r="SFD23" i="1" s="1"/>
  <c r="SFE23" i="1" s="1"/>
  <c r="SFF23" i="1" s="1"/>
  <c r="SFG23" i="1" s="1"/>
  <c r="SFH23" i="1" s="1"/>
  <c r="SFI23" i="1" s="1"/>
  <c r="SFJ23" i="1" s="1"/>
  <c r="SFK23" i="1" s="1"/>
  <c r="SFL23" i="1" s="1"/>
  <c r="SFM23" i="1" s="1"/>
  <c r="SFN23" i="1" s="1"/>
  <c r="SFO23" i="1" s="1"/>
  <c r="SFP23" i="1" s="1"/>
  <c r="SFQ23" i="1" s="1"/>
  <c r="SFR23" i="1" s="1"/>
  <c r="SFS23" i="1" s="1"/>
  <c r="SFT23" i="1" s="1"/>
  <c r="SFU23" i="1" s="1"/>
  <c r="SFV23" i="1" s="1"/>
  <c r="SFW23" i="1" s="1"/>
  <c r="SFX23" i="1" s="1"/>
  <c r="SFY23" i="1" s="1"/>
  <c r="SFZ23" i="1" s="1"/>
  <c r="SGA23" i="1" s="1"/>
  <c r="SGB23" i="1" s="1"/>
  <c r="SGC23" i="1" s="1"/>
  <c r="SGD23" i="1" s="1"/>
  <c r="SGE23" i="1" s="1"/>
  <c r="SGF23" i="1" s="1"/>
  <c r="SGG23" i="1" s="1"/>
  <c r="SGH23" i="1" s="1"/>
  <c r="SGI23" i="1" s="1"/>
  <c r="SGJ23" i="1" s="1"/>
  <c r="SGK23" i="1" s="1"/>
  <c r="SGL23" i="1" s="1"/>
  <c r="SGM23" i="1" s="1"/>
  <c r="SGN23" i="1" s="1"/>
  <c r="SGO23" i="1" s="1"/>
  <c r="SGP23" i="1" s="1"/>
  <c r="SGQ23" i="1" s="1"/>
  <c r="SGR23" i="1" s="1"/>
  <c r="SGS23" i="1" s="1"/>
  <c r="SGT23" i="1" s="1"/>
  <c r="SGU23" i="1" s="1"/>
  <c r="SGV23" i="1" s="1"/>
  <c r="SGW23" i="1" s="1"/>
  <c r="SGX23" i="1" s="1"/>
  <c r="SGY23" i="1" s="1"/>
  <c r="SGZ23" i="1" s="1"/>
  <c r="SHA23" i="1" s="1"/>
  <c r="SHB23" i="1" s="1"/>
  <c r="SHC23" i="1" s="1"/>
  <c r="SHD23" i="1" s="1"/>
  <c r="SHE23" i="1" s="1"/>
  <c r="SHF23" i="1" s="1"/>
  <c r="SHG23" i="1" s="1"/>
  <c r="SHH23" i="1" s="1"/>
  <c r="SHI23" i="1" s="1"/>
  <c r="SHJ23" i="1" s="1"/>
  <c r="SHK23" i="1" s="1"/>
  <c r="SHL23" i="1" s="1"/>
  <c r="SHM23" i="1" s="1"/>
  <c r="SHN23" i="1" s="1"/>
  <c r="SHO23" i="1" s="1"/>
  <c r="SHP23" i="1" s="1"/>
  <c r="SHQ23" i="1" s="1"/>
  <c r="SHR23" i="1" s="1"/>
  <c r="SHS23" i="1" s="1"/>
  <c r="SHT23" i="1" s="1"/>
  <c r="SHU23" i="1" s="1"/>
  <c r="SHV23" i="1" s="1"/>
  <c r="SHW23" i="1" s="1"/>
  <c r="SHX23" i="1" s="1"/>
  <c r="SHY23" i="1" s="1"/>
  <c r="SHZ23" i="1" s="1"/>
  <c r="SIA23" i="1" s="1"/>
  <c r="SIB23" i="1" s="1"/>
  <c r="SIC23" i="1" s="1"/>
  <c r="SID23" i="1" s="1"/>
  <c r="SIE23" i="1" s="1"/>
  <c r="SIF23" i="1" s="1"/>
  <c r="SIG23" i="1" s="1"/>
  <c r="SIH23" i="1" s="1"/>
  <c r="SII23" i="1" s="1"/>
  <c r="SIJ23" i="1" s="1"/>
  <c r="SIK23" i="1" s="1"/>
  <c r="SIL23" i="1" s="1"/>
  <c r="SIM23" i="1" s="1"/>
  <c r="SIN23" i="1" s="1"/>
  <c r="SIO23" i="1" s="1"/>
  <c r="SIP23" i="1" s="1"/>
  <c r="SIQ23" i="1" s="1"/>
  <c r="SIR23" i="1" s="1"/>
  <c r="SIS23" i="1" s="1"/>
  <c r="SIT23" i="1" s="1"/>
  <c r="SIU23" i="1" s="1"/>
  <c r="SIV23" i="1" s="1"/>
  <c r="SIW23" i="1" s="1"/>
  <c r="SIX23" i="1" s="1"/>
  <c r="SIY23" i="1" s="1"/>
  <c r="SIZ23" i="1" s="1"/>
  <c r="SJA23" i="1" s="1"/>
  <c r="SJB23" i="1" s="1"/>
  <c r="SJC23" i="1" s="1"/>
  <c r="SJD23" i="1" s="1"/>
  <c r="SJE23" i="1" s="1"/>
  <c r="SJF23" i="1" s="1"/>
  <c r="SJG23" i="1" s="1"/>
  <c r="SJH23" i="1" s="1"/>
  <c r="SJI23" i="1" s="1"/>
  <c r="SJJ23" i="1" s="1"/>
  <c r="SJK23" i="1" s="1"/>
  <c r="SJL23" i="1" s="1"/>
  <c r="SJM23" i="1" s="1"/>
  <c r="SJN23" i="1" s="1"/>
  <c r="SJO23" i="1" s="1"/>
  <c r="SJP23" i="1" s="1"/>
  <c r="SJQ23" i="1" s="1"/>
  <c r="SJR23" i="1" s="1"/>
  <c r="SJS23" i="1" s="1"/>
  <c r="SJT23" i="1" s="1"/>
  <c r="SJU23" i="1" s="1"/>
  <c r="SJV23" i="1" s="1"/>
  <c r="SJW23" i="1" s="1"/>
  <c r="SJX23" i="1" s="1"/>
  <c r="SJY23" i="1" s="1"/>
  <c r="SJZ23" i="1" s="1"/>
  <c r="SKA23" i="1" s="1"/>
  <c r="SKB23" i="1" s="1"/>
  <c r="SKC23" i="1" s="1"/>
  <c r="SKD23" i="1" s="1"/>
  <c r="SKE23" i="1" s="1"/>
  <c r="SKF23" i="1" s="1"/>
  <c r="SKG23" i="1" s="1"/>
  <c r="SKH23" i="1" s="1"/>
  <c r="SKI23" i="1" s="1"/>
  <c r="SKJ23" i="1" s="1"/>
  <c r="SKK23" i="1" s="1"/>
  <c r="SKL23" i="1" s="1"/>
  <c r="SKM23" i="1" s="1"/>
  <c r="SKN23" i="1" s="1"/>
  <c r="SKO23" i="1" s="1"/>
  <c r="SKP23" i="1" s="1"/>
  <c r="SKQ23" i="1" s="1"/>
  <c r="SKR23" i="1" s="1"/>
  <c r="SKS23" i="1" s="1"/>
  <c r="SKT23" i="1" s="1"/>
  <c r="SKU23" i="1" s="1"/>
  <c r="SKV23" i="1" s="1"/>
  <c r="SKW23" i="1" s="1"/>
  <c r="SKX23" i="1" s="1"/>
  <c r="SKY23" i="1" s="1"/>
  <c r="SKZ23" i="1" s="1"/>
  <c r="SLA23" i="1" s="1"/>
  <c r="SLB23" i="1" s="1"/>
  <c r="SLC23" i="1" s="1"/>
  <c r="SLD23" i="1" s="1"/>
  <c r="SLE23" i="1" s="1"/>
  <c r="SLF23" i="1" s="1"/>
  <c r="SLG23" i="1" s="1"/>
  <c r="SLH23" i="1" s="1"/>
  <c r="SLI23" i="1" s="1"/>
  <c r="SLJ23" i="1" s="1"/>
  <c r="SLK23" i="1" s="1"/>
  <c r="SLL23" i="1" s="1"/>
  <c r="SLM23" i="1" s="1"/>
  <c r="SLN23" i="1" s="1"/>
  <c r="SLO23" i="1" s="1"/>
  <c r="SLP23" i="1" s="1"/>
  <c r="SLQ23" i="1" s="1"/>
  <c r="SLR23" i="1" s="1"/>
  <c r="SLS23" i="1" s="1"/>
  <c r="SLT23" i="1" s="1"/>
  <c r="SLU23" i="1" s="1"/>
  <c r="SLV23" i="1" s="1"/>
  <c r="SLW23" i="1" s="1"/>
  <c r="SLX23" i="1" s="1"/>
  <c r="SLY23" i="1" s="1"/>
  <c r="SLZ23" i="1" s="1"/>
  <c r="SMA23" i="1" s="1"/>
  <c r="SMB23" i="1" s="1"/>
  <c r="SMC23" i="1" s="1"/>
  <c r="SMD23" i="1" s="1"/>
  <c r="SME23" i="1" s="1"/>
  <c r="SMF23" i="1" s="1"/>
  <c r="SMG23" i="1" s="1"/>
  <c r="SMH23" i="1" s="1"/>
  <c r="SMI23" i="1" s="1"/>
  <c r="SMJ23" i="1" s="1"/>
  <c r="SMK23" i="1" s="1"/>
  <c r="SML23" i="1" s="1"/>
  <c r="SMM23" i="1" s="1"/>
  <c r="SMN23" i="1" s="1"/>
  <c r="SMO23" i="1" s="1"/>
  <c r="SMP23" i="1" s="1"/>
  <c r="SMQ23" i="1" s="1"/>
  <c r="SMR23" i="1" s="1"/>
  <c r="SMS23" i="1" s="1"/>
  <c r="SMT23" i="1" s="1"/>
  <c r="SMU23" i="1" s="1"/>
  <c r="SMV23" i="1" s="1"/>
  <c r="SMW23" i="1" s="1"/>
  <c r="SMX23" i="1" s="1"/>
  <c r="SMY23" i="1" s="1"/>
  <c r="SMZ23" i="1" s="1"/>
  <c r="SNA23" i="1" s="1"/>
  <c r="SNB23" i="1" s="1"/>
  <c r="SNC23" i="1" s="1"/>
  <c r="SND23" i="1" s="1"/>
  <c r="SNE23" i="1" s="1"/>
  <c r="SNF23" i="1" s="1"/>
  <c r="SNG23" i="1" s="1"/>
  <c r="SNH23" i="1" s="1"/>
  <c r="SNI23" i="1" s="1"/>
  <c r="SNJ23" i="1" s="1"/>
  <c r="SNK23" i="1" s="1"/>
  <c r="SNL23" i="1" s="1"/>
  <c r="SNM23" i="1" s="1"/>
  <c r="SNN23" i="1" s="1"/>
  <c r="SNO23" i="1" s="1"/>
  <c r="SNP23" i="1" s="1"/>
  <c r="SNQ23" i="1" s="1"/>
  <c r="SNR23" i="1" s="1"/>
  <c r="SNS23" i="1" s="1"/>
  <c r="SNT23" i="1" s="1"/>
  <c r="SNU23" i="1" s="1"/>
  <c r="SNV23" i="1" s="1"/>
  <c r="SNW23" i="1" s="1"/>
  <c r="SNX23" i="1" s="1"/>
  <c r="SNY23" i="1" s="1"/>
  <c r="SNZ23" i="1" s="1"/>
  <c r="SOA23" i="1" s="1"/>
  <c r="SOB23" i="1" s="1"/>
  <c r="SOC23" i="1" s="1"/>
  <c r="SOD23" i="1" s="1"/>
  <c r="SOE23" i="1" s="1"/>
  <c r="SOF23" i="1" s="1"/>
  <c r="SOG23" i="1" s="1"/>
  <c r="SOH23" i="1" s="1"/>
  <c r="SOI23" i="1" s="1"/>
  <c r="SOJ23" i="1" s="1"/>
  <c r="SOK23" i="1" s="1"/>
  <c r="SOL23" i="1" s="1"/>
  <c r="SOM23" i="1" s="1"/>
  <c r="SON23" i="1" s="1"/>
  <c r="SOO23" i="1" s="1"/>
  <c r="SOP23" i="1" s="1"/>
  <c r="SOQ23" i="1" s="1"/>
  <c r="SOR23" i="1" s="1"/>
  <c r="SOS23" i="1" s="1"/>
  <c r="SOT23" i="1" s="1"/>
  <c r="SOU23" i="1" s="1"/>
  <c r="SOV23" i="1" s="1"/>
  <c r="SOW23" i="1" s="1"/>
  <c r="SOX23" i="1" s="1"/>
  <c r="SOY23" i="1" s="1"/>
  <c r="SOZ23" i="1" s="1"/>
  <c r="SPA23" i="1" s="1"/>
  <c r="SPB23" i="1" s="1"/>
  <c r="SPC23" i="1" s="1"/>
  <c r="SPD23" i="1" s="1"/>
  <c r="SPE23" i="1" s="1"/>
  <c r="SPF23" i="1" s="1"/>
  <c r="SPG23" i="1" s="1"/>
  <c r="SPH23" i="1" s="1"/>
  <c r="SPI23" i="1" s="1"/>
  <c r="SPJ23" i="1" s="1"/>
  <c r="SPK23" i="1" s="1"/>
  <c r="SPL23" i="1" s="1"/>
  <c r="SPM23" i="1" s="1"/>
  <c r="SPN23" i="1" s="1"/>
  <c r="SPO23" i="1" s="1"/>
  <c r="SPP23" i="1" s="1"/>
  <c r="SPQ23" i="1" s="1"/>
  <c r="SPR23" i="1" s="1"/>
  <c r="SPS23" i="1" s="1"/>
  <c r="SPT23" i="1" s="1"/>
  <c r="SPU23" i="1" s="1"/>
  <c r="SPV23" i="1" s="1"/>
  <c r="SPW23" i="1" s="1"/>
  <c r="SPX23" i="1" s="1"/>
  <c r="SPY23" i="1" s="1"/>
  <c r="SPZ23" i="1" s="1"/>
  <c r="SQA23" i="1" s="1"/>
  <c r="SQB23" i="1" s="1"/>
  <c r="SQC23" i="1" s="1"/>
  <c r="SQD23" i="1" s="1"/>
  <c r="SQE23" i="1" s="1"/>
  <c r="SQF23" i="1" s="1"/>
  <c r="SQG23" i="1" s="1"/>
  <c r="SQH23" i="1" s="1"/>
  <c r="SQI23" i="1" s="1"/>
  <c r="SQJ23" i="1" s="1"/>
  <c r="SQK23" i="1" s="1"/>
  <c r="SQL23" i="1" s="1"/>
  <c r="SQM23" i="1" s="1"/>
  <c r="SQN23" i="1" s="1"/>
  <c r="SQO23" i="1" s="1"/>
  <c r="SQP23" i="1" s="1"/>
  <c r="SQQ23" i="1" s="1"/>
  <c r="SQR23" i="1" s="1"/>
  <c r="SQS23" i="1" s="1"/>
  <c r="SQT23" i="1" s="1"/>
  <c r="SQU23" i="1" s="1"/>
  <c r="SQV23" i="1" s="1"/>
  <c r="SQW23" i="1" s="1"/>
  <c r="SQX23" i="1" s="1"/>
  <c r="SQY23" i="1" s="1"/>
  <c r="SQZ23" i="1" s="1"/>
  <c r="SRA23" i="1" s="1"/>
  <c r="SRB23" i="1" s="1"/>
  <c r="SRC23" i="1" s="1"/>
  <c r="SRD23" i="1" s="1"/>
  <c r="SRE23" i="1" s="1"/>
  <c r="SRF23" i="1" s="1"/>
  <c r="SRG23" i="1" s="1"/>
  <c r="SRH23" i="1" s="1"/>
  <c r="SRI23" i="1" s="1"/>
  <c r="SRJ23" i="1" s="1"/>
  <c r="SRK23" i="1" s="1"/>
  <c r="SRL23" i="1" s="1"/>
  <c r="SRM23" i="1" s="1"/>
  <c r="SRN23" i="1" s="1"/>
  <c r="SRO23" i="1" s="1"/>
  <c r="SRP23" i="1" s="1"/>
  <c r="SRQ23" i="1" s="1"/>
  <c r="SRR23" i="1" s="1"/>
  <c r="SRS23" i="1" s="1"/>
  <c r="SRT23" i="1" s="1"/>
  <c r="SRU23" i="1" s="1"/>
  <c r="SRV23" i="1" s="1"/>
  <c r="SRW23" i="1" s="1"/>
  <c r="SRX23" i="1" s="1"/>
  <c r="SRY23" i="1" s="1"/>
  <c r="SRZ23" i="1" s="1"/>
  <c r="SSA23" i="1" s="1"/>
  <c r="SSB23" i="1" s="1"/>
  <c r="SSC23" i="1" s="1"/>
  <c r="SSD23" i="1" s="1"/>
  <c r="SSE23" i="1" s="1"/>
  <c r="SSF23" i="1" s="1"/>
  <c r="SSG23" i="1" s="1"/>
  <c r="SSH23" i="1" s="1"/>
  <c r="SSI23" i="1" s="1"/>
  <c r="SSJ23" i="1" s="1"/>
  <c r="SSK23" i="1" s="1"/>
  <c r="SSL23" i="1" s="1"/>
  <c r="SSM23" i="1" s="1"/>
  <c r="SSN23" i="1" s="1"/>
  <c r="SSO23" i="1" s="1"/>
  <c r="SSP23" i="1" s="1"/>
  <c r="SSQ23" i="1" s="1"/>
  <c r="SSR23" i="1" s="1"/>
  <c r="SSS23" i="1" s="1"/>
  <c r="SST23" i="1" s="1"/>
  <c r="SSU23" i="1" s="1"/>
  <c r="SSV23" i="1" s="1"/>
  <c r="SSW23" i="1" s="1"/>
  <c r="SSX23" i="1" s="1"/>
  <c r="SSY23" i="1" s="1"/>
  <c r="SSZ23" i="1" s="1"/>
  <c r="STA23" i="1" s="1"/>
  <c r="STB23" i="1" s="1"/>
  <c r="STC23" i="1" s="1"/>
  <c r="STD23" i="1" s="1"/>
  <c r="STE23" i="1" s="1"/>
  <c r="STF23" i="1" s="1"/>
  <c r="STG23" i="1" s="1"/>
  <c r="STH23" i="1" s="1"/>
  <c r="STI23" i="1" s="1"/>
  <c r="STJ23" i="1" s="1"/>
  <c r="STK23" i="1" s="1"/>
  <c r="STL23" i="1" s="1"/>
  <c r="STM23" i="1" s="1"/>
  <c r="STN23" i="1" s="1"/>
  <c r="STO23" i="1" s="1"/>
  <c r="STP23" i="1" s="1"/>
  <c r="STQ23" i="1" s="1"/>
  <c r="STR23" i="1" s="1"/>
  <c r="STS23" i="1" s="1"/>
  <c r="STT23" i="1" s="1"/>
  <c r="STU23" i="1" s="1"/>
  <c r="STV23" i="1" s="1"/>
  <c r="STW23" i="1" s="1"/>
  <c r="STX23" i="1" s="1"/>
  <c r="STY23" i="1" s="1"/>
  <c r="STZ23" i="1" s="1"/>
  <c r="SUA23" i="1" s="1"/>
  <c r="SUB23" i="1" s="1"/>
  <c r="SUC23" i="1" s="1"/>
  <c r="SUD23" i="1" s="1"/>
  <c r="SUE23" i="1" s="1"/>
  <c r="SUF23" i="1" s="1"/>
  <c r="SUG23" i="1" s="1"/>
  <c r="SUH23" i="1" s="1"/>
  <c r="SUI23" i="1" s="1"/>
  <c r="SUJ23" i="1" s="1"/>
  <c r="SUK23" i="1" s="1"/>
  <c r="SUL23" i="1" s="1"/>
  <c r="SUM23" i="1" s="1"/>
  <c r="SUN23" i="1" s="1"/>
  <c r="SUO23" i="1" s="1"/>
  <c r="SUP23" i="1" s="1"/>
  <c r="SUQ23" i="1" s="1"/>
  <c r="SUR23" i="1" s="1"/>
  <c r="SUS23" i="1" s="1"/>
  <c r="SUT23" i="1" s="1"/>
  <c r="SUU23" i="1" s="1"/>
  <c r="SUV23" i="1" s="1"/>
  <c r="SUW23" i="1" s="1"/>
  <c r="SUX23" i="1" s="1"/>
  <c r="SUY23" i="1" s="1"/>
  <c r="SUZ23" i="1" s="1"/>
  <c r="SVA23" i="1" s="1"/>
  <c r="SVB23" i="1" s="1"/>
  <c r="SVC23" i="1" s="1"/>
  <c r="SVD23" i="1" s="1"/>
  <c r="SVE23" i="1" s="1"/>
  <c r="SVF23" i="1" s="1"/>
  <c r="SVG23" i="1" s="1"/>
  <c r="SVH23" i="1" s="1"/>
  <c r="SVI23" i="1" s="1"/>
  <c r="SVJ23" i="1" s="1"/>
  <c r="SVK23" i="1" s="1"/>
  <c r="SVL23" i="1" s="1"/>
  <c r="SVM23" i="1" s="1"/>
  <c r="SVN23" i="1" s="1"/>
  <c r="SVO23" i="1" s="1"/>
  <c r="SVP23" i="1" s="1"/>
  <c r="SVQ23" i="1" s="1"/>
  <c r="SVR23" i="1" s="1"/>
  <c r="SVS23" i="1" s="1"/>
  <c r="SVT23" i="1" s="1"/>
  <c r="SVU23" i="1" s="1"/>
  <c r="SVV23" i="1" s="1"/>
  <c r="SVW23" i="1" s="1"/>
  <c r="SVX23" i="1" s="1"/>
  <c r="SVY23" i="1" s="1"/>
  <c r="SVZ23" i="1" s="1"/>
  <c r="SWA23" i="1" s="1"/>
  <c r="SWB23" i="1" s="1"/>
  <c r="SWC23" i="1" s="1"/>
  <c r="SWD23" i="1" s="1"/>
  <c r="SWE23" i="1" s="1"/>
  <c r="SWF23" i="1" s="1"/>
  <c r="SWG23" i="1" s="1"/>
  <c r="SWH23" i="1" s="1"/>
  <c r="SWI23" i="1" s="1"/>
  <c r="SWJ23" i="1" s="1"/>
  <c r="SWK23" i="1" s="1"/>
  <c r="SWL23" i="1" s="1"/>
  <c r="SWM23" i="1" s="1"/>
  <c r="SWN23" i="1" s="1"/>
  <c r="SWO23" i="1" s="1"/>
  <c r="SWP23" i="1" s="1"/>
  <c r="SWQ23" i="1" s="1"/>
  <c r="SWR23" i="1" s="1"/>
  <c r="SWS23" i="1" s="1"/>
  <c r="SWT23" i="1" s="1"/>
  <c r="SWU23" i="1" s="1"/>
  <c r="SWV23" i="1" s="1"/>
  <c r="SWW23" i="1" s="1"/>
  <c r="SWX23" i="1" s="1"/>
  <c r="SWY23" i="1" s="1"/>
  <c r="SWZ23" i="1" s="1"/>
  <c r="SXA23" i="1" s="1"/>
  <c r="SXB23" i="1" s="1"/>
  <c r="SXC23" i="1" s="1"/>
  <c r="SXD23" i="1" s="1"/>
  <c r="SXE23" i="1" s="1"/>
  <c r="SXF23" i="1" s="1"/>
  <c r="SXG23" i="1" s="1"/>
  <c r="SXH23" i="1" s="1"/>
  <c r="SXI23" i="1" s="1"/>
  <c r="SXJ23" i="1" s="1"/>
  <c r="SXK23" i="1" s="1"/>
  <c r="SXL23" i="1" s="1"/>
  <c r="SXM23" i="1" s="1"/>
  <c r="SXN23" i="1" s="1"/>
  <c r="SXO23" i="1" s="1"/>
  <c r="SXP23" i="1" s="1"/>
  <c r="SXQ23" i="1" s="1"/>
  <c r="SXR23" i="1" s="1"/>
  <c r="SXS23" i="1" s="1"/>
  <c r="SXT23" i="1" s="1"/>
  <c r="SXU23" i="1" s="1"/>
  <c r="SXV23" i="1" s="1"/>
  <c r="SXW23" i="1" s="1"/>
  <c r="SXX23" i="1" s="1"/>
  <c r="SXY23" i="1" s="1"/>
  <c r="SXZ23" i="1" s="1"/>
  <c r="SYA23" i="1" s="1"/>
  <c r="SYB23" i="1" s="1"/>
  <c r="SYC23" i="1" s="1"/>
  <c r="SYD23" i="1" s="1"/>
  <c r="SYE23" i="1" s="1"/>
  <c r="SYF23" i="1" s="1"/>
  <c r="SYG23" i="1" s="1"/>
  <c r="SYH23" i="1" s="1"/>
  <c r="SYI23" i="1" s="1"/>
  <c r="SYJ23" i="1" s="1"/>
  <c r="SYK23" i="1" s="1"/>
  <c r="SYL23" i="1" s="1"/>
  <c r="SYM23" i="1" s="1"/>
  <c r="SYN23" i="1" s="1"/>
  <c r="SYO23" i="1" s="1"/>
  <c r="SYP23" i="1" s="1"/>
  <c r="SYQ23" i="1" s="1"/>
  <c r="SYR23" i="1" s="1"/>
  <c r="SYS23" i="1" s="1"/>
  <c r="SYT23" i="1" s="1"/>
  <c r="SYU23" i="1" s="1"/>
  <c r="SYV23" i="1" s="1"/>
  <c r="SYW23" i="1" s="1"/>
  <c r="SYX23" i="1" s="1"/>
  <c r="SYY23" i="1" s="1"/>
  <c r="SYZ23" i="1" s="1"/>
  <c r="SZA23" i="1" s="1"/>
  <c r="SZB23" i="1" s="1"/>
  <c r="SZC23" i="1" s="1"/>
  <c r="SZD23" i="1" s="1"/>
  <c r="SZE23" i="1" s="1"/>
  <c r="SZF23" i="1" s="1"/>
  <c r="SZG23" i="1" s="1"/>
  <c r="SZH23" i="1" s="1"/>
  <c r="SZI23" i="1" s="1"/>
  <c r="SZJ23" i="1" s="1"/>
  <c r="SZK23" i="1" s="1"/>
  <c r="SZL23" i="1" s="1"/>
  <c r="SZM23" i="1" s="1"/>
  <c r="SZN23" i="1" s="1"/>
  <c r="SZO23" i="1" s="1"/>
  <c r="SZP23" i="1" s="1"/>
  <c r="SZQ23" i="1" s="1"/>
  <c r="SZR23" i="1" s="1"/>
  <c r="SZS23" i="1" s="1"/>
  <c r="SZT23" i="1" s="1"/>
  <c r="SZU23" i="1" s="1"/>
  <c r="SZV23" i="1" s="1"/>
  <c r="SZW23" i="1" s="1"/>
  <c r="SZX23" i="1" s="1"/>
  <c r="SZY23" i="1" s="1"/>
  <c r="SZZ23" i="1" s="1"/>
  <c r="TAA23" i="1" s="1"/>
  <c r="TAB23" i="1" s="1"/>
  <c r="TAC23" i="1" s="1"/>
  <c r="TAD23" i="1" s="1"/>
  <c r="TAE23" i="1" s="1"/>
  <c r="TAF23" i="1" s="1"/>
  <c r="TAG23" i="1" s="1"/>
  <c r="TAH23" i="1" s="1"/>
  <c r="TAI23" i="1" s="1"/>
  <c r="TAJ23" i="1" s="1"/>
  <c r="TAK23" i="1" s="1"/>
  <c r="TAL23" i="1" s="1"/>
  <c r="TAM23" i="1" s="1"/>
  <c r="TAN23" i="1" s="1"/>
  <c r="TAO23" i="1" s="1"/>
  <c r="TAP23" i="1" s="1"/>
  <c r="TAQ23" i="1" s="1"/>
  <c r="TAR23" i="1" s="1"/>
  <c r="TAS23" i="1" s="1"/>
  <c r="TAT23" i="1" s="1"/>
  <c r="TAU23" i="1" s="1"/>
  <c r="TAV23" i="1" s="1"/>
  <c r="TAW23" i="1" s="1"/>
  <c r="TAX23" i="1" s="1"/>
  <c r="TAY23" i="1" s="1"/>
  <c r="TAZ23" i="1" s="1"/>
  <c r="TBA23" i="1" s="1"/>
  <c r="TBB23" i="1" s="1"/>
  <c r="TBC23" i="1" s="1"/>
  <c r="TBD23" i="1" s="1"/>
  <c r="TBE23" i="1" s="1"/>
  <c r="TBF23" i="1" s="1"/>
  <c r="TBG23" i="1" s="1"/>
  <c r="TBH23" i="1" s="1"/>
  <c r="TBI23" i="1" s="1"/>
  <c r="TBJ23" i="1" s="1"/>
  <c r="TBK23" i="1" s="1"/>
  <c r="TBL23" i="1" s="1"/>
  <c r="TBM23" i="1" s="1"/>
  <c r="TBN23" i="1" s="1"/>
  <c r="TBO23" i="1" s="1"/>
  <c r="TBP23" i="1" s="1"/>
  <c r="TBQ23" i="1" s="1"/>
  <c r="TBR23" i="1" s="1"/>
  <c r="TBS23" i="1" s="1"/>
  <c r="TBT23" i="1" s="1"/>
  <c r="TBU23" i="1" s="1"/>
  <c r="TBV23" i="1" s="1"/>
  <c r="TBW23" i="1" s="1"/>
  <c r="TBX23" i="1" s="1"/>
  <c r="TBY23" i="1" s="1"/>
  <c r="TBZ23" i="1" s="1"/>
  <c r="TCA23" i="1" s="1"/>
  <c r="TCB23" i="1" s="1"/>
  <c r="TCC23" i="1" s="1"/>
  <c r="TCD23" i="1" s="1"/>
  <c r="TCE23" i="1" s="1"/>
  <c r="TCF23" i="1" s="1"/>
  <c r="TCG23" i="1" s="1"/>
  <c r="TCH23" i="1" s="1"/>
  <c r="TCI23" i="1" s="1"/>
  <c r="TCJ23" i="1" s="1"/>
  <c r="TCK23" i="1" s="1"/>
  <c r="TCL23" i="1" s="1"/>
  <c r="TCM23" i="1" s="1"/>
  <c r="TCN23" i="1" s="1"/>
  <c r="TCO23" i="1" s="1"/>
  <c r="TCP23" i="1" s="1"/>
  <c r="TCQ23" i="1" s="1"/>
  <c r="TCR23" i="1" s="1"/>
  <c r="TCS23" i="1" s="1"/>
  <c r="TCT23" i="1" s="1"/>
  <c r="TCU23" i="1" s="1"/>
  <c r="TCV23" i="1" s="1"/>
  <c r="TCW23" i="1" s="1"/>
  <c r="TCX23" i="1" s="1"/>
  <c r="TCY23" i="1" s="1"/>
  <c r="TCZ23" i="1" s="1"/>
  <c r="TDA23" i="1" s="1"/>
  <c r="TDB23" i="1" s="1"/>
  <c r="TDC23" i="1" s="1"/>
  <c r="TDD23" i="1" s="1"/>
  <c r="TDE23" i="1" s="1"/>
  <c r="TDF23" i="1" s="1"/>
  <c r="TDG23" i="1" s="1"/>
  <c r="TDH23" i="1" s="1"/>
  <c r="TDI23" i="1" s="1"/>
  <c r="TDJ23" i="1" s="1"/>
  <c r="TDK23" i="1" s="1"/>
  <c r="TDL23" i="1" s="1"/>
  <c r="TDM23" i="1" s="1"/>
  <c r="TDN23" i="1" s="1"/>
  <c r="TDO23" i="1" s="1"/>
  <c r="TDP23" i="1" s="1"/>
  <c r="TDQ23" i="1" s="1"/>
  <c r="TDR23" i="1" s="1"/>
  <c r="TDS23" i="1" s="1"/>
  <c r="TDT23" i="1" s="1"/>
  <c r="TDU23" i="1" s="1"/>
  <c r="TDV23" i="1" s="1"/>
  <c r="TDW23" i="1" s="1"/>
  <c r="TDX23" i="1" s="1"/>
  <c r="TDY23" i="1" s="1"/>
  <c r="TDZ23" i="1" s="1"/>
  <c r="TEA23" i="1" s="1"/>
  <c r="TEB23" i="1" s="1"/>
  <c r="TEC23" i="1" s="1"/>
  <c r="TED23" i="1" s="1"/>
  <c r="TEE23" i="1" s="1"/>
  <c r="TEF23" i="1" s="1"/>
  <c r="TEG23" i="1" s="1"/>
  <c r="TEH23" i="1" s="1"/>
  <c r="TEI23" i="1" s="1"/>
  <c r="TEJ23" i="1" s="1"/>
  <c r="TEK23" i="1" s="1"/>
  <c r="TEL23" i="1" s="1"/>
  <c r="TEM23" i="1" s="1"/>
  <c r="TEN23" i="1" s="1"/>
  <c r="TEO23" i="1" s="1"/>
  <c r="TEP23" i="1" s="1"/>
  <c r="TEQ23" i="1" s="1"/>
  <c r="TER23" i="1" s="1"/>
  <c r="TES23" i="1" s="1"/>
  <c r="TET23" i="1" s="1"/>
  <c r="TEU23" i="1" s="1"/>
  <c r="TEV23" i="1" s="1"/>
  <c r="TEW23" i="1" s="1"/>
  <c r="TEX23" i="1" s="1"/>
  <c r="TEY23" i="1" s="1"/>
  <c r="TEZ23" i="1" s="1"/>
  <c r="TFA23" i="1" s="1"/>
  <c r="TFB23" i="1" s="1"/>
  <c r="TFC23" i="1" s="1"/>
  <c r="TFD23" i="1" s="1"/>
  <c r="TFE23" i="1" s="1"/>
  <c r="TFF23" i="1" s="1"/>
  <c r="TFG23" i="1" s="1"/>
  <c r="TFH23" i="1" s="1"/>
  <c r="TFI23" i="1" s="1"/>
  <c r="TFJ23" i="1" s="1"/>
  <c r="TFK23" i="1" s="1"/>
  <c r="TFL23" i="1" s="1"/>
  <c r="TFM23" i="1" s="1"/>
  <c r="TFN23" i="1" s="1"/>
  <c r="TFO23" i="1" s="1"/>
  <c r="TFP23" i="1" s="1"/>
  <c r="TFQ23" i="1" s="1"/>
  <c r="TFR23" i="1" s="1"/>
  <c r="TFS23" i="1" s="1"/>
  <c r="TFT23" i="1" s="1"/>
  <c r="TFU23" i="1" s="1"/>
  <c r="TFV23" i="1" s="1"/>
  <c r="TFW23" i="1" s="1"/>
  <c r="TFX23" i="1" s="1"/>
  <c r="TFY23" i="1" s="1"/>
  <c r="TFZ23" i="1" s="1"/>
  <c r="TGA23" i="1" s="1"/>
  <c r="TGB23" i="1" s="1"/>
  <c r="TGC23" i="1" s="1"/>
  <c r="TGD23" i="1" s="1"/>
  <c r="TGE23" i="1" s="1"/>
  <c r="TGF23" i="1" s="1"/>
  <c r="TGG23" i="1" s="1"/>
  <c r="TGH23" i="1" s="1"/>
  <c r="TGI23" i="1" s="1"/>
  <c r="TGJ23" i="1" s="1"/>
  <c r="TGK23" i="1" s="1"/>
  <c r="TGL23" i="1" s="1"/>
  <c r="TGM23" i="1" s="1"/>
  <c r="TGN23" i="1" s="1"/>
  <c r="TGO23" i="1" s="1"/>
  <c r="TGP23" i="1" s="1"/>
  <c r="TGQ23" i="1" s="1"/>
  <c r="TGR23" i="1" s="1"/>
  <c r="TGS23" i="1" s="1"/>
  <c r="TGT23" i="1" s="1"/>
  <c r="TGU23" i="1" s="1"/>
  <c r="TGV23" i="1" s="1"/>
  <c r="TGW23" i="1" s="1"/>
  <c r="TGX23" i="1" s="1"/>
  <c r="TGY23" i="1" s="1"/>
  <c r="TGZ23" i="1" s="1"/>
  <c r="THA23" i="1" s="1"/>
  <c r="THB23" i="1" s="1"/>
  <c r="THC23" i="1" s="1"/>
  <c r="THD23" i="1" s="1"/>
  <c r="THE23" i="1" s="1"/>
  <c r="THF23" i="1" s="1"/>
  <c r="THG23" i="1" s="1"/>
  <c r="THH23" i="1" s="1"/>
  <c r="THI23" i="1" s="1"/>
  <c r="THJ23" i="1" s="1"/>
  <c r="THK23" i="1" s="1"/>
  <c r="THL23" i="1" s="1"/>
  <c r="THM23" i="1" s="1"/>
  <c r="THN23" i="1" s="1"/>
  <c r="THO23" i="1" s="1"/>
  <c r="THP23" i="1" s="1"/>
  <c r="THQ23" i="1" s="1"/>
  <c r="THR23" i="1" s="1"/>
  <c r="THS23" i="1" s="1"/>
  <c r="THT23" i="1" s="1"/>
  <c r="THU23" i="1" s="1"/>
  <c r="THV23" i="1" s="1"/>
  <c r="THW23" i="1" s="1"/>
  <c r="THX23" i="1" s="1"/>
  <c r="THY23" i="1" s="1"/>
  <c r="THZ23" i="1" s="1"/>
  <c r="TIA23" i="1" s="1"/>
  <c r="TIB23" i="1" s="1"/>
  <c r="TIC23" i="1" s="1"/>
  <c r="TID23" i="1" s="1"/>
  <c r="TIE23" i="1" s="1"/>
  <c r="TIF23" i="1" s="1"/>
  <c r="TIG23" i="1" s="1"/>
  <c r="TIH23" i="1" s="1"/>
  <c r="TII23" i="1" s="1"/>
  <c r="TIJ23" i="1" s="1"/>
  <c r="TIK23" i="1" s="1"/>
  <c r="TIL23" i="1" s="1"/>
  <c r="TIM23" i="1" s="1"/>
  <c r="TIN23" i="1" s="1"/>
  <c r="TIO23" i="1" s="1"/>
  <c r="TIP23" i="1" s="1"/>
  <c r="TIQ23" i="1" s="1"/>
  <c r="TIR23" i="1" s="1"/>
  <c r="TIS23" i="1" s="1"/>
  <c r="TIT23" i="1" s="1"/>
  <c r="TIU23" i="1" s="1"/>
  <c r="TIV23" i="1" s="1"/>
  <c r="TIW23" i="1" s="1"/>
  <c r="TIX23" i="1" s="1"/>
  <c r="TIY23" i="1" s="1"/>
  <c r="TIZ23" i="1" s="1"/>
  <c r="TJA23" i="1" s="1"/>
  <c r="TJB23" i="1" s="1"/>
  <c r="TJC23" i="1" s="1"/>
  <c r="TJD23" i="1" s="1"/>
  <c r="TJE23" i="1" s="1"/>
  <c r="TJF23" i="1" s="1"/>
  <c r="TJG23" i="1" s="1"/>
  <c r="TJH23" i="1" s="1"/>
  <c r="TJI23" i="1" s="1"/>
  <c r="TJJ23" i="1" s="1"/>
  <c r="TJK23" i="1" s="1"/>
  <c r="TJL23" i="1" s="1"/>
  <c r="TJM23" i="1" s="1"/>
  <c r="TJN23" i="1" s="1"/>
  <c r="TJO23" i="1" s="1"/>
  <c r="TJP23" i="1" s="1"/>
  <c r="TJQ23" i="1" s="1"/>
  <c r="TJR23" i="1" s="1"/>
  <c r="TJS23" i="1" s="1"/>
  <c r="TJT23" i="1" s="1"/>
  <c r="TJU23" i="1" s="1"/>
  <c r="TJV23" i="1" s="1"/>
  <c r="TJW23" i="1" s="1"/>
  <c r="TJX23" i="1" s="1"/>
  <c r="TJY23" i="1" s="1"/>
  <c r="TJZ23" i="1" s="1"/>
  <c r="TKA23" i="1" s="1"/>
  <c r="TKB23" i="1" s="1"/>
  <c r="TKC23" i="1" s="1"/>
  <c r="TKD23" i="1" s="1"/>
  <c r="TKE23" i="1" s="1"/>
  <c r="TKF23" i="1" s="1"/>
  <c r="TKG23" i="1" s="1"/>
  <c r="TKH23" i="1" s="1"/>
  <c r="TKI23" i="1" s="1"/>
  <c r="TKJ23" i="1" s="1"/>
  <c r="TKK23" i="1" s="1"/>
  <c r="TKL23" i="1" s="1"/>
  <c r="TKM23" i="1" s="1"/>
  <c r="TKN23" i="1" s="1"/>
  <c r="TKO23" i="1" s="1"/>
  <c r="TKP23" i="1" s="1"/>
  <c r="TKQ23" i="1" s="1"/>
  <c r="TKR23" i="1" s="1"/>
  <c r="TKS23" i="1" s="1"/>
  <c r="TKT23" i="1" s="1"/>
  <c r="TKU23" i="1" s="1"/>
  <c r="TKV23" i="1" s="1"/>
  <c r="TKW23" i="1" s="1"/>
  <c r="TKX23" i="1" s="1"/>
  <c r="TKY23" i="1" s="1"/>
  <c r="TKZ23" i="1" s="1"/>
  <c r="TLA23" i="1" s="1"/>
  <c r="TLB23" i="1" s="1"/>
  <c r="TLC23" i="1" s="1"/>
  <c r="TLD23" i="1" s="1"/>
  <c r="TLE23" i="1" s="1"/>
  <c r="TLF23" i="1" s="1"/>
  <c r="TLG23" i="1" s="1"/>
  <c r="TLH23" i="1" s="1"/>
  <c r="TLI23" i="1" s="1"/>
  <c r="TLJ23" i="1" s="1"/>
  <c r="TLK23" i="1" s="1"/>
  <c r="TLL23" i="1" s="1"/>
  <c r="TLM23" i="1" s="1"/>
  <c r="TLN23" i="1" s="1"/>
  <c r="TLO23" i="1" s="1"/>
  <c r="TLP23" i="1" s="1"/>
  <c r="TLQ23" i="1" s="1"/>
  <c r="TLR23" i="1" s="1"/>
  <c r="TLS23" i="1" s="1"/>
  <c r="TLT23" i="1" s="1"/>
  <c r="TLU23" i="1" s="1"/>
  <c r="TLV23" i="1" s="1"/>
  <c r="TLW23" i="1" s="1"/>
  <c r="TLX23" i="1" s="1"/>
  <c r="TLY23" i="1" s="1"/>
  <c r="TLZ23" i="1" s="1"/>
  <c r="TMA23" i="1" s="1"/>
  <c r="TMB23" i="1" s="1"/>
  <c r="TMC23" i="1" s="1"/>
  <c r="TMD23" i="1" s="1"/>
  <c r="TME23" i="1" s="1"/>
  <c r="TMF23" i="1" s="1"/>
  <c r="TMG23" i="1" s="1"/>
  <c r="TMH23" i="1" s="1"/>
  <c r="TMI23" i="1" s="1"/>
  <c r="TMJ23" i="1" s="1"/>
  <c r="TMK23" i="1" s="1"/>
  <c r="TML23" i="1" s="1"/>
  <c r="TMM23" i="1" s="1"/>
  <c r="TMN23" i="1" s="1"/>
  <c r="TMO23" i="1" s="1"/>
  <c r="TMP23" i="1" s="1"/>
  <c r="TMQ23" i="1" s="1"/>
  <c r="TMR23" i="1" s="1"/>
  <c r="TMS23" i="1" s="1"/>
  <c r="TMT23" i="1" s="1"/>
  <c r="TMU23" i="1" s="1"/>
  <c r="TMV23" i="1" s="1"/>
  <c r="TMW23" i="1" s="1"/>
  <c r="TMX23" i="1" s="1"/>
  <c r="TMY23" i="1" s="1"/>
  <c r="TMZ23" i="1" s="1"/>
  <c r="TNA23" i="1" s="1"/>
  <c r="TNB23" i="1" s="1"/>
  <c r="TNC23" i="1" s="1"/>
  <c r="TND23" i="1" s="1"/>
  <c r="TNE23" i="1" s="1"/>
  <c r="TNF23" i="1" s="1"/>
  <c r="TNG23" i="1" s="1"/>
  <c r="TNH23" i="1" s="1"/>
  <c r="TNI23" i="1" s="1"/>
  <c r="TNJ23" i="1" s="1"/>
  <c r="TNK23" i="1" s="1"/>
  <c r="TNL23" i="1" s="1"/>
  <c r="TNM23" i="1" s="1"/>
  <c r="TNN23" i="1" s="1"/>
  <c r="TNO23" i="1" s="1"/>
  <c r="TNP23" i="1" s="1"/>
  <c r="TNQ23" i="1" s="1"/>
  <c r="TNR23" i="1" s="1"/>
  <c r="TNS23" i="1" s="1"/>
  <c r="TNT23" i="1" s="1"/>
  <c r="TNU23" i="1" s="1"/>
  <c r="TNV23" i="1" s="1"/>
  <c r="TNW23" i="1" s="1"/>
  <c r="TNX23" i="1" s="1"/>
  <c r="TNY23" i="1" s="1"/>
  <c r="TNZ23" i="1" s="1"/>
  <c r="TOA23" i="1" s="1"/>
  <c r="TOB23" i="1" s="1"/>
  <c r="TOC23" i="1" s="1"/>
  <c r="TOD23" i="1" s="1"/>
  <c r="TOE23" i="1" s="1"/>
  <c r="TOF23" i="1" s="1"/>
  <c r="TOG23" i="1" s="1"/>
  <c r="TOH23" i="1" s="1"/>
  <c r="TOI23" i="1" s="1"/>
  <c r="TOJ23" i="1" s="1"/>
  <c r="TOK23" i="1" s="1"/>
  <c r="TOL23" i="1" s="1"/>
  <c r="TOM23" i="1" s="1"/>
  <c r="TON23" i="1" s="1"/>
  <c r="TOO23" i="1" s="1"/>
  <c r="TOP23" i="1" s="1"/>
  <c r="TOQ23" i="1" s="1"/>
  <c r="TOR23" i="1" s="1"/>
  <c r="TOS23" i="1" s="1"/>
  <c r="TOT23" i="1" s="1"/>
  <c r="TOU23" i="1" s="1"/>
  <c r="TOV23" i="1" s="1"/>
  <c r="TOW23" i="1" s="1"/>
  <c r="TOX23" i="1" s="1"/>
  <c r="TOY23" i="1" s="1"/>
  <c r="TOZ23" i="1" s="1"/>
  <c r="TPA23" i="1" s="1"/>
  <c r="TPB23" i="1" s="1"/>
  <c r="TPC23" i="1" s="1"/>
  <c r="TPD23" i="1" s="1"/>
  <c r="TPE23" i="1" s="1"/>
  <c r="TPF23" i="1" s="1"/>
  <c r="TPG23" i="1" s="1"/>
  <c r="TPH23" i="1" s="1"/>
  <c r="TPI23" i="1" s="1"/>
  <c r="TPJ23" i="1" s="1"/>
  <c r="TPK23" i="1" s="1"/>
  <c r="TPL23" i="1" s="1"/>
  <c r="TPM23" i="1" s="1"/>
  <c r="TPN23" i="1" s="1"/>
  <c r="TPO23" i="1" s="1"/>
  <c r="TPP23" i="1" s="1"/>
  <c r="TPQ23" i="1" s="1"/>
  <c r="TPR23" i="1" s="1"/>
  <c r="TPS23" i="1" s="1"/>
  <c r="TPT23" i="1" s="1"/>
  <c r="TPU23" i="1" s="1"/>
  <c r="TPV23" i="1" s="1"/>
  <c r="TPW23" i="1" s="1"/>
  <c r="TPX23" i="1" s="1"/>
  <c r="TPY23" i="1" s="1"/>
  <c r="TPZ23" i="1" s="1"/>
  <c r="TQA23" i="1" s="1"/>
  <c r="TQB23" i="1" s="1"/>
  <c r="TQC23" i="1" s="1"/>
  <c r="TQD23" i="1" s="1"/>
  <c r="TQE23" i="1" s="1"/>
  <c r="TQF23" i="1" s="1"/>
  <c r="TQG23" i="1" s="1"/>
  <c r="TQH23" i="1" s="1"/>
  <c r="TQI23" i="1" s="1"/>
  <c r="TQJ23" i="1" s="1"/>
  <c r="TQK23" i="1" s="1"/>
  <c r="TQL23" i="1" s="1"/>
  <c r="TQM23" i="1" s="1"/>
  <c r="TQN23" i="1" s="1"/>
  <c r="TQO23" i="1" s="1"/>
  <c r="TQP23" i="1" s="1"/>
  <c r="TQQ23" i="1" s="1"/>
  <c r="TQR23" i="1" s="1"/>
  <c r="TQS23" i="1" s="1"/>
  <c r="TQT23" i="1" s="1"/>
  <c r="TQU23" i="1" s="1"/>
  <c r="TQV23" i="1" s="1"/>
  <c r="TQW23" i="1" s="1"/>
  <c r="TQX23" i="1" s="1"/>
  <c r="TQY23" i="1" s="1"/>
  <c r="TQZ23" i="1" s="1"/>
  <c r="TRA23" i="1" s="1"/>
  <c r="TRB23" i="1" s="1"/>
  <c r="TRC23" i="1" s="1"/>
  <c r="TRD23" i="1" s="1"/>
  <c r="TRE23" i="1" s="1"/>
  <c r="TRF23" i="1" s="1"/>
  <c r="TRG23" i="1" s="1"/>
  <c r="TRH23" i="1" s="1"/>
  <c r="TRI23" i="1" s="1"/>
  <c r="TRJ23" i="1" s="1"/>
  <c r="TRK23" i="1" s="1"/>
  <c r="TRL23" i="1" s="1"/>
  <c r="TRM23" i="1" s="1"/>
  <c r="TRN23" i="1" s="1"/>
  <c r="TRO23" i="1" s="1"/>
  <c r="TRP23" i="1" s="1"/>
  <c r="TRQ23" i="1" s="1"/>
  <c r="TRR23" i="1" s="1"/>
  <c r="TRS23" i="1" s="1"/>
  <c r="TRT23" i="1" s="1"/>
  <c r="TRU23" i="1" s="1"/>
  <c r="TRV23" i="1" s="1"/>
  <c r="TRW23" i="1" s="1"/>
  <c r="TRX23" i="1" s="1"/>
  <c r="TRY23" i="1" s="1"/>
  <c r="TRZ23" i="1" s="1"/>
  <c r="TSA23" i="1" s="1"/>
  <c r="TSB23" i="1" s="1"/>
  <c r="TSC23" i="1" s="1"/>
  <c r="TSD23" i="1" s="1"/>
  <c r="TSE23" i="1" s="1"/>
  <c r="TSF23" i="1" s="1"/>
  <c r="TSG23" i="1" s="1"/>
  <c r="TSH23" i="1" s="1"/>
  <c r="TSI23" i="1" s="1"/>
  <c r="TSJ23" i="1" s="1"/>
  <c r="TSK23" i="1" s="1"/>
  <c r="TSL23" i="1" s="1"/>
  <c r="TSM23" i="1" s="1"/>
  <c r="TSN23" i="1" s="1"/>
  <c r="TSO23" i="1" s="1"/>
  <c r="TSP23" i="1" s="1"/>
  <c r="TSQ23" i="1" s="1"/>
  <c r="TSR23" i="1" s="1"/>
  <c r="TSS23" i="1" s="1"/>
  <c r="TST23" i="1" s="1"/>
  <c r="TSU23" i="1" s="1"/>
  <c r="TSV23" i="1" s="1"/>
  <c r="TSW23" i="1" s="1"/>
  <c r="TSX23" i="1" s="1"/>
  <c r="TSY23" i="1" s="1"/>
  <c r="TSZ23" i="1" s="1"/>
  <c r="TTA23" i="1" s="1"/>
  <c r="TTB23" i="1" s="1"/>
  <c r="TTC23" i="1" s="1"/>
  <c r="TTD23" i="1" s="1"/>
  <c r="TTE23" i="1" s="1"/>
  <c r="TTF23" i="1" s="1"/>
  <c r="TTG23" i="1" s="1"/>
  <c r="TTH23" i="1" s="1"/>
  <c r="TTI23" i="1" s="1"/>
  <c r="TTJ23" i="1" s="1"/>
  <c r="TTK23" i="1" s="1"/>
  <c r="TTL23" i="1" s="1"/>
  <c r="TTM23" i="1" s="1"/>
  <c r="TTN23" i="1" s="1"/>
  <c r="TTO23" i="1" s="1"/>
  <c r="TTP23" i="1" s="1"/>
  <c r="TTQ23" i="1" s="1"/>
  <c r="TTR23" i="1" s="1"/>
  <c r="TTS23" i="1" s="1"/>
  <c r="TTT23" i="1" s="1"/>
  <c r="TTU23" i="1" s="1"/>
  <c r="TTV23" i="1" s="1"/>
  <c r="TTW23" i="1" s="1"/>
  <c r="TTX23" i="1" s="1"/>
  <c r="TTY23" i="1" s="1"/>
  <c r="TTZ23" i="1" s="1"/>
  <c r="TUA23" i="1" s="1"/>
  <c r="TUB23" i="1" s="1"/>
  <c r="TUC23" i="1" s="1"/>
  <c r="TUD23" i="1" s="1"/>
  <c r="TUE23" i="1" s="1"/>
  <c r="TUF23" i="1" s="1"/>
  <c r="TUG23" i="1" s="1"/>
  <c r="TUH23" i="1" s="1"/>
  <c r="TUI23" i="1" s="1"/>
  <c r="TUJ23" i="1" s="1"/>
  <c r="TUK23" i="1" s="1"/>
  <c r="TUL23" i="1" s="1"/>
  <c r="TUM23" i="1" s="1"/>
  <c r="TUN23" i="1" s="1"/>
  <c r="TUO23" i="1" s="1"/>
  <c r="TUP23" i="1" s="1"/>
  <c r="TUQ23" i="1" s="1"/>
  <c r="TUR23" i="1" s="1"/>
  <c r="TUS23" i="1" s="1"/>
  <c r="TUT23" i="1" s="1"/>
  <c r="TUU23" i="1" s="1"/>
  <c r="TUV23" i="1" s="1"/>
  <c r="TUW23" i="1" s="1"/>
  <c r="TUX23" i="1" s="1"/>
  <c r="TUY23" i="1" s="1"/>
  <c r="TUZ23" i="1" s="1"/>
  <c r="TVA23" i="1" s="1"/>
  <c r="TVB23" i="1" s="1"/>
  <c r="TVC23" i="1" s="1"/>
  <c r="TVD23" i="1" s="1"/>
  <c r="TVE23" i="1" s="1"/>
  <c r="TVF23" i="1" s="1"/>
  <c r="TVG23" i="1" s="1"/>
  <c r="TVH23" i="1" s="1"/>
  <c r="TVI23" i="1" s="1"/>
  <c r="TVJ23" i="1" s="1"/>
  <c r="TVK23" i="1" s="1"/>
  <c r="TVL23" i="1" s="1"/>
  <c r="TVM23" i="1" s="1"/>
  <c r="TVN23" i="1" s="1"/>
  <c r="TVO23" i="1" s="1"/>
  <c r="TVP23" i="1" s="1"/>
  <c r="TVQ23" i="1" s="1"/>
  <c r="TVR23" i="1" s="1"/>
  <c r="TVS23" i="1" s="1"/>
  <c r="TVT23" i="1" s="1"/>
  <c r="TVU23" i="1" s="1"/>
  <c r="TVV23" i="1" s="1"/>
  <c r="TVW23" i="1" s="1"/>
  <c r="TVX23" i="1" s="1"/>
  <c r="TVY23" i="1" s="1"/>
  <c r="TVZ23" i="1" s="1"/>
  <c r="TWA23" i="1" s="1"/>
  <c r="TWB23" i="1" s="1"/>
  <c r="TWC23" i="1" s="1"/>
  <c r="TWD23" i="1" s="1"/>
  <c r="TWE23" i="1" s="1"/>
  <c r="TWF23" i="1" s="1"/>
  <c r="TWG23" i="1" s="1"/>
  <c r="TWH23" i="1" s="1"/>
  <c r="TWI23" i="1" s="1"/>
  <c r="TWJ23" i="1" s="1"/>
  <c r="TWK23" i="1" s="1"/>
  <c r="TWL23" i="1" s="1"/>
  <c r="TWM23" i="1" s="1"/>
  <c r="TWN23" i="1" s="1"/>
  <c r="TWO23" i="1" s="1"/>
  <c r="TWP23" i="1" s="1"/>
  <c r="TWQ23" i="1" s="1"/>
  <c r="TWR23" i="1" s="1"/>
  <c r="TWS23" i="1" s="1"/>
  <c r="TWT23" i="1" s="1"/>
  <c r="TWU23" i="1" s="1"/>
  <c r="TWV23" i="1" s="1"/>
  <c r="TWW23" i="1" s="1"/>
  <c r="TWX23" i="1" s="1"/>
  <c r="TWY23" i="1" s="1"/>
  <c r="TWZ23" i="1" s="1"/>
  <c r="TXA23" i="1" s="1"/>
  <c r="TXB23" i="1" s="1"/>
  <c r="TXC23" i="1" s="1"/>
  <c r="TXD23" i="1" s="1"/>
  <c r="TXE23" i="1" s="1"/>
  <c r="TXF23" i="1" s="1"/>
  <c r="TXG23" i="1" s="1"/>
  <c r="TXH23" i="1" s="1"/>
  <c r="TXI23" i="1" s="1"/>
  <c r="TXJ23" i="1" s="1"/>
  <c r="TXK23" i="1" s="1"/>
  <c r="TXL23" i="1" s="1"/>
  <c r="TXM23" i="1" s="1"/>
  <c r="TXN23" i="1" s="1"/>
  <c r="TXO23" i="1" s="1"/>
  <c r="TXP23" i="1" s="1"/>
  <c r="TXQ23" i="1" s="1"/>
  <c r="TXR23" i="1" s="1"/>
  <c r="TXS23" i="1" s="1"/>
  <c r="TXT23" i="1" s="1"/>
  <c r="TXU23" i="1" s="1"/>
  <c r="TXV23" i="1" s="1"/>
  <c r="TXW23" i="1" s="1"/>
  <c r="TXX23" i="1" s="1"/>
  <c r="TXY23" i="1" s="1"/>
  <c r="TXZ23" i="1" s="1"/>
  <c r="TYA23" i="1" s="1"/>
  <c r="TYB23" i="1" s="1"/>
  <c r="TYC23" i="1" s="1"/>
  <c r="TYD23" i="1" s="1"/>
  <c r="TYE23" i="1" s="1"/>
  <c r="TYF23" i="1" s="1"/>
  <c r="TYG23" i="1" s="1"/>
  <c r="TYH23" i="1" s="1"/>
  <c r="TYI23" i="1" s="1"/>
  <c r="TYJ23" i="1" s="1"/>
  <c r="TYK23" i="1" s="1"/>
  <c r="TYL23" i="1" s="1"/>
  <c r="TYM23" i="1" s="1"/>
  <c r="TYN23" i="1" s="1"/>
  <c r="TYO23" i="1" s="1"/>
  <c r="TYP23" i="1" s="1"/>
  <c r="TYQ23" i="1" s="1"/>
  <c r="TYR23" i="1" s="1"/>
  <c r="TYS23" i="1" s="1"/>
  <c r="TYT23" i="1" s="1"/>
  <c r="TYU23" i="1" s="1"/>
  <c r="TYV23" i="1" s="1"/>
  <c r="TYW23" i="1" s="1"/>
  <c r="TYX23" i="1" s="1"/>
  <c r="TYY23" i="1" s="1"/>
  <c r="TYZ23" i="1" s="1"/>
  <c r="TZA23" i="1" s="1"/>
  <c r="TZB23" i="1" s="1"/>
  <c r="TZC23" i="1" s="1"/>
  <c r="TZD23" i="1" s="1"/>
  <c r="TZE23" i="1" s="1"/>
  <c r="TZF23" i="1" s="1"/>
  <c r="TZG23" i="1" s="1"/>
  <c r="TZH23" i="1" s="1"/>
  <c r="TZI23" i="1" s="1"/>
  <c r="TZJ23" i="1" s="1"/>
  <c r="TZK23" i="1" s="1"/>
  <c r="TZL23" i="1" s="1"/>
  <c r="TZM23" i="1" s="1"/>
  <c r="TZN23" i="1" s="1"/>
  <c r="TZO23" i="1" s="1"/>
  <c r="TZP23" i="1" s="1"/>
  <c r="TZQ23" i="1" s="1"/>
  <c r="TZR23" i="1" s="1"/>
  <c r="TZS23" i="1" s="1"/>
  <c r="TZT23" i="1" s="1"/>
  <c r="TZU23" i="1" s="1"/>
  <c r="TZV23" i="1" s="1"/>
  <c r="TZW23" i="1" s="1"/>
  <c r="TZX23" i="1" s="1"/>
  <c r="TZY23" i="1" s="1"/>
  <c r="TZZ23" i="1" s="1"/>
  <c r="UAA23" i="1" s="1"/>
  <c r="UAB23" i="1" s="1"/>
  <c r="UAC23" i="1" s="1"/>
  <c r="UAD23" i="1" s="1"/>
  <c r="UAE23" i="1" s="1"/>
  <c r="UAF23" i="1" s="1"/>
  <c r="UAG23" i="1" s="1"/>
  <c r="UAH23" i="1" s="1"/>
  <c r="UAI23" i="1" s="1"/>
  <c r="UAJ23" i="1" s="1"/>
  <c r="UAK23" i="1" s="1"/>
  <c r="UAL23" i="1" s="1"/>
  <c r="UAM23" i="1" s="1"/>
  <c r="UAN23" i="1" s="1"/>
  <c r="UAO23" i="1" s="1"/>
  <c r="UAP23" i="1" s="1"/>
  <c r="UAQ23" i="1" s="1"/>
  <c r="UAR23" i="1" s="1"/>
  <c r="UAS23" i="1" s="1"/>
  <c r="UAT23" i="1" s="1"/>
  <c r="UAU23" i="1" s="1"/>
  <c r="UAV23" i="1" s="1"/>
  <c r="UAW23" i="1" s="1"/>
  <c r="UAX23" i="1" s="1"/>
  <c r="UAY23" i="1" s="1"/>
  <c r="UAZ23" i="1" s="1"/>
  <c r="UBA23" i="1" s="1"/>
  <c r="UBB23" i="1" s="1"/>
  <c r="UBC23" i="1" s="1"/>
  <c r="UBD23" i="1" s="1"/>
  <c r="UBE23" i="1" s="1"/>
  <c r="UBF23" i="1" s="1"/>
  <c r="UBG23" i="1" s="1"/>
  <c r="UBH23" i="1" s="1"/>
  <c r="UBI23" i="1" s="1"/>
  <c r="UBJ23" i="1" s="1"/>
  <c r="UBK23" i="1" s="1"/>
  <c r="UBL23" i="1" s="1"/>
  <c r="UBM23" i="1" s="1"/>
  <c r="UBN23" i="1" s="1"/>
  <c r="UBO23" i="1" s="1"/>
  <c r="UBP23" i="1" s="1"/>
  <c r="UBQ23" i="1" s="1"/>
  <c r="UBR23" i="1" s="1"/>
  <c r="UBS23" i="1" s="1"/>
  <c r="UBT23" i="1" s="1"/>
  <c r="UBU23" i="1" s="1"/>
  <c r="UBV23" i="1" s="1"/>
  <c r="UBW23" i="1" s="1"/>
  <c r="UBX23" i="1" s="1"/>
  <c r="UBY23" i="1" s="1"/>
  <c r="UBZ23" i="1" s="1"/>
  <c r="UCA23" i="1" s="1"/>
  <c r="UCB23" i="1" s="1"/>
  <c r="UCC23" i="1" s="1"/>
  <c r="UCD23" i="1" s="1"/>
  <c r="UCE23" i="1" s="1"/>
  <c r="UCF23" i="1" s="1"/>
  <c r="UCG23" i="1" s="1"/>
  <c r="UCH23" i="1" s="1"/>
  <c r="UCI23" i="1" s="1"/>
  <c r="UCJ23" i="1" s="1"/>
  <c r="UCK23" i="1" s="1"/>
  <c r="UCL23" i="1" s="1"/>
  <c r="UCM23" i="1" s="1"/>
  <c r="UCN23" i="1" s="1"/>
  <c r="UCO23" i="1" s="1"/>
  <c r="UCP23" i="1" s="1"/>
  <c r="UCQ23" i="1" s="1"/>
  <c r="UCR23" i="1" s="1"/>
  <c r="UCS23" i="1" s="1"/>
  <c r="UCT23" i="1" s="1"/>
  <c r="UCU23" i="1" s="1"/>
  <c r="UCV23" i="1" s="1"/>
  <c r="UCW23" i="1" s="1"/>
  <c r="UCX23" i="1" s="1"/>
  <c r="UCY23" i="1" s="1"/>
  <c r="UCZ23" i="1" s="1"/>
  <c r="UDA23" i="1" s="1"/>
  <c r="UDB23" i="1" s="1"/>
  <c r="UDC23" i="1" s="1"/>
  <c r="UDD23" i="1" s="1"/>
  <c r="UDE23" i="1" s="1"/>
  <c r="UDF23" i="1" s="1"/>
  <c r="UDG23" i="1" s="1"/>
  <c r="UDH23" i="1" s="1"/>
  <c r="UDI23" i="1" s="1"/>
  <c r="UDJ23" i="1" s="1"/>
  <c r="UDK23" i="1" s="1"/>
  <c r="UDL23" i="1" s="1"/>
  <c r="UDM23" i="1" s="1"/>
  <c r="UDN23" i="1" s="1"/>
  <c r="UDO23" i="1" s="1"/>
  <c r="UDP23" i="1" s="1"/>
  <c r="UDQ23" i="1" s="1"/>
  <c r="UDR23" i="1" s="1"/>
  <c r="UDS23" i="1" s="1"/>
  <c r="UDT23" i="1" s="1"/>
  <c r="UDU23" i="1" s="1"/>
  <c r="UDV23" i="1" s="1"/>
  <c r="UDW23" i="1" s="1"/>
  <c r="UDX23" i="1" s="1"/>
  <c r="UDY23" i="1" s="1"/>
  <c r="UDZ23" i="1" s="1"/>
  <c r="UEA23" i="1" s="1"/>
  <c r="UEB23" i="1" s="1"/>
  <c r="UEC23" i="1" s="1"/>
  <c r="UED23" i="1" s="1"/>
  <c r="UEE23" i="1" s="1"/>
  <c r="UEF23" i="1" s="1"/>
  <c r="UEG23" i="1" s="1"/>
  <c r="UEH23" i="1" s="1"/>
  <c r="UEI23" i="1" s="1"/>
  <c r="UEJ23" i="1" s="1"/>
  <c r="UEK23" i="1" s="1"/>
  <c r="UEL23" i="1" s="1"/>
  <c r="UEM23" i="1" s="1"/>
  <c r="UEN23" i="1" s="1"/>
  <c r="UEO23" i="1" s="1"/>
  <c r="UEP23" i="1" s="1"/>
  <c r="UEQ23" i="1" s="1"/>
  <c r="UER23" i="1" s="1"/>
  <c r="UES23" i="1" s="1"/>
  <c r="UET23" i="1" s="1"/>
  <c r="UEU23" i="1" s="1"/>
  <c r="UEV23" i="1" s="1"/>
  <c r="UEW23" i="1" s="1"/>
  <c r="UEX23" i="1" s="1"/>
  <c r="UEY23" i="1" s="1"/>
  <c r="UEZ23" i="1" s="1"/>
  <c r="UFA23" i="1" s="1"/>
  <c r="UFB23" i="1" s="1"/>
  <c r="UFC23" i="1" s="1"/>
  <c r="UFD23" i="1" s="1"/>
  <c r="UFE23" i="1" s="1"/>
  <c r="UFF23" i="1" s="1"/>
  <c r="UFG23" i="1" s="1"/>
  <c r="UFH23" i="1" s="1"/>
  <c r="UFI23" i="1" s="1"/>
  <c r="UFJ23" i="1" s="1"/>
  <c r="UFK23" i="1" s="1"/>
  <c r="UFL23" i="1" s="1"/>
  <c r="UFM23" i="1" s="1"/>
  <c r="UFN23" i="1" s="1"/>
  <c r="UFO23" i="1" s="1"/>
  <c r="UFP23" i="1" s="1"/>
  <c r="UFQ23" i="1" s="1"/>
  <c r="UFR23" i="1" s="1"/>
  <c r="UFS23" i="1" s="1"/>
  <c r="UFT23" i="1" s="1"/>
  <c r="UFU23" i="1" s="1"/>
  <c r="UFV23" i="1" s="1"/>
  <c r="UFW23" i="1" s="1"/>
  <c r="UFX23" i="1" s="1"/>
  <c r="UFY23" i="1" s="1"/>
  <c r="UFZ23" i="1" s="1"/>
  <c r="UGA23" i="1" s="1"/>
  <c r="UGB23" i="1" s="1"/>
  <c r="UGC23" i="1" s="1"/>
  <c r="UGD23" i="1" s="1"/>
  <c r="UGE23" i="1" s="1"/>
  <c r="UGF23" i="1" s="1"/>
  <c r="UGG23" i="1" s="1"/>
  <c r="UGH23" i="1" s="1"/>
  <c r="UGI23" i="1" s="1"/>
  <c r="UGJ23" i="1" s="1"/>
  <c r="UGK23" i="1" s="1"/>
  <c r="UGL23" i="1" s="1"/>
  <c r="UGM23" i="1" s="1"/>
  <c r="UGN23" i="1" s="1"/>
  <c r="UGO23" i="1" s="1"/>
  <c r="UGP23" i="1" s="1"/>
  <c r="UGQ23" i="1" s="1"/>
  <c r="UGR23" i="1" s="1"/>
  <c r="UGS23" i="1" s="1"/>
  <c r="UGT23" i="1" s="1"/>
  <c r="UGU23" i="1" s="1"/>
  <c r="UGV23" i="1" s="1"/>
  <c r="UGW23" i="1" s="1"/>
  <c r="UGX23" i="1" s="1"/>
  <c r="UGY23" i="1" s="1"/>
  <c r="UGZ23" i="1" s="1"/>
  <c r="UHA23" i="1" s="1"/>
  <c r="UHB23" i="1" s="1"/>
  <c r="UHC23" i="1" s="1"/>
  <c r="UHD23" i="1" s="1"/>
  <c r="UHE23" i="1" s="1"/>
  <c r="UHF23" i="1" s="1"/>
  <c r="UHG23" i="1" s="1"/>
  <c r="UHH23" i="1" s="1"/>
  <c r="UHI23" i="1" s="1"/>
  <c r="UHJ23" i="1" s="1"/>
  <c r="UHK23" i="1" s="1"/>
  <c r="UHL23" i="1" s="1"/>
  <c r="UHM23" i="1" s="1"/>
  <c r="UHN23" i="1" s="1"/>
  <c r="UHO23" i="1" s="1"/>
  <c r="UHP23" i="1" s="1"/>
  <c r="UHQ23" i="1" s="1"/>
  <c r="UHR23" i="1" s="1"/>
  <c r="UHS23" i="1" s="1"/>
  <c r="UHT23" i="1" s="1"/>
  <c r="UHU23" i="1" s="1"/>
  <c r="UHV23" i="1" s="1"/>
  <c r="UHW23" i="1" s="1"/>
  <c r="UHX23" i="1" s="1"/>
  <c r="UHY23" i="1" s="1"/>
  <c r="UHZ23" i="1" s="1"/>
  <c r="UIA23" i="1" s="1"/>
  <c r="UIB23" i="1" s="1"/>
  <c r="UIC23" i="1" s="1"/>
  <c r="UID23" i="1" s="1"/>
  <c r="UIE23" i="1" s="1"/>
  <c r="UIF23" i="1" s="1"/>
  <c r="UIG23" i="1" s="1"/>
  <c r="UIH23" i="1" s="1"/>
  <c r="UII23" i="1" s="1"/>
  <c r="UIJ23" i="1" s="1"/>
  <c r="UIK23" i="1" s="1"/>
  <c r="UIL23" i="1" s="1"/>
  <c r="UIM23" i="1" s="1"/>
  <c r="UIN23" i="1" s="1"/>
  <c r="UIO23" i="1" s="1"/>
  <c r="UIP23" i="1" s="1"/>
  <c r="UIQ23" i="1" s="1"/>
  <c r="UIR23" i="1" s="1"/>
  <c r="UIS23" i="1" s="1"/>
  <c r="UIT23" i="1" s="1"/>
  <c r="UIU23" i="1" s="1"/>
  <c r="UIV23" i="1" s="1"/>
  <c r="UIW23" i="1" s="1"/>
  <c r="UIX23" i="1" s="1"/>
  <c r="UIY23" i="1" s="1"/>
  <c r="UIZ23" i="1" s="1"/>
  <c r="UJA23" i="1" s="1"/>
  <c r="UJB23" i="1" s="1"/>
  <c r="UJC23" i="1" s="1"/>
  <c r="UJD23" i="1" s="1"/>
  <c r="UJE23" i="1" s="1"/>
  <c r="UJF23" i="1" s="1"/>
  <c r="UJG23" i="1" s="1"/>
  <c r="UJH23" i="1" s="1"/>
  <c r="UJI23" i="1" s="1"/>
  <c r="UJJ23" i="1" s="1"/>
  <c r="UJK23" i="1" s="1"/>
  <c r="UJL23" i="1" s="1"/>
  <c r="UJM23" i="1" s="1"/>
  <c r="UJN23" i="1" s="1"/>
  <c r="UJO23" i="1" s="1"/>
  <c r="UJP23" i="1" s="1"/>
  <c r="UJQ23" i="1" s="1"/>
  <c r="UJR23" i="1" s="1"/>
  <c r="UJS23" i="1" s="1"/>
  <c r="UJT23" i="1" s="1"/>
  <c r="UJU23" i="1" s="1"/>
  <c r="UJV23" i="1" s="1"/>
  <c r="UJW23" i="1" s="1"/>
  <c r="UJX23" i="1" s="1"/>
  <c r="UJY23" i="1" s="1"/>
  <c r="UJZ23" i="1" s="1"/>
  <c r="UKA23" i="1" s="1"/>
  <c r="UKB23" i="1" s="1"/>
  <c r="UKC23" i="1" s="1"/>
  <c r="UKD23" i="1" s="1"/>
  <c r="UKE23" i="1" s="1"/>
  <c r="UKF23" i="1" s="1"/>
  <c r="UKG23" i="1" s="1"/>
  <c r="UKH23" i="1" s="1"/>
  <c r="UKI23" i="1" s="1"/>
  <c r="UKJ23" i="1" s="1"/>
  <c r="UKK23" i="1" s="1"/>
  <c r="UKL23" i="1" s="1"/>
  <c r="UKM23" i="1" s="1"/>
  <c r="UKN23" i="1" s="1"/>
  <c r="UKO23" i="1" s="1"/>
  <c r="UKP23" i="1" s="1"/>
  <c r="UKQ23" i="1" s="1"/>
  <c r="UKR23" i="1" s="1"/>
  <c r="UKS23" i="1" s="1"/>
  <c r="UKT23" i="1" s="1"/>
  <c r="UKU23" i="1" s="1"/>
  <c r="UKV23" i="1" s="1"/>
  <c r="UKW23" i="1" s="1"/>
  <c r="UKX23" i="1" s="1"/>
  <c r="UKY23" i="1" s="1"/>
  <c r="UKZ23" i="1" s="1"/>
  <c r="ULA23" i="1" s="1"/>
  <c r="ULB23" i="1" s="1"/>
  <c r="ULC23" i="1" s="1"/>
  <c r="ULD23" i="1" s="1"/>
  <c r="ULE23" i="1" s="1"/>
  <c r="ULF23" i="1" s="1"/>
  <c r="ULG23" i="1" s="1"/>
  <c r="ULH23" i="1" s="1"/>
  <c r="ULI23" i="1" s="1"/>
  <c r="ULJ23" i="1" s="1"/>
  <c r="ULK23" i="1" s="1"/>
  <c r="ULL23" i="1" s="1"/>
  <c r="ULM23" i="1" s="1"/>
  <c r="ULN23" i="1" s="1"/>
  <c r="ULO23" i="1" s="1"/>
  <c r="ULP23" i="1" s="1"/>
  <c r="ULQ23" i="1" s="1"/>
  <c r="ULR23" i="1" s="1"/>
  <c r="ULS23" i="1" s="1"/>
  <c r="ULT23" i="1" s="1"/>
  <c r="ULU23" i="1" s="1"/>
  <c r="ULV23" i="1" s="1"/>
  <c r="ULW23" i="1" s="1"/>
  <c r="ULX23" i="1" s="1"/>
  <c r="ULY23" i="1" s="1"/>
  <c r="ULZ23" i="1" s="1"/>
  <c r="UMA23" i="1" s="1"/>
  <c r="UMB23" i="1" s="1"/>
  <c r="UMC23" i="1" s="1"/>
  <c r="UMD23" i="1" s="1"/>
  <c r="UME23" i="1" s="1"/>
  <c r="UMF23" i="1" s="1"/>
  <c r="UMG23" i="1" s="1"/>
  <c r="UMH23" i="1" s="1"/>
  <c r="UMI23" i="1" s="1"/>
  <c r="UMJ23" i="1" s="1"/>
  <c r="UMK23" i="1" s="1"/>
  <c r="UML23" i="1" s="1"/>
  <c r="UMM23" i="1" s="1"/>
  <c r="UMN23" i="1" s="1"/>
  <c r="UMO23" i="1" s="1"/>
  <c r="UMP23" i="1" s="1"/>
  <c r="UMQ23" i="1" s="1"/>
  <c r="UMR23" i="1" s="1"/>
  <c r="UMS23" i="1" s="1"/>
  <c r="UMT23" i="1" s="1"/>
  <c r="UMU23" i="1" s="1"/>
  <c r="UMV23" i="1" s="1"/>
  <c r="UMW23" i="1" s="1"/>
  <c r="UMX23" i="1" s="1"/>
  <c r="UMY23" i="1" s="1"/>
  <c r="UMZ23" i="1" s="1"/>
  <c r="UNA23" i="1" s="1"/>
  <c r="UNB23" i="1" s="1"/>
  <c r="UNC23" i="1" s="1"/>
  <c r="UND23" i="1" s="1"/>
  <c r="UNE23" i="1" s="1"/>
  <c r="UNF23" i="1" s="1"/>
  <c r="UNG23" i="1" s="1"/>
  <c r="UNH23" i="1" s="1"/>
  <c r="UNI23" i="1" s="1"/>
  <c r="UNJ23" i="1" s="1"/>
  <c r="UNK23" i="1" s="1"/>
  <c r="UNL23" i="1" s="1"/>
  <c r="UNM23" i="1" s="1"/>
  <c r="UNN23" i="1" s="1"/>
  <c r="UNO23" i="1" s="1"/>
  <c r="UNP23" i="1" s="1"/>
  <c r="UNQ23" i="1" s="1"/>
  <c r="UNR23" i="1" s="1"/>
  <c r="UNS23" i="1" s="1"/>
  <c r="UNT23" i="1" s="1"/>
  <c r="UNU23" i="1" s="1"/>
  <c r="UNV23" i="1" s="1"/>
  <c r="UNW23" i="1" s="1"/>
  <c r="UNX23" i="1" s="1"/>
  <c r="UNY23" i="1" s="1"/>
  <c r="UNZ23" i="1" s="1"/>
  <c r="UOA23" i="1" s="1"/>
  <c r="UOB23" i="1" s="1"/>
  <c r="UOC23" i="1" s="1"/>
  <c r="UOD23" i="1" s="1"/>
  <c r="UOE23" i="1" s="1"/>
  <c r="UOF23" i="1" s="1"/>
  <c r="UOG23" i="1" s="1"/>
  <c r="UOH23" i="1" s="1"/>
  <c r="UOI23" i="1" s="1"/>
  <c r="UOJ23" i="1" s="1"/>
  <c r="UOK23" i="1" s="1"/>
  <c r="UOL23" i="1" s="1"/>
  <c r="UOM23" i="1" s="1"/>
  <c r="UON23" i="1" s="1"/>
  <c r="UOO23" i="1" s="1"/>
  <c r="UOP23" i="1" s="1"/>
  <c r="UOQ23" i="1" s="1"/>
  <c r="UOR23" i="1" s="1"/>
  <c r="UOS23" i="1" s="1"/>
  <c r="UOT23" i="1" s="1"/>
  <c r="UOU23" i="1" s="1"/>
  <c r="UOV23" i="1" s="1"/>
  <c r="UOW23" i="1" s="1"/>
  <c r="UOX23" i="1" s="1"/>
  <c r="UOY23" i="1" s="1"/>
  <c r="UOZ23" i="1" s="1"/>
  <c r="UPA23" i="1" s="1"/>
  <c r="UPB23" i="1" s="1"/>
  <c r="UPC23" i="1" s="1"/>
  <c r="UPD23" i="1" s="1"/>
  <c r="UPE23" i="1" s="1"/>
  <c r="UPF23" i="1" s="1"/>
  <c r="UPG23" i="1" s="1"/>
  <c r="UPH23" i="1" s="1"/>
  <c r="UPI23" i="1" s="1"/>
  <c r="UPJ23" i="1" s="1"/>
  <c r="UPK23" i="1" s="1"/>
  <c r="UPL23" i="1" s="1"/>
  <c r="UPM23" i="1" s="1"/>
  <c r="UPN23" i="1" s="1"/>
  <c r="UPO23" i="1" s="1"/>
  <c r="UPP23" i="1" s="1"/>
  <c r="UPQ23" i="1" s="1"/>
  <c r="UPR23" i="1" s="1"/>
  <c r="UPS23" i="1" s="1"/>
  <c r="UPT23" i="1" s="1"/>
  <c r="UPU23" i="1" s="1"/>
  <c r="UPV23" i="1" s="1"/>
  <c r="UPW23" i="1" s="1"/>
  <c r="UPX23" i="1" s="1"/>
  <c r="UPY23" i="1" s="1"/>
  <c r="UPZ23" i="1" s="1"/>
  <c r="UQA23" i="1" s="1"/>
  <c r="UQB23" i="1" s="1"/>
  <c r="UQC23" i="1" s="1"/>
  <c r="UQD23" i="1" s="1"/>
  <c r="UQE23" i="1" s="1"/>
  <c r="UQF23" i="1" s="1"/>
  <c r="UQG23" i="1" s="1"/>
  <c r="UQH23" i="1" s="1"/>
  <c r="UQI23" i="1" s="1"/>
  <c r="UQJ23" i="1" s="1"/>
  <c r="UQK23" i="1" s="1"/>
  <c r="UQL23" i="1" s="1"/>
  <c r="UQM23" i="1" s="1"/>
  <c r="UQN23" i="1" s="1"/>
  <c r="UQO23" i="1" s="1"/>
  <c r="UQP23" i="1" s="1"/>
  <c r="UQQ23" i="1" s="1"/>
  <c r="UQR23" i="1" s="1"/>
  <c r="UQS23" i="1" s="1"/>
  <c r="UQT23" i="1" s="1"/>
  <c r="UQU23" i="1" s="1"/>
  <c r="UQV23" i="1" s="1"/>
  <c r="UQW23" i="1" s="1"/>
  <c r="UQX23" i="1" s="1"/>
  <c r="UQY23" i="1" s="1"/>
  <c r="UQZ23" i="1" s="1"/>
  <c r="URA23" i="1" s="1"/>
  <c r="URB23" i="1" s="1"/>
  <c r="URC23" i="1" s="1"/>
  <c r="URD23" i="1" s="1"/>
  <c r="URE23" i="1" s="1"/>
  <c r="URF23" i="1" s="1"/>
  <c r="URG23" i="1" s="1"/>
  <c r="URH23" i="1" s="1"/>
  <c r="URI23" i="1" s="1"/>
  <c r="URJ23" i="1" s="1"/>
  <c r="URK23" i="1" s="1"/>
  <c r="URL23" i="1" s="1"/>
  <c r="URM23" i="1" s="1"/>
  <c r="URN23" i="1" s="1"/>
  <c r="URO23" i="1" s="1"/>
  <c r="URP23" i="1" s="1"/>
  <c r="URQ23" i="1" s="1"/>
  <c r="URR23" i="1" s="1"/>
  <c r="URS23" i="1" s="1"/>
  <c r="URT23" i="1" s="1"/>
  <c r="URU23" i="1" s="1"/>
  <c r="URV23" i="1" s="1"/>
  <c r="URW23" i="1" s="1"/>
  <c r="URX23" i="1" s="1"/>
  <c r="URY23" i="1" s="1"/>
  <c r="URZ23" i="1" s="1"/>
  <c r="USA23" i="1" s="1"/>
  <c r="USB23" i="1" s="1"/>
  <c r="USC23" i="1" s="1"/>
  <c r="USD23" i="1" s="1"/>
  <c r="USE23" i="1" s="1"/>
  <c r="USF23" i="1" s="1"/>
  <c r="USG23" i="1" s="1"/>
  <c r="USH23" i="1" s="1"/>
  <c r="USI23" i="1" s="1"/>
  <c r="USJ23" i="1" s="1"/>
  <c r="USK23" i="1" s="1"/>
  <c r="USL23" i="1" s="1"/>
  <c r="USM23" i="1" s="1"/>
  <c r="USN23" i="1" s="1"/>
  <c r="USO23" i="1" s="1"/>
  <c r="USP23" i="1" s="1"/>
  <c r="USQ23" i="1" s="1"/>
  <c r="USR23" i="1" s="1"/>
  <c r="USS23" i="1" s="1"/>
  <c r="UST23" i="1" s="1"/>
  <c r="USU23" i="1" s="1"/>
  <c r="USV23" i="1" s="1"/>
  <c r="USW23" i="1" s="1"/>
  <c r="USX23" i="1" s="1"/>
  <c r="USY23" i="1" s="1"/>
  <c r="USZ23" i="1" s="1"/>
  <c r="UTA23" i="1" s="1"/>
  <c r="UTB23" i="1" s="1"/>
  <c r="UTC23" i="1" s="1"/>
  <c r="UTD23" i="1" s="1"/>
  <c r="UTE23" i="1" s="1"/>
  <c r="UTF23" i="1" s="1"/>
  <c r="UTG23" i="1" s="1"/>
  <c r="UTH23" i="1" s="1"/>
  <c r="UTI23" i="1" s="1"/>
  <c r="UTJ23" i="1" s="1"/>
  <c r="UTK23" i="1" s="1"/>
  <c r="UTL23" i="1" s="1"/>
  <c r="UTM23" i="1" s="1"/>
  <c r="UTN23" i="1" s="1"/>
  <c r="UTO23" i="1" s="1"/>
  <c r="UTP23" i="1" s="1"/>
  <c r="UTQ23" i="1" s="1"/>
  <c r="UTR23" i="1" s="1"/>
  <c r="UTS23" i="1" s="1"/>
  <c r="UTT23" i="1" s="1"/>
  <c r="UTU23" i="1" s="1"/>
  <c r="UTV23" i="1" s="1"/>
  <c r="UTW23" i="1" s="1"/>
  <c r="UTX23" i="1" s="1"/>
  <c r="UTY23" i="1" s="1"/>
  <c r="UTZ23" i="1" s="1"/>
  <c r="UUA23" i="1" s="1"/>
  <c r="UUB23" i="1" s="1"/>
  <c r="UUC23" i="1" s="1"/>
  <c r="UUD23" i="1" s="1"/>
  <c r="UUE23" i="1" s="1"/>
  <c r="UUF23" i="1" s="1"/>
  <c r="UUG23" i="1" s="1"/>
  <c r="UUH23" i="1" s="1"/>
  <c r="UUI23" i="1" s="1"/>
  <c r="UUJ23" i="1" s="1"/>
  <c r="UUK23" i="1" s="1"/>
  <c r="UUL23" i="1" s="1"/>
  <c r="UUM23" i="1" s="1"/>
  <c r="UUN23" i="1" s="1"/>
  <c r="UUO23" i="1" s="1"/>
  <c r="UUP23" i="1" s="1"/>
  <c r="UUQ23" i="1" s="1"/>
  <c r="UUR23" i="1" s="1"/>
  <c r="UUS23" i="1" s="1"/>
  <c r="UUT23" i="1" s="1"/>
  <c r="UUU23" i="1" s="1"/>
  <c r="UUV23" i="1" s="1"/>
  <c r="UUW23" i="1" s="1"/>
  <c r="UUX23" i="1" s="1"/>
  <c r="UUY23" i="1" s="1"/>
  <c r="UUZ23" i="1" s="1"/>
  <c r="UVA23" i="1" s="1"/>
  <c r="UVB23" i="1" s="1"/>
  <c r="UVC23" i="1" s="1"/>
  <c r="UVD23" i="1" s="1"/>
  <c r="UVE23" i="1" s="1"/>
  <c r="UVF23" i="1" s="1"/>
  <c r="UVG23" i="1" s="1"/>
  <c r="UVH23" i="1" s="1"/>
  <c r="UVI23" i="1" s="1"/>
  <c r="UVJ23" i="1" s="1"/>
  <c r="UVK23" i="1" s="1"/>
  <c r="UVL23" i="1" s="1"/>
  <c r="UVM23" i="1" s="1"/>
  <c r="UVN23" i="1" s="1"/>
  <c r="UVO23" i="1" s="1"/>
  <c r="UVP23" i="1" s="1"/>
  <c r="UVQ23" i="1" s="1"/>
  <c r="UVR23" i="1" s="1"/>
  <c r="UVS23" i="1" s="1"/>
  <c r="UVT23" i="1" s="1"/>
  <c r="UVU23" i="1" s="1"/>
  <c r="UVV23" i="1" s="1"/>
  <c r="UVW23" i="1" s="1"/>
  <c r="UVX23" i="1" s="1"/>
  <c r="UVY23" i="1" s="1"/>
  <c r="UVZ23" i="1" s="1"/>
  <c r="UWA23" i="1" s="1"/>
  <c r="UWB23" i="1" s="1"/>
  <c r="UWC23" i="1" s="1"/>
  <c r="UWD23" i="1" s="1"/>
  <c r="UWE23" i="1" s="1"/>
  <c r="UWF23" i="1" s="1"/>
  <c r="UWG23" i="1" s="1"/>
  <c r="UWH23" i="1" s="1"/>
  <c r="UWI23" i="1" s="1"/>
  <c r="UWJ23" i="1" s="1"/>
  <c r="UWK23" i="1" s="1"/>
  <c r="UWL23" i="1" s="1"/>
  <c r="UWM23" i="1" s="1"/>
  <c r="UWN23" i="1" s="1"/>
  <c r="UWO23" i="1" s="1"/>
  <c r="UWP23" i="1" s="1"/>
  <c r="UWQ23" i="1" s="1"/>
  <c r="UWR23" i="1" s="1"/>
  <c r="UWS23" i="1" s="1"/>
  <c r="UWT23" i="1" s="1"/>
  <c r="UWU23" i="1" s="1"/>
  <c r="UWV23" i="1" s="1"/>
  <c r="UWW23" i="1" s="1"/>
  <c r="UWX23" i="1" s="1"/>
  <c r="UWY23" i="1" s="1"/>
  <c r="UWZ23" i="1" s="1"/>
  <c r="UXA23" i="1" s="1"/>
  <c r="UXB23" i="1" s="1"/>
  <c r="UXC23" i="1" s="1"/>
  <c r="UXD23" i="1" s="1"/>
  <c r="UXE23" i="1" s="1"/>
  <c r="UXF23" i="1" s="1"/>
  <c r="UXG23" i="1" s="1"/>
  <c r="UXH23" i="1" s="1"/>
  <c r="UXI23" i="1" s="1"/>
  <c r="UXJ23" i="1" s="1"/>
  <c r="UXK23" i="1" s="1"/>
  <c r="UXL23" i="1" s="1"/>
  <c r="UXM23" i="1" s="1"/>
  <c r="UXN23" i="1" s="1"/>
  <c r="UXO23" i="1" s="1"/>
  <c r="UXP23" i="1" s="1"/>
  <c r="UXQ23" i="1" s="1"/>
  <c r="UXR23" i="1" s="1"/>
  <c r="UXS23" i="1" s="1"/>
  <c r="UXT23" i="1" s="1"/>
  <c r="UXU23" i="1" s="1"/>
  <c r="UXV23" i="1" s="1"/>
  <c r="UXW23" i="1" s="1"/>
  <c r="UXX23" i="1" s="1"/>
  <c r="UXY23" i="1" s="1"/>
  <c r="UXZ23" i="1" s="1"/>
  <c r="UYA23" i="1" s="1"/>
  <c r="UYB23" i="1" s="1"/>
  <c r="UYC23" i="1" s="1"/>
  <c r="UYD23" i="1" s="1"/>
  <c r="UYE23" i="1" s="1"/>
  <c r="UYF23" i="1" s="1"/>
  <c r="UYG23" i="1" s="1"/>
  <c r="UYH23" i="1" s="1"/>
  <c r="UYI23" i="1" s="1"/>
  <c r="UYJ23" i="1" s="1"/>
  <c r="UYK23" i="1" s="1"/>
  <c r="UYL23" i="1" s="1"/>
  <c r="UYM23" i="1" s="1"/>
  <c r="UYN23" i="1" s="1"/>
  <c r="UYO23" i="1" s="1"/>
  <c r="UYP23" i="1" s="1"/>
  <c r="UYQ23" i="1" s="1"/>
  <c r="UYR23" i="1" s="1"/>
  <c r="UYS23" i="1" s="1"/>
  <c r="UYT23" i="1" s="1"/>
  <c r="UYU23" i="1" s="1"/>
  <c r="UYV23" i="1" s="1"/>
  <c r="UYW23" i="1" s="1"/>
  <c r="UYX23" i="1" s="1"/>
  <c r="UYY23" i="1" s="1"/>
  <c r="UYZ23" i="1" s="1"/>
  <c r="UZA23" i="1" s="1"/>
  <c r="UZB23" i="1" s="1"/>
  <c r="UZC23" i="1" s="1"/>
  <c r="UZD23" i="1" s="1"/>
  <c r="UZE23" i="1" s="1"/>
  <c r="UZF23" i="1" s="1"/>
  <c r="UZG23" i="1" s="1"/>
  <c r="UZH23" i="1" s="1"/>
  <c r="UZI23" i="1" s="1"/>
  <c r="UZJ23" i="1" s="1"/>
  <c r="UZK23" i="1" s="1"/>
  <c r="UZL23" i="1" s="1"/>
  <c r="UZM23" i="1" s="1"/>
  <c r="UZN23" i="1" s="1"/>
  <c r="UZO23" i="1" s="1"/>
  <c r="UZP23" i="1" s="1"/>
  <c r="UZQ23" i="1" s="1"/>
  <c r="UZR23" i="1" s="1"/>
  <c r="UZS23" i="1" s="1"/>
  <c r="UZT23" i="1" s="1"/>
  <c r="UZU23" i="1" s="1"/>
  <c r="UZV23" i="1" s="1"/>
  <c r="UZW23" i="1" s="1"/>
  <c r="UZX23" i="1" s="1"/>
  <c r="UZY23" i="1" s="1"/>
  <c r="UZZ23" i="1" s="1"/>
  <c r="VAA23" i="1" s="1"/>
  <c r="VAB23" i="1" s="1"/>
  <c r="VAC23" i="1" s="1"/>
  <c r="VAD23" i="1" s="1"/>
  <c r="VAE23" i="1" s="1"/>
  <c r="VAF23" i="1" s="1"/>
  <c r="VAG23" i="1" s="1"/>
  <c r="VAH23" i="1" s="1"/>
  <c r="VAI23" i="1" s="1"/>
  <c r="VAJ23" i="1" s="1"/>
  <c r="VAK23" i="1" s="1"/>
  <c r="VAL23" i="1" s="1"/>
  <c r="VAM23" i="1" s="1"/>
  <c r="VAN23" i="1" s="1"/>
  <c r="VAO23" i="1" s="1"/>
  <c r="VAP23" i="1" s="1"/>
  <c r="VAQ23" i="1" s="1"/>
  <c r="VAR23" i="1" s="1"/>
  <c r="VAS23" i="1" s="1"/>
  <c r="VAT23" i="1" s="1"/>
  <c r="VAU23" i="1" s="1"/>
  <c r="VAV23" i="1" s="1"/>
  <c r="VAW23" i="1" s="1"/>
  <c r="VAX23" i="1" s="1"/>
  <c r="VAY23" i="1" s="1"/>
  <c r="VAZ23" i="1" s="1"/>
  <c r="VBA23" i="1" s="1"/>
  <c r="VBB23" i="1" s="1"/>
  <c r="VBC23" i="1" s="1"/>
  <c r="VBD23" i="1" s="1"/>
  <c r="VBE23" i="1" s="1"/>
  <c r="VBF23" i="1" s="1"/>
  <c r="VBG23" i="1" s="1"/>
  <c r="VBH23" i="1" s="1"/>
  <c r="VBI23" i="1" s="1"/>
  <c r="VBJ23" i="1" s="1"/>
  <c r="VBK23" i="1" s="1"/>
  <c r="VBL23" i="1" s="1"/>
  <c r="VBM23" i="1" s="1"/>
  <c r="VBN23" i="1" s="1"/>
  <c r="VBO23" i="1" s="1"/>
  <c r="VBP23" i="1" s="1"/>
  <c r="VBQ23" i="1" s="1"/>
  <c r="VBR23" i="1" s="1"/>
  <c r="VBS23" i="1" s="1"/>
  <c r="VBT23" i="1" s="1"/>
  <c r="VBU23" i="1" s="1"/>
  <c r="VBV23" i="1" s="1"/>
  <c r="VBW23" i="1" s="1"/>
  <c r="VBX23" i="1" s="1"/>
  <c r="VBY23" i="1" s="1"/>
  <c r="VBZ23" i="1" s="1"/>
  <c r="VCA23" i="1" s="1"/>
  <c r="VCB23" i="1" s="1"/>
  <c r="VCC23" i="1" s="1"/>
  <c r="VCD23" i="1" s="1"/>
  <c r="VCE23" i="1" s="1"/>
  <c r="VCF23" i="1" s="1"/>
  <c r="VCG23" i="1" s="1"/>
  <c r="VCH23" i="1" s="1"/>
  <c r="VCI23" i="1" s="1"/>
  <c r="VCJ23" i="1" s="1"/>
  <c r="VCK23" i="1" s="1"/>
  <c r="VCL23" i="1" s="1"/>
  <c r="VCM23" i="1" s="1"/>
  <c r="VCN23" i="1" s="1"/>
  <c r="VCO23" i="1" s="1"/>
  <c r="VCP23" i="1" s="1"/>
  <c r="VCQ23" i="1" s="1"/>
  <c r="VCR23" i="1" s="1"/>
  <c r="VCS23" i="1" s="1"/>
  <c r="VCT23" i="1" s="1"/>
  <c r="VCU23" i="1" s="1"/>
  <c r="VCV23" i="1" s="1"/>
  <c r="VCW23" i="1" s="1"/>
  <c r="VCX23" i="1" s="1"/>
  <c r="VCY23" i="1" s="1"/>
  <c r="VCZ23" i="1" s="1"/>
  <c r="VDA23" i="1" s="1"/>
  <c r="VDB23" i="1" s="1"/>
  <c r="VDC23" i="1" s="1"/>
  <c r="VDD23" i="1" s="1"/>
  <c r="VDE23" i="1" s="1"/>
  <c r="VDF23" i="1" s="1"/>
  <c r="VDG23" i="1" s="1"/>
  <c r="VDH23" i="1" s="1"/>
  <c r="VDI23" i="1" s="1"/>
  <c r="VDJ23" i="1" s="1"/>
  <c r="VDK23" i="1" s="1"/>
  <c r="VDL23" i="1" s="1"/>
  <c r="VDM23" i="1" s="1"/>
  <c r="VDN23" i="1" s="1"/>
  <c r="VDO23" i="1" s="1"/>
  <c r="VDP23" i="1" s="1"/>
  <c r="VDQ23" i="1" s="1"/>
  <c r="VDR23" i="1" s="1"/>
  <c r="VDS23" i="1" s="1"/>
  <c r="VDT23" i="1" s="1"/>
  <c r="VDU23" i="1" s="1"/>
  <c r="VDV23" i="1" s="1"/>
  <c r="VDW23" i="1" s="1"/>
  <c r="VDX23" i="1" s="1"/>
  <c r="VDY23" i="1" s="1"/>
  <c r="VDZ23" i="1" s="1"/>
  <c r="VEA23" i="1" s="1"/>
  <c r="VEB23" i="1" s="1"/>
  <c r="VEC23" i="1" s="1"/>
  <c r="VED23" i="1" s="1"/>
  <c r="VEE23" i="1" s="1"/>
  <c r="VEF23" i="1" s="1"/>
  <c r="VEG23" i="1" s="1"/>
  <c r="VEH23" i="1" s="1"/>
  <c r="VEI23" i="1" s="1"/>
  <c r="VEJ23" i="1" s="1"/>
  <c r="VEK23" i="1" s="1"/>
  <c r="VEL23" i="1" s="1"/>
  <c r="VEM23" i="1" s="1"/>
  <c r="VEN23" i="1" s="1"/>
  <c r="VEO23" i="1" s="1"/>
  <c r="VEP23" i="1" s="1"/>
  <c r="VEQ23" i="1" s="1"/>
  <c r="VER23" i="1" s="1"/>
  <c r="VES23" i="1" s="1"/>
  <c r="VET23" i="1" s="1"/>
  <c r="VEU23" i="1" s="1"/>
  <c r="VEV23" i="1" s="1"/>
  <c r="VEW23" i="1" s="1"/>
  <c r="VEX23" i="1" s="1"/>
  <c r="VEY23" i="1" s="1"/>
  <c r="VEZ23" i="1" s="1"/>
  <c r="VFA23" i="1" s="1"/>
  <c r="VFB23" i="1" s="1"/>
  <c r="VFC23" i="1" s="1"/>
  <c r="VFD23" i="1" s="1"/>
  <c r="VFE23" i="1" s="1"/>
  <c r="VFF23" i="1" s="1"/>
  <c r="VFG23" i="1" s="1"/>
  <c r="VFH23" i="1" s="1"/>
  <c r="VFI23" i="1" s="1"/>
  <c r="VFJ23" i="1" s="1"/>
  <c r="VFK23" i="1" s="1"/>
  <c r="VFL23" i="1" s="1"/>
  <c r="VFM23" i="1" s="1"/>
  <c r="VFN23" i="1" s="1"/>
  <c r="VFO23" i="1" s="1"/>
  <c r="VFP23" i="1" s="1"/>
  <c r="VFQ23" i="1" s="1"/>
  <c r="VFR23" i="1" s="1"/>
  <c r="VFS23" i="1" s="1"/>
  <c r="VFT23" i="1" s="1"/>
  <c r="VFU23" i="1" s="1"/>
  <c r="VFV23" i="1" s="1"/>
  <c r="VFW23" i="1" s="1"/>
  <c r="VFX23" i="1" s="1"/>
  <c r="VFY23" i="1" s="1"/>
  <c r="VFZ23" i="1" s="1"/>
  <c r="VGA23" i="1" s="1"/>
  <c r="VGB23" i="1" s="1"/>
  <c r="VGC23" i="1" s="1"/>
  <c r="VGD23" i="1" s="1"/>
  <c r="VGE23" i="1" s="1"/>
  <c r="VGF23" i="1" s="1"/>
  <c r="VGG23" i="1" s="1"/>
  <c r="VGH23" i="1" s="1"/>
  <c r="VGI23" i="1" s="1"/>
  <c r="VGJ23" i="1" s="1"/>
  <c r="VGK23" i="1" s="1"/>
  <c r="VGL23" i="1" s="1"/>
  <c r="VGM23" i="1" s="1"/>
  <c r="VGN23" i="1" s="1"/>
  <c r="VGO23" i="1" s="1"/>
  <c r="VGP23" i="1" s="1"/>
  <c r="VGQ23" i="1" s="1"/>
  <c r="VGR23" i="1" s="1"/>
  <c r="VGS23" i="1" s="1"/>
  <c r="VGT23" i="1" s="1"/>
  <c r="VGU23" i="1" s="1"/>
  <c r="VGV23" i="1" s="1"/>
  <c r="VGW23" i="1" s="1"/>
  <c r="VGX23" i="1" s="1"/>
  <c r="VGY23" i="1" s="1"/>
  <c r="VGZ23" i="1" s="1"/>
  <c r="VHA23" i="1" s="1"/>
  <c r="VHB23" i="1" s="1"/>
  <c r="VHC23" i="1" s="1"/>
  <c r="VHD23" i="1" s="1"/>
  <c r="VHE23" i="1" s="1"/>
  <c r="VHF23" i="1" s="1"/>
  <c r="VHG23" i="1" s="1"/>
  <c r="VHH23" i="1" s="1"/>
  <c r="VHI23" i="1" s="1"/>
  <c r="VHJ23" i="1" s="1"/>
  <c r="VHK23" i="1" s="1"/>
  <c r="VHL23" i="1" s="1"/>
  <c r="VHM23" i="1" s="1"/>
  <c r="VHN23" i="1" s="1"/>
  <c r="VHO23" i="1" s="1"/>
  <c r="VHP23" i="1" s="1"/>
  <c r="VHQ23" i="1" s="1"/>
  <c r="VHR23" i="1" s="1"/>
  <c r="VHS23" i="1" s="1"/>
  <c r="VHT23" i="1" s="1"/>
  <c r="VHU23" i="1" s="1"/>
  <c r="VHV23" i="1" s="1"/>
  <c r="VHW23" i="1" s="1"/>
  <c r="VHX23" i="1" s="1"/>
  <c r="VHY23" i="1" s="1"/>
  <c r="VHZ23" i="1" s="1"/>
  <c r="VIA23" i="1" s="1"/>
  <c r="VIB23" i="1" s="1"/>
  <c r="VIC23" i="1" s="1"/>
  <c r="VID23" i="1" s="1"/>
  <c r="VIE23" i="1" s="1"/>
  <c r="VIF23" i="1" s="1"/>
  <c r="VIG23" i="1" s="1"/>
  <c r="VIH23" i="1" s="1"/>
  <c r="VII23" i="1" s="1"/>
  <c r="VIJ23" i="1" s="1"/>
  <c r="VIK23" i="1" s="1"/>
  <c r="VIL23" i="1" s="1"/>
  <c r="VIM23" i="1" s="1"/>
  <c r="VIN23" i="1" s="1"/>
  <c r="VIO23" i="1" s="1"/>
  <c r="VIP23" i="1" s="1"/>
  <c r="VIQ23" i="1" s="1"/>
  <c r="VIR23" i="1" s="1"/>
  <c r="VIS23" i="1" s="1"/>
  <c r="VIT23" i="1" s="1"/>
  <c r="VIU23" i="1" s="1"/>
  <c r="VIV23" i="1" s="1"/>
  <c r="VIW23" i="1" s="1"/>
  <c r="VIX23" i="1" s="1"/>
  <c r="VIY23" i="1" s="1"/>
  <c r="VIZ23" i="1" s="1"/>
  <c r="VJA23" i="1" s="1"/>
  <c r="VJB23" i="1" s="1"/>
  <c r="VJC23" i="1" s="1"/>
  <c r="VJD23" i="1" s="1"/>
  <c r="VJE23" i="1" s="1"/>
  <c r="VJF23" i="1" s="1"/>
  <c r="VJG23" i="1" s="1"/>
  <c r="VJH23" i="1" s="1"/>
  <c r="VJI23" i="1" s="1"/>
  <c r="VJJ23" i="1" s="1"/>
  <c r="VJK23" i="1" s="1"/>
  <c r="VJL23" i="1" s="1"/>
  <c r="VJM23" i="1" s="1"/>
  <c r="VJN23" i="1" s="1"/>
  <c r="VJO23" i="1" s="1"/>
  <c r="VJP23" i="1" s="1"/>
  <c r="VJQ23" i="1" s="1"/>
  <c r="VJR23" i="1" s="1"/>
  <c r="VJS23" i="1" s="1"/>
  <c r="VJT23" i="1" s="1"/>
  <c r="VJU23" i="1" s="1"/>
  <c r="VJV23" i="1" s="1"/>
  <c r="VJW23" i="1" s="1"/>
  <c r="VJX23" i="1" s="1"/>
  <c r="VJY23" i="1" s="1"/>
  <c r="VJZ23" i="1" s="1"/>
  <c r="VKA23" i="1" s="1"/>
  <c r="VKB23" i="1" s="1"/>
  <c r="VKC23" i="1" s="1"/>
  <c r="VKD23" i="1" s="1"/>
  <c r="VKE23" i="1" s="1"/>
  <c r="VKF23" i="1" s="1"/>
  <c r="VKG23" i="1" s="1"/>
  <c r="VKH23" i="1" s="1"/>
  <c r="VKI23" i="1" s="1"/>
  <c r="VKJ23" i="1" s="1"/>
  <c r="VKK23" i="1" s="1"/>
  <c r="VKL23" i="1" s="1"/>
  <c r="VKM23" i="1" s="1"/>
  <c r="VKN23" i="1" s="1"/>
  <c r="VKO23" i="1" s="1"/>
  <c r="VKP23" i="1" s="1"/>
  <c r="VKQ23" i="1" s="1"/>
  <c r="VKR23" i="1" s="1"/>
  <c r="VKS23" i="1" s="1"/>
  <c r="VKT23" i="1" s="1"/>
  <c r="VKU23" i="1" s="1"/>
  <c r="VKV23" i="1" s="1"/>
  <c r="VKW23" i="1" s="1"/>
  <c r="VKX23" i="1" s="1"/>
  <c r="VKY23" i="1" s="1"/>
  <c r="VKZ23" i="1" s="1"/>
  <c r="VLA23" i="1" s="1"/>
  <c r="VLB23" i="1" s="1"/>
  <c r="VLC23" i="1" s="1"/>
  <c r="VLD23" i="1" s="1"/>
  <c r="VLE23" i="1" s="1"/>
  <c r="VLF23" i="1" s="1"/>
  <c r="VLG23" i="1" s="1"/>
  <c r="VLH23" i="1" s="1"/>
  <c r="VLI23" i="1" s="1"/>
  <c r="VLJ23" i="1" s="1"/>
  <c r="VLK23" i="1" s="1"/>
  <c r="VLL23" i="1" s="1"/>
  <c r="VLM23" i="1" s="1"/>
  <c r="VLN23" i="1" s="1"/>
  <c r="VLO23" i="1" s="1"/>
  <c r="VLP23" i="1" s="1"/>
  <c r="VLQ23" i="1" s="1"/>
  <c r="VLR23" i="1" s="1"/>
  <c r="VLS23" i="1" s="1"/>
  <c r="VLT23" i="1" s="1"/>
  <c r="VLU23" i="1" s="1"/>
  <c r="VLV23" i="1" s="1"/>
  <c r="VLW23" i="1" s="1"/>
  <c r="VLX23" i="1" s="1"/>
  <c r="VLY23" i="1" s="1"/>
  <c r="VLZ23" i="1" s="1"/>
  <c r="VMA23" i="1" s="1"/>
  <c r="VMB23" i="1" s="1"/>
  <c r="VMC23" i="1" s="1"/>
  <c r="VMD23" i="1" s="1"/>
  <c r="VME23" i="1" s="1"/>
  <c r="VMF23" i="1" s="1"/>
  <c r="VMG23" i="1" s="1"/>
  <c r="VMH23" i="1" s="1"/>
  <c r="VMI23" i="1" s="1"/>
  <c r="VMJ23" i="1" s="1"/>
  <c r="VMK23" i="1" s="1"/>
  <c r="VML23" i="1" s="1"/>
  <c r="VMM23" i="1" s="1"/>
  <c r="VMN23" i="1" s="1"/>
  <c r="VMO23" i="1" s="1"/>
  <c r="VMP23" i="1" s="1"/>
  <c r="VMQ23" i="1" s="1"/>
  <c r="VMR23" i="1" s="1"/>
  <c r="VMS23" i="1" s="1"/>
  <c r="VMT23" i="1" s="1"/>
  <c r="VMU23" i="1" s="1"/>
  <c r="VMV23" i="1" s="1"/>
  <c r="VMW23" i="1" s="1"/>
  <c r="VMX23" i="1" s="1"/>
  <c r="VMY23" i="1" s="1"/>
  <c r="VMZ23" i="1" s="1"/>
  <c r="VNA23" i="1" s="1"/>
  <c r="VNB23" i="1" s="1"/>
  <c r="VNC23" i="1" s="1"/>
  <c r="VND23" i="1" s="1"/>
  <c r="VNE23" i="1" s="1"/>
  <c r="VNF23" i="1" s="1"/>
  <c r="VNG23" i="1" s="1"/>
  <c r="VNH23" i="1" s="1"/>
  <c r="VNI23" i="1" s="1"/>
  <c r="VNJ23" i="1" s="1"/>
  <c r="VNK23" i="1" s="1"/>
  <c r="VNL23" i="1" s="1"/>
  <c r="VNM23" i="1" s="1"/>
  <c r="VNN23" i="1" s="1"/>
  <c r="VNO23" i="1" s="1"/>
  <c r="VNP23" i="1" s="1"/>
  <c r="VNQ23" i="1" s="1"/>
  <c r="VNR23" i="1" s="1"/>
  <c r="VNS23" i="1" s="1"/>
  <c r="VNT23" i="1" s="1"/>
  <c r="VNU23" i="1" s="1"/>
  <c r="VNV23" i="1" s="1"/>
  <c r="VNW23" i="1" s="1"/>
  <c r="VNX23" i="1" s="1"/>
  <c r="VNY23" i="1" s="1"/>
  <c r="VNZ23" i="1" s="1"/>
  <c r="VOA23" i="1" s="1"/>
  <c r="VOB23" i="1" s="1"/>
  <c r="VOC23" i="1" s="1"/>
  <c r="VOD23" i="1" s="1"/>
  <c r="VOE23" i="1" s="1"/>
  <c r="VOF23" i="1" s="1"/>
  <c r="VOG23" i="1" s="1"/>
  <c r="VOH23" i="1" s="1"/>
  <c r="VOI23" i="1" s="1"/>
  <c r="VOJ23" i="1" s="1"/>
  <c r="VOK23" i="1" s="1"/>
  <c r="VOL23" i="1" s="1"/>
  <c r="VOM23" i="1" s="1"/>
  <c r="VON23" i="1" s="1"/>
  <c r="VOO23" i="1" s="1"/>
  <c r="VOP23" i="1" s="1"/>
  <c r="VOQ23" i="1" s="1"/>
  <c r="VOR23" i="1" s="1"/>
  <c r="VOS23" i="1" s="1"/>
  <c r="VOT23" i="1" s="1"/>
  <c r="VOU23" i="1" s="1"/>
  <c r="VOV23" i="1" s="1"/>
  <c r="VOW23" i="1" s="1"/>
  <c r="VOX23" i="1" s="1"/>
  <c r="VOY23" i="1" s="1"/>
  <c r="VOZ23" i="1" s="1"/>
  <c r="VPA23" i="1" s="1"/>
  <c r="VPB23" i="1" s="1"/>
  <c r="VPC23" i="1" s="1"/>
  <c r="VPD23" i="1" s="1"/>
  <c r="VPE23" i="1" s="1"/>
  <c r="VPF23" i="1" s="1"/>
  <c r="VPG23" i="1" s="1"/>
  <c r="VPH23" i="1" s="1"/>
  <c r="VPI23" i="1" s="1"/>
  <c r="VPJ23" i="1" s="1"/>
  <c r="VPK23" i="1" s="1"/>
  <c r="VPL23" i="1" s="1"/>
  <c r="VPM23" i="1" s="1"/>
  <c r="VPN23" i="1" s="1"/>
  <c r="VPO23" i="1" s="1"/>
  <c r="VPP23" i="1" s="1"/>
  <c r="VPQ23" i="1" s="1"/>
  <c r="VPR23" i="1" s="1"/>
  <c r="VPS23" i="1" s="1"/>
  <c r="VPT23" i="1" s="1"/>
  <c r="VPU23" i="1" s="1"/>
  <c r="VPV23" i="1" s="1"/>
  <c r="VPW23" i="1" s="1"/>
  <c r="VPX23" i="1" s="1"/>
  <c r="VPY23" i="1" s="1"/>
  <c r="VPZ23" i="1" s="1"/>
  <c r="VQA23" i="1" s="1"/>
  <c r="VQB23" i="1" s="1"/>
  <c r="VQC23" i="1" s="1"/>
  <c r="VQD23" i="1" s="1"/>
  <c r="VQE23" i="1" s="1"/>
  <c r="VQF23" i="1" s="1"/>
  <c r="VQG23" i="1" s="1"/>
  <c r="VQH23" i="1" s="1"/>
  <c r="VQI23" i="1" s="1"/>
  <c r="VQJ23" i="1" s="1"/>
  <c r="VQK23" i="1" s="1"/>
  <c r="VQL23" i="1" s="1"/>
  <c r="VQM23" i="1" s="1"/>
  <c r="VQN23" i="1" s="1"/>
  <c r="VQO23" i="1" s="1"/>
  <c r="VQP23" i="1" s="1"/>
  <c r="VQQ23" i="1" s="1"/>
  <c r="VQR23" i="1" s="1"/>
  <c r="VQS23" i="1" s="1"/>
  <c r="VQT23" i="1" s="1"/>
  <c r="VQU23" i="1" s="1"/>
  <c r="VQV23" i="1" s="1"/>
  <c r="VQW23" i="1" s="1"/>
  <c r="VQX23" i="1" s="1"/>
  <c r="VQY23" i="1" s="1"/>
  <c r="VQZ23" i="1" s="1"/>
  <c r="VRA23" i="1" s="1"/>
  <c r="VRB23" i="1" s="1"/>
  <c r="VRC23" i="1" s="1"/>
  <c r="VRD23" i="1" s="1"/>
  <c r="VRE23" i="1" s="1"/>
  <c r="VRF23" i="1" s="1"/>
  <c r="VRG23" i="1" s="1"/>
  <c r="VRH23" i="1" s="1"/>
  <c r="VRI23" i="1" s="1"/>
  <c r="VRJ23" i="1" s="1"/>
  <c r="VRK23" i="1" s="1"/>
  <c r="VRL23" i="1" s="1"/>
  <c r="VRM23" i="1" s="1"/>
  <c r="VRN23" i="1" s="1"/>
  <c r="VRO23" i="1" s="1"/>
  <c r="VRP23" i="1" s="1"/>
  <c r="VRQ23" i="1" s="1"/>
  <c r="VRR23" i="1" s="1"/>
  <c r="VRS23" i="1" s="1"/>
  <c r="VRT23" i="1" s="1"/>
  <c r="VRU23" i="1" s="1"/>
  <c r="VRV23" i="1" s="1"/>
  <c r="VRW23" i="1" s="1"/>
  <c r="VRX23" i="1" s="1"/>
  <c r="VRY23" i="1" s="1"/>
  <c r="VRZ23" i="1" s="1"/>
  <c r="VSA23" i="1" s="1"/>
  <c r="VSB23" i="1" s="1"/>
  <c r="VSC23" i="1" s="1"/>
  <c r="VSD23" i="1" s="1"/>
  <c r="VSE23" i="1" s="1"/>
  <c r="VSF23" i="1" s="1"/>
  <c r="VSG23" i="1" s="1"/>
  <c r="VSH23" i="1" s="1"/>
  <c r="VSI23" i="1" s="1"/>
  <c r="VSJ23" i="1" s="1"/>
  <c r="VSK23" i="1" s="1"/>
  <c r="VSL23" i="1" s="1"/>
  <c r="VSM23" i="1" s="1"/>
  <c r="VSN23" i="1" s="1"/>
  <c r="VSO23" i="1" s="1"/>
  <c r="VSP23" i="1" s="1"/>
  <c r="VSQ23" i="1" s="1"/>
  <c r="VSR23" i="1" s="1"/>
  <c r="VSS23" i="1" s="1"/>
  <c r="VST23" i="1" s="1"/>
  <c r="VSU23" i="1" s="1"/>
  <c r="VSV23" i="1" s="1"/>
  <c r="VSW23" i="1" s="1"/>
  <c r="VSX23" i="1" s="1"/>
  <c r="VSY23" i="1" s="1"/>
  <c r="VSZ23" i="1" s="1"/>
  <c r="VTA23" i="1" s="1"/>
  <c r="VTB23" i="1" s="1"/>
  <c r="VTC23" i="1" s="1"/>
  <c r="VTD23" i="1" s="1"/>
  <c r="VTE23" i="1" s="1"/>
  <c r="VTF23" i="1" s="1"/>
  <c r="VTG23" i="1" s="1"/>
  <c r="VTH23" i="1" s="1"/>
  <c r="VTI23" i="1" s="1"/>
  <c r="VTJ23" i="1" s="1"/>
  <c r="VTK23" i="1" s="1"/>
  <c r="VTL23" i="1" s="1"/>
  <c r="VTM23" i="1" s="1"/>
  <c r="VTN23" i="1" s="1"/>
  <c r="VTO23" i="1" s="1"/>
  <c r="VTP23" i="1" s="1"/>
  <c r="VTQ23" i="1" s="1"/>
  <c r="VTR23" i="1" s="1"/>
  <c r="VTS23" i="1" s="1"/>
  <c r="VTT23" i="1" s="1"/>
  <c r="VTU23" i="1" s="1"/>
  <c r="VTV23" i="1" s="1"/>
  <c r="VTW23" i="1" s="1"/>
  <c r="VTX23" i="1" s="1"/>
  <c r="VTY23" i="1" s="1"/>
  <c r="VTZ23" i="1" s="1"/>
  <c r="VUA23" i="1" s="1"/>
  <c r="VUB23" i="1" s="1"/>
  <c r="VUC23" i="1" s="1"/>
  <c r="VUD23" i="1" s="1"/>
  <c r="VUE23" i="1" s="1"/>
  <c r="VUF23" i="1" s="1"/>
  <c r="VUG23" i="1" s="1"/>
  <c r="VUH23" i="1" s="1"/>
  <c r="VUI23" i="1" s="1"/>
  <c r="VUJ23" i="1" s="1"/>
  <c r="VUK23" i="1" s="1"/>
  <c r="VUL23" i="1" s="1"/>
  <c r="VUM23" i="1" s="1"/>
  <c r="VUN23" i="1" s="1"/>
  <c r="VUO23" i="1" s="1"/>
  <c r="VUP23" i="1" s="1"/>
  <c r="VUQ23" i="1" s="1"/>
  <c r="VUR23" i="1" s="1"/>
  <c r="VUS23" i="1" s="1"/>
  <c r="VUT23" i="1" s="1"/>
  <c r="VUU23" i="1" s="1"/>
  <c r="VUV23" i="1" s="1"/>
  <c r="VUW23" i="1" s="1"/>
  <c r="VUX23" i="1" s="1"/>
  <c r="VUY23" i="1" s="1"/>
  <c r="VUZ23" i="1" s="1"/>
  <c r="VVA23" i="1" s="1"/>
  <c r="VVB23" i="1" s="1"/>
  <c r="VVC23" i="1" s="1"/>
  <c r="VVD23" i="1" s="1"/>
  <c r="VVE23" i="1" s="1"/>
  <c r="VVF23" i="1" s="1"/>
  <c r="VVG23" i="1" s="1"/>
  <c r="VVH23" i="1" s="1"/>
  <c r="VVI23" i="1" s="1"/>
  <c r="VVJ23" i="1" s="1"/>
  <c r="VVK23" i="1" s="1"/>
  <c r="VVL23" i="1" s="1"/>
  <c r="VVM23" i="1" s="1"/>
  <c r="VVN23" i="1" s="1"/>
  <c r="VVO23" i="1" s="1"/>
  <c r="VVP23" i="1" s="1"/>
  <c r="VVQ23" i="1" s="1"/>
  <c r="VVR23" i="1" s="1"/>
  <c r="VVS23" i="1" s="1"/>
  <c r="VVT23" i="1" s="1"/>
  <c r="VVU23" i="1" s="1"/>
  <c r="VVV23" i="1" s="1"/>
  <c r="VVW23" i="1" s="1"/>
  <c r="VVX23" i="1" s="1"/>
  <c r="VVY23" i="1" s="1"/>
  <c r="VVZ23" i="1" s="1"/>
  <c r="VWA23" i="1" s="1"/>
  <c r="VWB23" i="1" s="1"/>
  <c r="VWC23" i="1" s="1"/>
  <c r="VWD23" i="1" s="1"/>
  <c r="VWE23" i="1" s="1"/>
  <c r="VWF23" i="1" s="1"/>
  <c r="VWG23" i="1" s="1"/>
  <c r="VWH23" i="1" s="1"/>
  <c r="VWI23" i="1" s="1"/>
  <c r="VWJ23" i="1" s="1"/>
  <c r="VWK23" i="1" s="1"/>
  <c r="VWL23" i="1" s="1"/>
  <c r="VWM23" i="1" s="1"/>
  <c r="VWN23" i="1" s="1"/>
  <c r="VWO23" i="1" s="1"/>
  <c r="VWP23" i="1" s="1"/>
  <c r="VWQ23" i="1" s="1"/>
  <c r="VWR23" i="1" s="1"/>
  <c r="VWS23" i="1" s="1"/>
  <c r="VWT23" i="1" s="1"/>
  <c r="VWU23" i="1" s="1"/>
  <c r="VWV23" i="1" s="1"/>
  <c r="VWW23" i="1" s="1"/>
  <c r="VWX23" i="1" s="1"/>
  <c r="VWY23" i="1" s="1"/>
  <c r="VWZ23" i="1" s="1"/>
  <c r="VXA23" i="1" s="1"/>
  <c r="VXB23" i="1" s="1"/>
  <c r="VXC23" i="1" s="1"/>
  <c r="VXD23" i="1" s="1"/>
  <c r="VXE23" i="1" s="1"/>
  <c r="VXF23" i="1" s="1"/>
  <c r="VXG23" i="1" s="1"/>
  <c r="VXH23" i="1" s="1"/>
  <c r="VXI23" i="1" s="1"/>
  <c r="VXJ23" i="1" s="1"/>
  <c r="VXK23" i="1" s="1"/>
  <c r="VXL23" i="1" s="1"/>
  <c r="VXM23" i="1" s="1"/>
  <c r="VXN23" i="1" s="1"/>
  <c r="VXO23" i="1" s="1"/>
  <c r="VXP23" i="1" s="1"/>
  <c r="VXQ23" i="1" s="1"/>
  <c r="VXR23" i="1" s="1"/>
  <c r="VXS23" i="1" s="1"/>
  <c r="VXT23" i="1" s="1"/>
  <c r="VXU23" i="1" s="1"/>
  <c r="VXV23" i="1" s="1"/>
  <c r="VXW23" i="1" s="1"/>
  <c r="VXX23" i="1" s="1"/>
  <c r="VXY23" i="1" s="1"/>
  <c r="VXZ23" i="1" s="1"/>
  <c r="VYA23" i="1" s="1"/>
  <c r="VYB23" i="1" s="1"/>
  <c r="VYC23" i="1" s="1"/>
  <c r="VYD23" i="1" s="1"/>
  <c r="VYE23" i="1" s="1"/>
  <c r="VYF23" i="1" s="1"/>
  <c r="VYG23" i="1" s="1"/>
  <c r="VYH23" i="1" s="1"/>
  <c r="VYI23" i="1" s="1"/>
  <c r="VYJ23" i="1" s="1"/>
  <c r="VYK23" i="1" s="1"/>
  <c r="VYL23" i="1" s="1"/>
  <c r="VYM23" i="1" s="1"/>
  <c r="VYN23" i="1" s="1"/>
  <c r="VYO23" i="1" s="1"/>
  <c r="VYP23" i="1" s="1"/>
  <c r="VYQ23" i="1" s="1"/>
  <c r="VYR23" i="1" s="1"/>
  <c r="VYS23" i="1" s="1"/>
  <c r="VYT23" i="1" s="1"/>
  <c r="VYU23" i="1" s="1"/>
  <c r="VYV23" i="1" s="1"/>
  <c r="VYW23" i="1" s="1"/>
  <c r="VYX23" i="1" s="1"/>
  <c r="VYY23" i="1" s="1"/>
  <c r="VYZ23" i="1" s="1"/>
  <c r="VZA23" i="1" s="1"/>
  <c r="VZB23" i="1" s="1"/>
  <c r="VZC23" i="1" s="1"/>
  <c r="VZD23" i="1" s="1"/>
  <c r="VZE23" i="1" s="1"/>
  <c r="VZF23" i="1" s="1"/>
  <c r="VZG23" i="1" s="1"/>
  <c r="VZH23" i="1" s="1"/>
  <c r="VZI23" i="1" s="1"/>
  <c r="VZJ23" i="1" s="1"/>
  <c r="VZK23" i="1" s="1"/>
  <c r="VZL23" i="1" s="1"/>
  <c r="VZM23" i="1" s="1"/>
  <c r="VZN23" i="1" s="1"/>
  <c r="VZO23" i="1" s="1"/>
  <c r="VZP23" i="1" s="1"/>
  <c r="VZQ23" i="1" s="1"/>
  <c r="VZR23" i="1" s="1"/>
  <c r="VZS23" i="1" s="1"/>
  <c r="VZT23" i="1" s="1"/>
  <c r="VZU23" i="1" s="1"/>
  <c r="VZV23" i="1" s="1"/>
  <c r="VZW23" i="1" s="1"/>
  <c r="VZX23" i="1" s="1"/>
  <c r="VZY23" i="1" s="1"/>
  <c r="VZZ23" i="1" s="1"/>
  <c r="WAA23" i="1" s="1"/>
  <c r="WAB23" i="1" s="1"/>
  <c r="WAC23" i="1" s="1"/>
  <c r="WAD23" i="1" s="1"/>
  <c r="WAE23" i="1" s="1"/>
  <c r="WAF23" i="1" s="1"/>
  <c r="WAG23" i="1" s="1"/>
  <c r="WAH23" i="1" s="1"/>
  <c r="WAI23" i="1" s="1"/>
  <c r="WAJ23" i="1" s="1"/>
  <c r="WAK23" i="1" s="1"/>
  <c r="WAL23" i="1" s="1"/>
  <c r="WAM23" i="1" s="1"/>
  <c r="WAN23" i="1" s="1"/>
  <c r="WAO23" i="1" s="1"/>
  <c r="WAP23" i="1" s="1"/>
  <c r="WAQ23" i="1" s="1"/>
  <c r="WAR23" i="1" s="1"/>
  <c r="WAS23" i="1" s="1"/>
  <c r="WAT23" i="1" s="1"/>
  <c r="WAU23" i="1" s="1"/>
  <c r="WAV23" i="1" s="1"/>
  <c r="WAW23" i="1" s="1"/>
  <c r="WAX23" i="1" s="1"/>
  <c r="WAY23" i="1" s="1"/>
  <c r="WAZ23" i="1" s="1"/>
  <c r="WBA23" i="1" s="1"/>
  <c r="WBB23" i="1" s="1"/>
  <c r="WBC23" i="1" s="1"/>
  <c r="WBD23" i="1" s="1"/>
  <c r="WBE23" i="1" s="1"/>
  <c r="WBF23" i="1" s="1"/>
  <c r="WBG23" i="1" s="1"/>
  <c r="WBH23" i="1" s="1"/>
  <c r="WBI23" i="1" s="1"/>
  <c r="WBJ23" i="1" s="1"/>
  <c r="WBK23" i="1" s="1"/>
  <c r="WBL23" i="1" s="1"/>
  <c r="WBM23" i="1" s="1"/>
  <c r="WBN23" i="1" s="1"/>
  <c r="WBO23" i="1" s="1"/>
  <c r="WBP23" i="1" s="1"/>
  <c r="WBQ23" i="1" s="1"/>
  <c r="WBR23" i="1" s="1"/>
  <c r="WBS23" i="1" s="1"/>
  <c r="WBT23" i="1" s="1"/>
  <c r="WBU23" i="1" s="1"/>
  <c r="WBV23" i="1" s="1"/>
  <c r="WBW23" i="1" s="1"/>
  <c r="WBX23" i="1" s="1"/>
  <c r="WBY23" i="1" s="1"/>
  <c r="WBZ23" i="1" s="1"/>
  <c r="WCA23" i="1" s="1"/>
  <c r="WCB23" i="1" s="1"/>
  <c r="WCC23" i="1" s="1"/>
  <c r="WCD23" i="1" s="1"/>
  <c r="WCE23" i="1" s="1"/>
  <c r="WCF23" i="1" s="1"/>
  <c r="WCG23" i="1" s="1"/>
  <c r="WCH23" i="1" s="1"/>
  <c r="WCI23" i="1" s="1"/>
  <c r="WCJ23" i="1" s="1"/>
  <c r="WCK23" i="1" s="1"/>
  <c r="WCL23" i="1" s="1"/>
  <c r="WCM23" i="1" s="1"/>
  <c r="WCN23" i="1" s="1"/>
  <c r="WCO23" i="1" s="1"/>
  <c r="WCP23" i="1" s="1"/>
  <c r="WCQ23" i="1" s="1"/>
  <c r="WCR23" i="1" s="1"/>
  <c r="WCS23" i="1" s="1"/>
  <c r="WCT23" i="1" s="1"/>
  <c r="WCU23" i="1" s="1"/>
  <c r="WCV23" i="1" s="1"/>
  <c r="WCW23" i="1" s="1"/>
  <c r="WCX23" i="1" s="1"/>
  <c r="WCY23" i="1" s="1"/>
  <c r="WCZ23" i="1" s="1"/>
  <c r="WDA23" i="1" s="1"/>
  <c r="WDB23" i="1" s="1"/>
  <c r="WDC23" i="1" s="1"/>
  <c r="WDD23" i="1" s="1"/>
  <c r="WDE23" i="1" s="1"/>
  <c r="WDF23" i="1" s="1"/>
  <c r="WDG23" i="1" s="1"/>
  <c r="WDH23" i="1" s="1"/>
  <c r="WDI23" i="1" s="1"/>
  <c r="WDJ23" i="1" s="1"/>
  <c r="WDK23" i="1" s="1"/>
  <c r="WDL23" i="1" s="1"/>
  <c r="WDM23" i="1" s="1"/>
  <c r="WDN23" i="1" s="1"/>
  <c r="WDO23" i="1" s="1"/>
  <c r="WDP23" i="1" s="1"/>
  <c r="WDQ23" i="1" s="1"/>
  <c r="WDR23" i="1" s="1"/>
  <c r="WDS23" i="1" s="1"/>
  <c r="WDT23" i="1" s="1"/>
  <c r="WDU23" i="1" s="1"/>
  <c r="WDV23" i="1" s="1"/>
  <c r="WDW23" i="1" s="1"/>
  <c r="WDX23" i="1" s="1"/>
  <c r="WDY23" i="1" s="1"/>
  <c r="WDZ23" i="1" s="1"/>
  <c r="WEA23" i="1" s="1"/>
  <c r="WEB23" i="1" s="1"/>
  <c r="WEC23" i="1" s="1"/>
  <c r="WED23" i="1" s="1"/>
  <c r="WEE23" i="1" s="1"/>
  <c r="WEF23" i="1" s="1"/>
  <c r="WEG23" i="1" s="1"/>
  <c r="WEH23" i="1" s="1"/>
  <c r="WEI23" i="1" s="1"/>
  <c r="WEJ23" i="1" s="1"/>
  <c r="WEK23" i="1" s="1"/>
  <c r="WEL23" i="1" s="1"/>
  <c r="WEM23" i="1" s="1"/>
  <c r="WEN23" i="1" s="1"/>
  <c r="WEO23" i="1" s="1"/>
  <c r="WEP23" i="1" s="1"/>
  <c r="WEQ23" i="1" s="1"/>
  <c r="WER23" i="1" s="1"/>
  <c r="WES23" i="1" s="1"/>
  <c r="WET23" i="1" s="1"/>
  <c r="WEU23" i="1" s="1"/>
  <c r="WEV23" i="1" s="1"/>
  <c r="WEW23" i="1" s="1"/>
  <c r="WEX23" i="1" s="1"/>
  <c r="WEY23" i="1" s="1"/>
  <c r="WEZ23" i="1" s="1"/>
  <c r="WFA23" i="1" s="1"/>
  <c r="WFB23" i="1" s="1"/>
  <c r="WFC23" i="1" s="1"/>
  <c r="WFD23" i="1" s="1"/>
  <c r="WFE23" i="1" s="1"/>
  <c r="WFF23" i="1" s="1"/>
  <c r="WFG23" i="1" s="1"/>
  <c r="WFH23" i="1" s="1"/>
  <c r="WFI23" i="1" s="1"/>
  <c r="WFJ23" i="1" s="1"/>
  <c r="WFK23" i="1" s="1"/>
  <c r="WFL23" i="1" s="1"/>
  <c r="WFM23" i="1" s="1"/>
  <c r="WFN23" i="1" s="1"/>
  <c r="WFO23" i="1" s="1"/>
  <c r="WFP23" i="1" s="1"/>
  <c r="WFQ23" i="1" s="1"/>
  <c r="WFR23" i="1" s="1"/>
  <c r="WFS23" i="1" s="1"/>
  <c r="WFT23" i="1" s="1"/>
  <c r="WFU23" i="1" s="1"/>
  <c r="WFV23" i="1" s="1"/>
  <c r="WFW23" i="1" s="1"/>
  <c r="WFX23" i="1" s="1"/>
  <c r="WFY23" i="1" s="1"/>
  <c r="WFZ23" i="1" s="1"/>
  <c r="WGA23" i="1" s="1"/>
  <c r="WGB23" i="1" s="1"/>
  <c r="WGC23" i="1" s="1"/>
  <c r="WGD23" i="1" s="1"/>
  <c r="WGE23" i="1" s="1"/>
  <c r="WGF23" i="1" s="1"/>
  <c r="WGG23" i="1" s="1"/>
  <c r="WGH23" i="1" s="1"/>
  <c r="WGI23" i="1" s="1"/>
  <c r="WGJ23" i="1" s="1"/>
  <c r="WGK23" i="1" s="1"/>
  <c r="WGL23" i="1" s="1"/>
  <c r="WGM23" i="1" s="1"/>
  <c r="WGN23" i="1" s="1"/>
  <c r="WGO23" i="1" s="1"/>
  <c r="WGP23" i="1" s="1"/>
  <c r="WGQ23" i="1" s="1"/>
  <c r="WGR23" i="1" s="1"/>
  <c r="WGS23" i="1" s="1"/>
  <c r="WGT23" i="1" s="1"/>
  <c r="WGU23" i="1" s="1"/>
  <c r="WGV23" i="1" s="1"/>
  <c r="WGW23" i="1" s="1"/>
  <c r="WGX23" i="1" s="1"/>
  <c r="WGY23" i="1" s="1"/>
  <c r="WGZ23" i="1" s="1"/>
  <c r="WHA23" i="1" s="1"/>
  <c r="WHB23" i="1" s="1"/>
  <c r="WHC23" i="1" s="1"/>
  <c r="WHD23" i="1" s="1"/>
  <c r="WHE23" i="1" s="1"/>
  <c r="WHF23" i="1" s="1"/>
  <c r="WHG23" i="1" s="1"/>
  <c r="WHH23" i="1" s="1"/>
  <c r="WHI23" i="1" s="1"/>
  <c r="WHJ23" i="1" s="1"/>
  <c r="WHK23" i="1" s="1"/>
  <c r="WHL23" i="1" s="1"/>
  <c r="WHM23" i="1" s="1"/>
  <c r="WHN23" i="1" s="1"/>
  <c r="WHO23" i="1" s="1"/>
  <c r="WHP23" i="1" s="1"/>
  <c r="WHQ23" i="1" s="1"/>
  <c r="WHR23" i="1" s="1"/>
  <c r="WHS23" i="1" s="1"/>
  <c r="WHT23" i="1" s="1"/>
  <c r="WHU23" i="1" s="1"/>
  <c r="WHV23" i="1" s="1"/>
  <c r="WHW23" i="1" s="1"/>
  <c r="WHX23" i="1" s="1"/>
  <c r="WHY23" i="1" s="1"/>
  <c r="WHZ23" i="1" s="1"/>
  <c r="WIA23" i="1" s="1"/>
  <c r="WIB23" i="1" s="1"/>
  <c r="WIC23" i="1" s="1"/>
  <c r="WID23" i="1" s="1"/>
  <c r="WIE23" i="1" s="1"/>
  <c r="WIF23" i="1" s="1"/>
  <c r="WIG23" i="1" s="1"/>
  <c r="WIH23" i="1" s="1"/>
  <c r="WII23" i="1" s="1"/>
  <c r="WIJ23" i="1" s="1"/>
  <c r="WIK23" i="1" s="1"/>
  <c r="WIL23" i="1" s="1"/>
  <c r="WIM23" i="1" s="1"/>
  <c r="WIN23" i="1" s="1"/>
  <c r="WIO23" i="1" s="1"/>
  <c r="WIP23" i="1" s="1"/>
  <c r="WIQ23" i="1" s="1"/>
  <c r="WIR23" i="1" s="1"/>
  <c r="WIS23" i="1" s="1"/>
  <c r="WIT23" i="1" s="1"/>
  <c r="WIU23" i="1" s="1"/>
  <c r="WIV23" i="1" s="1"/>
  <c r="WIW23" i="1" s="1"/>
  <c r="WIX23" i="1" s="1"/>
  <c r="WIY23" i="1" s="1"/>
  <c r="WIZ23" i="1" s="1"/>
  <c r="WJA23" i="1" s="1"/>
  <c r="WJB23" i="1" s="1"/>
  <c r="WJC23" i="1" s="1"/>
  <c r="WJD23" i="1" s="1"/>
  <c r="WJE23" i="1" s="1"/>
  <c r="WJF23" i="1" s="1"/>
  <c r="WJG23" i="1" s="1"/>
  <c r="WJH23" i="1" s="1"/>
  <c r="WJI23" i="1" s="1"/>
  <c r="WJJ23" i="1" s="1"/>
  <c r="WJK23" i="1" s="1"/>
  <c r="WJL23" i="1" s="1"/>
  <c r="WJM23" i="1" s="1"/>
  <c r="WJN23" i="1" s="1"/>
  <c r="WJO23" i="1" s="1"/>
  <c r="WJP23" i="1" s="1"/>
  <c r="WJQ23" i="1" s="1"/>
  <c r="WJR23" i="1" s="1"/>
  <c r="WJS23" i="1" s="1"/>
  <c r="WJT23" i="1" s="1"/>
  <c r="WJU23" i="1" s="1"/>
  <c r="WJV23" i="1" s="1"/>
  <c r="WJW23" i="1" s="1"/>
  <c r="WJX23" i="1" s="1"/>
  <c r="WJY23" i="1" s="1"/>
  <c r="WJZ23" i="1" s="1"/>
  <c r="WKA23" i="1" s="1"/>
  <c r="WKB23" i="1" s="1"/>
  <c r="WKC23" i="1" s="1"/>
  <c r="WKD23" i="1" s="1"/>
  <c r="WKE23" i="1" s="1"/>
  <c r="WKF23" i="1" s="1"/>
  <c r="WKG23" i="1" s="1"/>
  <c r="WKH23" i="1" s="1"/>
  <c r="WKI23" i="1" s="1"/>
  <c r="WKJ23" i="1" s="1"/>
  <c r="WKK23" i="1" s="1"/>
  <c r="WKL23" i="1" s="1"/>
  <c r="WKM23" i="1" s="1"/>
  <c r="WKN23" i="1" s="1"/>
  <c r="WKO23" i="1" s="1"/>
  <c r="WKP23" i="1" s="1"/>
  <c r="WKQ23" i="1" s="1"/>
  <c r="WKR23" i="1" s="1"/>
  <c r="WKS23" i="1" s="1"/>
  <c r="WKT23" i="1" s="1"/>
  <c r="WKU23" i="1" s="1"/>
  <c r="WKV23" i="1" s="1"/>
  <c r="WKW23" i="1" s="1"/>
  <c r="WKX23" i="1" s="1"/>
  <c r="WKY23" i="1" s="1"/>
  <c r="WKZ23" i="1" s="1"/>
  <c r="WLA23" i="1" s="1"/>
  <c r="WLB23" i="1" s="1"/>
  <c r="WLC23" i="1" s="1"/>
  <c r="WLD23" i="1" s="1"/>
  <c r="WLE23" i="1" s="1"/>
  <c r="WLF23" i="1" s="1"/>
  <c r="WLG23" i="1" s="1"/>
  <c r="WLH23" i="1" s="1"/>
  <c r="WLI23" i="1" s="1"/>
  <c r="WLJ23" i="1" s="1"/>
  <c r="WLK23" i="1" s="1"/>
  <c r="WLL23" i="1" s="1"/>
  <c r="WLM23" i="1" s="1"/>
  <c r="WLN23" i="1" s="1"/>
  <c r="WLO23" i="1" s="1"/>
  <c r="WLP23" i="1" s="1"/>
  <c r="WLQ23" i="1" s="1"/>
  <c r="WLR23" i="1" s="1"/>
  <c r="WLS23" i="1" s="1"/>
  <c r="WLT23" i="1" s="1"/>
  <c r="WLU23" i="1" s="1"/>
  <c r="WLV23" i="1" s="1"/>
  <c r="WLW23" i="1" s="1"/>
  <c r="WLX23" i="1" s="1"/>
  <c r="WLY23" i="1" s="1"/>
  <c r="WLZ23" i="1" s="1"/>
  <c r="WMA23" i="1" s="1"/>
  <c r="WMB23" i="1" s="1"/>
  <c r="WMC23" i="1" s="1"/>
  <c r="WMD23" i="1" s="1"/>
  <c r="WME23" i="1" s="1"/>
  <c r="WMF23" i="1" s="1"/>
  <c r="WMG23" i="1" s="1"/>
  <c r="WMH23" i="1" s="1"/>
  <c r="WMI23" i="1" s="1"/>
  <c r="WMJ23" i="1" s="1"/>
  <c r="WMK23" i="1" s="1"/>
  <c r="WML23" i="1" s="1"/>
  <c r="WMM23" i="1" s="1"/>
  <c r="WMN23" i="1" s="1"/>
  <c r="WMO23" i="1" s="1"/>
  <c r="WMP23" i="1" s="1"/>
  <c r="WMQ23" i="1" s="1"/>
  <c r="WMR23" i="1" s="1"/>
  <c r="WMS23" i="1" s="1"/>
  <c r="WMT23" i="1" s="1"/>
  <c r="WMU23" i="1" s="1"/>
  <c r="WMV23" i="1" s="1"/>
  <c r="WMW23" i="1" s="1"/>
  <c r="WMX23" i="1" s="1"/>
  <c r="WMY23" i="1" s="1"/>
  <c r="WMZ23" i="1" s="1"/>
  <c r="WNA23" i="1" s="1"/>
  <c r="WNB23" i="1" s="1"/>
  <c r="WNC23" i="1" s="1"/>
  <c r="WND23" i="1" s="1"/>
  <c r="WNE23" i="1" s="1"/>
  <c r="WNF23" i="1" s="1"/>
  <c r="WNG23" i="1" s="1"/>
  <c r="WNH23" i="1" s="1"/>
  <c r="WNI23" i="1" s="1"/>
  <c r="WNJ23" i="1" s="1"/>
  <c r="WNK23" i="1" s="1"/>
  <c r="WNL23" i="1" s="1"/>
  <c r="WNM23" i="1" s="1"/>
  <c r="WNN23" i="1" s="1"/>
  <c r="WNO23" i="1" s="1"/>
  <c r="WNP23" i="1" s="1"/>
  <c r="WNQ23" i="1" s="1"/>
  <c r="WNR23" i="1" s="1"/>
  <c r="WNS23" i="1" s="1"/>
  <c r="WNT23" i="1" s="1"/>
  <c r="WNU23" i="1" s="1"/>
  <c r="WNV23" i="1" s="1"/>
  <c r="WNW23" i="1" s="1"/>
  <c r="WNX23" i="1" s="1"/>
  <c r="WNY23" i="1" s="1"/>
  <c r="WNZ23" i="1" s="1"/>
  <c r="WOA23" i="1" s="1"/>
  <c r="WOB23" i="1" s="1"/>
  <c r="WOC23" i="1" s="1"/>
  <c r="WOD23" i="1" s="1"/>
  <c r="WOE23" i="1" s="1"/>
  <c r="WOF23" i="1" s="1"/>
  <c r="WOG23" i="1" s="1"/>
  <c r="WOH23" i="1" s="1"/>
  <c r="WOI23" i="1" s="1"/>
  <c r="WOJ23" i="1" s="1"/>
  <c r="WOK23" i="1" s="1"/>
  <c r="WOL23" i="1" s="1"/>
  <c r="WOM23" i="1" s="1"/>
  <c r="WON23" i="1" s="1"/>
  <c r="WOO23" i="1" s="1"/>
  <c r="WOP23" i="1" s="1"/>
  <c r="WOQ23" i="1" s="1"/>
  <c r="WOR23" i="1" s="1"/>
  <c r="WOS23" i="1" s="1"/>
  <c r="WOT23" i="1" s="1"/>
  <c r="WOU23" i="1" s="1"/>
  <c r="WOV23" i="1" s="1"/>
  <c r="WOW23" i="1" s="1"/>
  <c r="WOX23" i="1" s="1"/>
  <c r="WOY23" i="1" s="1"/>
  <c r="WOZ23" i="1" s="1"/>
  <c r="WPA23" i="1" s="1"/>
  <c r="WPB23" i="1" s="1"/>
  <c r="WPC23" i="1" s="1"/>
  <c r="WPD23" i="1" s="1"/>
  <c r="WPE23" i="1" s="1"/>
  <c r="WPF23" i="1" s="1"/>
  <c r="WPG23" i="1" s="1"/>
  <c r="WPH23" i="1" s="1"/>
  <c r="WPI23" i="1" s="1"/>
  <c r="WPJ23" i="1" s="1"/>
  <c r="WPK23" i="1" s="1"/>
  <c r="WPL23" i="1" s="1"/>
  <c r="WPM23" i="1" s="1"/>
  <c r="WPN23" i="1" s="1"/>
  <c r="WPO23" i="1" s="1"/>
  <c r="WPP23" i="1" s="1"/>
  <c r="WPQ23" i="1" s="1"/>
  <c r="WPR23" i="1" s="1"/>
  <c r="WPS23" i="1" s="1"/>
  <c r="WPT23" i="1" s="1"/>
  <c r="WPU23" i="1" s="1"/>
  <c r="WPV23" i="1" s="1"/>
  <c r="WPW23" i="1" s="1"/>
  <c r="WPX23" i="1" s="1"/>
  <c r="WPY23" i="1" s="1"/>
  <c r="WPZ23" i="1" s="1"/>
  <c r="WQA23" i="1" s="1"/>
  <c r="WQB23" i="1" s="1"/>
  <c r="WQC23" i="1" s="1"/>
  <c r="WQD23" i="1" s="1"/>
  <c r="WQE23" i="1" s="1"/>
  <c r="WQF23" i="1" s="1"/>
  <c r="WQG23" i="1" s="1"/>
  <c r="WQH23" i="1" s="1"/>
  <c r="WQI23" i="1" s="1"/>
  <c r="WQJ23" i="1" s="1"/>
  <c r="WQK23" i="1" s="1"/>
  <c r="WQL23" i="1" s="1"/>
  <c r="WQM23" i="1" s="1"/>
  <c r="WQN23" i="1" s="1"/>
  <c r="WQO23" i="1" s="1"/>
  <c r="WQP23" i="1" s="1"/>
  <c r="WQQ23" i="1" s="1"/>
  <c r="WQR23" i="1" s="1"/>
  <c r="WQS23" i="1" s="1"/>
  <c r="WQT23" i="1" s="1"/>
  <c r="WQU23" i="1" s="1"/>
  <c r="WQV23" i="1" s="1"/>
  <c r="WQW23" i="1" s="1"/>
  <c r="WQX23" i="1" s="1"/>
  <c r="WQY23" i="1" s="1"/>
  <c r="WQZ23" i="1" s="1"/>
  <c r="WRA23" i="1" s="1"/>
  <c r="WRB23" i="1" s="1"/>
  <c r="WRC23" i="1" s="1"/>
  <c r="WRD23" i="1" s="1"/>
  <c r="WRE23" i="1" s="1"/>
  <c r="WRF23" i="1" s="1"/>
  <c r="WRG23" i="1" s="1"/>
  <c r="WRH23" i="1" s="1"/>
  <c r="WRI23" i="1" s="1"/>
  <c r="WRJ23" i="1" s="1"/>
  <c r="WRK23" i="1" s="1"/>
  <c r="WRL23" i="1" s="1"/>
  <c r="WRM23" i="1" s="1"/>
  <c r="WRN23" i="1" s="1"/>
  <c r="WRO23" i="1" s="1"/>
  <c r="WRP23" i="1" s="1"/>
  <c r="WRQ23" i="1" s="1"/>
  <c r="WRR23" i="1" s="1"/>
  <c r="WRS23" i="1" s="1"/>
  <c r="WRT23" i="1" s="1"/>
  <c r="WRU23" i="1" s="1"/>
  <c r="WRV23" i="1" s="1"/>
  <c r="WRW23" i="1" s="1"/>
  <c r="WRX23" i="1" s="1"/>
  <c r="WRY23" i="1" s="1"/>
  <c r="WRZ23" i="1" s="1"/>
  <c r="WSA23" i="1" s="1"/>
  <c r="WSB23" i="1" s="1"/>
  <c r="WSC23" i="1" s="1"/>
  <c r="WSD23" i="1" s="1"/>
  <c r="WSE23" i="1" s="1"/>
  <c r="WSF23" i="1" s="1"/>
  <c r="WSG23" i="1" s="1"/>
  <c r="WSH23" i="1" s="1"/>
  <c r="WSI23" i="1" s="1"/>
  <c r="WSJ23" i="1" s="1"/>
  <c r="WSK23" i="1" s="1"/>
  <c r="WSL23" i="1" s="1"/>
  <c r="WSM23" i="1" s="1"/>
  <c r="WSN23" i="1" s="1"/>
  <c r="WSO23" i="1" s="1"/>
  <c r="WSP23" i="1" s="1"/>
  <c r="WSQ23" i="1" s="1"/>
  <c r="WSR23" i="1" s="1"/>
  <c r="WSS23" i="1" s="1"/>
  <c r="WST23" i="1" s="1"/>
  <c r="WSU23" i="1" s="1"/>
  <c r="WSV23" i="1" s="1"/>
  <c r="WSW23" i="1" s="1"/>
  <c r="WSX23" i="1" s="1"/>
  <c r="WSY23" i="1" s="1"/>
  <c r="WSZ23" i="1" s="1"/>
  <c r="WTA23" i="1" s="1"/>
  <c r="WTB23" i="1" s="1"/>
  <c r="WTC23" i="1" s="1"/>
  <c r="WTD23" i="1" s="1"/>
  <c r="WTE23" i="1" s="1"/>
  <c r="WTF23" i="1" s="1"/>
  <c r="WTG23" i="1" s="1"/>
  <c r="WTH23" i="1" s="1"/>
  <c r="WTI23" i="1" s="1"/>
  <c r="WTJ23" i="1" s="1"/>
  <c r="WTK23" i="1" s="1"/>
  <c r="WTL23" i="1" s="1"/>
  <c r="WTM23" i="1" s="1"/>
  <c r="WTN23" i="1" s="1"/>
  <c r="WTO23" i="1" s="1"/>
  <c r="WTP23" i="1" s="1"/>
  <c r="WTQ23" i="1" s="1"/>
  <c r="WTR23" i="1" s="1"/>
  <c r="WTS23" i="1" s="1"/>
  <c r="WTT23" i="1" s="1"/>
  <c r="WTU23" i="1" s="1"/>
  <c r="WTV23" i="1" s="1"/>
  <c r="WTW23" i="1" s="1"/>
  <c r="WTX23" i="1" s="1"/>
  <c r="WTY23" i="1" s="1"/>
  <c r="WTZ23" i="1" s="1"/>
  <c r="WUA23" i="1" s="1"/>
  <c r="WUB23" i="1" s="1"/>
  <c r="WUC23" i="1" s="1"/>
  <c r="WUD23" i="1" s="1"/>
  <c r="WUE23" i="1" s="1"/>
  <c r="WUF23" i="1" s="1"/>
  <c r="WUG23" i="1" s="1"/>
  <c r="WUH23" i="1" s="1"/>
  <c r="WUI23" i="1" s="1"/>
  <c r="WUJ23" i="1" s="1"/>
  <c r="WUK23" i="1" s="1"/>
  <c r="WUL23" i="1" s="1"/>
  <c r="WUM23" i="1" s="1"/>
  <c r="WUN23" i="1" s="1"/>
  <c r="WUO23" i="1" s="1"/>
  <c r="WUP23" i="1" s="1"/>
  <c r="WUQ23" i="1" s="1"/>
  <c r="WUR23" i="1" s="1"/>
  <c r="WUS23" i="1" s="1"/>
  <c r="WUT23" i="1" s="1"/>
  <c r="WUU23" i="1" s="1"/>
  <c r="WUV23" i="1" s="1"/>
  <c r="WUW23" i="1" s="1"/>
  <c r="WUX23" i="1" s="1"/>
  <c r="WUY23" i="1" s="1"/>
  <c r="WUZ23" i="1" s="1"/>
  <c r="WVA23" i="1" s="1"/>
  <c r="WVB23" i="1" s="1"/>
  <c r="WVC23" i="1" s="1"/>
  <c r="WVD23" i="1" s="1"/>
  <c r="WVE23" i="1" s="1"/>
  <c r="WVF23" i="1" s="1"/>
  <c r="WVG23" i="1" s="1"/>
  <c r="WVH23" i="1" s="1"/>
  <c r="WVI23" i="1" s="1"/>
  <c r="WVJ23" i="1" s="1"/>
  <c r="WVK23" i="1" s="1"/>
  <c r="WVL23" i="1" s="1"/>
  <c r="WVM23" i="1" s="1"/>
  <c r="WVN23" i="1" s="1"/>
  <c r="WVO23" i="1" s="1"/>
  <c r="WVP23" i="1" s="1"/>
  <c r="WVQ23" i="1" s="1"/>
  <c r="WVR23" i="1" s="1"/>
  <c r="WVS23" i="1" s="1"/>
  <c r="WVT23" i="1" s="1"/>
  <c r="WVU23" i="1" s="1"/>
  <c r="WVV23" i="1" s="1"/>
  <c r="WVW23" i="1" s="1"/>
  <c r="WVX23" i="1" s="1"/>
  <c r="WVY23" i="1" s="1"/>
  <c r="WVZ23" i="1" s="1"/>
  <c r="WWA23" i="1" s="1"/>
  <c r="WWB23" i="1" s="1"/>
  <c r="WWC23" i="1" s="1"/>
  <c r="WWD23" i="1" s="1"/>
  <c r="WWE23" i="1" s="1"/>
  <c r="WWF23" i="1" s="1"/>
  <c r="WWG23" i="1" s="1"/>
  <c r="WWH23" i="1" s="1"/>
  <c r="WWI23" i="1" s="1"/>
  <c r="WWJ23" i="1" s="1"/>
  <c r="WWK23" i="1" s="1"/>
  <c r="WWL23" i="1" s="1"/>
  <c r="WWM23" i="1" s="1"/>
  <c r="WWN23" i="1" s="1"/>
  <c r="WWO23" i="1" s="1"/>
  <c r="WWP23" i="1" s="1"/>
  <c r="WWQ23" i="1" s="1"/>
  <c r="WWR23" i="1" s="1"/>
  <c r="WWS23" i="1" s="1"/>
  <c r="WWT23" i="1" s="1"/>
  <c r="WWU23" i="1" s="1"/>
  <c r="WWV23" i="1" s="1"/>
  <c r="WWW23" i="1" s="1"/>
  <c r="WWX23" i="1" s="1"/>
  <c r="WWY23" i="1" s="1"/>
  <c r="WWZ23" i="1" s="1"/>
  <c r="WXA23" i="1" s="1"/>
  <c r="WXB23" i="1" s="1"/>
  <c r="WXC23" i="1" s="1"/>
  <c r="WXD23" i="1" s="1"/>
  <c r="WXE23" i="1" s="1"/>
  <c r="WXF23" i="1" s="1"/>
  <c r="WXG23" i="1" s="1"/>
  <c r="WXH23" i="1" s="1"/>
  <c r="WXI23" i="1" s="1"/>
  <c r="WXJ23" i="1" s="1"/>
  <c r="WXK23" i="1" s="1"/>
  <c r="WXL23" i="1" s="1"/>
  <c r="WXM23" i="1" s="1"/>
  <c r="WXN23" i="1" s="1"/>
  <c r="WXO23" i="1" s="1"/>
  <c r="WXP23" i="1" s="1"/>
  <c r="WXQ23" i="1" s="1"/>
  <c r="WXR23" i="1" s="1"/>
  <c r="WXS23" i="1" s="1"/>
  <c r="WXT23" i="1" s="1"/>
  <c r="WXU23" i="1" s="1"/>
  <c r="WXV23" i="1" s="1"/>
  <c r="WXW23" i="1" s="1"/>
  <c r="WXX23" i="1" s="1"/>
  <c r="WXY23" i="1" s="1"/>
  <c r="WXZ23" i="1" s="1"/>
  <c r="WYA23" i="1" s="1"/>
  <c r="WYB23" i="1" s="1"/>
  <c r="WYC23" i="1" s="1"/>
  <c r="WYD23" i="1" s="1"/>
  <c r="WYE23" i="1" s="1"/>
  <c r="WYF23" i="1" s="1"/>
  <c r="WYG23" i="1" s="1"/>
  <c r="WYH23" i="1" s="1"/>
  <c r="WYI23" i="1" s="1"/>
  <c r="WYJ23" i="1" s="1"/>
  <c r="WYK23" i="1" s="1"/>
  <c r="WYL23" i="1" s="1"/>
  <c r="WYM23" i="1" s="1"/>
  <c r="WYN23" i="1" s="1"/>
  <c r="WYO23" i="1" s="1"/>
  <c r="WYP23" i="1" s="1"/>
  <c r="WYQ23" i="1" s="1"/>
  <c r="WYR23" i="1" s="1"/>
  <c r="WYS23" i="1" s="1"/>
  <c r="WYT23" i="1" s="1"/>
  <c r="WYU23" i="1" s="1"/>
  <c r="WYV23" i="1" s="1"/>
  <c r="WYW23" i="1" s="1"/>
  <c r="WYX23" i="1" s="1"/>
  <c r="WYY23" i="1" s="1"/>
  <c r="WYZ23" i="1" s="1"/>
  <c r="WZA23" i="1" s="1"/>
  <c r="WZB23" i="1" s="1"/>
  <c r="WZC23" i="1" s="1"/>
  <c r="WZD23" i="1" s="1"/>
  <c r="WZE23" i="1" s="1"/>
  <c r="WZF23" i="1" s="1"/>
  <c r="WZG23" i="1" s="1"/>
  <c r="WZH23" i="1" s="1"/>
  <c r="WZI23" i="1" s="1"/>
  <c r="WZJ23" i="1" s="1"/>
  <c r="WZK23" i="1" s="1"/>
  <c r="WZL23" i="1" s="1"/>
  <c r="WZM23" i="1" s="1"/>
  <c r="WZN23" i="1" s="1"/>
  <c r="WZO23" i="1" s="1"/>
  <c r="WZP23" i="1" s="1"/>
  <c r="WZQ23" i="1" s="1"/>
  <c r="WZR23" i="1" s="1"/>
  <c r="WZS23" i="1" s="1"/>
  <c r="WZT23" i="1" s="1"/>
  <c r="WZU23" i="1" s="1"/>
  <c r="WZV23" i="1" s="1"/>
  <c r="WZW23" i="1" s="1"/>
  <c r="WZX23" i="1" s="1"/>
  <c r="WZY23" i="1" s="1"/>
  <c r="WZZ23" i="1" s="1"/>
  <c r="XAA23" i="1" s="1"/>
  <c r="XAB23" i="1" s="1"/>
  <c r="XAC23" i="1" s="1"/>
  <c r="XAD23" i="1" s="1"/>
  <c r="XAE23" i="1" s="1"/>
  <c r="XAF23" i="1" s="1"/>
  <c r="XAG23" i="1" s="1"/>
  <c r="XAH23" i="1" s="1"/>
  <c r="XAI23" i="1" s="1"/>
  <c r="XAJ23" i="1" s="1"/>
  <c r="XAK23" i="1" s="1"/>
  <c r="XAL23" i="1" s="1"/>
  <c r="XAM23" i="1" s="1"/>
  <c r="XAN23" i="1" s="1"/>
  <c r="XAO23" i="1" s="1"/>
  <c r="XAP23" i="1" s="1"/>
  <c r="XAQ23" i="1" s="1"/>
  <c r="XAR23" i="1" s="1"/>
  <c r="XAS23" i="1" s="1"/>
  <c r="XAT23" i="1" s="1"/>
  <c r="XAU23" i="1" s="1"/>
  <c r="XAV23" i="1" s="1"/>
  <c r="XAW23" i="1" s="1"/>
  <c r="XAX23" i="1" s="1"/>
  <c r="XAY23" i="1" s="1"/>
  <c r="XAZ23" i="1" s="1"/>
  <c r="XBA23" i="1" s="1"/>
  <c r="XBB23" i="1" s="1"/>
  <c r="XBC23" i="1" s="1"/>
  <c r="XBD23" i="1" s="1"/>
  <c r="XBE23" i="1" s="1"/>
  <c r="XBF23" i="1" s="1"/>
  <c r="XBG23" i="1" s="1"/>
  <c r="XBH23" i="1" s="1"/>
  <c r="XBI23" i="1" s="1"/>
  <c r="XBJ23" i="1" s="1"/>
  <c r="XBK23" i="1" s="1"/>
  <c r="XBL23" i="1" s="1"/>
  <c r="XBM23" i="1" s="1"/>
  <c r="XBN23" i="1" s="1"/>
  <c r="XBO23" i="1" s="1"/>
  <c r="XBP23" i="1" s="1"/>
  <c r="XBQ23" i="1" s="1"/>
  <c r="XBR23" i="1" s="1"/>
  <c r="XBS23" i="1" s="1"/>
  <c r="XBT23" i="1" s="1"/>
  <c r="XBU23" i="1" s="1"/>
  <c r="XBV23" i="1" s="1"/>
  <c r="XBW23" i="1" s="1"/>
  <c r="XBX23" i="1" s="1"/>
  <c r="XBY23" i="1" s="1"/>
  <c r="XBZ23" i="1" s="1"/>
  <c r="XCA23" i="1" s="1"/>
  <c r="XCB23" i="1" s="1"/>
  <c r="XCC23" i="1" s="1"/>
  <c r="XCD23" i="1" s="1"/>
  <c r="XCE23" i="1" s="1"/>
  <c r="XCF23" i="1" s="1"/>
  <c r="XCG23" i="1" s="1"/>
  <c r="XCH23" i="1" s="1"/>
  <c r="XCI23" i="1" s="1"/>
  <c r="XCJ23" i="1" s="1"/>
  <c r="XCK23" i="1" s="1"/>
  <c r="XCL23" i="1" s="1"/>
  <c r="XCM23" i="1" s="1"/>
  <c r="XCN23" i="1" s="1"/>
  <c r="XCO23" i="1" s="1"/>
  <c r="XCP23" i="1" s="1"/>
  <c r="XCQ23" i="1" s="1"/>
  <c r="XCR23" i="1" s="1"/>
  <c r="XCS23" i="1" s="1"/>
  <c r="XCT23" i="1" s="1"/>
  <c r="XCU23" i="1" s="1"/>
  <c r="XCV23" i="1" s="1"/>
  <c r="XCW23" i="1" s="1"/>
  <c r="XCX23" i="1" s="1"/>
  <c r="XCY23" i="1" s="1"/>
  <c r="XCZ23" i="1" s="1"/>
  <c r="XDA23" i="1" s="1"/>
  <c r="XDB23" i="1" s="1"/>
  <c r="XDC23" i="1" s="1"/>
  <c r="XDD23" i="1" s="1"/>
  <c r="XDE23" i="1" s="1"/>
  <c r="XDF23" i="1" s="1"/>
  <c r="XDG23" i="1" s="1"/>
  <c r="XDH23" i="1" s="1"/>
  <c r="XDI23" i="1" s="1"/>
  <c r="XDJ23" i="1" s="1"/>
  <c r="XDK23" i="1" s="1"/>
  <c r="XDL23" i="1" s="1"/>
  <c r="XDM23" i="1" s="1"/>
  <c r="XDN23" i="1" s="1"/>
  <c r="XDO23" i="1" s="1"/>
  <c r="XDP23" i="1" s="1"/>
  <c r="XDQ23" i="1" s="1"/>
  <c r="XDR23" i="1" s="1"/>
  <c r="XDS23" i="1" s="1"/>
  <c r="XDT23" i="1" s="1"/>
  <c r="XDU23" i="1" s="1"/>
  <c r="XDV23" i="1" s="1"/>
  <c r="XDW23" i="1" s="1"/>
  <c r="XDX23" i="1" s="1"/>
  <c r="XDY23" i="1" s="1"/>
  <c r="XDZ23" i="1" s="1"/>
  <c r="XEA23" i="1" s="1"/>
  <c r="XEB23" i="1" s="1"/>
  <c r="XEC23" i="1" s="1"/>
  <c r="XED23" i="1" s="1"/>
  <c r="XEE23" i="1" s="1"/>
  <c r="XEF23" i="1" s="1"/>
  <c r="XEG23" i="1" s="1"/>
  <c r="XEH23" i="1" s="1"/>
  <c r="XEI23" i="1" s="1"/>
  <c r="XEJ23" i="1" s="1"/>
  <c r="XEK23" i="1" s="1"/>
  <c r="XEL23" i="1" s="1"/>
  <c r="XEM23" i="1" s="1"/>
  <c r="XEN23" i="1" s="1"/>
  <c r="XEO23" i="1" s="1"/>
  <c r="XEP23" i="1" s="1"/>
  <c r="XEQ23" i="1" s="1"/>
  <c r="XER23" i="1" s="1"/>
  <c r="XES23" i="1" s="1"/>
  <c r="XET23" i="1" s="1"/>
  <c r="XEU23" i="1" s="1"/>
  <c r="XEV23" i="1" s="1"/>
  <c r="XEW23" i="1" s="1"/>
  <c r="XEX23" i="1" s="1"/>
  <c r="XEY23" i="1" s="1"/>
  <c r="XEZ23" i="1" s="1"/>
  <c r="XFA23" i="1" s="1"/>
  <c r="XFB23" i="1" s="1"/>
  <c r="XFC23" i="1" s="1"/>
  <c r="XFD23" i="1" s="1"/>
  <c r="H11" i="1"/>
  <c r="K28" i="8"/>
  <c r="K52" i="8" s="1"/>
  <c r="K76" i="8" s="1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29" i="8"/>
  <c r="K30" i="8"/>
  <c r="K54" i="8" s="1"/>
  <c r="K78" i="8" s="1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31" i="8"/>
  <c r="K55" i="8" s="1"/>
  <c r="K79" i="8" s="1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32" i="8"/>
  <c r="K56" i="8" s="1"/>
  <c r="K80" i="8" s="1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33" i="8"/>
  <c r="K57" i="8" s="1"/>
  <c r="K81" i="8" s="1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34" i="8"/>
  <c r="K58" i="8" s="1"/>
  <c r="K82" i="8" s="1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35" i="8"/>
  <c r="K59" i="8" s="1"/>
  <c r="K83" i="8" s="1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36" i="8"/>
  <c r="K60" i="8" s="1"/>
  <c r="K84" i="8" s="1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37" i="8"/>
  <c r="K61" i="8" s="1"/>
  <c r="K85" i="8" s="1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38" i="8"/>
  <c r="K62" i="8" s="1"/>
  <c r="K86" i="8" s="1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39" i="8"/>
  <c r="K63" i="8" s="1"/>
  <c r="K87" i="8" s="1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40" i="8"/>
  <c r="K64" i="8" s="1"/>
  <c r="K88" i="8" s="1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41" i="8"/>
  <c r="K65" i="8" s="1"/>
  <c r="K89" i="8" s="1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42" i="8"/>
  <c r="K66" i="8" s="1"/>
  <c r="K90" i="8" s="1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43" i="8"/>
  <c r="K67" i="8" s="1"/>
  <c r="K91" i="8" s="1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44" i="8"/>
  <c r="K68" i="8" s="1"/>
  <c r="K92" i="8" s="1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45" i="8"/>
  <c r="K69" i="8" s="1"/>
  <c r="K93" i="8" s="1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46" i="8"/>
  <c r="K70" i="8" s="1"/>
  <c r="K94" i="8" s="1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47" i="8"/>
  <c r="K71" i="8" s="1"/>
  <c r="K95" i="8" s="1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48" i="8"/>
  <c r="K72" i="8" s="1"/>
  <c r="K96" i="8" s="1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49" i="8"/>
  <c r="K73" i="8" s="1"/>
  <c r="K97" i="8" s="1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50" i="8"/>
  <c r="K74" i="8" s="1"/>
  <c r="K98" i="8" s="1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53" i="8"/>
  <c r="K77" i="8" s="1"/>
  <c r="K101" i="8" s="1"/>
  <c r="K125" i="8" s="1"/>
  <c r="K149" i="8" s="1"/>
  <c r="K173" i="8" s="1"/>
  <c r="K197" i="8"/>
  <c r="K221" i="8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27" i="8"/>
  <c r="K51" i="8" s="1"/>
  <c r="K75" i="8" s="1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I28" i="8"/>
  <c r="I29" i="8"/>
  <c r="I53" i="8" s="1"/>
  <c r="I77" i="8" s="1"/>
  <c r="I101" i="8" s="1"/>
  <c r="I125" i="8" s="1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30" i="8"/>
  <c r="I31" i="8"/>
  <c r="I55" i="8" s="1"/>
  <c r="I79" i="8" s="1"/>
  <c r="I103" i="8" s="1"/>
  <c r="I127" i="8" s="1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32" i="8"/>
  <c r="I56" i="8" s="1"/>
  <c r="I80" i="8" s="1"/>
  <c r="I104" i="8" s="1"/>
  <c r="I128" i="8" s="1"/>
  <c r="I152" i="8" s="1"/>
  <c r="I176" i="8" s="1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33" i="8"/>
  <c r="I57" i="8" s="1"/>
  <c r="I81" i="8" s="1"/>
  <c r="I105" i="8" s="1"/>
  <c r="I129" i="8" s="1"/>
  <c r="I153" i="8" s="1"/>
  <c r="I177" i="8" s="1"/>
  <c r="I201" i="8" s="1"/>
  <c r="I225" i="8" s="1"/>
  <c r="I249" i="8" s="1"/>
  <c r="I273" i="8" s="1"/>
  <c r="I297" i="8" s="1"/>
  <c r="I321" i="8" s="1"/>
  <c r="I345" i="8" s="1"/>
  <c r="I369" i="8" s="1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34" i="8"/>
  <c r="I58" i="8" s="1"/>
  <c r="I82" i="8" s="1"/>
  <c r="I106" i="8" s="1"/>
  <c r="I130" i="8" s="1"/>
  <c r="I154" i="8" s="1"/>
  <c r="I178" i="8" s="1"/>
  <c r="I202" i="8" s="1"/>
  <c r="I226" i="8" s="1"/>
  <c r="I250" i="8" s="1"/>
  <c r="I274" i="8" s="1"/>
  <c r="I298" i="8" s="1"/>
  <c r="I322" i="8" s="1"/>
  <c r="I35" i="8"/>
  <c r="I59" i="8" s="1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6" i="8"/>
  <c r="I60" i="8" s="1"/>
  <c r="I84" i="8" s="1"/>
  <c r="I108" i="8" s="1"/>
  <c r="I132" i="8" s="1"/>
  <c r="I156" i="8" s="1"/>
  <c r="I180" i="8" s="1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37" i="8"/>
  <c r="I61" i="8" s="1"/>
  <c r="I85" i="8" s="1"/>
  <c r="I109" i="8" s="1"/>
  <c r="I133" i="8" s="1"/>
  <c r="I157" i="8" s="1"/>
  <c r="I181" i="8" s="1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38" i="8"/>
  <c r="I39" i="8"/>
  <c r="I63" i="8" s="1"/>
  <c r="I87" i="8" s="1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40" i="8"/>
  <c r="I64" i="8" s="1"/>
  <c r="I88" i="8" s="1"/>
  <c r="I112" i="8" s="1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41" i="8"/>
  <c r="I65" i="8" s="1"/>
  <c r="I89" i="8" s="1"/>
  <c r="I113" i="8" s="1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42" i="8"/>
  <c r="I66" i="8" s="1"/>
  <c r="I90" i="8" s="1"/>
  <c r="I114" i="8" s="1"/>
  <c r="I138" i="8" s="1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43" i="8"/>
  <c r="I67" i="8" s="1"/>
  <c r="I91" i="8" s="1"/>
  <c r="I115" i="8" s="1"/>
  <c r="I139" i="8" s="1"/>
  <c r="I163" i="8" s="1"/>
  <c r="I187" i="8" s="1"/>
  <c r="I211" i="8" s="1"/>
  <c r="I235" i="8" s="1"/>
  <c r="I259" i="8" s="1"/>
  <c r="I283" i="8" s="1"/>
  <c r="I307" i="8" s="1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44" i="8"/>
  <c r="I68" i="8" s="1"/>
  <c r="I92" i="8" s="1"/>
  <c r="I116" i="8" s="1"/>
  <c r="I140" i="8" s="1"/>
  <c r="I164" i="8" s="1"/>
  <c r="I188" i="8" s="1"/>
  <c r="I212" i="8" s="1"/>
  <c r="I236" i="8" s="1"/>
  <c r="I260" i="8" s="1"/>
  <c r="I284" i="8" s="1"/>
  <c r="I308" i="8" s="1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45" i="8"/>
  <c r="I69" i="8" s="1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46" i="8"/>
  <c r="I70" i="8" s="1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47" i="8"/>
  <c r="I71" i="8" s="1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48" i="8"/>
  <c r="I72" i="8" s="1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49" i="8"/>
  <c r="I73" i="8" s="1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50" i="8"/>
  <c r="I74" i="8" s="1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52" i="8"/>
  <c r="I76" i="8" s="1"/>
  <c r="I100" i="8" s="1"/>
  <c r="I124" i="8" s="1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54" i="8"/>
  <c r="I78" i="8" s="1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62" i="8"/>
  <c r="I86" i="8" s="1"/>
  <c r="I110" i="8" s="1"/>
  <c r="I134" i="8" s="1"/>
  <c r="I158" i="8" s="1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27" i="8"/>
  <c r="I51" i="8" s="1"/>
  <c r="I75" i="8" s="1"/>
  <c r="I99" i="8" s="1"/>
  <c r="I123" i="8" s="1"/>
  <c r="I147" i="8" s="1"/>
  <c r="I171" i="8" s="1"/>
  <c r="I195" i="8" s="1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483" i="8" s="1"/>
  <c r="I507" i="8" s="1"/>
  <c r="I531" i="8" s="1"/>
  <c r="I555" i="8" s="1"/>
  <c r="I579" i="8" s="1"/>
  <c r="I603" i="8" s="1"/>
  <c r="G28" i="8"/>
  <c r="G52" i="8" s="1"/>
  <c r="G76" i="8" s="1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29" i="8"/>
  <c r="G53" i="8" s="1"/>
  <c r="G77" i="8" s="1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30" i="8"/>
  <c r="G54" i="8" s="1"/>
  <c r="G78" i="8" s="1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31" i="8"/>
  <c r="G55" i="8" s="1"/>
  <c r="G79" i="8" s="1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32" i="8"/>
  <c r="G56" i="8" s="1"/>
  <c r="G80" i="8" s="1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33" i="8"/>
  <c r="G57" i="8" s="1"/>
  <c r="G81" i="8" s="1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34" i="8"/>
  <c r="G58" i="8" s="1"/>
  <c r="G82" i="8" s="1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35" i="8"/>
  <c r="G59" i="8" s="1"/>
  <c r="G83" i="8" s="1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36" i="8"/>
  <c r="G60" i="8" s="1"/>
  <c r="G84" i="8" s="1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37" i="8"/>
  <c r="G61" i="8" s="1"/>
  <c r="G85" i="8" s="1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38" i="8"/>
  <c r="G62" i="8" s="1"/>
  <c r="G86" i="8" s="1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39" i="8"/>
  <c r="G63" i="8" s="1"/>
  <c r="G87" i="8" s="1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40" i="8"/>
  <c r="G64" i="8" s="1"/>
  <c r="G88" i="8" s="1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41" i="8"/>
  <c r="G65" i="8" s="1"/>
  <c r="G89" i="8" s="1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42" i="8"/>
  <c r="G66" i="8" s="1"/>
  <c r="G90" i="8" s="1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43" i="8"/>
  <c r="G67" i="8" s="1"/>
  <c r="G91" i="8" s="1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44" i="8"/>
  <c r="G68" i="8" s="1"/>
  <c r="G92" i="8" s="1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45" i="8"/>
  <c r="G69" i="8" s="1"/>
  <c r="G93" i="8" s="1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46" i="8"/>
  <c r="G70" i="8" s="1"/>
  <c r="G94" i="8" s="1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47" i="8"/>
  <c r="G71" i="8" s="1"/>
  <c r="G95" i="8" s="1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48" i="8"/>
  <c r="G72" i="8" s="1"/>
  <c r="G96" i="8" s="1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49" i="8"/>
  <c r="G73" i="8" s="1"/>
  <c r="G97" i="8" s="1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50" i="8"/>
  <c r="G74" i="8" s="1"/>
  <c r="G98" i="8" s="1"/>
  <c r="G122" i="8" s="1"/>
  <c r="G146" i="8" s="1"/>
  <c r="G170" i="8" s="1"/>
  <c r="G194" i="8" s="1"/>
  <c r="G218" i="8"/>
  <c r="G242" i="8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27" i="8"/>
  <c r="G51" i="8" s="1"/>
  <c r="G75" i="8" s="1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B27" i="8"/>
  <c r="B28" i="8"/>
  <c r="B52" i="8" s="1"/>
  <c r="B76" i="8" s="1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29" i="8"/>
  <c r="B30" i="8"/>
  <c r="B54" i="8" s="1"/>
  <c r="B78" i="8" s="1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31" i="8"/>
  <c r="B32" i="8"/>
  <c r="B33" i="8"/>
  <c r="B57" i="8" s="1"/>
  <c r="B81" i="8" s="1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34" i="8"/>
  <c r="B58" i="8" s="1"/>
  <c r="B82" i="8" s="1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35" i="8"/>
  <c r="B59" i="8" s="1"/>
  <c r="B83" i="8" s="1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36" i="8"/>
  <c r="B60" i="8" s="1"/>
  <c r="B84" i="8" s="1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37" i="8"/>
  <c r="B61" i="8" s="1"/>
  <c r="B85" i="8" s="1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38" i="8"/>
  <c r="B39" i="8"/>
  <c r="B40" i="8"/>
  <c r="B64" i="8" s="1"/>
  <c r="B88" i="8" s="1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41" i="8"/>
  <c r="B65" i="8" s="1"/>
  <c r="B89" i="8" s="1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42" i="8"/>
  <c r="B66" i="8" s="1"/>
  <c r="B90" i="8" s="1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43" i="8"/>
  <c r="B67" i="8" s="1"/>
  <c r="B91" i="8" s="1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44" i="8"/>
  <c r="B68" i="8" s="1"/>
  <c r="B92" i="8" s="1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45" i="8"/>
  <c r="B69" i="8" s="1"/>
  <c r="B93" i="8" s="1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46" i="8"/>
  <c r="B70" i="8" s="1"/>
  <c r="B94" i="8" s="1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47" i="8"/>
  <c r="B71" i="8" s="1"/>
  <c r="B95" i="8" s="1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48" i="8"/>
  <c r="B72" i="8" s="1"/>
  <c r="B96" i="8" s="1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49" i="8"/>
  <c r="B73" i="8" s="1"/>
  <c r="B97" i="8" s="1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50" i="8"/>
  <c r="B74" i="8" s="1"/>
  <c r="B98" i="8" s="1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51" i="8"/>
  <c r="B75" i="8" s="1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53" i="8"/>
  <c r="B77" i="8" s="1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55" i="8"/>
  <c r="B79" i="8" s="1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56" i="8"/>
  <c r="B80" i="8" s="1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B62" i="8"/>
  <c r="B86" i="8" s="1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63" i="8"/>
  <c r="B87" i="8" s="1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Z9" i="7"/>
  <c r="H68" i="1"/>
  <c r="H81" i="1"/>
  <c r="H82" i="1"/>
  <c r="H83" i="1"/>
  <c r="H84" i="1"/>
  <c r="H85" i="1"/>
  <c r="H86" i="1"/>
  <c r="I347" i="8" l="1"/>
  <c r="I371" i="8" s="1"/>
  <c r="I395" i="8" s="1"/>
  <c r="I419" i="8" s="1"/>
  <c r="I443" i="8" s="1"/>
  <c r="I467" i="8" s="1"/>
  <c r="I491" i="8" s="1"/>
  <c r="I515" i="8" s="1"/>
  <c r="I539" i="8" s="1"/>
  <c r="I563" i="8" s="1"/>
  <c r="I587" i="8" s="1"/>
  <c r="I611" i="8" s="1"/>
  <c r="G436" i="8"/>
  <c r="G460" i="8" s="1"/>
  <c r="G484" i="8" s="1"/>
  <c r="G508" i="8" s="1"/>
  <c r="G532" i="8" s="1"/>
  <c r="G556" i="8" s="1"/>
  <c r="G580" i="8" s="1"/>
  <c r="G604" i="8" s="1"/>
  <c r="I346" i="8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CF67" i="1"/>
  <c r="U35" i="1"/>
  <c r="CY36" i="1"/>
  <c r="BS45" i="1"/>
  <c r="BF51" i="1"/>
  <c r="V62" i="1"/>
  <c r="CJ67" i="1"/>
  <c r="CQ51" i="1"/>
  <c r="Q57" i="1"/>
  <c r="AL58" i="1"/>
  <c r="Z62" i="1"/>
  <c r="AX63" i="1"/>
  <c r="I66" i="1"/>
  <c r="CT67" i="1"/>
  <c r="FQ45" i="1"/>
  <c r="CO51" i="1"/>
  <c r="P57" i="1"/>
  <c r="Y62" i="1"/>
  <c r="FS65" i="1"/>
  <c r="EX74" i="1"/>
  <c r="AD36" i="1"/>
  <c r="BI37" i="1"/>
  <c r="ER37" i="1"/>
  <c r="P36" i="1"/>
  <c r="N57" i="1"/>
  <c r="EG65" i="1"/>
  <c r="DW26" i="1"/>
  <c r="DW27" i="1"/>
  <c r="A512" i="8"/>
  <c r="DK26" i="1" s="1"/>
  <c r="P73" i="1"/>
  <c r="EK67" i="1"/>
  <c r="DO67" i="1"/>
  <c r="CS67" i="1"/>
  <c r="BW67" i="1"/>
  <c r="BA67" i="1"/>
  <c r="AE67" i="1"/>
  <c r="I67" i="1"/>
  <c r="EX66" i="1"/>
  <c r="EB66" i="1"/>
  <c r="DF66" i="1"/>
  <c r="FO62" i="1"/>
  <c r="DW62" i="1"/>
  <c r="DA62" i="1"/>
  <c r="AF80" i="1"/>
  <c r="ED74" i="1"/>
  <c r="AD67" i="1"/>
  <c r="EW66" i="1"/>
  <c r="EA66" i="1"/>
  <c r="DE66" i="1"/>
  <c r="CI66" i="1"/>
  <c r="AH65" i="1"/>
  <c r="FA63" i="1"/>
  <c r="EE63" i="1"/>
  <c r="DI63" i="1"/>
  <c r="CM63" i="1"/>
  <c r="BQ63" i="1"/>
  <c r="AU63" i="1"/>
  <c r="I80" i="1"/>
  <c r="DU77" i="1"/>
  <c r="FR74" i="1"/>
  <c r="EV74" i="1"/>
  <c r="DZ74" i="1"/>
  <c r="Z67" i="1"/>
  <c r="ES66" i="1"/>
  <c r="DW66" i="1"/>
  <c r="DA66" i="1"/>
  <c r="CE66" i="1"/>
  <c r="BI66" i="1"/>
  <c r="AM66" i="1"/>
  <c r="Q66" i="1"/>
  <c r="FF65" i="1"/>
  <c r="DE63" i="1"/>
  <c r="BM63" i="1"/>
  <c r="FL52" i="1"/>
  <c r="DT77" i="1"/>
  <c r="CX77" i="1"/>
  <c r="CB77" i="1"/>
  <c r="BF77" i="1"/>
  <c r="FQ74" i="1"/>
  <c r="CT73" i="1"/>
  <c r="Y67" i="1"/>
  <c r="ER66" i="1"/>
  <c r="DV66" i="1"/>
  <c r="CZ66" i="1"/>
  <c r="CD66" i="1"/>
  <c r="BH66" i="1"/>
  <c r="AL66" i="1"/>
  <c r="P66" i="1"/>
  <c r="FK77" i="1"/>
  <c r="AV80" i="1"/>
  <c r="Z80" i="1"/>
  <c r="FP74" i="1"/>
  <c r="ET74" i="1"/>
  <c r="DX74" i="1"/>
  <c r="DB74" i="1"/>
  <c r="CF74" i="1"/>
  <c r="EQ66" i="1"/>
  <c r="CY66" i="1"/>
  <c r="CC66" i="1"/>
  <c r="BG66" i="1"/>
  <c r="AK66" i="1"/>
  <c r="EU63" i="1"/>
  <c r="DC63" i="1"/>
  <c r="ES74" i="1"/>
  <c r="BI74" i="1"/>
  <c r="AM74" i="1"/>
  <c r="Q74" i="1"/>
  <c r="FF73" i="1"/>
  <c r="DG67" i="1"/>
  <c r="BO67" i="1"/>
  <c r="AS67" i="1"/>
  <c r="W67" i="1"/>
  <c r="FL66" i="1"/>
  <c r="EQ74" i="1"/>
  <c r="CI74" i="1"/>
  <c r="BC74" i="1"/>
  <c r="AA74" i="1"/>
  <c r="FD73" i="1"/>
  <c r="L66" i="1"/>
  <c r="BP58" i="1"/>
  <c r="AS58" i="1"/>
  <c r="V58" i="1"/>
  <c r="FJ57" i="1"/>
  <c r="EM57" i="1"/>
  <c r="DP57" i="1"/>
  <c r="CS57" i="1"/>
  <c r="BV57" i="1"/>
  <c r="AY57" i="1"/>
  <c r="AB57" i="1"/>
  <c r="EL51" i="1"/>
  <c r="FI77" i="1"/>
  <c r="EP74" i="1"/>
  <c r="CD74" i="1"/>
  <c r="BQ73" i="1"/>
  <c r="AO73" i="1"/>
  <c r="ER67" i="1"/>
  <c r="EE77" i="1"/>
  <c r="BR77" i="1"/>
  <c r="AL77" i="1"/>
  <c r="BA74" i="1"/>
  <c r="FB73" i="1"/>
  <c r="DZ73" i="1"/>
  <c r="CV73" i="1"/>
  <c r="BP73" i="1"/>
  <c r="AN73" i="1"/>
  <c r="FS67" i="1"/>
  <c r="EQ67" i="1"/>
  <c r="DM67" i="1"/>
  <c r="BP80" i="1"/>
  <c r="BB67" i="1"/>
  <c r="T67" i="1"/>
  <c r="DY66" i="1"/>
  <c r="CS66" i="1"/>
  <c r="FC77" i="1"/>
  <c r="AC73" i="1"/>
  <c r="EL67" i="1"/>
  <c r="DD67" i="1"/>
  <c r="CB67" i="1"/>
  <c r="AX67" i="1"/>
  <c r="R67" i="1"/>
  <c r="FA66" i="1"/>
  <c r="Z65" i="1"/>
  <c r="EI63" i="1"/>
  <c r="DF63" i="1"/>
  <c r="CB63" i="1"/>
  <c r="DN77" i="1"/>
  <c r="BX77" i="1"/>
  <c r="EW80" i="1"/>
  <c r="DG80" i="1"/>
  <c r="U73" i="1"/>
  <c r="DC67" i="1"/>
  <c r="BT67" i="1"/>
  <c r="CK62" i="1"/>
  <c r="J62" i="1"/>
  <c r="FA58" i="1"/>
  <c r="EB58" i="1"/>
  <c r="DD58" i="1"/>
  <c r="CF58" i="1"/>
  <c r="BH58" i="1"/>
  <c r="AJ58" i="1"/>
  <c r="L58" i="1"/>
  <c r="W45" i="1"/>
  <c r="FN37" i="1"/>
  <c r="FF77" i="1"/>
  <c r="DM77" i="1"/>
  <c r="BW77" i="1"/>
  <c r="AB77" i="1"/>
  <c r="EV80" i="1"/>
  <c r="DF80" i="1"/>
  <c r="BJ80" i="1"/>
  <c r="T80" i="1"/>
  <c r="BQ65" i="1"/>
  <c r="FM63" i="1"/>
  <c r="EH63" i="1"/>
  <c r="I62" i="1"/>
  <c r="EA58" i="1"/>
  <c r="DC58" i="1"/>
  <c r="CE58" i="1"/>
  <c r="FK46" i="1"/>
  <c r="DQ46" i="1"/>
  <c r="CT46" i="1"/>
  <c r="BW46" i="1"/>
  <c r="BA46" i="1"/>
  <c r="FM37" i="1"/>
  <c r="DL77" i="1"/>
  <c r="BV77" i="1"/>
  <c r="AA77" i="1"/>
  <c r="EU80" i="1"/>
  <c r="DB80" i="1"/>
  <c r="BI80" i="1"/>
  <c r="CY65" i="1"/>
  <c r="FB77" i="1"/>
  <c r="DK77" i="1"/>
  <c r="BU77" i="1"/>
  <c r="Y77" i="1"/>
  <c r="AF67" i="1"/>
  <c r="EY66" i="1"/>
  <c r="H66" i="1"/>
  <c r="DY58" i="1"/>
  <c r="DA58" i="1"/>
  <c r="CC58" i="1"/>
  <c r="BE58" i="1"/>
  <c r="AG58" i="1"/>
  <c r="I58" i="1"/>
  <c r="EU57" i="1"/>
  <c r="DW57" i="1"/>
  <c r="BG52" i="1"/>
  <c r="M52" i="1"/>
  <c r="FA51" i="1"/>
  <c r="AX73" i="1"/>
  <c r="CY67" i="1"/>
  <c r="BL67" i="1"/>
  <c r="V67" i="1"/>
  <c r="AI66" i="1"/>
  <c r="FM65" i="1"/>
  <c r="EB65" i="1"/>
  <c r="CU65" i="1"/>
  <c r="DG62" i="1"/>
  <c r="FR57" i="1"/>
  <c r="CC52" i="1"/>
  <c r="AI52" i="1"/>
  <c r="L52" i="1"/>
  <c r="EZ51" i="1"/>
  <c r="EC51" i="1"/>
  <c r="EY77" i="1"/>
  <c r="DI77" i="1"/>
  <c r="BP77" i="1"/>
  <c r="W77" i="1"/>
  <c r="ER80" i="1"/>
  <c r="CW80" i="1"/>
  <c r="EA65" i="1"/>
  <c r="EX77" i="1"/>
  <c r="AV73" i="1"/>
  <c r="M73" i="1"/>
  <c r="EW77" i="1"/>
  <c r="DG77" i="1"/>
  <c r="BI77" i="1"/>
  <c r="U77" i="1"/>
  <c r="EP80" i="1"/>
  <c r="FH65" i="1"/>
  <c r="CO65" i="1"/>
  <c r="BI65" i="1"/>
  <c r="Y65" i="1"/>
  <c r="FF63" i="1"/>
  <c r="AB62" i="1"/>
  <c r="ET58" i="1"/>
  <c r="DU58" i="1"/>
  <c r="CW58" i="1"/>
  <c r="BY58" i="1"/>
  <c r="BA58" i="1"/>
  <c r="AB58" i="1"/>
  <c r="CF73" i="1"/>
  <c r="AR73" i="1"/>
  <c r="FM67" i="1"/>
  <c r="EL77" i="1"/>
  <c r="AJ74" i="1"/>
  <c r="DR73" i="1"/>
  <c r="CE73" i="1"/>
  <c r="AQ73" i="1"/>
  <c r="FL67" i="1"/>
  <c r="EB62" i="1"/>
  <c r="BV62" i="1"/>
  <c r="AW62" i="1"/>
  <c r="X62" i="1"/>
  <c r="FO58" i="1"/>
  <c r="EP58" i="1"/>
  <c r="DQ58" i="1"/>
  <c r="CS58" i="1"/>
  <c r="ES77" i="1"/>
  <c r="BJ67" i="1"/>
  <c r="AF57" i="1"/>
  <c r="FK52" i="1"/>
  <c r="EI52" i="1"/>
  <c r="DG52" i="1"/>
  <c r="CA52" i="1"/>
  <c r="AZ52" i="1"/>
  <c r="Y52" i="1"/>
  <c r="FI51" i="1"/>
  <c r="EE51" i="1"/>
  <c r="DC51" i="1"/>
  <c r="W46" i="1"/>
  <c r="DQ37" i="1"/>
  <c r="CU37" i="1"/>
  <c r="X36" i="1"/>
  <c r="EQ35" i="1"/>
  <c r="DU35" i="1"/>
  <c r="CY35" i="1"/>
  <c r="CC35" i="1"/>
  <c r="BG35" i="1"/>
  <c r="O35" i="1"/>
  <c r="FG27" i="1"/>
  <c r="EK27" i="1"/>
  <c r="DO27" i="1"/>
  <c r="FO73" i="1"/>
  <c r="DC73" i="1"/>
  <c r="DU67" i="1"/>
  <c r="BH67" i="1"/>
  <c r="AM63" i="1"/>
  <c r="DS62" i="1"/>
  <c r="CC62" i="1"/>
  <c r="AT62" i="1"/>
  <c r="N62" i="1"/>
  <c r="ER58" i="1"/>
  <c r="DK58" i="1"/>
  <c r="CD58" i="1"/>
  <c r="AW58" i="1"/>
  <c r="FP46" i="1"/>
  <c r="EQ46" i="1"/>
  <c r="CQ46" i="1"/>
  <c r="BR46" i="1"/>
  <c r="V46" i="1"/>
  <c r="DP37" i="1"/>
  <c r="BX37" i="1"/>
  <c r="BB37" i="1"/>
  <c r="AF37" i="1"/>
  <c r="J37" i="1"/>
  <c r="EY36" i="1"/>
  <c r="EC36" i="1"/>
  <c r="BV27" i="1"/>
  <c r="AZ27" i="1"/>
  <c r="H27" i="1"/>
  <c r="EY26" i="1"/>
  <c r="EC26" i="1"/>
  <c r="DG26" i="1"/>
  <c r="CK26" i="1"/>
  <c r="BO26" i="1"/>
  <c r="AS26" i="1"/>
  <c r="W26" i="1"/>
  <c r="BV74" i="1"/>
  <c r="W73" i="1"/>
  <c r="BD67" i="1"/>
  <c r="AJ63" i="1"/>
  <c r="DI58" i="1"/>
  <c r="R58" i="1"/>
  <c r="DQ57" i="1"/>
  <c r="CM57" i="1"/>
  <c r="BI57" i="1"/>
  <c r="AA57" i="1"/>
  <c r="FI52" i="1"/>
  <c r="EG52" i="1"/>
  <c r="DB52" i="1"/>
  <c r="BY52" i="1"/>
  <c r="AX52" i="1"/>
  <c r="DL45" i="1"/>
  <c r="CN45" i="1"/>
  <c r="AP45" i="1"/>
  <c r="R45" i="1"/>
  <c r="FG37" i="1"/>
  <c r="EK37" i="1"/>
  <c r="DO37" i="1"/>
  <c r="CS37" i="1"/>
  <c r="EB36" i="1"/>
  <c r="EJ77" i="1"/>
  <c r="BB77" i="1"/>
  <c r="EX80" i="1"/>
  <c r="FJ66" i="1"/>
  <c r="FL63" i="1"/>
  <c r="DN62" i="1"/>
  <c r="BX62" i="1"/>
  <c r="AR62" i="1"/>
  <c r="H67" i="1"/>
  <c r="EO58" i="1"/>
  <c r="DH58" i="1"/>
  <c r="BZ58" i="1"/>
  <c r="AU58" i="1"/>
  <c r="Q58" i="1"/>
  <c r="EV57" i="1"/>
  <c r="DO57" i="1"/>
  <c r="EM46" i="1"/>
  <c r="DN46" i="1"/>
  <c r="BP46" i="1"/>
  <c r="AR46" i="1"/>
  <c r="T46" i="1"/>
  <c r="EW74" i="1"/>
  <c r="BZ73" i="1"/>
  <c r="DK67" i="1"/>
  <c r="AQ67" i="1"/>
  <c r="ET66" i="1"/>
  <c r="CN66" i="1"/>
  <c r="AC66" i="1"/>
  <c r="AD63" i="1"/>
  <c r="AQ58" i="1"/>
  <c r="EP57" i="1"/>
  <c r="CH57" i="1"/>
  <c r="BA57" i="1"/>
  <c r="V57" i="1"/>
  <c r="FE52" i="1"/>
  <c r="EC52" i="1"/>
  <c r="CV52" i="1"/>
  <c r="BU52" i="1"/>
  <c r="AT52" i="1"/>
  <c r="R52" i="1"/>
  <c r="EX51" i="1"/>
  <c r="FI46" i="1"/>
  <c r="AL45" i="1"/>
  <c r="N45" i="1"/>
  <c r="EG37" i="1"/>
  <c r="DK37" i="1"/>
  <c r="ET36" i="1"/>
  <c r="CF36" i="1"/>
  <c r="AN36" i="1"/>
  <c r="R36" i="1"/>
  <c r="FG35" i="1"/>
  <c r="EK35" i="1"/>
  <c r="DO35" i="1"/>
  <c r="CS35" i="1"/>
  <c r="BW35" i="1"/>
  <c r="AP67" i="1"/>
  <c r="AB66" i="1"/>
  <c r="EM65" i="1"/>
  <c r="AP65" i="1"/>
  <c r="FD63" i="1"/>
  <c r="DL63" i="1"/>
  <c r="BU63" i="1"/>
  <c r="AB63" i="1"/>
  <c r="DE62" i="1"/>
  <c r="BS62" i="1"/>
  <c r="AP58" i="1"/>
  <c r="DK57" i="1"/>
  <c r="AZ57" i="1"/>
  <c r="Q52" i="1"/>
  <c r="DV51" i="1"/>
  <c r="CV51" i="1"/>
  <c r="T51" i="1"/>
  <c r="CJ46" i="1"/>
  <c r="P46" i="1"/>
  <c r="EE45" i="1"/>
  <c r="DE45" i="1"/>
  <c r="CG45" i="1"/>
  <c r="BI45" i="1"/>
  <c r="AK45" i="1"/>
  <c r="M45" i="1"/>
  <c r="FB37" i="1"/>
  <c r="EF37" i="1"/>
  <c r="Q36" i="1"/>
  <c r="DN35" i="1"/>
  <c r="AZ35" i="1"/>
  <c r="AD35" i="1"/>
  <c r="H37" i="1"/>
  <c r="EI77" i="1"/>
  <c r="AG77" i="1"/>
  <c r="CH80" i="1"/>
  <c r="DV74" i="1"/>
  <c r="AG74" i="1"/>
  <c r="FE67" i="1"/>
  <c r="CC67" i="1"/>
  <c r="FI65" i="1"/>
  <c r="EH58" i="1"/>
  <c r="BB58" i="1"/>
  <c r="FP57" i="1"/>
  <c r="CK57" i="1"/>
  <c r="AS57" i="1"/>
  <c r="FQ52" i="1"/>
  <c r="CN52" i="1"/>
  <c r="BB52" i="1"/>
  <c r="CY51" i="1"/>
  <c r="AH51" i="1"/>
  <c r="CV46" i="1"/>
  <c r="BI46" i="1"/>
  <c r="AC46" i="1"/>
  <c r="EO37" i="1"/>
  <c r="CH37" i="1"/>
  <c r="AC37" i="1"/>
  <c r="EJ36" i="1"/>
  <c r="DI36" i="1"/>
  <c r="CC36" i="1"/>
  <c r="BB36" i="1"/>
  <c r="AA36" i="1"/>
  <c r="FJ35" i="1"/>
  <c r="EH35" i="1"/>
  <c r="DH35" i="1"/>
  <c r="CH35" i="1"/>
  <c r="BH35" i="1"/>
  <c r="AF35" i="1"/>
  <c r="AB27" i="1"/>
  <c r="ES26" i="1"/>
  <c r="DU26" i="1"/>
  <c r="BY26" i="1"/>
  <c r="AC26" i="1"/>
  <c r="EH37" i="1"/>
  <c r="AX36" i="1"/>
  <c r="CD35" i="1"/>
  <c r="DR27" i="1"/>
  <c r="X27" i="1"/>
  <c r="EH77" i="1"/>
  <c r="AF77" i="1"/>
  <c r="CG80" i="1"/>
  <c r="BQ66" i="1"/>
  <c r="CD65" i="1"/>
  <c r="T65" i="1"/>
  <c r="BI63" i="1"/>
  <c r="J63" i="1"/>
  <c r="DI62" i="1"/>
  <c r="BM62" i="1"/>
  <c r="S62" i="1"/>
  <c r="EF58" i="1"/>
  <c r="CO58" i="1"/>
  <c r="AY58" i="1"/>
  <c r="FN57" i="1"/>
  <c r="CJ57" i="1"/>
  <c r="EM51" i="1"/>
  <c r="BL51" i="1"/>
  <c r="AG51" i="1"/>
  <c r="DZ46" i="1"/>
  <c r="CS46" i="1"/>
  <c r="BH46" i="1"/>
  <c r="AB46" i="1"/>
  <c r="FE45" i="1"/>
  <c r="DW45" i="1"/>
  <c r="CT45" i="1"/>
  <c r="BL45" i="1"/>
  <c r="AG45" i="1"/>
  <c r="FQ37" i="1"/>
  <c r="EN37" i="1"/>
  <c r="DE36" i="1"/>
  <c r="BA36" i="1"/>
  <c r="Z36" i="1"/>
  <c r="EG35" i="1"/>
  <c r="DG35" i="1"/>
  <c r="CG35" i="1"/>
  <c r="AC35" i="1"/>
  <c r="FQ27" i="1"/>
  <c r="ES27" i="1"/>
  <c r="DU27" i="1"/>
  <c r="CW27" i="1"/>
  <c r="BY27" i="1"/>
  <c r="AY27" i="1"/>
  <c r="AZ26" i="1"/>
  <c r="BG45" i="1"/>
  <c r="W37" i="1"/>
  <c r="FD35" i="1"/>
  <c r="Z35" i="1"/>
  <c r="FN27" i="1"/>
  <c r="BT27" i="1"/>
  <c r="EO26" i="1"/>
  <c r="EA77" i="1"/>
  <c r="Q77" i="1"/>
  <c r="CF80" i="1"/>
  <c r="DR74" i="1"/>
  <c r="AE74" i="1"/>
  <c r="CB73" i="1"/>
  <c r="S65" i="1"/>
  <c r="BG63" i="1"/>
  <c r="FR62" i="1"/>
  <c r="BL62" i="1"/>
  <c r="R62" i="1"/>
  <c r="EE58" i="1"/>
  <c r="CN58" i="1"/>
  <c r="AT58" i="1"/>
  <c r="FM57" i="1"/>
  <c r="EC57" i="1"/>
  <c r="CF57" i="1"/>
  <c r="AP57" i="1"/>
  <c r="FN52" i="1"/>
  <c r="DS52" i="1"/>
  <c r="CL52" i="1"/>
  <c r="AE51" i="1"/>
  <c r="DY46" i="1"/>
  <c r="CN46" i="1"/>
  <c r="AA46" i="1"/>
  <c r="FB45" i="1"/>
  <c r="DV45" i="1"/>
  <c r="BK45" i="1"/>
  <c r="AF45" i="1"/>
  <c r="FP37" i="1"/>
  <c r="EJ37" i="1"/>
  <c r="DG37" i="1"/>
  <c r="CF37" i="1"/>
  <c r="BE37" i="1"/>
  <c r="Y37" i="1"/>
  <c r="Y36" i="1"/>
  <c r="EF35" i="1"/>
  <c r="DF35" i="1"/>
  <c r="BD35" i="1"/>
  <c r="AB35" i="1"/>
  <c r="FP27" i="1"/>
  <c r="ER27" i="1"/>
  <c r="DT27" i="1"/>
  <c r="CV27" i="1"/>
  <c r="BX27" i="1"/>
  <c r="AX27" i="1"/>
  <c r="Z27" i="1"/>
  <c r="FO26" i="1"/>
  <c r="DS26" i="1"/>
  <c r="CZ36" i="1"/>
  <c r="CT27" i="1"/>
  <c r="FM26" i="1"/>
  <c r="P77" i="1"/>
  <c r="CE80" i="1"/>
  <c r="DQ74" i="1"/>
  <c r="AD74" i="1"/>
  <c r="CA73" i="1"/>
  <c r="EX67" i="1"/>
  <c r="BY67" i="1"/>
  <c r="EL66" i="1"/>
  <c r="BL66" i="1"/>
  <c r="FA65" i="1"/>
  <c r="CB65" i="1"/>
  <c r="R65" i="1"/>
  <c r="Q62" i="1"/>
  <c r="CL58" i="1"/>
  <c r="AR58" i="1"/>
  <c r="EB57" i="1"/>
  <c r="CE57" i="1"/>
  <c r="FM52" i="1"/>
  <c r="DR52" i="1"/>
  <c r="CK52" i="1"/>
  <c r="AU52" i="1"/>
  <c r="FR51" i="1"/>
  <c r="EJ51" i="1"/>
  <c r="CS51" i="1"/>
  <c r="BJ51" i="1"/>
  <c r="AD51" i="1"/>
  <c r="FA45" i="1"/>
  <c r="CR45" i="1"/>
  <c r="BH45" i="1"/>
  <c r="FO37" i="1"/>
  <c r="EI37" i="1"/>
  <c r="DF37" i="1"/>
  <c r="CE37" i="1"/>
  <c r="BD37" i="1"/>
  <c r="X37" i="1"/>
  <c r="FH36" i="1"/>
  <c r="EG36" i="1"/>
  <c r="DC36" i="1"/>
  <c r="AY36" i="1"/>
  <c r="V36" i="1"/>
  <c r="AA35" i="1"/>
  <c r="EQ27" i="1"/>
  <c r="DS27" i="1"/>
  <c r="BU27" i="1"/>
  <c r="AW27" i="1"/>
  <c r="Y27" i="1"/>
  <c r="FN26" i="1"/>
  <c r="EP26" i="1"/>
  <c r="DR26" i="1"/>
  <c r="CT26" i="1"/>
  <c r="BV26" i="1"/>
  <c r="AX26" i="1"/>
  <c r="Z26" i="1"/>
  <c r="AD45" i="1"/>
  <c r="FG36" i="1"/>
  <c r="DQ77" i="1"/>
  <c r="BO80" i="1"/>
  <c r="DP74" i="1"/>
  <c r="BT73" i="1"/>
  <c r="BX67" i="1"/>
  <c r="EJ66" i="1"/>
  <c r="BJ66" i="1"/>
  <c r="ER65" i="1"/>
  <c r="BY65" i="1"/>
  <c r="Q65" i="1"/>
  <c r="DK63" i="1"/>
  <c r="BD63" i="1"/>
  <c r="FL62" i="1"/>
  <c r="CZ62" i="1"/>
  <c r="FK57" i="1"/>
  <c r="CB57" i="1"/>
  <c r="AN57" i="1"/>
  <c r="DQ52" i="1"/>
  <c r="CJ52" i="1"/>
  <c r="AR52" i="1"/>
  <c r="FQ51" i="1"/>
  <c r="EI51" i="1"/>
  <c r="CR51" i="1"/>
  <c r="BI51" i="1"/>
  <c r="Y51" i="1"/>
  <c r="FC46" i="1"/>
  <c r="DW46" i="1"/>
  <c r="CI46" i="1"/>
  <c r="BE46" i="1"/>
  <c r="CD37" i="1"/>
  <c r="ED35" i="1"/>
  <c r="DF77" i="1"/>
  <c r="AO80" i="1"/>
  <c r="DK74" i="1"/>
  <c r="V74" i="1"/>
  <c r="BO73" i="1"/>
  <c r="EH67" i="1"/>
  <c r="AW67" i="1"/>
  <c r="EH66" i="1"/>
  <c r="BD66" i="1"/>
  <c r="EK65" i="1"/>
  <c r="BW65" i="1"/>
  <c r="O65" i="1"/>
  <c r="DG63" i="1"/>
  <c r="FA62" i="1"/>
  <c r="DW58" i="1"/>
  <c r="AM58" i="1"/>
  <c r="FH57" i="1"/>
  <c r="BX57" i="1"/>
  <c r="AL57" i="1"/>
  <c r="FC52" i="1"/>
  <c r="DO52" i="1"/>
  <c r="CE52" i="1"/>
  <c r="AP52" i="1"/>
  <c r="FO51" i="1"/>
  <c r="DY51" i="1"/>
  <c r="CP51" i="1"/>
  <c r="BG51" i="1"/>
  <c r="S51" i="1"/>
  <c r="EZ46" i="1"/>
  <c r="CG46" i="1"/>
  <c r="DR45" i="1"/>
  <c r="BE45" i="1"/>
  <c r="AB45" i="1"/>
  <c r="ED37" i="1"/>
  <c r="DC37" i="1"/>
  <c r="CB37" i="1"/>
  <c r="AX37" i="1"/>
  <c r="U37" i="1"/>
  <c r="FE36" i="1"/>
  <c r="EA36" i="1"/>
  <c r="CX36" i="1"/>
  <c r="BW36" i="1"/>
  <c r="AV36" i="1"/>
  <c r="S36" i="1"/>
  <c r="FB35" i="1"/>
  <c r="DB35" i="1"/>
  <c r="FL27" i="1"/>
  <c r="DP27" i="1"/>
  <c r="CP27" i="1"/>
  <c r="AT27" i="1"/>
  <c r="V27" i="1"/>
  <c r="FK26" i="1"/>
  <c r="EM26" i="1"/>
  <c r="DO26" i="1"/>
  <c r="CQ26" i="1"/>
  <c r="BS26" i="1"/>
  <c r="AU26" i="1"/>
  <c r="U26" i="1"/>
  <c r="DE77" i="1"/>
  <c r="FN80" i="1"/>
  <c r="AN80" i="1"/>
  <c r="DJ74" i="1"/>
  <c r="U74" i="1"/>
  <c r="EI80" i="1"/>
  <c r="CX74" i="1"/>
  <c r="AT73" i="1"/>
  <c r="DX67" i="1"/>
  <c r="DX66" i="1"/>
  <c r="AF66" i="1"/>
  <c r="DW65" i="1"/>
  <c r="BH65" i="1"/>
  <c r="FC63" i="1"/>
  <c r="CU63" i="1"/>
  <c r="AW63" i="1"/>
  <c r="EU62" i="1"/>
  <c r="CP62" i="1"/>
  <c r="AQ62" i="1"/>
  <c r="FK58" i="1"/>
  <c r="DR58" i="1"/>
  <c r="BS58" i="1"/>
  <c r="AE58" i="1"/>
  <c r="DH57" i="1"/>
  <c r="X57" i="1"/>
  <c r="DK52" i="1"/>
  <c r="BS52" i="1"/>
  <c r="FK51" i="1"/>
  <c r="DS51" i="1"/>
  <c r="CI51" i="1"/>
  <c r="AX51" i="1"/>
  <c r="O51" i="1"/>
  <c r="EV46" i="1"/>
  <c r="DH46" i="1"/>
  <c r="CC46" i="1"/>
  <c r="AW46" i="1"/>
  <c r="M46" i="1"/>
  <c r="ER45" i="1"/>
  <c r="DK45" i="1"/>
  <c r="CD45" i="1"/>
  <c r="BA45" i="1"/>
  <c r="DV80" i="1"/>
  <c r="CK74" i="1"/>
  <c r="AM73" i="1"/>
  <c r="DR67" i="1"/>
  <c r="DQ66" i="1"/>
  <c r="Z66" i="1"/>
  <c r="DO65" i="1"/>
  <c r="BC65" i="1"/>
  <c r="EX63" i="1"/>
  <c r="CR63" i="1"/>
  <c r="AF63" i="1"/>
  <c r="EI62" i="1"/>
  <c r="CN62" i="1"/>
  <c r="AL62" i="1"/>
  <c r="FI58" i="1"/>
  <c r="DO58" i="1"/>
  <c r="BQ58" i="1"/>
  <c r="AA58" i="1"/>
  <c r="DF57" i="1"/>
  <c r="S57" i="1"/>
  <c r="DI52" i="1"/>
  <c r="BQ52" i="1"/>
  <c r="FB51" i="1"/>
  <c r="DQ51" i="1"/>
  <c r="CG51" i="1"/>
  <c r="AT51" i="1"/>
  <c r="M51" i="1"/>
  <c r="ET46" i="1"/>
  <c r="DF46" i="1"/>
  <c r="CA46" i="1"/>
  <c r="AQ46" i="1"/>
  <c r="K46" i="1"/>
  <c r="EP45" i="1"/>
  <c r="DI45" i="1"/>
  <c r="CB45" i="1"/>
  <c r="AY45" i="1"/>
  <c r="EY37" i="1"/>
  <c r="DX37" i="1"/>
  <c r="CW37" i="1"/>
  <c r="AP37" i="1"/>
  <c r="O37" i="1"/>
  <c r="DS36" i="1"/>
  <c r="CR36" i="1"/>
  <c r="BQ36" i="1"/>
  <c r="AK36" i="1"/>
  <c r="K36" i="1"/>
  <c r="EV35" i="1"/>
  <c r="DV35" i="1"/>
  <c r="CT35" i="1"/>
  <c r="BR35" i="1"/>
  <c r="AR35" i="1"/>
  <c r="R35" i="1"/>
  <c r="FD27" i="1"/>
  <c r="EF27" i="1"/>
  <c r="DH27" i="1"/>
  <c r="BL27" i="1"/>
  <c r="AN27" i="1"/>
  <c r="P27" i="1"/>
  <c r="FE26" i="1"/>
  <c r="EG26" i="1"/>
  <c r="DI26" i="1"/>
  <c r="BK26" i="1"/>
  <c r="AM26" i="1"/>
  <c r="O26" i="1"/>
  <c r="CJ77" i="1"/>
  <c r="DU80" i="1"/>
  <c r="X80" i="1"/>
  <c r="CJ74" i="1"/>
  <c r="EO73" i="1"/>
  <c r="DO77" i="1"/>
  <c r="CL80" i="1"/>
  <c r="AR74" i="1"/>
  <c r="AH73" i="1"/>
  <c r="BU67" i="1"/>
  <c r="CP66" i="1"/>
  <c r="AE65" i="1"/>
  <c r="CT63" i="1"/>
  <c r="O63" i="1"/>
  <c r="CL62" i="1"/>
  <c r="H62" i="1"/>
  <c r="CY58" i="1"/>
  <c r="EI57" i="1"/>
  <c r="BQ57" i="1"/>
  <c r="K57" i="1"/>
  <c r="CX52" i="1"/>
  <c r="AQ52" i="1"/>
  <c r="ET51" i="1"/>
  <c r="CN51" i="1"/>
  <c r="AL51" i="1"/>
  <c r="EU46" i="1"/>
  <c r="CX46" i="1"/>
  <c r="AM46" i="1"/>
  <c r="EW45" i="1"/>
  <c r="DA45" i="1"/>
  <c r="BC45" i="1"/>
  <c r="EB37" i="1"/>
  <c r="CP37" i="1"/>
  <c r="AU37" i="1"/>
  <c r="L37" i="1"/>
  <c r="EE36" i="1"/>
  <c r="CP36" i="1"/>
  <c r="BC36" i="1"/>
  <c r="J36" i="1"/>
  <c r="EL35" i="1"/>
  <c r="CU35" i="1"/>
  <c r="BK35" i="1"/>
  <c r="T35" i="1"/>
  <c r="EX27" i="1"/>
  <c r="DK27" i="1"/>
  <c r="CE27" i="1"/>
  <c r="AR27" i="1"/>
  <c r="L27" i="1"/>
  <c r="EL26" i="1"/>
  <c r="DE26" i="1"/>
  <c r="CA26" i="1"/>
  <c r="AP26" i="1"/>
  <c r="CQ77" i="1"/>
  <c r="CK80" i="1"/>
  <c r="AL74" i="1"/>
  <c r="AB73" i="1"/>
  <c r="AR67" i="1"/>
  <c r="CO66" i="1"/>
  <c r="DX65" i="1"/>
  <c r="AA65" i="1"/>
  <c r="CQ63" i="1"/>
  <c r="N63" i="1"/>
  <c r="CH62" i="1"/>
  <c r="FN58" i="1"/>
  <c r="CX58" i="1"/>
  <c r="AH58" i="1"/>
  <c r="EH57" i="1"/>
  <c r="BO57" i="1"/>
  <c r="H58" i="1"/>
  <c r="CW52" i="1"/>
  <c r="AN52" i="1"/>
  <c r="ES51" i="1"/>
  <c r="CK51" i="1"/>
  <c r="ES46" i="1"/>
  <c r="CW46" i="1"/>
  <c r="AL46" i="1"/>
  <c r="EU45" i="1"/>
  <c r="CZ45" i="1"/>
  <c r="BB45" i="1"/>
  <c r="I45" i="1"/>
  <c r="EA37" i="1"/>
  <c r="CM37" i="1"/>
  <c r="AT37" i="1"/>
  <c r="FS36" i="1"/>
  <c r="DZ36" i="1"/>
  <c r="CO36" i="1"/>
  <c r="AW36" i="1"/>
  <c r="I36" i="1"/>
  <c r="EI35" i="1"/>
  <c r="CQ35" i="1"/>
  <c r="BJ35" i="1"/>
  <c r="S35" i="1"/>
  <c r="EW27" i="1"/>
  <c r="DJ27" i="1"/>
  <c r="AQ27" i="1"/>
  <c r="K27" i="1"/>
  <c r="EK26" i="1"/>
  <c r="DD26" i="1"/>
  <c r="BZ26" i="1"/>
  <c r="AO26" i="1"/>
  <c r="J26" i="1"/>
  <c r="CO77" i="1"/>
  <c r="BM80" i="1"/>
  <c r="AI74" i="1"/>
  <c r="AA73" i="1"/>
  <c r="AO67" i="1"/>
  <c r="CL66" i="1"/>
  <c r="DV65" i="1"/>
  <c r="X65" i="1"/>
  <c r="CP63" i="1"/>
  <c r="FK62" i="1"/>
  <c r="BW62" i="1"/>
  <c r="FM58" i="1"/>
  <c r="CV58" i="1"/>
  <c r="AC58" i="1"/>
  <c r="BN57" i="1"/>
  <c r="FF52" i="1"/>
  <c r="CT52" i="1"/>
  <c r="AK52" i="1"/>
  <c r="ER51" i="1"/>
  <c r="CH51" i="1"/>
  <c r="AJ51" i="1"/>
  <c r="EL46" i="1"/>
  <c r="CH46" i="1"/>
  <c r="AK46" i="1"/>
  <c r="ET45" i="1"/>
  <c r="CY45" i="1"/>
  <c r="AZ45" i="1"/>
  <c r="H46" i="1"/>
  <c r="DZ37" i="1"/>
  <c r="CL37" i="1"/>
  <c r="AS37" i="1"/>
  <c r="FR36" i="1"/>
  <c r="DY36" i="1"/>
  <c r="CN36" i="1"/>
  <c r="AU36" i="1"/>
  <c r="EC35" i="1"/>
  <c r="CP35" i="1"/>
  <c r="BI35" i="1"/>
  <c r="Q35" i="1"/>
  <c r="EV27" i="1"/>
  <c r="DI27" i="1"/>
  <c r="CC27" i="1"/>
  <c r="AP27" i="1"/>
  <c r="J27" i="1"/>
  <c r="EJ26" i="1"/>
  <c r="DC26" i="1"/>
  <c r="BU26" i="1"/>
  <c r="AN26" i="1"/>
  <c r="I26" i="1"/>
  <c r="CF46" i="1"/>
  <c r="AX45" i="1"/>
  <c r="H45" i="1"/>
  <c r="DY37" i="1"/>
  <c r="AR37" i="1"/>
  <c r="FQ36" i="1"/>
  <c r="DV36" i="1"/>
  <c r="FR35" i="1"/>
  <c r="CO35" i="1"/>
  <c r="AY35" i="1"/>
  <c r="P35" i="1"/>
  <c r="DG27" i="1"/>
  <c r="CB27" i="1"/>
  <c r="H26" i="1"/>
  <c r="EI26" i="1"/>
  <c r="DB26" i="1"/>
  <c r="AL26" i="1"/>
  <c r="CL77" i="1"/>
  <c r="AL80" i="1"/>
  <c r="AH74" i="1"/>
  <c r="Z73" i="1"/>
  <c r="AN67" i="1"/>
  <c r="CK66" i="1"/>
  <c r="DK65" i="1"/>
  <c r="W65" i="1"/>
  <c r="CK63" i="1"/>
  <c r="EZ62" i="1"/>
  <c r="BU62" i="1"/>
  <c r="CU58" i="1"/>
  <c r="Z58" i="1"/>
  <c r="EF57" i="1"/>
  <c r="BL57" i="1"/>
  <c r="FB52" i="1"/>
  <c r="CS52" i="1"/>
  <c r="AH52" i="1"/>
  <c r="EQ51" i="1"/>
  <c r="CF51" i="1"/>
  <c r="AI51" i="1"/>
  <c r="EK46" i="1"/>
  <c r="AJ46" i="1"/>
  <c r="ES45" i="1"/>
  <c r="CX45" i="1"/>
  <c r="CK37" i="1"/>
  <c r="CM36" i="1"/>
  <c r="EA35" i="1"/>
  <c r="EU27" i="1"/>
  <c r="AO27" i="1"/>
  <c r="BT26" i="1"/>
  <c r="AF27" i="1"/>
  <c r="AJ80" i="1"/>
  <c r="AB74" i="1"/>
  <c r="FQ67" i="1"/>
  <c r="AL67" i="1"/>
  <c r="CH66" i="1"/>
  <c r="DJ65" i="1"/>
  <c r="P65" i="1"/>
  <c r="CJ63" i="1"/>
  <c r="EW62" i="1"/>
  <c r="BR62" i="1"/>
  <c r="FJ58" i="1"/>
  <c r="CT58" i="1"/>
  <c r="Y58" i="1"/>
  <c r="DU57" i="1"/>
  <c r="BG57" i="1"/>
  <c r="FA52" i="1"/>
  <c r="CR52" i="1"/>
  <c r="AF52" i="1"/>
  <c r="EP51" i="1"/>
  <c r="CE51" i="1"/>
  <c r="X51" i="1"/>
  <c r="CE46" i="1"/>
  <c r="AI46" i="1"/>
  <c r="EQ45" i="1"/>
  <c r="CW45" i="1"/>
  <c r="AW45" i="1"/>
  <c r="FS37" i="1"/>
  <c r="DW37" i="1"/>
  <c r="CJ37" i="1"/>
  <c r="AQ37" i="1"/>
  <c r="FN36" i="1"/>
  <c r="DU36" i="1"/>
  <c r="CI36" i="1"/>
  <c r="AP36" i="1"/>
  <c r="FQ35" i="1"/>
  <c r="DZ35" i="1"/>
  <c r="CN35" i="1"/>
  <c r="AW35" i="1"/>
  <c r="M35" i="1"/>
  <c r="EO27" i="1"/>
  <c r="DF27" i="1"/>
  <c r="CA27" i="1"/>
  <c r="FS26" i="1"/>
  <c r="EH26" i="1"/>
  <c r="DA26" i="1"/>
  <c r="BR26" i="1"/>
  <c r="AK26" i="1"/>
  <c r="EM27" i="1"/>
  <c r="CZ26" i="1"/>
  <c r="AJ26" i="1"/>
  <c r="CB52" i="1"/>
  <c r="DO36" i="1"/>
  <c r="EG27" i="1"/>
  <c r="DZ26" i="1"/>
  <c r="FB36" i="1"/>
  <c r="FS27" i="1"/>
  <c r="FG26" i="1"/>
  <c r="DK73" i="1"/>
  <c r="AV62" i="1"/>
  <c r="BV52" i="1"/>
  <c r="BT46" i="1"/>
  <c r="DM37" i="1"/>
  <c r="AF36" i="1"/>
  <c r="CY27" i="1"/>
  <c r="CO26" i="1"/>
  <c r="BX65" i="1"/>
  <c r="BN58" i="1"/>
  <c r="CE77" i="1"/>
  <c r="AD80" i="1"/>
  <c r="FA73" i="1"/>
  <c r="FO67" i="1"/>
  <c r="AJ67" i="1"/>
  <c r="CG66" i="1"/>
  <c r="DI65" i="1"/>
  <c r="N65" i="1"/>
  <c r="CF63" i="1"/>
  <c r="EV62" i="1"/>
  <c r="BQ62" i="1"/>
  <c r="FH58" i="1"/>
  <c r="CQ58" i="1"/>
  <c r="X58" i="1"/>
  <c r="DM57" i="1"/>
  <c r="BD57" i="1"/>
  <c r="EZ52" i="1"/>
  <c r="CQ52" i="1"/>
  <c r="AD52" i="1"/>
  <c r="EO51" i="1"/>
  <c r="CD51" i="1"/>
  <c r="R51" i="1"/>
  <c r="EG46" i="1"/>
  <c r="CD46" i="1"/>
  <c r="AH46" i="1"/>
  <c r="EO45" i="1"/>
  <c r="CV45" i="1"/>
  <c r="AV45" i="1"/>
  <c r="FK37" i="1"/>
  <c r="DV37" i="1"/>
  <c r="CI37" i="1"/>
  <c r="AO37" i="1"/>
  <c r="FM36" i="1"/>
  <c r="DT36" i="1"/>
  <c r="CH36" i="1"/>
  <c r="AO36" i="1"/>
  <c r="FP35" i="1"/>
  <c r="DY35" i="1"/>
  <c r="CM35" i="1"/>
  <c r="AV35" i="1"/>
  <c r="L35" i="1"/>
  <c r="DE27" i="1"/>
  <c r="BS27" i="1"/>
  <c r="AL27" i="1"/>
  <c r="FR26" i="1"/>
  <c r="EF26" i="1"/>
  <c r="BQ26" i="1"/>
  <c r="L51" i="1"/>
  <c r="DR35" i="1"/>
  <c r="FH26" i="1"/>
  <c r="AJ37" i="1"/>
  <c r="FA35" i="1"/>
  <c r="EE27" i="1"/>
  <c r="DY26" i="1"/>
  <c r="AR77" i="1"/>
  <c r="CJ65" i="1"/>
  <c r="BO58" i="1"/>
  <c r="DO51" i="1"/>
  <c r="EA45" i="1"/>
  <c r="FA36" i="1"/>
  <c r="ED27" i="1"/>
  <c r="AD26" i="1"/>
  <c r="DW67" i="1"/>
  <c r="EN58" i="1"/>
  <c r="AY77" i="1"/>
  <c r="W80" i="1"/>
  <c r="EZ73" i="1"/>
  <c r="FI67" i="1"/>
  <c r="S67" i="1"/>
  <c r="BE66" i="1"/>
  <c r="DG65" i="1"/>
  <c r="FH63" i="1"/>
  <c r="BZ63" i="1"/>
  <c r="EP62" i="1"/>
  <c r="BP62" i="1"/>
  <c r="FD58" i="1"/>
  <c r="CJ58" i="1"/>
  <c r="W58" i="1"/>
  <c r="DJ57" i="1"/>
  <c r="AW57" i="1"/>
  <c r="ES52" i="1"/>
  <c r="CP52" i="1"/>
  <c r="AC52" i="1"/>
  <c r="EH51" i="1"/>
  <c r="BY51" i="1"/>
  <c r="Q51" i="1"/>
  <c r="EF46" i="1"/>
  <c r="CB46" i="1"/>
  <c r="AG46" i="1"/>
  <c r="EN45" i="1"/>
  <c r="CM45" i="1"/>
  <c r="AU45" i="1"/>
  <c r="FF37" i="1"/>
  <c r="DU37" i="1"/>
  <c r="CC37" i="1"/>
  <c r="AN37" i="1"/>
  <c r="FL36" i="1"/>
  <c r="DR36" i="1"/>
  <c r="CG36" i="1"/>
  <c r="AL36" i="1"/>
  <c r="FO35" i="1"/>
  <c r="DX35" i="1"/>
  <c r="CL35" i="1"/>
  <c r="AU35" i="1"/>
  <c r="K35" i="1"/>
  <c r="EL27" i="1"/>
  <c r="DD27" i="1"/>
  <c r="BQ27" i="1"/>
  <c r="AK27" i="1"/>
  <c r="FL26" i="1"/>
  <c r="EE26" i="1"/>
  <c r="CY26" i="1"/>
  <c r="BN26" i="1"/>
  <c r="AI26" i="1"/>
  <c r="FL74" i="1"/>
  <c r="N67" i="1"/>
  <c r="ET63" i="1"/>
  <c r="AY62" i="1"/>
  <c r="O58" i="1"/>
  <c r="EN52" i="1"/>
  <c r="BS51" i="1"/>
  <c r="R46" i="1"/>
  <c r="AM45" i="1"/>
  <c r="BV37" i="1"/>
  <c r="BV36" i="1"/>
  <c r="AQ35" i="1"/>
  <c r="DA27" i="1"/>
  <c r="CR26" i="1"/>
  <c r="DN37" i="1"/>
  <c r="BU36" i="1"/>
  <c r="CA35" i="1"/>
  <c r="CZ27" i="1"/>
  <c r="CP26" i="1"/>
  <c r="DZ67" i="1"/>
  <c r="AZ63" i="1"/>
  <c r="CZ57" i="1"/>
  <c r="T52" i="1"/>
  <c r="DT46" i="1"/>
  <c r="AI45" i="1"/>
  <c r="AI37" i="1"/>
  <c r="DP35" i="1"/>
  <c r="FM27" i="1"/>
  <c r="DX26" i="1"/>
  <c r="FB74" i="1"/>
  <c r="EQ63" i="1"/>
  <c r="DZ62" i="1"/>
  <c r="FI57" i="1"/>
  <c r="AJ57" i="1"/>
  <c r="AX77" i="1"/>
  <c r="V80" i="1"/>
  <c r="ES73" i="1"/>
  <c r="FH67" i="1"/>
  <c r="P67" i="1"/>
  <c r="BC66" i="1"/>
  <c r="DF65" i="1"/>
  <c r="FG63" i="1"/>
  <c r="BY63" i="1"/>
  <c r="EH62" i="1"/>
  <c r="BO62" i="1"/>
  <c r="FC58" i="1"/>
  <c r="CH58" i="1"/>
  <c r="U58" i="1"/>
  <c r="DI57" i="1"/>
  <c r="AV57" i="1"/>
  <c r="EP52" i="1"/>
  <c r="CO52" i="1"/>
  <c r="AB52" i="1"/>
  <c r="DX51" i="1"/>
  <c r="BW51" i="1"/>
  <c r="P51" i="1"/>
  <c r="ED46" i="1"/>
  <c r="BZ46" i="1"/>
  <c r="AD46" i="1"/>
  <c r="EM45" i="1"/>
  <c r="CI45" i="1"/>
  <c r="AO45" i="1"/>
  <c r="FE37" i="1"/>
  <c r="DT37" i="1"/>
  <c r="CA37" i="1"/>
  <c r="AM37" i="1"/>
  <c r="FF36" i="1"/>
  <c r="DQ36" i="1"/>
  <c r="CD36" i="1"/>
  <c r="AJ36" i="1"/>
  <c r="FN35" i="1"/>
  <c r="DW35" i="1"/>
  <c r="CK35" i="1"/>
  <c r="AT35" i="1"/>
  <c r="J35" i="1"/>
  <c r="EI27" i="1"/>
  <c r="DC27" i="1"/>
  <c r="BP27" i="1"/>
  <c r="AJ27" i="1"/>
  <c r="FJ26" i="1"/>
  <c r="EB26" i="1"/>
  <c r="CX26" i="1"/>
  <c r="BM26" i="1"/>
  <c r="AH26" i="1"/>
  <c r="AT77" i="1"/>
  <c r="DD65" i="1"/>
  <c r="EY58" i="1"/>
  <c r="DD57" i="1"/>
  <c r="Z52" i="1"/>
  <c r="EB46" i="1"/>
  <c r="EG45" i="1"/>
  <c r="FA37" i="1"/>
  <c r="AK37" i="1"/>
  <c r="AH36" i="1"/>
  <c r="CI35" i="1"/>
  <c r="BN27" i="1"/>
  <c r="AF26" i="1"/>
  <c r="AG36" i="1"/>
  <c r="AG27" i="1"/>
  <c r="AE26" i="1"/>
  <c r="FG74" i="1"/>
  <c r="ER63" i="1"/>
  <c r="EU58" i="1"/>
  <c r="AK57" i="1"/>
  <c r="BQ51" i="1"/>
  <c r="N46" i="1"/>
  <c r="EX37" i="1"/>
  <c r="DM36" i="1"/>
  <c r="AO35" i="1"/>
  <c r="FF26" i="1"/>
  <c r="DJ73" i="1"/>
  <c r="AY63" i="1"/>
  <c r="CW57" i="1"/>
  <c r="AU77" i="1"/>
  <c r="FN74" i="1"/>
  <c r="DY73" i="1"/>
  <c r="EV67" i="1"/>
  <c r="O67" i="1"/>
  <c r="BB66" i="1"/>
  <c r="DE65" i="1"/>
  <c r="EY63" i="1"/>
  <c r="BP63" i="1"/>
  <c r="EF62" i="1"/>
  <c r="BB62" i="1"/>
  <c r="FB58" i="1"/>
  <c r="BX58" i="1"/>
  <c r="P58" i="1"/>
  <c r="DG57" i="1"/>
  <c r="AU57" i="1"/>
  <c r="EO52" i="1"/>
  <c r="CI52" i="1"/>
  <c r="AA52" i="1"/>
  <c r="DU51" i="1"/>
  <c r="BT51" i="1"/>
  <c r="N51" i="1"/>
  <c r="EC46" i="1"/>
  <c r="BY46" i="1"/>
  <c r="X46" i="1"/>
  <c r="EH45" i="1"/>
  <c r="CF45" i="1"/>
  <c r="AN45" i="1"/>
  <c r="FD37" i="1"/>
  <c r="DS37" i="1"/>
  <c r="BZ37" i="1"/>
  <c r="AL37" i="1"/>
  <c r="FD36" i="1"/>
  <c r="DP36" i="1"/>
  <c r="BX36" i="1"/>
  <c r="AI36" i="1"/>
  <c r="FK35" i="1"/>
  <c r="DS35" i="1"/>
  <c r="CJ35" i="1"/>
  <c r="AS35" i="1"/>
  <c r="H36" i="1"/>
  <c r="EH27" i="1"/>
  <c r="DB27" i="1"/>
  <c r="BO27" i="1"/>
  <c r="AI27" i="1"/>
  <c r="FI26" i="1"/>
  <c r="EA26" i="1"/>
  <c r="CS26" i="1"/>
  <c r="BL26" i="1"/>
  <c r="AG26" i="1"/>
  <c r="DX73" i="1"/>
  <c r="EB67" i="1"/>
  <c r="BA66" i="1"/>
  <c r="BO63" i="1"/>
  <c r="EE62" i="1"/>
  <c r="BW58" i="1"/>
  <c r="AT57" i="1"/>
  <c r="DT51" i="1"/>
  <c r="BV46" i="1"/>
  <c r="CE45" i="1"/>
  <c r="DR37" i="1"/>
  <c r="FC36" i="1"/>
  <c r="FC35" i="1"/>
  <c r="H35" i="1"/>
  <c r="AH27" i="1"/>
  <c r="BJ26" i="1"/>
  <c r="EZ37" i="1"/>
  <c r="DQ35" i="1"/>
  <c r="BM27" i="1"/>
  <c r="BI26" i="1"/>
  <c r="Y66" i="1"/>
  <c r="EA62" i="1"/>
  <c r="FQ57" i="1"/>
  <c r="EL52" i="1"/>
  <c r="I51" i="1"/>
  <c r="CA45" i="1"/>
  <c r="BT37" i="1"/>
  <c r="BT36" i="1"/>
  <c r="BY35" i="1"/>
  <c r="BK27" i="1"/>
  <c r="BH26" i="1"/>
  <c r="FS80" i="1"/>
  <c r="AP62" i="1"/>
  <c r="AS77" i="1"/>
  <c r="FH74" i="1"/>
  <c r="DM73" i="1"/>
  <c r="EA67" i="1"/>
  <c r="L67" i="1"/>
  <c r="AD66" i="1"/>
  <c r="CK65" i="1"/>
  <c r="ES63" i="1"/>
  <c r="BC63" i="1"/>
  <c r="EC62" i="1"/>
  <c r="AX62" i="1"/>
  <c r="EV58" i="1"/>
  <c r="BR58" i="1"/>
  <c r="J58" i="1"/>
  <c r="DC57" i="1"/>
  <c r="AM57" i="1"/>
  <c r="EM52" i="1"/>
  <c r="BW52" i="1"/>
  <c r="U52" i="1"/>
  <c r="DR51" i="1"/>
  <c r="BR51" i="1"/>
  <c r="K51" i="1"/>
  <c r="DV46" i="1"/>
  <c r="BU46" i="1"/>
  <c r="O46" i="1"/>
  <c r="ED45" i="1"/>
  <c r="CC45" i="1"/>
  <c r="AJ45" i="1"/>
  <c r="BU37" i="1"/>
  <c r="DN36" i="1"/>
  <c r="AP35" i="1"/>
  <c r="K67" i="1"/>
  <c r="EZ35" i="1"/>
  <c r="BE26" i="1"/>
  <c r="AU27" i="1"/>
  <c r="AH35" i="1"/>
  <c r="AE36" i="1"/>
  <c r="BJ37" i="1"/>
  <c r="BX45" i="1"/>
  <c r="EX46" i="1"/>
  <c r="DE51" i="1"/>
  <c r="W57" i="1"/>
  <c r="BC58" i="1"/>
  <c r="AC62" i="1"/>
  <c r="DA63" i="1"/>
  <c r="R66" i="1"/>
  <c r="DN80" i="1"/>
  <c r="BF26" i="1"/>
  <c r="EN26" i="1"/>
  <c r="BC27" i="1"/>
  <c r="DX27" i="1"/>
  <c r="AI35" i="1"/>
  <c r="DL35" i="1"/>
  <c r="BD36" i="1"/>
  <c r="EM36" i="1"/>
  <c r="BK37" i="1"/>
  <c r="ET37" i="1"/>
  <c r="BY45" i="1"/>
  <c r="AP46" i="1"/>
  <c r="EY46" i="1"/>
  <c r="DF51" i="1"/>
  <c r="BN52" i="1"/>
  <c r="AI57" i="1"/>
  <c r="BF58" i="1"/>
  <c r="AD62" i="1"/>
  <c r="DB63" i="1"/>
  <c r="S66" i="1"/>
  <c r="DL67" i="1"/>
  <c r="DR80" i="1"/>
  <c r="BG26" i="1"/>
  <c r="ET26" i="1"/>
  <c r="BD27" i="1"/>
  <c r="DY27" i="1"/>
  <c r="AL35" i="1"/>
  <c r="DM35" i="1"/>
  <c r="BE36" i="1"/>
  <c r="EN36" i="1"/>
  <c r="BL37" i="1"/>
  <c r="EU37" i="1"/>
  <c r="BZ45" i="1"/>
  <c r="AV46" i="1"/>
  <c r="FB46" i="1"/>
  <c r="DH51" i="1"/>
  <c r="BO52" i="1"/>
  <c r="BS57" i="1"/>
  <c r="BI58" i="1"/>
  <c r="AI62" i="1"/>
  <c r="DH63" i="1"/>
  <c r="T66" i="1"/>
  <c r="AJ73" i="1"/>
  <c r="DS80" i="1"/>
  <c r="EM58" i="1"/>
  <c r="CB26" i="1"/>
  <c r="EU26" i="1"/>
  <c r="BE27" i="1"/>
  <c r="DZ27" i="1"/>
  <c r="AM35" i="1"/>
  <c r="EM35" i="1"/>
  <c r="BF36" i="1"/>
  <c r="EO36" i="1"/>
  <c r="BM37" i="1"/>
  <c r="EV37" i="1"/>
  <c r="DB45" i="1"/>
  <c r="AX46" i="1"/>
  <c r="FJ46" i="1"/>
  <c r="DK51" i="1"/>
  <c r="BP52" i="1"/>
  <c r="BT57" i="1"/>
  <c r="BJ58" i="1"/>
  <c r="CM62" i="1"/>
  <c r="EG63" i="1"/>
  <c r="W66" i="1"/>
  <c r="AS73" i="1"/>
  <c r="DT80" i="1"/>
  <c r="CC26" i="1"/>
  <c r="EV26" i="1"/>
  <c r="BF27" i="1"/>
  <c r="EA27" i="1"/>
  <c r="AN35" i="1"/>
  <c r="EN35" i="1"/>
  <c r="BG36" i="1"/>
  <c r="EP36" i="1"/>
  <c r="BN37" i="1"/>
  <c r="EW37" i="1"/>
  <c r="DC45" i="1"/>
  <c r="AY46" i="1"/>
  <c r="FM46" i="1"/>
  <c r="DL51" i="1"/>
  <c r="BR52" i="1"/>
  <c r="BU57" i="1"/>
  <c r="BK58" i="1"/>
  <c r="CO62" i="1"/>
  <c r="EK63" i="1"/>
  <c r="X66" i="1"/>
  <c r="BJ73" i="1"/>
  <c r="ED80" i="1"/>
  <c r="L26" i="1"/>
  <c r="CD26" i="1"/>
  <c r="EW26" i="1"/>
  <c r="BG27" i="1"/>
  <c r="EB27" i="1"/>
  <c r="BL35" i="1"/>
  <c r="EO35" i="1"/>
  <c r="BH36" i="1"/>
  <c r="EQ36" i="1"/>
  <c r="BO37" i="1"/>
  <c r="K45" i="1"/>
  <c r="DD45" i="1"/>
  <c r="AZ46" i="1"/>
  <c r="FR46" i="1"/>
  <c r="DM51" i="1"/>
  <c r="DH52" i="1"/>
  <c r="BY57" i="1"/>
  <c r="BL58" i="1"/>
  <c r="CQ62" i="1"/>
  <c r="EL63" i="1"/>
  <c r="DG66" i="1"/>
  <c r="BL73" i="1"/>
  <c r="FJ80" i="1"/>
  <c r="EX26" i="1"/>
  <c r="BH27" i="1"/>
  <c r="EC27" i="1"/>
  <c r="BM35" i="1"/>
  <c r="ER35" i="1"/>
  <c r="BK36" i="1"/>
  <c r="ER36" i="1"/>
  <c r="BP37" i="1"/>
  <c r="L45" i="1"/>
  <c r="DJ45" i="1"/>
  <c r="BD46" i="1"/>
  <c r="FS46" i="1"/>
  <c r="DN51" i="1"/>
  <c r="DJ52" i="1"/>
  <c r="CP57" i="1"/>
  <c r="BM58" i="1"/>
  <c r="CR62" i="1"/>
  <c r="EM63" i="1"/>
  <c r="DI66" i="1"/>
  <c r="BN73" i="1"/>
  <c r="FL80" i="1"/>
  <c r="H77" i="1"/>
  <c r="J9" i="7"/>
  <c r="I9" i="7"/>
  <c r="O9" i="7"/>
  <c r="N9" i="7"/>
  <c r="V9" i="7"/>
  <c r="U9" i="7"/>
  <c r="Y9" i="7"/>
  <c r="X9" i="7"/>
  <c r="H9" i="7"/>
  <c r="K9" i="7"/>
  <c r="L9" i="7"/>
  <c r="M9" i="7"/>
  <c r="P9" i="7"/>
  <c r="Q9" i="7"/>
  <c r="R9" i="7"/>
  <c r="S9" i="7"/>
  <c r="T9" i="7"/>
  <c r="W9" i="7"/>
  <c r="G9" i="7"/>
  <c r="F9" i="7"/>
  <c r="AD77" i="1" l="1"/>
  <c r="FC66" i="1"/>
  <c r="H73" i="1"/>
  <c r="EG58" i="1"/>
  <c r="CE74" i="1"/>
  <c r="BR80" i="1"/>
  <c r="EP77" i="1"/>
  <c r="AB80" i="1"/>
  <c r="EZ74" i="1"/>
  <c r="CM74" i="1"/>
  <c r="EP37" i="1"/>
  <c r="FJ27" i="1"/>
  <c r="EU65" i="1"/>
  <c r="DA74" i="1"/>
  <c r="DJ80" i="1"/>
  <c r="FL77" i="1"/>
  <c r="BT80" i="1"/>
  <c r="J80" i="1"/>
  <c r="FI80" i="1"/>
  <c r="AY37" i="1"/>
  <c r="AO51" i="1"/>
  <c r="CV36" i="1"/>
  <c r="BB26" i="1"/>
  <c r="DH80" i="1"/>
  <c r="U27" i="1"/>
  <c r="BC26" i="1"/>
  <c r="M66" i="1"/>
  <c r="FS77" i="1"/>
  <c r="AU74" i="1"/>
  <c r="BN66" i="1"/>
  <c r="CE62" i="1"/>
  <c r="AT74" i="1"/>
  <c r="BM66" i="1"/>
  <c r="ET77" i="1"/>
  <c r="CY77" i="1"/>
  <c r="DQ73" i="1"/>
  <c r="EJ65" i="1"/>
  <c r="FF58" i="1"/>
  <c r="AJ77" i="1"/>
  <c r="BB73" i="1"/>
  <c r="BU65" i="1"/>
  <c r="EO77" i="1"/>
  <c r="FG73" i="1"/>
  <c r="O66" i="1"/>
  <c r="DR77" i="1"/>
  <c r="EJ73" i="1"/>
  <c r="FC65" i="1"/>
  <c r="L73" i="1"/>
  <c r="AG63" i="1"/>
  <c r="FR52" i="1"/>
  <c r="CZ77" i="1"/>
  <c r="CH67" i="1"/>
  <c r="FP80" i="1"/>
  <c r="FF66" i="1"/>
  <c r="AX74" i="1"/>
  <c r="EA80" i="1"/>
  <c r="DS66" i="1"/>
  <c r="Z77" i="1"/>
  <c r="BL80" i="1"/>
  <c r="AN65" i="1"/>
  <c r="DB57" i="1"/>
  <c r="CU46" i="1"/>
  <c r="CT74" i="1"/>
  <c r="CY63" i="1"/>
  <c r="AG57" i="1"/>
  <c r="AE46" i="1"/>
  <c r="EH73" i="1"/>
  <c r="BH80" i="1"/>
  <c r="AG65" i="1"/>
  <c r="CY57" i="1"/>
  <c r="CY80" i="1"/>
  <c r="BN65" i="1"/>
  <c r="DV57" i="1"/>
  <c r="P80" i="1"/>
  <c r="BN77" i="1"/>
  <c r="EA74" i="1"/>
  <c r="DW63" i="1"/>
  <c r="AX57" i="1"/>
  <c r="CS77" i="1"/>
  <c r="AA66" i="1"/>
  <c r="CD77" i="1"/>
  <c r="CD62" i="1"/>
  <c r="CC51" i="1"/>
  <c r="BC37" i="1"/>
  <c r="BW27" i="1"/>
  <c r="FP66" i="1"/>
  <c r="CN57" i="1"/>
  <c r="FI45" i="1"/>
  <c r="FL35" i="1"/>
  <c r="BD45" i="1"/>
  <c r="DL27" i="1"/>
  <c r="FE27" i="1"/>
  <c r="V35" i="1"/>
  <c r="AC27" i="1"/>
  <c r="CU67" i="1"/>
  <c r="FR77" i="1"/>
  <c r="Y74" i="1"/>
  <c r="AR66" i="1"/>
  <c r="FQ77" i="1"/>
  <c r="X74" i="1"/>
  <c r="AQ66" i="1"/>
  <c r="DX77" i="1"/>
  <c r="CC77" i="1"/>
  <c r="CU73" i="1"/>
  <c r="DN65" i="1"/>
  <c r="EJ58" i="1"/>
  <c r="N77" i="1"/>
  <c r="AF73" i="1"/>
  <c r="AY65" i="1"/>
  <c r="DS77" i="1"/>
  <c r="EK73" i="1"/>
  <c r="FD65" i="1"/>
  <c r="CV77" i="1"/>
  <c r="DN73" i="1"/>
  <c r="FN77" i="1"/>
  <c r="ES67" i="1"/>
  <c r="FQ62" i="1"/>
  <c r="EU52" i="1"/>
  <c r="BS77" i="1"/>
  <c r="BF67" i="1"/>
  <c r="EJ80" i="1"/>
  <c r="ED66" i="1"/>
  <c r="P74" i="1"/>
  <c r="CX80" i="1"/>
  <c r="CQ66" i="1"/>
  <c r="FE80" i="1"/>
  <c r="U80" i="1"/>
  <c r="FN63" i="1"/>
  <c r="CD57" i="1"/>
  <c r="BX46" i="1"/>
  <c r="BF74" i="1"/>
  <c r="BV63" i="1"/>
  <c r="I57" i="1"/>
  <c r="I46" i="1"/>
  <c r="CQ73" i="1"/>
  <c r="R80" i="1"/>
  <c r="FK63" i="1"/>
  <c r="CA57" i="1"/>
  <c r="BG80" i="1"/>
  <c r="AF65" i="1"/>
  <c r="CX57" i="1"/>
  <c r="EF74" i="1"/>
  <c r="V77" i="1"/>
  <c r="CN74" i="1"/>
  <c r="CS63" i="1"/>
  <c r="Z57" i="1"/>
  <c r="AZ77" i="1"/>
  <c r="EZ65" i="1"/>
  <c r="FF80" i="1"/>
  <c r="AU62" i="1"/>
  <c r="BC51" i="1"/>
  <c r="AG37" i="1"/>
  <c r="BA27" i="1"/>
  <c r="DC66" i="1"/>
  <c r="BJ57" i="1"/>
  <c r="EK45" i="1"/>
  <c r="EP35" i="1"/>
  <c r="EK77" i="1"/>
  <c r="DO62" i="1"/>
  <c r="DA51" i="1"/>
  <c r="BW37" i="1"/>
  <c r="CR66" i="1"/>
  <c r="BH57" i="1"/>
  <c r="EI45" i="1"/>
  <c r="EY62" i="1"/>
  <c r="DW51" i="1"/>
  <c r="CO37" i="1"/>
  <c r="DW80" i="1"/>
  <c r="AN62" i="1"/>
  <c r="AU51" i="1"/>
  <c r="Z37" i="1"/>
  <c r="DF73" i="1"/>
  <c r="DV52" i="1"/>
  <c r="BG37" i="1"/>
  <c r="DZ45" i="1"/>
  <c r="L57" i="1"/>
  <c r="DC35" i="1"/>
  <c r="AP51" i="1"/>
  <c r="T36" i="1"/>
  <c r="DM27" i="1"/>
  <c r="FM45" i="1"/>
  <c r="EV77" i="1"/>
  <c r="FN73" i="1"/>
  <c r="V66" i="1"/>
  <c r="EU77" i="1"/>
  <c r="FM73" i="1"/>
  <c r="U66" i="1"/>
  <c r="DB77" i="1"/>
  <c r="BG77" i="1"/>
  <c r="BY73" i="1"/>
  <c r="CR65" i="1"/>
  <c r="DN58" i="1"/>
  <c r="FC80" i="1"/>
  <c r="J73" i="1"/>
  <c r="AC65" i="1"/>
  <c r="CW77" i="1"/>
  <c r="DO73" i="1"/>
  <c r="EH65" i="1"/>
  <c r="BZ77" i="1"/>
  <c r="CR73" i="1"/>
  <c r="EG77" i="1"/>
  <c r="DQ67" i="1"/>
  <c r="EK62" i="1"/>
  <c r="DY52" i="1"/>
  <c r="AM77" i="1"/>
  <c r="AB67" i="1"/>
  <c r="DC80" i="1"/>
  <c r="CV66" i="1"/>
  <c r="EY73" i="1"/>
  <c r="BN80" i="1"/>
  <c r="BO66" i="1"/>
  <c r="DX80" i="1"/>
  <c r="EN74" i="1"/>
  <c r="EJ63" i="1"/>
  <c r="BF57" i="1"/>
  <c r="BB46" i="1"/>
  <c r="M74" i="1"/>
  <c r="AN63" i="1"/>
  <c r="EX52" i="1"/>
  <c r="EX45" i="1"/>
  <c r="BD73" i="1"/>
  <c r="EI74" i="1"/>
  <c r="ED63" i="1"/>
  <c r="BC57" i="1"/>
  <c r="Q80" i="1"/>
  <c r="FI63" i="1"/>
  <c r="BZ57" i="1"/>
  <c r="CP74" i="1"/>
  <c r="EQ80" i="1"/>
  <c r="AS74" i="1"/>
  <c r="BN63" i="1"/>
  <c r="FO52" i="1"/>
  <c r="J77" i="1"/>
  <c r="DU65" i="1"/>
  <c r="CD80" i="1"/>
  <c r="P62" i="1"/>
  <c r="AC51" i="1"/>
  <c r="K37" i="1"/>
  <c r="AE27" i="1"/>
  <c r="AY66" i="1"/>
  <c r="AC57" i="1"/>
  <c r="DM45" i="1"/>
  <c r="DT35" i="1"/>
  <c r="BH77" i="1"/>
  <c r="CA62" i="1"/>
  <c r="CA51" i="1"/>
  <c r="BA37" i="1"/>
  <c r="AW66" i="1"/>
  <c r="Y57" i="1"/>
  <c r="ED77" i="1"/>
  <c r="DF62" i="1"/>
  <c r="CW51" i="1"/>
  <c r="BS37" i="1"/>
  <c r="AY80" i="1"/>
  <c r="FQ58" i="1"/>
  <c r="CV74" i="1"/>
  <c r="DK36" i="1"/>
  <c r="CK27" i="1"/>
  <c r="AH37" i="1"/>
  <c r="DI35" i="1"/>
  <c r="V63" i="1"/>
  <c r="DZ77" i="1"/>
  <c r="ER73" i="1"/>
  <c r="FK65" i="1"/>
  <c r="DY77" i="1"/>
  <c r="EQ73" i="1"/>
  <c r="FJ65" i="1"/>
  <c r="CF77" i="1"/>
  <c r="AK77" i="1"/>
  <c r="BC73" i="1"/>
  <c r="BV65" i="1"/>
  <c r="CR58" i="1"/>
  <c r="EG80" i="1"/>
  <c r="FA67" i="1"/>
  <c r="FR63" i="1"/>
  <c r="CA77" i="1"/>
  <c r="CS73" i="1"/>
  <c r="DL65" i="1"/>
  <c r="BD77" i="1"/>
  <c r="BV73" i="1"/>
  <c r="DA77" i="1"/>
  <c r="CI67" i="1"/>
  <c r="DJ62" i="1"/>
  <c r="DC52" i="1"/>
  <c r="FQ80" i="1"/>
  <c r="FG66" i="1"/>
  <c r="BZ80" i="1"/>
  <c r="BT66" i="1"/>
  <c r="DW73" i="1"/>
  <c r="AK80" i="1"/>
  <c r="AG66" i="1"/>
  <c r="CR80" i="1"/>
  <c r="CU74" i="1"/>
  <c r="CZ63" i="1"/>
  <c r="AH57" i="1"/>
  <c r="AF46" i="1"/>
  <c r="EI73" i="1"/>
  <c r="K63" i="1"/>
  <c r="EA52" i="1"/>
  <c r="EB45" i="1"/>
  <c r="S73" i="1"/>
  <c r="CR74" i="1"/>
  <c r="CW63" i="1"/>
  <c r="AE57" i="1"/>
  <c r="EH74" i="1"/>
  <c r="EC63" i="1"/>
  <c r="BB57" i="1"/>
  <c r="AY74" i="1"/>
  <c r="CV80" i="1"/>
  <c r="FQ73" i="1"/>
  <c r="AH63" i="1"/>
  <c r="EQ52" i="1"/>
  <c r="DZ80" i="1"/>
  <c r="CI65" i="1"/>
  <c r="FF74" i="1"/>
  <c r="ES58" i="1"/>
  <c r="FQ46" i="1"/>
  <c r="EZ36" i="1"/>
  <c r="I27" i="1"/>
  <c r="EX65" i="1"/>
  <c r="FJ52" i="1"/>
  <c r="CO45" i="1"/>
  <c r="CX35" i="1"/>
  <c r="EY80" i="1"/>
  <c r="AS62" i="1"/>
  <c r="AZ51" i="1"/>
  <c r="AE37" i="1"/>
  <c r="EV65" i="1"/>
  <c r="FH52" i="1"/>
  <c r="AW77" i="1"/>
  <c r="BT62" i="1"/>
  <c r="BV51" i="1"/>
  <c r="AW37" i="1"/>
  <c r="ER74" i="1"/>
  <c r="EK58" i="1"/>
  <c r="FH46" i="1"/>
  <c r="ES36" i="1"/>
  <c r="AN51" i="1"/>
  <c r="DL26" i="1"/>
  <c r="BU45" i="1"/>
  <c r="EL57" i="1"/>
  <c r="BT45" i="1"/>
  <c r="DL36" i="1"/>
  <c r="O36" i="1"/>
  <c r="DD77" i="1"/>
  <c r="DV73" i="1"/>
  <c r="EO65" i="1"/>
  <c r="DC77" i="1"/>
  <c r="DU73" i="1"/>
  <c r="EN65" i="1"/>
  <c r="BJ77" i="1"/>
  <c r="O77" i="1"/>
  <c r="AG73" i="1"/>
  <c r="AZ65" i="1"/>
  <c r="BV58" i="1"/>
  <c r="DK80" i="1"/>
  <c r="EE67" i="1"/>
  <c r="EV63" i="1"/>
  <c r="BE77" i="1"/>
  <c r="BW73" i="1"/>
  <c r="CP65" i="1"/>
  <c r="AH77" i="1"/>
  <c r="AZ73" i="1"/>
  <c r="BT77" i="1"/>
  <c r="BG67" i="1"/>
  <c r="CJ62" i="1"/>
  <c r="CG52" i="1"/>
  <c r="EN80" i="1"/>
  <c r="EE66" i="1"/>
  <c r="AP80" i="1"/>
  <c r="AP66" i="1"/>
  <c r="CO73" i="1"/>
  <c r="FM74" i="1"/>
  <c r="FP65" i="1"/>
  <c r="BK80" i="1"/>
  <c r="BG74" i="1"/>
  <c r="BW63" i="1"/>
  <c r="J57" i="1"/>
  <c r="J46" i="1"/>
  <c r="DA73" i="1"/>
  <c r="EQ62" i="1"/>
  <c r="DD52" i="1"/>
  <c r="DF45" i="1"/>
  <c r="EP67" i="1"/>
  <c r="BD74" i="1"/>
  <c r="BT63" i="1"/>
  <c r="H57" i="1"/>
  <c r="CQ74" i="1"/>
  <c r="CV63" i="1"/>
  <c r="AD57" i="1"/>
  <c r="FS73" i="1"/>
  <c r="BE80" i="1"/>
  <c r="EC73" i="1"/>
  <c r="FM62" i="1"/>
  <c r="DT52" i="1"/>
  <c r="CI80" i="1"/>
  <c r="BB65" i="1"/>
  <c r="BY74" i="1"/>
  <c r="DL58" i="1"/>
  <c r="ER46" i="1"/>
  <c r="ED36" i="1"/>
  <c r="EZ26" i="1"/>
  <c r="DB65" i="1"/>
  <c r="EH52" i="1"/>
  <c r="BQ45" i="1"/>
  <c r="CB35" i="1"/>
  <c r="BV80" i="1"/>
  <c r="M62" i="1"/>
  <c r="AA51" i="1"/>
  <c r="I37" i="1"/>
  <c r="CL65" i="1"/>
  <c r="EF52" i="1"/>
  <c r="DY80" i="1"/>
  <c r="AO62" i="1"/>
  <c r="AV51" i="1"/>
  <c r="AA37" i="1"/>
  <c r="BN74" i="1"/>
  <c r="DB58" i="1"/>
  <c r="EI46" i="1"/>
  <c r="DW36" i="1"/>
  <c r="FI66" i="1"/>
  <c r="J52" i="1"/>
  <c r="CR57" i="1"/>
  <c r="FK27" i="1"/>
  <c r="DL46" i="1"/>
  <c r="CM27" i="1"/>
  <c r="DG46" i="1"/>
  <c r="AS27" i="1"/>
  <c r="DD46" i="1"/>
  <c r="CH77" i="1"/>
  <c r="CZ73" i="1"/>
  <c r="DS65" i="1"/>
  <c r="CG77" i="1"/>
  <c r="CY73" i="1"/>
  <c r="DR65" i="1"/>
  <c r="AN77" i="1"/>
  <c r="FD80" i="1"/>
  <c r="K73" i="1"/>
  <c r="AD65" i="1"/>
  <c r="AZ58" i="1"/>
  <c r="CO80" i="1"/>
  <c r="DI67" i="1"/>
  <c r="DZ63" i="1"/>
  <c r="AI77" i="1"/>
  <c r="BA73" i="1"/>
  <c r="BT65" i="1"/>
  <c r="L77" i="1"/>
  <c r="AD73" i="1"/>
  <c r="AQ77" i="1"/>
  <c r="AC67" i="1"/>
  <c r="BK62" i="1"/>
  <c r="BK52" i="1"/>
  <c r="DD80" i="1"/>
  <c r="CW66" i="1"/>
  <c r="M80" i="1"/>
  <c r="J66" i="1"/>
  <c r="BM73" i="1"/>
  <c r="EJ74" i="1"/>
  <c r="EL65" i="1"/>
  <c r="AH80" i="1"/>
  <c r="O74" i="1"/>
  <c r="AR63" i="1"/>
  <c r="EY52" i="1"/>
  <c r="EY45" i="1"/>
  <c r="BE73" i="1"/>
  <c r="DK62" i="1"/>
  <c r="CF52" i="1"/>
  <c r="CJ45" i="1"/>
  <c r="DA67" i="1"/>
  <c r="J74" i="1"/>
  <c r="AL63" i="1"/>
  <c r="EV52" i="1"/>
  <c r="AZ74" i="1"/>
  <c r="BS63" i="1"/>
  <c r="FS52" i="1"/>
  <c r="EE73" i="1"/>
  <c r="L80" i="1"/>
  <c r="CI73" i="1"/>
  <c r="EG62" i="1"/>
  <c r="EM77" i="1"/>
  <c r="AS80" i="1"/>
  <c r="U65" i="1"/>
  <c r="FP73" i="1"/>
  <c r="CG58" i="1"/>
  <c r="DS46" i="1"/>
  <c r="DH36" i="1"/>
  <c r="ED26" i="1"/>
  <c r="AV65" i="1"/>
  <c r="DF52" i="1"/>
  <c r="AQ45" i="1"/>
  <c r="BF35" i="1"/>
  <c r="FD74" i="1"/>
  <c r="EQ58" i="1"/>
  <c r="FO46" i="1"/>
  <c r="EX36" i="1"/>
  <c r="AT65" i="1"/>
  <c r="CY52" i="1"/>
  <c r="AZ80" i="1"/>
  <c r="FR58" i="1"/>
  <c r="W51" i="1"/>
  <c r="FP36" i="1"/>
  <c r="EV73" i="1"/>
  <c r="BT58" i="1"/>
  <c r="DJ46" i="1"/>
  <c r="DA36" i="1"/>
  <c r="BS66" i="1"/>
  <c r="EN51" i="1"/>
  <c r="FH27" i="1"/>
  <c r="V37" i="1"/>
  <c r="BE52" i="1"/>
  <c r="T37" i="1"/>
  <c r="BH51" i="1"/>
  <c r="DQ27" i="1"/>
  <c r="BS65" i="1"/>
  <c r="BL77" i="1"/>
  <c r="CD73" i="1"/>
  <c r="CW65" i="1"/>
  <c r="BK77" i="1"/>
  <c r="CC73" i="1"/>
  <c r="CV65" i="1"/>
  <c r="R77" i="1"/>
  <c r="EH80" i="1"/>
  <c r="FB67" i="1"/>
  <c r="FS63" i="1"/>
  <c r="AD58" i="1"/>
  <c r="BS80" i="1"/>
  <c r="CM67" i="1"/>
  <c r="DD63" i="1"/>
  <c r="M77" i="1"/>
  <c r="AE73" i="1"/>
  <c r="AX65" i="1"/>
  <c r="FA80" i="1"/>
  <c r="H74" i="1"/>
  <c r="FR80" i="1"/>
  <c r="FH66" i="1"/>
  <c r="AM62" i="1"/>
  <c r="AO52" i="1"/>
  <c r="CA80" i="1"/>
  <c r="BU66" i="1"/>
  <c r="EO74" i="1"/>
  <c r="ES65" i="1"/>
  <c r="AI73" i="1"/>
  <c r="CZ74" i="1"/>
  <c r="DH65" i="1"/>
  <c r="FJ74" i="1"/>
  <c r="EN73" i="1"/>
  <c r="L63" i="1"/>
  <c r="EB52" i="1"/>
  <c r="EC45" i="1"/>
  <c r="T73" i="1"/>
  <c r="CI62" i="1"/>
  <c r="BI52" i="1"/>
  <c r="BN45" i="1"/>
  <c r="BN67" i="1"/>
  <c r="EG73" i="1"/>
  <c r="I63" i="1"/>
  <c r="DX52" i="1"/>
  <c r="I74" i="1"/>
  <c r="AK63" i="1"/>
  <c r="ET52" i="1"/>
  <c r="CL73" i="1"/>
  <c r="EB74" i="1"/>
  <c r="AU73" i="1"/>
  <c r="DD62" i="1"/>
  <c r="CT77" i="1"/>
  <c r="FI74" i="1"/>
  <c r="EZ63" i="1"/>
  <c r="DD73" i="1"/>
  <c r="AX58" i="1"/>
  <c r="CR46" i="1"/>
  <c r="CL36" i="1"/>
  <c r="DH26" i="1"/>
  <c r="J65" i="1"/>
  <c r="BZ52" i="1"/>
  <c r="S45" i="1"/>
  <c r="R27" i="1"/>
  <c r="FN45" i="1"/>
  <c r="FG57" i="1"/>
  <c r="DC46" i="1"/>
  <c r="O57" i="1"/>
  <c r="AG35" i="1"/>
  <c r="AV26" i="1"/>
  <c r="AP77" i="1"/>
  <c r="BH73" i="1"/>
  <c r="CA65" i="1"/>
  <c r="AO77" i="1"/>
  <c r="BG73" i="1"/>
  <c r="BZ65" i="1"/>
  <c r="FG80" i="1"/>
  <c r="DL80" i="1"/>
  <c r="EF67" i="1"/>
  <c r="EW63" i="1"/>
  <c r="FS57" i="1"/>
  <c r="AW80" i="1"/>
  <c r="BQ67" i="1"/>
  <c r="CH63" i="1"/>
  <c r="FB80" i="1"/>
  <c r="I73" i="1"/>
  <c r="AB65" i="1"/>
  <c r="EE80" i="1"/>
  <c r="EY67" i="1"/>
  <c r="EO80" i="1"/>
  <c r="EF66" i="1"/>
  <c r="O62" i="1"/>
  <c r="S52" i="1"/>
  <c r="AQ80" i="1"/>
  <c r="AS66" i="1"/>
  <c r="DL74" i="1"/>
  <c r="DP65" i="1"/>
  <c r="FP67" i="1"/>
  <c r="BX74" i="1"/>
  <c r="CG65" i="1"/>
  <c r="EG74" i="1"/>
  <c r="DB73" i="1"/>
  <c r="ET62" i="1"/>
  <c r="DE52" i="1"/>
  <c r="DG45" i="1"/>
  <c r="ET67" i="1"/>
  <c r="BI62" i="1"/>
  <c r="AL52" i="1"/>
  <c r="AR45" i="1"/>
  <c r="AG67" i="1"/>
  <c r="CP73" i="1"/>
  <c r="EO62" i="1"/>
  <c r="DA52" i="1"/>
  <c r="EF73" i="1"/>
  <c r="FS62" i="1"/>
  <c r="DW52" i="1"/>
  <c r="AW73" i="1"/>
  <c r="CO74" i="1"/>
  <c r="FR67" i="1"/>
  <c r="CB62" i="1"/>
  <c r="BA77" i="1"/>
  <c r="DS74" i="1"/>
  <c r="DS63" i="1"/>
  <c r="Y73" i="1"/>
  <c r="T58" i="1"/>
  <c r="BS46" i="1"/>
  <c r="BP36" i="1"/>
  <c r="CL26" i="1"/>
  <c r="DU63" i="1"/>
  <c r="AY52" i="1"/>
  <c r="FH37" i="1"/>
  <c r="N35" i="1"/>
  <c r="FJ73" i="1"/>
  <c r="CA58" i="1"/>
  <c r="DO46" i="1"/>
  <c r="DF36" i="1"/>
  <c r="DR63" i="1"/>
  <c r="AW52" i="1"/>
  <c r="BO74" i="1"/>
  <c r="DE58" i="1"/>
  <c r="EJ46" i="1"/>
  <c r="DX36" i="1"/>
  <c r="FJ67" i="1"/>
  <c r="M58" i="1"/>
  <c r="BL46" i="1"/>
  <c r="BI36" i="1"/>
  <c r="CE65" i="1"/>
  <c r="BN51" i="1"/>
  <c r="N36" i="1"/>
  <c r="M57" i="1"/>
  <c r="AT63" i="1"/>
  <c r="K52" i="1"/>
  <c r="EQ65" i="1"/>
  <c r="DJ35" i="1"/>
  <c r="CO27" i="1"/>
  <c r="T77" i="1"/>
  <c r="AL73" i="1"/>
  <c r="BE65" i="1"/>
  <c r="S77" i="1"/>
  <c r="AK73" i="1"/>
  <c r="BD65" i="1"/>
  <c r="EK80" i="1"/>
  <c r="CP80" i="1"/>
  <c r="DJ67" i="1"/>
  <c r="EA63" i="1"/>
  <c r="EW57" i="1"/>
  <c r="AA80" i="1"/>
  <c r="AU67" i="1"/>
  <c r="BL63" i="1"/>
  <c r="EF80" i="1"/>
  <c r="EZ67" i="1"/>
  <c r="FQ63" i="1"/>
  <c r="DI80" i="1"/>
  <c r="EC67" i="1"/>
  <c r="DE80" i="1"/>
  <c r="DB66" i="1"/>
  <c r="FG58" i="1"/>
  <c r="FH51" i="1"/>
  <c r="N80" i="1"/>
  <c r="K66" i="1"/>
  <c r="CC74" i="1"/>
  <c r="FE77" i="1"/>
  <c r="EN67" i="1"/>
  <c r="AV74" i="1"/>
  <c r="BF65" i="1"/>
  <c r="CW74" i="1"/>
  <c r="BI73" i="1"/>
  <c r="DL62" i="1"/>
  <c r="CH52" i="1"/>
  <c r="CK45" i="1"/>
  <c r="DB67" i="1"/>
  <c r="AJ62" i="1"/>
  <c r="O52" i="1"/>
  <c r="V45" i="1"/>
  <c r="EZ66" i="1"/>
  <c r="AY73" i="1"/>
  <c r="DH62" i="1"/>
  <c r="CD52" i="1"/>
  <c r="CN73" i="1"/>
  <c r="EJ62" i="1"/>
  <c r="CZ52" i="1"/>
  <c r="N73" i="1"/>
  <c r="AW74" i="1"/>
  <c r="EG67" i="1"/>
  <c r="BA62" i="1"/>
  <c r="K77" i="1"/>
  <c r="CA74" i="1"/>
  <c r="CO63" i="1"/>
  <c r="DV67" i="1"/>
  <c r="FB57" i="1"/>
  <c r="AU46" i="1"/>
  <c r="AT36" i="1"/>
  <c r="BP26" i="1"/>
  <c r="CD63" i="1"/>
  <c r="X52" i="1"/>
  <c r="EL37" i="1"/>
  <c r="FF27" i="1"/>
  <c r="CH73" i="1"/>
  <c r="AV58" i="1"/>
  <c r="CP46" i="1"/>
  <c r="CJ36" i="1"/>
  <c r="CA63" i="1"/>
  <c r="V52" i="1"/>
  <c r="EX73" i="1"/>
  <c r="BU58" i="1"/>
  <c r="DK46" i="1"/>
  <c r="DB36" i="1"/>
  <c r="DE67" i="1"/>
  <c r="EO57" i="1"/>
  <c r="AN46" i="1"/>
  <c r="AM36" i="1"/>
  <c r="BD51" i="1"/>
  <c r="DM26" i="1"/>
  <c r="DQ26" i="1"/>
  <c r="CE67" i="1"/>
  <c r="DP26" i="1"/>
  <c r="EK36" i="1"/>
  <c r="EC37" i="1"/>
  <c r="EM80" i="1"/>
  <c r="FG67" i="1"/>
  <c r="M65" i="1"/>
  <c r="EL80" i="1"/>
  <c r="FF67" i="1"/>
  <c r="L65" i="1"/>
  <c r="CS80" i="1"/>
  <c r="AX80" i="1"/>
  <c r="BR67" i="1"/>
  <c r="CI63" i="1"/>
  <c r="DE57" i="1"/>
  <c r="EU74" i="1"/>
  <c r="FN66" i="1"/>
  <c r="T63" i="1"/>
  <c r="CN80" i="1"/>
  <c r="DH67" i="1"/>
  <c r="DY63" i="1"/>
  <c r="BQ80" i="1"/>
  <c r="CK67" i="1"/>
  <c r="AR80" i="1"/>
  <c r="AT66" i="1"/>
  <c r="DJ58" i="1"/>
  <c r="DP51" i="1"/>
  <c r="DM74" i="1"/>
  <c r="DQ65" i="1"/>
  <c r="W74" i="1"/>
  <c r="CR77" i="1"/>
  <c r="CD67" i="1"/>
  <c r="EW73" i="1"/>
  <c r="FJ63" i="1"/>
  <c r="AQ74" i="1"/>
  <c r="EU67" i="1"/>
  <c r="BJ62" i="1"/>
  <c r="AM52" i="1"/>
  <c r="AS45" i="1"/>
  <c r="AH67" i="1"/>
  <c r="EZ58" i="1"/>
  <c r="EF51" i="1"/>
  <c r="FD77" i="1"/>
  <c r="BZ66" i="1"/>
  <c r="EO67" i="1"/>
  <c r="BG62" i="1"/>
  <c r="AJ52" i="1"/>
  <c r="Q73" i="1"/>
  <c r="CF62" i="1"/>
  <c r="BF52" i="1"/>
  <c r="CX67" i="1"/>
  <c r="ED73" i="1"/>
  <c r="BI67" i="1"/>
  <c r="FS58" i="1"/>
  <c r="CJ80" i="1"/>
  <c r="FK73" i="1"/>
  <c r="AC63" i="1"/>
  <c r="FQ66" i="1"/>
  <c r="CO57" i="1"/>
  <c r="FJ45" i="1"/>
  <c r="FM35" i="1"/>
  <c r="X26" i="1"/>
  <c r="FD62" i="1"/>
  <c r="EB51" i="1"/>
  <c r="CT37" i="1"/>
  <c r="DN27" i="1"/>
  <c r="DT67" i="1"/>
  <c r="EZ57" i="1"/>
  <c r="AS46" i="1"/>
  <c r="AR36" i="1"/>
  <c r="FB62" i="1"/>
  <c r="DZ51" i="1"/>
  <c r="FK67" i="1"/>
  <c r="N58" i="1"/>
  <c r="BM46" i="1"/>
  <c r="BJ36" i="1"/>
  <c r="EN66" i="1"/>
  <c r="CG57" i="1"/>
  <c r="FC45" i="1"/>
  <c r="FF35" i="1"/>
  <c r="BJ63" i="1"/>
  <c r="EA46" i="1"/>
  <c r="DJ36" i="1"/>
  <c r="AD37" i="1"/>
  <c r="BW45" i="1"/>
  <c r="DQ80" i="1"/>
  <c r="CJ66" i="1"/>
  <c r="DH74" i="1"/>
  <c r="Y63" i="1"/>
  <c r="DD74" i="1"/>
  <c r="U63" i="1"/>
  <c r="DY74" i="1"/>
  <c r="CQ65" i="1"/>
  <c r="BJ74" i="1"/>
  <c r="EL62" i="1"/>
  <c r="EP66" i="1"/>
  <c r="DT65" i="1"/>
  <c r="CT51" i="1"/>
  <c r="DP67" i="1"/>
  <c r="CG67" i="1"/>
  <c r="DW77" i="1"/>
  <c r="X63" i="1"/>
  <c r="AI67" i="1"/>
  <c r="P52" i="1"/>
  <c r="EM74" i="1"/>
  <c r="DA57" i="1"/>
  <c r="S80" i="1"/>
  <c r="DL66" i="1"/>
  <c r="ED51" i="1"/>
  <c r="BF62" i="1"/>
  <c r="BF80" i="1"/>
  <c r="CQ80" i="1"/>
  <c r="FO57" i="1"/>
  <c r="DY67" i="1"/>
  <c r="EY65" i="1"/>
  <c r="EL45" i="1"/>
  <c r="CS27" i="1"/>
  <c r="S58" i="1"/>
  <c r="DG36" i="1"/>
  <c r="FK66" i="1"/>
  <c r="W52" i="1"/>
  <c r="BU80" i="1"/>
  <c r="CL57" i="1"/>
  <c r="EP65" i="1"/>
  <c r="CK46" i="1"/>
  <c r="BA35" i="1"/>
  <c r="T57" i="1"/>
  <c r="DJ37" i="1"/>
  <c r="V65" i="1"/>
  <c r="FF45" i="1"/>
  <c r="FR27" i="1"/>
  <c r="DU74" i="1"/>
  <c r="AR57" i="1"/>
  <c r="DH37" i="1"/>
  <c r="AA27" i="1"/>
  <c r="EE37" i="1"/>
  <c r="FO45" i="1"/>
  <c r="FS45" i="1"/>
  <c r="CU80" i="1"/>
  <c r="AI65" i="1"/>
  <c r="CL74" i="1"/>
  <c r="FN62" i="1"/>
  <c r="CH74" i="1"/>
  <c r="FJ62" i="1"/>
  <c r="DC74" i="1"/>
  <c r="AP63" i="1"/>
  <c r="AN74" i="1"/>
  <c r="DP62" i="1"/>
  <c r="DT66" i="1"/>
  <c r="CN65" i="1"/>
  <c r="BX51" i="1"/>
  <c r="ET65" i="1"/>
  <c r="BE67" i="1"/>
  <c r="CP77" i="1"/>
  <c r="FE62" i="1"/>
  <c r="FD66" i="1"/>
  <c r="FD51" i="1"/>
  <c r="BS67" i="1"/>
  <c r="CC57" i="1"/>
  <c r="EK74" i="1"/>
  <c r="BY66" i="1"/>
  <c r="DG51" i="1"/>
  <c r="AE62" i="1"/>
  <c r="EI67" i="1"/>
  <c r="BD80" i="1"/>
  <c r="EQ57" i="1"/>
  <c r="CP67" i="1"/>
  <c r="DC65" i="1"/>
  <c r="DN45" i="1"/>
  <c r="AT26" i="1"/>
  <c r="FA57" i="1"/>
  <c r="CK36" i="1"/>
  <c r="CT66" i="1"/>
  <c r="FF51" i="1"/>
  <c r="FC74" i="1"/>
  <c r="BX52" i="1"/>
  <c r="CH65" i="1"/>
  <c r="AO46" i="1"/>
  <c r="AE35" i="1"/>
  <c r="FD52" i="1"/>
  <c r="CN37" i="1"/>
  <c r="EB63" i="1"/>
  <c r="DX45" i="1"/>
  <c r="ET27" i="1"/>
  <c r="AF74" i="1"/>
  <c r="FP52" i="1"/>
  <c r="CG37" i="1"/>
  <c r="FP26" i="1"/>
  <c r="BZ67" i="1"/>
  <c r="AV52" i="1"/>
  <c r="FI36" i="1"/>
  <c r="CU26" i="1"/>
  <c r="DP63" i="1"/>
  <c r="FD46" i="1"/>
  <c r="FE35" i="1"/>
  <c r="EF36" i="1"/>
  <c r="BE62" i="1"/>
  <c r="Y46" i="1"/>
  <c r="BB63" i="1"/>
  <c r="DU46" i="1"/>
  <c r="EB35" i="1"/>
  <c r="FP45" i="1"/>
  <c r="BC52" i="1"/>
  <c r="EW46" i="1"/>
  <c r="BY80" i="1"/>
  <c r="FB63" i="1"/>
  <c r="BP74" i="1"/>
  <c r="ER62" i="1"/>
  <c r="BL74" i="1"/>
  <c r="EN62" i="1"/>
  <c r="CG74" i="1"/>
  <c r="FI62" i="1"/>
  <c r="R74" i="1"/>
  <c r="CT62" i="1"/>
  <c r="CX66" i="1"/>
  <c r="BM65" i="1"/>
  <c r="BB51" i="1"/>
  <c r="CM65" i="1"/>
  <c r="AA67" i="1"/>
  <c r="G69" i="1" s="1"/>
  <c r="BM77" i="1"/>
  <c r="ED62" i="1"/>
  <c r="DO66" i="1"/>
  <c r="EG51" i="1"/>
  <c r="FB66" i="1"/>
  <c r="BE57" i="1"/>
  <c r="CS74" i="1"/>
  <c r="AN66" i="1"/>
  <c r="CJ51" i="1"/>
  <c r="H65" i="1"/>
  <c r="BK67" i="1"/>
  <c r="H80" i="1"/>
  <c r="DS57" i="1"/>
  <c r="AY67" i="1"/>
  <c r="AW65" i="1"/>
  <c r="CP45" i="1"/>
  <c r="ER77" i="1"/>
  <c r="DR57" i="1"/>
  <c r="BO36" i="1"/>
  <c r="AX66" i="1"/>
  <c r="EA51" i="1"/>
  <c r="BT74" i="1"/>
  <c r="FE51" i="1"/>
  <c r="AQ65" i="1"/>
  <c r="Q46" i="1"/>
  <c r="I35" i="1"/>
  <c r="DZ52" i="1"/>
  <c r="BR37" i="1"/>
  <c r="M63" i="1"/>
  <c r="CU45" i="1"/>
  <c r="DV27" i="1"/>
  <c r="DE73" i="1"/>
  <c r="DU52" i="1"/>
  <c r="BF37" i="1"/>
  <c r="ER26" i="1"/>
  <c r="EM66" i="1"/>
  <c r="FS51" i="1"/>
  <c r="EH36" i="1"/>
  <c r="BW26" i="1"/>
  <c r="BE63" i="1"/>
  <c r="DX46" i="1"/>
  <c r="EE35" i="1"/>
  <c r="U36" i="1"/>
  <c r="H63" i="1"/>
  <c r="EZ45" i="1"/>
  <c r="DD37" i="1"/>
  <c r="BD52" i="1"/>
  <c r="FE57" i="1"/>
  <c r="DD51" i="1"/>
  <c r="BC80" i="1"/>
  <c r="EF63" i="1"/>
  <c r="O73" i="1"/>
  <c r="DV62" i="1"/>
  <c r="AP74" i="1"/>
  <c r="DR62" i="1"/>
  <c r="BK74" i="1"/>
  <c r="EM62" i="1"/>
  <c r="ED67" i="1"/>
  <c r="FJ77" i="1"/>
  <c r="CB66" i="1"/>
  <c r="AL65" i="1"/>
  <c r="AF51" i="1"/>
  <c r="BL65" i="1"/>
  <c r="EB77" i="1"/>
  <c r="AC77" i="1"/>
  <c r="EZ77" i="1"/>
  <c r="CF66" i="1"/>
  <c r="DJ51" i="1"/>
  <c r="DN66" i="1"/>
  <c r="FC51" i="1"/>
  <c r="BE74" i="1"/>
  <c r="FN65" i="1"/>
  <c r="BM51" i="1"/>
  <c r="EW58" i="1"/>
  <c r="U67" i="1"/>
  <c r="CV67" i="1"/>
  <c r="CU57" i="1"/>
  <c r="M67" i="1"/>
  <c r="K65" i="1"/>
  <c r="BR45" i="1"/>
  <c r="BY77" i="1"/>
  <c r="FG51" i="1"/>
  <c r="AS36" i="1"/>
  <c r="EW65" i="1"/>
  <c r="EP46" i="1"/>
  <c r="FE73" i="1"/>
  <c r="CZ51" i="1"/>
  <c r="FE63" i="1"/>
  <c r="FD45" i="1"/>
  <c r="EC77" i="1"/>
  <c r="CU52" i="1"/>
  <c r="AV37" i="1"/>
  <c r="DM62" i="1"/>
  <c r="BM45" i="1"/>
  <c r="CX27" i="1"/>
  <c r="FD67" i="1"/>
  <c r="CM52" i="1"/>
  <c r="AB37" i="1"/>
  <c r="DT26" i="1"/>
  <c r="BP66" i="1"/>
  <c r="EK51" i="1"/>
  <c r="DD36" i="1"/>
  <c r="AY26" i="1"/>
  <c r="FP62" i="1"/>
  <c r="CL46" i="1"/>
  <c r="DE35" i="1"/>
  <c r="BB35" i="1"/>
  <c r="EC58" i="1"/>
  <c r="DT45" i="1"/>
  <c r="CW62" i="1"/>
  <c r="BC46" i="1"/>
  <c r="BZ35" i="1"/>
  <c r="CN77" i="1"/>
  <c r="FD57" i="1"/>
  <c r="CK77" i="1"/>
  <c r="ES57" i="1"/>
  <c r="Q45" i="1"/>
  <c r="CJ27" i="1"/>
  <c r="DZ65" i="1"/>
  <c r="J45" i="1"/>
  <c r="K26" i="1"/>
  <c r="AK51" i="1"/>
  <c r="CD27" i="1"/>
  <c r="EG57" i="1"/>
  <c r="FS35" i="1"/>
  <c r="AQ36" i="1"/>
  <c r="FL58" i="1"/>
  <c r="CI77" i="1"/>
  <c r="EH46" i="1"/>
  <c r="AM27" i="1"/>
  <c r="BK65" i="1"/>
  <c r="CO67" i="1"/>
  <c r="AA63" i="1"/>
  <c r="BL52" i="1"/>
  <c r="AG80" i="1"/>
  <c r="DJ63" i="1"/>
  <c r="EJ67" i="1"/>
  <c r="FP77" i="1"/>
  <c r="T74" i="1"/>
  <c r="CV62" i="1"/>
  <c r="AO74" i="1"/>
  <c r="DQ62" i="1"/>
  <c r="CL67" i="1"/>
  <c r="EN77" i="1"/>
  <c r="BF66" i="1"/>
  <c r="I65" i="1"/>
  <c r="J51" i="1"/>
  <c r="AK65" i="1"/>
  <c r="BO77" i="1"/>
  <c r="FK80" i="1"/>
  <c r="DP77" i="1"/>
  <c r="AV66" i="1"/>
  <c r="CM51" i="1"/>
  <c r="CA66" i="1"/>
  <c r="DI51" i="1"/>
  <c r="L74" i="1"/>
  <c r="EC65" i="1"/>
  <c r="FA77" i="1"/>
  <c r="DX58" i="1"/>
  <c r="EU66" i="1"/>
  <c r="Q67" i="1"/>
  <c r="BW57" i="1"/>
  <c r="EK66" i="1"/>
  <c r="DV63" i="1"/>
  <c r="AT45" i="1"/>
  <c r="EZ80" i="1"/>
  <c r="DB51" i="1"/>
  <c r="W36" i="1"/>
  <c r="CS65" i="1"/>
  <c r="BQ46" i="1"/>
  <c r="CG73" i="1"/>
  <c r="BZ51" i="1"/>
  <c r="DM63" i="1"/>
  <c r="EF45" i="1"/>
  <c r="AV77" i="1"/>
  <c r="BT52" i="1"/>
  <c r="FO36" i="1"/>
  <c r="BN62" i="1"/>
  <c r="AH45" i="1"/>
  <c r="BZ27" i="1"/>
  <c r="CA67" i="1"/>
  <c r="BA52" i="1"/>
  <c r="FJ36" i="1"/>
  <c r="CV26" i="1"/>
  <c r="FB65" i="1"/>
  <c r="CU51" i="1"/>
  <c r="CA36" i="1"/>
  <c r="AA26" i="1"/>
  <c r="DB62" i="1"/>
  <c r="BF46" i="1"/>
  <c r="CE35" i="1"/>
  <c r="EP27" i="1"/>
  <c r="CK58" i="1"/>
  <c r="CQ45" i="1"/>
  <c r="AZ62" i="1"/>
  <c r="S46" i="1"/>
  <c r="AX35" i="1"/>
  <c r="AR26" i="1"/>
  <c r="CQ67" i="1"/>
  <c r="DE74" i="1"/>
  <c r="R57" i="1"/>
  <c r="K80" i="1"/>
  <c r="CN63" i="1"/>
  <c r="DN67" i="1"/>
  <c r="DO80" i="1"/>
  <c r="FI73" i="1"/>
  <c r="BZ62" i="1"/>
  <c r="S74" i="1"/>
  <c r="CU62" i="1"/>
  <c r="BP67" i="1"/>
  <c r="CM80" i="1"/>
  <c r="AJ66" i="1"/>
  <c r="EP63" i="1"/>
  <c r="FA46" i="1"/>
  <c r="FP63" i="1"/>
  <c r="AE77" i="1"/>
  <c r="N74" i="1"/>
  <c r="CM77" i="1"/>
  <c r="FR65" i="1"/>
  <c r="BP51" i="1"/>
  <c r="AU66" i="1"/>
  <c r="CL51" i="1"/>
  <c r="DM66" i="1"/>
  <c r="CX65" i="1"/>
  <c r="DJ77" i="1"/>
  <c r="CZ58" i="1"/>
  <c r="DJ66" i="1"/>
  <c r="EO66" i="1"/>
  <c r="EB80" i="1"/>
  <c r="CU66" i="1"/>
  <c r="CE63" i="1"/>
  <c r="T45" i="1"/>
  <c r="CC80" i="1"/>
  <c r="CB51" i="1"/>
  <c r="AJ35" i="1"/>
  <c r="AU65" i="1"/>
  <c r="U46" i="1"/>
  <c r="V73" i="1"/>
  <c r="AY51" i="1"/>
  <c r="BX63" i="1"/>
  <c r="DH45" i="1"/>
  <c r="BU73" i="1"/>
  <c r="AS52" i="1"/>
  <c r="CE36" i="1"/>
  <c r="T62" i="1"/>
  <c r="FR37" i="1"/>
  <c r="BB27" i="1"/>
  <c r="FE66" i="1"/>
  <c r="I52" i="1"/>
  <c r="EI36" i="1"/>
  <c r="BX26" i="1"/>
  <c r="CC65" i="1"/>
  <c r="BK51" i="1"/>
  <c r="AZ36" i="1"/>
  <c r="DE37" i="1"/>
  <c r="BH62" i="1"/>
  <c r="Z46" i="1"/>
  <c r="BC35" i="1"/>
  <c r="AV27" i="1"/>
  <c r="AO58" i="1"/>
  <c r="FL37" i="1"/>
  <c r="FP58" i="1"/>
  <c r="EV45" i="1"/>
  <c r="X35" i="1"/>
  <c r="AI80" i="1"/>
  <c r="BR57" i="1"/>
  <c r="AC80" i="1"/>
  <c r="BP57" i="1"/>
  <c r="CN27" i="1"/>
  <c r="Y35" i="1"/>
  <c r="AW26" i="1"/>
  <c r="AN58" i="1"/>
  <c r="FA74" i="1"/>
  <c r="BR63" i="1"/>
  <c r="CR67" i="1"/>
  <c r="BW80" i="1"/>
  <c r="EM73" i="1"/>
  <c r="BD62" i="1"/>
  <c r="FH73" i="1"/>
  <c r="BY62" i="1"/>
  <c r="AT67" i="1"/>
  <c r="AU80" i="1"/>
  <c r="N66" i="1"/>
  <c r="DO63" i="1"/>
  <c r="EE46" i="1"/>
  <c r="EO63" i="1"/>
  <c r="FM80" i="1"/>
  <c r="DS73" i="1"/>
  <c r="BC77" i="1"/>
  <c r="EF65" i="1"/>
  <c r="AS51" i="1"/>
  <c r="FQ65" i="1"/>
  <c r="BO51" i="1"/>
  <c r="AO66" i="1"/>
  <c r="BO65" i="1"/>
  <c r="BQ77" i="1"/>
  <c r="CB58" i="1"/>
  <c r="BW66" i="1"/>
  <c r="DH66" i="1"/>
  <c r="AT80" i="1"/>
  <c r="BK66" i="1"/>
  <c r="AS63" i="1"/>
  <c r="FI37" i="1"/>
  <c r="FE74" i="1"/>
  <c r="BA51" i="1"/>
  <c r="EJ27" i="1"/>
  <c r="FO63" i="1"/>
  <c r="FH45" i="1"/>
  <c r="DS67" i="1"/>
  <c r="Z51" i="1"/>
  <c r="CW36" i="1"/>
  <c r="AC36" i="1"/>
  <c r="DO74" i="1"/>
  <c r="AA62" i="1"/>
  <c r="EE74" i="1"/>
  <c r="AV63" i="1"/>
  <c r="BV67" i="1"/>
  <c r="BA80" i="1"/>
  <c r="CN67" i="1"/>
  <c r="AH62" i="1"/>
  <c r="EL73" i="1"/>
  <c r="BC62" i="1"/>
  <c r="X67" i="1"/>
  <c r="Y80" i="1"/>
  <c r="CB80" i="1"/>
  <c r="CL63" i="1"/>
  <c r="DI46" i="1"/>
  <c r="DN63" i="1"/>
  <c r="EC80" i="1"/>
  <c r="CM73" i="1"/>
  <c r="BU74" i="1"/>
  <c r="DA65" i="1"/>
  <c r="V51" i="1"/>
  <c r="EE65" i="1"/>
  <c r="AR51" i="1"/>
  <c r="FO65" i="1"/>
  <c r="CG62" i="1"/>
  <c r="X77" i="1"/>
  <c r="BD58" i="1"/>
  <c r="AH66" i="1"/>
  <c r="BR66" i="1"/>
  <c r="FK74" i="1"/>
  <c r="BF63" i="1"/>
  <c r="FG62" i="1"/>
  <c r="EM37" i="1"/>
  <c r="BW74" i="1"/>
  <c r="AB51" i="1"/>
  <c r="CR27" i="1"/>
  <c r="DT63" i="1"/>
  <c r="EJ45" i="1"/>
  <c r="BC67" i="1"/>
  <c r="FN46" i="1"/>
  <c r="EL58" i="1"/>
  <c r="BJ45" i="1"/>
  <c r="CM66" i="1"/>
  <c r="EW51" i="1"/>
  <c r="EJ35" i="1"/>
  <c r="CP58" i="1"/>
  <c r="DI37" i="1"/>
  <c r="FQ26" i="1"/>
  <c r="FG65" i="1"/>
  <c r="CX51" i="1"/>
  <c r="CB36" i="1"/>
  <c r="AB26" i="1"/>
  <c r="DQ63" i="1"/>
  <c r="FE46" i="1"/>
  <c r="FH35" i="1"/>
  <c r="DD35" i="1"/>
  <c r="ED58" i="1"/>
  <c r="DU45" i="1"/>
  <c r="FO27" i="1"/>
  <c r="I77" i="1"/>
  <c r="DX57" i="1"/>
  <c r="AZ37" i="1"/>
  <c r="CI58" i="1"/>
  <c r="CL45" i="1"/>
  <c r="EN27" i="1"/>
  <c r="EU73" i="1"/>
  <c r="EW52" i="1"/>
  <c r="EP73" i="1"/>
  <c r="ER52" i="1"/>
  <c r="BQ37" i="1"/>
  <c r="BF45" i="1"/>
  <c r="BH37" i="1"/>
  <c r="W27" i="1"/>
  <c r="CX63" i="1"/>
  <c r="DI74" i="1"/>
  <c r="Z63" i="1"/>
  <c r="AZ67" i="1"/>
  <c r="AE80" i="1"/>
  <c r="AV67" i="1"/>
  <c r="L62" i="1"/>
  <c r="DP73" i="1"/>
  <c r="AG62" i="1"/>
  <c r="FM66" i="1"/>
  <c r="FO74" i="1"/>
  <c r="O80" i="1"/>
  <c r="BH63" i="1"/>
  <c r="CM46" i="1"/>
  <c r="FH77" i="1"/>
  <c r="CZ80" i="1"/>
  <c r="BK73" i="1"/>
  <c r="K74" i="1"/>
  <c r="BR65" i="1"/>
  <c r="FL46" i="1"/>
  <c r="CZ65" i="1"/>
  <c r="U51" i="1"/>
  <c r="ED65" i="1"/>
  <c r="AF62" i="1"/>
  <c r="ES80" i="1"/>
  <c r="AF58" i="1"/>
  <c r="FL65" i="1"/>
  <c r="AE66" i="1"/>
  <c r="DT74" i="1"/>
  <c r="FF62" i="1"/>
  <c r="DT62" i="1"/>
  <c r="FC57" i="1"/>
  <c r="BH52" i="1"/>
  <c r="AB36" i="1"/>
  <c r="DE46" i="1"/>
  <c r="BQ74" i="1"/>
  <c r="ES62" i="1"/>
  <c r="FS66" i="1"/>
  <c r="EY74" i="1"/>
  <c r="FO66" i="1"/>
  <c r="CI57" i="1"/>
  <c r="BX73" i="1"/>
  <c r="FE58" i="1"/>
  <c r="DU66" i="1"/>
  <c r="DW74" i="1"/>
  <c r="DN74" i="1"/>
  <c r="CM58" i="1"/>
  <c r="EF77" i="1"/>
  <c r="CU77" i="1"/>
  <c r="AM80" i="1"/>
  <c r="FN67" i="1"/>
  <c r="DL73" i="1"/>
  <c r="AK62" i="1"/>
  <c r="DR46" i="1"/>
  <c r="AM65" i="1"/>
  <c r="EN46" i="1"/>
  <c r="BP65" i="1"/>
  <c r="EX58" i="1"/>
  <c r="EM67" i="1"/>
  <c r="ET57" i="1"/>
  <c r="CT65" i="1"/>
  <c r="DY65" i="1"/>
  <c r="AK74" i="1"/>
  <c r="CY62" i="1"/>
  <c r="BK57" i="1"/>
  <c r="BY37" i="1"/>
  <c r="X73" i="1"/>
  <c r="DP46" i="1"/>
  <c r="AD27" i="1"/>
  <c r="FC62" i="1"/>
  <c r="BP45" i="1"/>
  <c r="AI63" i="1"/>
  <c r="CO46" i="1"/>
  <c r="DL57" i="1"/>
  <c r="FC37" i="1"/>
  <c r="CF65" i="1"/>
  <c r="BU51" i="1"/>
  <c r="BV35" i="1"/>
  <c r="EE57" i="1"/>
  <c r="FK36" i="1"/>
  <c r="CW26" i="1"/>
  <c r="DX63" i="1"/>
  <c r="FF46" i="1"/>
  <c r="FI35" i="1"/>
  <c r="BY36" i="1"/>
  <c r="DC62" i="1"/>
  <c r="BG46" i="1"/>
  <c r="CF35" i="1"/>
  <c r="DV77" i="1"/>
  <c r="FL57" i="1"/>
  <c r="AE45" i="1"/>
  <c r="CU27" i="1"/>
  <c r="AC74" i="1"/>
  <c r="FG52" i="1"/>
  <c r="FO80" i="1"/>
  <c r="DN57" i="1"/>
  <c r="FJ37" i="1"/>
  <c r="BR27" i="1"/>
  <c r="AM67" i="1"/>
  <c r="AG52" i="1"/>
  <c r="AK67" i="1"/>
  <c r="AE52" i="1"/>
  <c r="EV36" i="1"/>
  <c r="CI26" i="1"/>
  <c r="AK58" i="1"/>
  <c r="W35" i="1"/>
  <c r="CY74" i="1"/>
  <c r="BM67" i="1"/>
  <c r="DY57" i="1"/>
  <c r="BO45" i="1"/>
  <c r="FG77" i="1"/>
  <c r="DF67" i="1"/>
  <c r="CW73" i="1"/>
  <c r="BV66" i="1"/>
  <c r="FH62" i="1"/>
  <c r="EI58" i="1"/>
  <c r="U57" i="1"/>
  <c r="EQ77" i="1"/>
  <c r="BB80" i="1"/>
  <c r="BM52" i="1"/>
  <c r="CZ35" i="1"/>
  <c r="U62" i="1"/>
  <c r="DT57" i="1"/>
  <c r="DT73" i="1"/>
  <c r="CK73" i="1"/>
  <c r="BX66" i="1"/>
  <c r="CZ67" i="1"/>
  <c r="EX57" i="1"/>
  <c r="EO46" i="1"/>
  <c r="BF73" i="1"/>
  <c r="BZ74" i="1"/>
  <c r="EA73" i="1"/>
  <c r="AP73" i="1"/>
  <c r="S63" i="1"/>
  <c r="K62" i="1"/>
  <c r="AQ57" i="1"/>
  <c r="FM77" i="1"/>
  <c r="BX80" i="1"/>
  <c r="L46" i="1"/>
  <c r="T27" i="1"/>
  <c r="N52" i="1"/>
  <c r="AZ66" i="1"/>
  <c r="FL73" i="1"/>
  <c r="FR73" i="1"/>
  <c r="DK66" i="1"/>
  <c r="R73" i="1"/>
  <c r="K58" i="1"/>
  <c r="BJ52" i="1"/>
  <c r="CJ73" i="1"/>
  <c r="DF74" i="1"/>
  <c r="FC73" i="1"/>
  <c r="BR73" i="1"/>
  <c r="AO63" i="1"/>
  <c r="DM65" i="1"/>
  <c r="BM57" i="1"/>
  <c r="FO77" i="1"/>
  <c r="CT80" i="1"/>
  <c r="ES37" i="1"/>
  <c r="W63" i="1"/>
  <c r="EW67" i="1"/>
  <c r="BZ36" i="1"/>
  <c r="AO57" i="1"/>
  <c r="EQ26" i="1"/>
  <c r="CS45" i="1"/>
  <c r="FC67" i="1"/>
  <c r="BE35" i="1"/>
  <c r="ED57" i="1"/>
  <c r="BA26" i="1"/>
  <c r="FG46" i="1"/>
  <c r="CR35" i="1"/>
  <c r="EX62" i="1"/>
  <c r="CH45" i="1"/>
  <c r="FG45" i="1"/>
  <c r="BN36" i="1"/>
  <c r="CC63" i="1"/>
  <c r="AT46" i="1"/>
  <c r="AK35" i="1"/>
  <c r="DD66" i="1"/>
  <c r="CB74" i="1"/>
  <c r="DH77" i="1"/>
  <c r="EV66" i="1"/>
  <c r="DA80" i="1"/>
  <c r="AI58" i="1"/>
  <c r="DZ57" i="1"/>
  <c r="ET73" i="1"/>
  <c r="EL74" i="1"/>
  <c r="Z74" i="1"/>
  <c r="CX73" i="1"/>
  <c r="BK63" i="1"/>
  <c r="EI65" i="1"/>
  <c r="EA57" i="1"/>
  <c r="DG74" i="1"/>
  <c r="DP80" i="1"/>
  <c r="EL36" i="1"/>
  <c r="BE51" i="1"/>
  <c r="ET80" i="1"/>
  <c r="BG58" i="1"/>
  <c r="EY57" i="1"/>
  <c r="BA63" i="1"/>
  <c r="FS74" i="1"/>
  <c r="BB74" i="1"/>
  <c r="EB73" i="1"/>
  <c r="CG63" i="1"/>
  <c r="FE65" i="1"/>
  <c r="AQ63" i="1"/>
  <c r="EC74" i="1"/>
  <c r="FH80" i="1"/>
  <c r="DK35" i="1"/>
  <c r="ER57" i="1"/>
  <c r="H47" i="1"/>
  <c r="CV35" i="1"/>
  <c r="DV26" i="1"/>
  <c r="AE63" i="1"/>
  <c r="DL37" i="1"/>
  <c r="FR45" i="1"/>
  <c r="DA35" i="1"/>
  <c r="EN57" i="1"/>
  <c r="A513" i="8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BS74" i="1"/>
  <c r="AJ65" i="1"/>
  <c r="EK52" i="1"/>
  <c r="CZ46" i="1"/>
  <c r="DA37" i="1"/>
  <c r="BL36" i="1"/>
  <c r="EY27" i="1"/>
  <c r="CF26" i="1"/>
  <c r="R63" i="1"/>
  <c r="CI27" i="1"/>
  <c r="FM51" i="1"/>
  <c r="DP45" i="1"/>
  <c r="DT58" i="1"/>
  <c r="EY51" i="1"/>
  <c r="EW36" i="1"/>
  <c r="FA26" i="1"/>
  <c r="DP66" i="1"/>
  <c r="EU51" i="1"/>
  <c r="BO35" i="1"/>
  <c r="FI27" i="1"/>
  <c r="FC27" i="1"/>
  <c r="AS65" i="1"/>
  <c r="BS36" i="1"/>
  <c r="DB46" i="1"/>
  <c r="DA46" i="1"/>
  <c r="BR74" i="1"/>
  <c r="EN63" i="1"/>
  <c r="EJ52" i="1"/>
  <c r="CY46" i="1"/>
  <c r="CZ37" i="1"/>
  <c r="M36" i="1"/>
  <c r="CL27" i="1"/>
  <c r="CE26" i="1"/>
  <c r="BM74" i="1"/>
  <c r="EE52" i="1"/>
  <c r="BO46" i="1"/>
  <c r="CY37" i="1"/>
  <c r="L36" i="1"/>
  <c r="Y26" i="1"/>
  <c r="DQ45" i="1"/>
  <c r="M26" i="1"/>
  <c r="N37" i="1"/>
  <c r="EC66" i="1"/>
  <c r="BS35" i="1"/>
  <c r="DR66" i="1"/>
  <c r="EU36" i="1"/>
  <c r="AW51" i="1"/>
  <c r="AM51" i="1"/>
  <c r="CM26" i="1"/>
  <c r="CJ26" i="1"/>
  <c r="O45" i="1"/>
  <c r="BM36" i="1"/>
  <c r="BH74" i="1"/>
  <c r="Q63" i="1"/>
  <c r="ED52" i="1"/>
  <c r="BN46" i="1"/>
  <c r="CX37" i="1"/>
  <c r="EY35" i="1"/>
  <c r="CH27" i="1"/>
  <c r="V26" i="1"/>
  <c r="BJ27" i="1"/>
  <c r="P37" i="1"/>
  <c r="DI73" i="1"/>
  <c r="P63" i="1"/>
  <c r="DP52" i="1"/>
  <c r="BK46" i="1"/>
  <c r="CV37" i="1"/>
  <c r="EX35" i="1"/>
  <c r="CG27" i="1"/>
  <c r="T26" i="1"/>
  <c r="DN52" i="1"/>
  <c r="CF27" i="1"/>
  <c r="DG73" i="1"/>
  <c r="FL45" i="1"/>
  <c r="R26" i="1"/>
  <c r="FL51" i="1"/>
  <c r="DZ66" i="1"/>
  <c r="BQ35" i="1"/>
  <c r="Z45" i="1"/>
  <c r="Y45" i="1"/>
  <c r="BA65" i="1"/>
  <c r="CQ36" i="1"/>
  <c r="EJ57" i="1"/>
  <c r="BR36" i="1"/>
  <c r="DH73" i="1"/>
  <c r="DY62" i="1"/>
  <c r="BJ46" i="1"/>
  <c r="CR37" i="1"/>
  <c r="EW35" i="1"/>
  <c r="S26" i="1"/>
  <c r="DX62" i="1"/>
  <c r="DM52" i="1"/>
  <c r="CQ37" i="1"/>
  <c r="EU35" i="1"/>
  <c r="BT35" i="1"/>
  <c r="M37" i="1"/>
  <c r="AA45" i="1"/>
  <c r="CU36" i="1"/>
  <c r="BJ65" i="1"/>
  <c r="CT36" i="1"/>
  <c r="DF58" i="1"/>
  <c r="EK57" i="1"/>
  <c r="U45" i="1"/>
  <c r="P45" i="1"/>
  <c r="AR65" i="1"/>
  <c r="FA27" i="1"/>
  <c r="DB37" i="1"/>
  <c r="BS73" i="1"/>
  <c r="DU62" i="1"/>
  <c r="DL52" i="1"/>
  <c r="FK45" i="1"/>
  <c r="S37" i="1"/>
  <c r="ET35" i="1"/>
  <c r="BI27" i="1"/>
  <c r="Q26" i="1"/>
  <c r="CS62" i="1"/>
  <c r="BX35" i="1"/>
  <c r="N26" i="1"/>
  <c r="EI66" i="1"/>
  <c r="BU35" i="1"/>
  <c r="DV58" i="1"/>
  <c r="DO45" i="1"/>
  <c r="AC45" i="1"/>
  <c r="DM58" i="1"/>
  <c r="BN35" i="1"/>
  <c r="BG65" i="1"/>
  <c r="X45" i="1"/>
  <c r="CN26" i="1"/>
  <c r="H52" i="1"/>
  <c r="FB27" i="1"/>
  <c r="CH26" i="1"/>
  <c r="CQ57" i="1"/>
  <c r="CG26" i="1"/>
  <c r="J67" i="1"/>
  <c r="CX62" i="1"/>
  <c r="FP51" i="1"/>
  <c r="DY45" i="1"/>
  <c r="R37" i="1"/>
  <c r="ES35" i="1"/>
  <c r="O27" i="1"/>
  <c r="P26" i="1"/>
  <c r="FR66" i="1"/>
  <c r="FN51" i="1"/>
  <c r="DS45" i="1"/>
  <c r="N27" i="1"/>
  <c r="Q37" i="1"/>
  <c r="DZ58" i="1"/>
  <c r="M27" i="1"/>
  <c r="EG66" i="1"/>
  <c r="FD26" i="1"/>
  <c r="FJ51" i="1"/>
  <c r="FC26" i="1"/>
  <c r="DS58" i="1"/>
  <c r="FB26" i="1"/>
  <c r="DP58" i="1"/>
  <c r="EV51" i="1"/>
  <c r="BP35" i="1"/>
  <c r="DJ26" i="1"/>
  <c r="DG58" i="1"/>
  <c r="DF26" i="1"/>
  <c r="CS36" i="1"/>
  <c r="H51" i="1"/>
  <c r="CV57" i="1"/>
  <c r="AO65" i="1"/>
  <c r="EZ27" i="1"/>
  <c r="AQ26" i="1"/>
  <c r="BD26" i="1"/>
  <c r="W62" i="1"/>
  <c r="CW35" i="1"/>
  <c r="BV45" i="1"/>
  <c r="CQ27" i="1"/>
  <c r="AQ51" i="1"/>
  <c r="Q27" i="1"/>
  <c r="DM80" i="1"/>
  <c r="DM46" i="1"/>
  <c r="FF57" i="1"/>
  <c r="S27" i="1"/>
  <c r="EQ37" i="1"/>
  <c r="DN26" i="1"/>
  <c r="CT57" i="1"/>
  <c r="CW67" i="1"/>
  <c r="H53" i="1"/>
  <c r="H64" i="1"/>
  <c r="H38" i="1"/>
  <c r="G3" i="7" a="1"/>
  <c r="G3" i="7" s="1"/>
  <c r="AA11" i="7" l="1" a="1"/>
  <c r="AA11" i="7" s="1"/>
  <c r="H29" i="1"/>
  <c r="AB21" i="7"/>
  <c r="AB34" i="7"/>
  <c r="AB24" i="7"/>
  <c r="AB16" i="7"/>
  <c r="AB27" i="7"/>
  <c r="AB19" i="7"/>
  <c r="AB32" i="7"/>
  <c r="AB17" i="7"/>
  <c r="AB33" i="7"/>
  <c r="AB30" i="7"/>
  <c r="AB25" i="7"/>
  <c r="AB29" i="7" l="1"/>
  <c r="AB13" i="7"/>
  <c r="AB12" i="7"/>
  <c r="AB28" i="7"/>
  <c r="AB20" i="7"/>
  <c r="AB14" i="7"/>
  <c r="AB23" i="7"/>
  <c r="AB22" i="7"/>
  <c r="AB15" i="7"/>
  <c r="AB26" i="7"/>
  <c r="AB31" i="7"/>
  <c r="AB18" i="7"/>
  <c r="AA9" i="7"/>
  <c r="AB11" i="7"/>
  <c r="AB9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<sst xmlns="http://schemas.openxmlformats.org/spreadsheetml/2006/main" count="1243" uniqueCount="424">
  <si>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</si>
  <si>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</si>
  <si>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</si>
  <si>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</si>
  <si>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</si>
  <si>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</si>
  <si>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</si>
  <si>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</si>
  <si>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</si>
  <si>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</si>
  <si>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</si>
  <si>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</si>
  <si>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</si>
  <si>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</si>
  <si>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</si>
  <si>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</si>
  <si>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</si>
  <si>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</si>
  <si>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</si>
  <si>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</si>
  <si>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</si>
  <si>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</si>
  <si>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</si>
  <si>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</si>
  <si>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</si>
  <si>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</si>
  <si>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</si>
  <si>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</si>
  <si>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</si>
  <si>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</si>
  <si>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</si>
  <si>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</si>
  <si>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</si>
  <si>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</si>
  <si>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</si>
  <si>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</si>
  <si>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</si>
  <si>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</si>
  <si>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</si>
  <si>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</si>
  <si>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</si>
  <si>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</si>
  <si>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</si>
  <si>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</si>
  <si>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</si>
  <si>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</si>
  <si>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</si>
  <si>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</si>
  <si>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</si>
  <si>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</si>
  <si>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</si>
  <si>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</si>
  <si>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</si>
  <si>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</si>
  <si>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</si>
  <si>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</si>
  <si>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</si>
  <si>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</si>
  <si>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</si>
  <si>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</si>
  <si>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</si>
  <si>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</si>
  <si>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</si>
  <si>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</si>
  <si>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</si>
  <si>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</si>
  <si>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</si>
  <si>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</si>
  <si>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</si>
  <si>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</si>
  <si>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</si>
  <si>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</si>
  <si>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</si>
  <si>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</si>
  <si>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</si>
  <si>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</si>
  <si>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</si>
  <si>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</si>
  <si>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</si>
  <si>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</si>
  <si>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</si>
  <si>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</si>
  <si>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</si>
  <si>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</si>
  <si>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</si>
  <si>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</si>
  <si>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</si>
  <si>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</si>
  <si>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</si>
  <si>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</si>
  <si>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</si>
  <si>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</si>
  <si>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</si>
  <si>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</si>
  <si>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</si>
  <si>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</si>
  <si>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</si>
  <si>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</si>
  <si>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</si>
  <si>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</si>
  <si>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</si>
  <si>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</si>
  <si>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</si>
  <si>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</si>
  <si>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</si>
  <si>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</si>
  <si>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</si>
  <si>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</si>
  <si>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</si>
  <si>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</si>
  <si>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</si>
  <si>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</si>
  <si>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</si>
  <si>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</si>
  <si>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</si>
  <si>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</si>
  <si>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</si>
  <si>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</si>
  <si>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</si>
  <si>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</si>
  <si>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</si>
  <si>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</si>
  <si>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</si>
  <si>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</si>
  <si>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</si>
  <si>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</si>
  <si>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</si>
  <si>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</si>
  <si>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</si>
  <si>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</si>
  <si>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</si>
  <si>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</si>
  <si>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</si>
  <si>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</si>
  <si>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</si>
  <si>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</si>
  <si>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</si>
  <si>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</si>
  <si>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</si>
  <si>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</si>
  <si>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</si>
  <si>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</si>
  <si>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</si>
  <si>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</si>
  <si>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</si>
  <si>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</si>
  <si>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</si>
  <si>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</si>
  <si>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</si>
  <si>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</si>
  <si>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</si>
  <si>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</si>
  <si>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</si>
  <si>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</si>
  <si>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</si>
  <si>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</si>
  <si>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</si>
  <si>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</si>
  <si>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</si>
  <si>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</si>
  <si>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</si>
  <si>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</si>
  <si>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</si>
  <si>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</si>
  <si>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</si>
  <si>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</si>
  <si>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</si>
  <si>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</si>
  <si>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</si>
  <si>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</si>
  <si>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</si>
  <si>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</si>
  <si>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</si>
  <si>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</si>
  <si>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</si>
  <si>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</si>
  <si>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</si>
  <si>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</si>
  <si>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</si>
  <si>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</si>
  <si>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</si>
  <si>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</si>
  <si>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</si>
  <si>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</si>
  <si>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</si>
  <si>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</si>
  <si>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</si>
  <si>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</si>
  <si>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</si>
  <si>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</si>
  <si>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</si>
  <si>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</si>
  <si>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</si>
  <si>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</si>
  <si>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</si>
  <si>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</si>
  <si>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</si>
  <si>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</si>
  <si>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</si>
  <si>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</si>
  <si>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</si>
  <si>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</si>
  <si>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</si>
  <si>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</si>
  <si>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</si>
  <si>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</si>
  <si>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</si>
  <si>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</si>
  <si>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</si>
  <si>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</si>
  <si>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</si>
  <si>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</si>
  <si>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</si>
  <si>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</si>
  <si>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</si>
  <si>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</si>
  <si>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</si>
  <si>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</si>
  <si>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</si>
  <si>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</si>
  <si>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</si>
  <si>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</si>
  <si>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</si>
  <si>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</si>
  <si>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</si>
  <si>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</si>
  <si>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</si>
  <si>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</si>
  <si>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</si>
  <si>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</si>
  <si>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</si>
  <si>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</si>
  <si>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</si>
  <si>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</si>
  <si>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</si>
  <si>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</si>
  <si>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</si>
  <si>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</si>
  <si>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</si>
  <si>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</si>
  <si>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</si>
  <si>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</si>
  <si>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</si>
  <si>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</si>
  <si>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</si>
  <si>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</si>
  <si>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</si>
  <si>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</si>
  <si>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</si>
  <si>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</si>
  <si>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</si>
  <si>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</si>
  <si>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</si>
  <si>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</si>
  <si>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</si>
  <si>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</si>
  <si>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</si>
  <si>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</si>
  <si>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</si>
  <si>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Bypass release number of total ramp up and down cycles</t>
  </si>
  <si>
    <t>bp_forced_commit</t>
  </si>
  <si>
    <t>Bypass forced commitment state (-)</t>
  </si>
  <si>
    <t>v0.1.2</t>
  </si>
  <si>
    <t>Week10_WD_alt1</t>
  </si>
  <si>
    <t>C:\Users\mpavicevic\AppData\Local\miniconda3\envs\tempregpy\python.exe</t>
  </si>
  <si>
    <t>Week10_WD_alt2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</si>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</sst>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#,##0.0"/>
    <numFmt numFmtId="169" formatCode="m/d/yy\ h:mm;@"/>
  </numFmts>
  <fonts count="19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56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8" fillId="4" borderId="3" xfId="6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65" fontId="15" fillId="4" borderId="10" xfId="6" applyNumberFormat="1" applyFon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/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7" fillId="0" borderId="0" xfId="0" applyFont="1" applyAlignment="1">
      <alignment horizontal="center" vertical="center" wrapText="1"/>
    </xf>
    <xf numFmtId="169" fontId="4" fillId="3" borderId="3" xfId="4" applyNumberFormat="1"/>
    <xf numFmtId="164" fontId="8" fillId="4" borderId="3" xfId="6" applyNumberFormat="1" applyAlignment="1">
      <alignment horizontal="center" vertical="center"/>
    </xf>
    <xf numFmtId="169" fontId="18" fillId="0" borderId="0" xfId="0" applyNumberFormat="1" applyFont="1"/>
    <xf numFmtId="0" fontId="18" fillId="0" borderId="0" xfId="0" applyFont="1"/>
    <xf numFmtId="3" fontId="4" fillId="3" borderId="11" xfId="4" applyNumberFormat="1" applyBorder="1"/>
    <xf numFmtId="3" fontId="4" fillId="0" borderId="0" xfId="4" applyNumberFormat="1" applyFill="1" applyBorder="1"/>
    <xf numFmtId="0" fontId="0" fillId="0" borderId="0" xfId="0" applyFill="1" applyBorder="1"/>
    <xf numFmtId="165" fontId="4" fillId="3" borderId="3" xfId="4" applyNumberFormat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6</xdr:row>
          <xdr:rowOff>60960</xdr:rowOff>
        </xdr:from>
        <xdr:to>
          <xdr:col>3</xdr:col>
          <xdr:colOff>1188720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5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42"/>
    <tableColumn id="46" xr3:uid="{EE2D606C-AB33-4353-AF2B-A9F873DBC849}" uniqueName="46" name="p_tur" queryTableFieldId="111" dataDxfId="41"/>
    <tableColumn id="47" xr3:uid="{CDA1AAB0-BC48-45FA-89CB-6380FCFDF58F}" uniqueName="47" name="q_bp" queryTableFieldId="112" dataDxfId="40"/>
    <tableColumn id="48" xr3:uid="{71400EA2-8506-4910-953B-6E60B366422E}" uniqueName="48" name="q_bp_committed" queryTableFieldId="113" dataDxfId="39"/>
    <tableColumn id="49" xr3:uid="{8186E766-E88A-4B93-8BD6-452DFDB7D946}" uniqueName="49" name="q_bp_ramp_down" queryTableFieldId="114" dataDxfId="38"/>
    <tableColumn id="50" xr3:uid="{AA0C2BD9-7C93-4912-AA6D-8BA6A79CA8FB}" uniqueName="50" name="q_bp_ramp_up" queryTableFieldId="115" dataDxfId="37"/>
    <tableColumn id="51" xr3:uid="{89936BF6-E129-46E2-9E73-958D5ED6F4D5}" uniqueName="51" name="q_bp_rr_down_change" queryTableFieldId="116" dataDxfId="36"/>
    <tableColumn id="52" xr3:uid="{FAF80359-7339-43D4-9355-3E02E8F66C38}" uniqueName="52" name="q_bp_rr_up_change" queryTableFieldId="117" dataDxfId="35"/>
    <tableColumn id="53" xr3:uid="{61240F60-100C-4FCA-9359-60F0C4915F0E}" uniqueName="53" name="q_gg" queryTableFieldId="118" dataDxfId="34"/>
    <tableColumn id="54" xr3:uid="{BC98FC23-3CBF-4558-9152-ACBAD17F0133}" uniqueName="54" name="q_gg_ramp_down" queryTableFieldId="119" dataDxfId="33"/>
    <tableColumn id="55" xr3:uid="{EE83055B-9623-4CFA-92D9-047365FEA812}" uniqueName="55" name="q_gg_ramp_up" queryTableFieldId="120" dataDxfId="32"/>
    <tableColumn id="56" xr3:uid="{5F51997C-B2BF-49B5-B54B-9E77CFE8C400}" uniqueName="56" name="q_in_flow" queryTableFieldId="121" dataDxfId="31"/>
    <tableColumn id="57" xr3:uid="{B4DF2E48-3152-4EC3-B269-A02AD715AC60}" uniqueName="57" name="q_out_flow" queryTableFieldId="122" dataDxfId="30"/>
    <tableColumn id="58" xr3:uid="{31AD7833-F7E1-460D-A8C3-77C023D0A7C9}" uniqueName="58" name="q_sink" queryTableFieldId="123" dataDxfId="29"/>
    <tableColumn id="59" xr3:uid="{373C05EE-8587-4F41-B806-13750CE647E5}" uniqueName="59" name="q_source" queryTableFieldId="124" dataDxfId="28"/>
    <tableColumn id="60" xr3:uid="{C22A4875-A0A9-4201-90AE-F9A4F1D7E443}" uniqueName="60" name="q_tot" queryTableFieldId="125" dataDxfId="27"/>
    <tableColumn id="61" xr3:uid="{77406859-CEEA-42A8-8FF9-058C58D695C1}" uniqueName="61" name="q_tot_ramp_down" queryTableFieldId="126" dataDxfId="26"/>
    <tableColumn id="62" xr3:uid="{54B5D12C-77CE-49A0-932E-1C259957F885}" uniqueName="62" name="q_tot_ramp_up" queryTableFieldId="127" dataDxfId="25"/>
    <tableColumn id="63" xr3:uid="{61B5BD0F-C1C3-42F2-875E-F3BC219A3291}" uniqueName="63" name="q_tur" queryTableFieldId="128" dataDxfId="24"/>
    <tableColumn id="64" xr3:uid="{767C8A97-62FF-4D21-AAE1-7F07D9E71630}" uniqueName="64" name="q_tur_ramp_down" queryTableFieldId="129" dataDxfId="23"/>
    <tableColumn id="65" xr3:uid="{A5AA19B3-EEF9-4122-9721-C5D9B0ABD663}" uniqueName="65" name="q_tur_ramp_up" queryTableFieldId="130" dataDxfId="22"/>
    <tableColumn id="66" xr3:uid="{FC54F758-AE2E-478C-A250-0C2ACA2A0E43}" uniqueName="66" name="T_plant" queryTableFieldId="131" dataDxf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XFD88"/>
  <sheetViews>
    <sheetView zoomScale="85" zoomScaleNormal="85" workbookViewId="0">
      <selection activeCell="G29" sqref="G29"/>
    </sheetView>
  </sheetViews>
  <sheetFormatPr defaultRowHeight="14.4"/>
  <cols>
    <col min="1" max="3" width="1.6640625" customWidth="1"/>
    <col min="4" max="4" width="69.33203125" bestFit="1" customWidth="1"/>
    <col min="5" max="5" width="29" bestFit="1" customWidth="1"/>
    <col min="6" max="6" width="12.44140625" customWidth="1"/>
    <col min="7" max="7" width="13.109375" bestFit="1" customWidth="1"/>
    <col min="8" max="9" width="11.5546875" bestFit="1" customWidth="1"/>
    <col min="10" max="17" width="10.88671875" bestFit="1" customWidth="1"/>
    <col min="18" max="31" width="11.88671875" bestFit="1" customWidth="1"/>
    <col min="32" max="41" width="10.88671875" bestFit="1" customWidth="1"/>
    <col min="42" max="55" width="11.88671875" bestFit="1" customWidth="1"/>
    <col min="56" max="65" width="10.88671875" bestFit="1" customWidth="1"/>
    <col min="66" max="79" width="11.88671875" bestFit="1" customWidth="1"/>
    <col min="80" max="89" width="10.88671875" bestFit="1" customWidth="1"/>
    <col min="90" max="103" width="11.88671875" bestFit="1" customWidth="1"/>
    <col min="104" max="113" width="10.88671875" bestFit="1" customWidth="1"/>
    <col min="114" max="120" width="11.88671875" bestFit="1" customWidth="1"/>
    <col min="121" max="121" width="12.6640625" bestFit="1" customWidth="1"/>
    <col min="122" max="127" width="11.88671875" bestFit="1" customWidth="1"/>
    <col min="128" max="137" width="10.88671875" bestFit="1" customWidth="1"/>
    <col min="138" max="151" width="11.88671875" bestFit="1" customWidth="1"/>
    <col min="152" max="161" width="10.88671875" bestFit="1" customWidth="1"/>
    <col min="162" max="175" width="11.88671875" bestFit="1" customWidth="1"/>
  </cols>
  <sheetData>
    <row r="1" spans="4:31" ht="24" thickBot="1">
      <c r="D1" s="6" t="s">
        <v>0</v>
      </c>
      <c r="E1" s="12" t="s">
        <v>32</v>
      </c>
      <c r="F1" s="12" t="s">
        <v>150</v>
      </c>
      <c r="G1" s="13" t="s">
        <v>58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</row>
    <row r="2" spans="4:31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126</v>
      </c>
      <c r="E3" s="2" t="s">
        <v>127</v>
      </c>
      <c r="F3" s="2"/>
      <c r="G3" s="14" t="s">
        <v>262</v>
      </c>
      <c r="H3" s="21"/>
      <c r="I3" s="27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9"/>
    </row>
    <row r="4" spans="4:31" ht="15.75" customHeight="1">
      <c r="D4" t="s">
        <v>110</v>
      </c>
      <c r="G4" s="19" t="s">
        <v>112</v>
      </c>
      <c r="H4" s="20" t="s">
        <v>113</v>
      </c>
      <c r="I4" s="15" t="s">
        <v>114</v>
      </c>
      <c r="J4" s="2" t="s">
        <v>109</v>
      </c>
      <c r="AD4" s="15" t="s">
        <v>128</v>
      </c>
      <c r="AE4" s="15" t="b">
        <v>1</v>
      </c>
    </row>
    <row r="5" spans="4:31" ht="15.75" customHeight="1">
      <c r="G5" s="14"/>
      <c r="H5" s="21"/>
      <c r="I5" s="22"/>
      <c r="P5">
        <v>516302.49767432816</v>
      </c>
      <c r="AD5" s="15" t="s">
        <v>149</v>
      </c>
      <c r="AE5" s="16" t="b">
        <v>0</v>
      </c>
    </row>
    <row r="6" spans="4:31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92</v>
      </c>
      <c r="E7" s="2" t="s">
        <v>91</v>
      </c>
      <c r="F7" s="2"/>
      <c r="G7" s="25" t="s">
        <v>264</v>
      </c>
    </row>
    <row r="8" spans="4:31" ht="15.75" customHeight="1">
      <c r="D8" t="s">
        <v>108</v>
      </c>
      <c r="E8" s="2" t="s">
        <v>107</v>
      </c>
      <c r="F8" s="2"/>
      <c r="G8" s="4" t="s">
        <v>265</v>
      </c>
    </row>
    <row r="9" spans="4:31" ht="15.75" customHeight="1">
      <c r="D9" t="s">
        <v>115</v>
      </c>
      <c r="E9" s="2" t="s">
        <v>116</v>
      </c>
      <c r="F9" s="2"/>
      <c r="G9" s="4" t="b">
        <v>1</v>
      </c>
      <c r="I9">
        <v>1</v>
      </c>
      <c r="J9">
        <v>2</v>
      </c>
      <c r="K9">
        <v>3</v>
      </c>
      <c r="L9">
        <v>4</v>
      </c>
      <c r="M9">
        <v>5</v>
      </c>
      <c r="N9">
        <v>6</v>
      </c>
      <c r="O9">
        <v>7</v>
      </c>
    </row>
    <row r="10" spans="4:31" ht="15.75" customHeight="1">
      <c r="D10" t="s">
        <v>140</v>
      </c>
      <c r="E10" s="2" t="s">
        <v>141</v>
      </c>
      <c r="F10" s="2"/>
      <c r="G10" s="4" t="s">
        <v>149</v>
      </c>
      <c r="I10" t="s">
        <v>273</v>
      </c>
      <c r="J10" t="s">
        <v>274</v>
      </c>
      <c r="K10" t="s">
        <v>275</v>
      </c>
      <c r="L10" t="s">
        <v>276</v>
      </c>
      <c r="M10" t="s">
        <v>277</v>
      </c>
      <c r="N10" t="s">
        <v>278</v>
      </c>
      <c r="O10" t="s">
        <v>279</v>
      </c>
    </row>
    <row r="11" spans="4:31" ht="15.75" customHeight="1">
      <c r="D11" t="s">
        <v>266</v>
      </c>
      <c r="E11" s="2" t="s">
        <v>268</v>
      </c>
      <c r="F11" s="2"/>
      <c r="G11" s="48">
        <v>45851</v>
      </c>
      <c r="H11" s="49" t="str">
        <f>LOOKUP(WEEKDAY(G11,1),$I$9:$O$9,$I$10:$O$10)</f>
        <v>SUN</v>
      </c>
    </row>
    <row r="12" spans="4:31" ht="15.75" customHeight="1">
      <c r="D12" t="s">
        <v>267</v>
      </c>
      <c r="E12" s="2" t="s">
        <v>269</v>
      </c>
      <c r="F12" s="2"/>
      <c r="G12" s="48">
        <f>(G11+7)-TIME(1,0,0)</f>
        <v>45857.958333333336</v>
      </c>
      <c r="H12" s="49" t="str">
        <f>LOOKUP(WEEKDAY(G12,1),$I$9:$O$9,$I$10:$O$10)</f>
        <v>SAT</v>
      </c>
    </row>
    <row r="14" spans="4:31" ht="20.399999999999999" thickBot="1">
      <c r="D14" s="1" t="s">
        <v>157</v>
      </c>
      <c r="E14" s="7" t="s">
        <v>32</v>
      </c>
      <c r="F14" s="3" t="s">
        <v>150</v>
      </c>
      <c r="G14" s="3"/>
      <c r="H14" s="3" t="s">
        <v>161</v>
      </c>
      <c r="I14" s="3" t="s">
        <v>162</v>
      </c>
      <c r="J14" s="3" t="s">
        <v>163</v>
      </c>
      <c r="K14" s="3" t="s">
        <v>164</v>
      </c>
      <c r="L14" s="3" t="s">
        <v>165</v>
      </c>
      <c r="M14" s="3" t="s">
        <v>166</v>
      </c>
      <c r="N14" s="3" t="s">
        <v>167</v>
      </c>
      <c r="O14" s="3" t="s">
        <v>168</v>
      </c>
      <c r="P14" s="3" t="s">
        <v>169</v>
      </c>
      <c r="Q14" s="3" t="s">
        <v>170</v>
      </c>
      <c r="R14" s="3" t="s">
        <v>171</v>
      </c>
      <c r="S14" s="3" t="s">
        <v>172</v>
      </c>
      <c r="T14" s="3" t="s">
        <v>173</v>
      </c>
      <c r="U14" s="3" t="s">
        <v>174</v>
      </c>
      <c r="V14" s="3" t="s">
        <v>175</v>
      </c>
      <c r="W14" s="3" t="s">
        <v>176</v>
      </c>
      <c r="X14" s="3" t="s">
        <v>177</v>
      </c>
      <c r="Y14" s="3" t="s">
        <v>178</v>
      </c>
      <c r="Z14" s="3" t="s">
        <v>179</v>
      </c>
      <c r="AA14" s="3" t="s">
        <v>180</v>
      </c>
      <c r="AB14" s="3" t="s">
        <v>181</v>
      </c>
      <c r="AC14" s="3" t="s">
        <v>182</v>
      </c>
      <c r="AD14" s="3" t="s">
        <v>183</v>
      </c>
      <c r="AE14" s="3" t="s">
        <v>184</v>
      </c>
    </row>
    <row r="15" spans="4:31" ht="15" thickTop="1">
      <c r="D15" t="s">
        <v>205</v>
      </c>
      <c r="E15" s="2" t="s">
        <v>155</v>
      </c>
      <c r="H15" s="8" t="s">
        <v>151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206</v>
      </c>
      <c r="E16" s="2" t="s">
        <v>156</v>
      </c>
      <c r="H16" s="8" t="s">
        <v>153</v>
      </c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1:16384">
      <c r="D17" t="s">
        <v>207</v>
      </c>
      <c r="E17" s="2" t="s">
        <v>158</v>
      </c>
      <c r="H17" s="8" t="s">
        <v>152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1:16384">
      <c r="D18" t="s">
        <v>208</v>
      </c>
      <c r="E18" s="2" t="s">
        <v>188</v>
      </c>
      <c r="H18" s="8" t="s">
        <v>154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1:16384">
      <c r="D19" t="s">
        <v>209</v>
      </c>
      <c r="E19" s="2" t="s">
        <v>159</v>
      </c>
      <c r="H19" s="8" t="s">
        <v>160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0" spans="1:16384">
      <c r="D20" t="s">
        <v>212</v>
      </c>
      <c r="E20" s="2" t="s">
        <v>213</v>
      </c>
      <c r="H20" s="8" t="s">
        <v>151</v>
      </c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</row>
    <row r="21" spans="1:16384">
      <c r="D21" t="s">
        <v>210</v>
      </c>
      <c r="E21" s="2" t="s">
        <v>211</v>
      </c>
      <c r="H21" s="8" t="s">
        <v>153</v>
      </c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</row>
    <row r="23" spans="1:16384" s="51" customFormat="1">
      <c r="A23"/>
      <c r="B23"/>
      <c r="C23"/>
      <c r="D23"/>
      <c r="E23"/>
      <c r="F23"/>
      <c r="G23"/>
      <c r="H23" s="50">
        <f>G11</f>
        <v>45851</v>
      </c>
      <c r="I23" s="50">
        <f t="shared" ref="I23:BT23" si="0">IFERROR(IF(H23+TIME(1,0,0)&lt;=$G$12,H23+TIME(1,0,0),""),"")</f>
        <v>45851.041666666664</v>
      </c>
      <c r="J23" s="50">
        <f t="shared" si="0"/>
        <v>45851.083333333328</v>
      </c>
      <c r="K23" s="50">
        <f t="shared" si="0"/>
        <v>45851.124999999993</v>
      </c>
      <c r="L23" s="50">
        <f t="shared" si="0"/>
        <v>45851.166666666657</v>
      </c>
      <c r="M23" s="50">
        <f t="shared" si="0"/>
        <v>45851.208333333321</v>
      </c>
      <c r="N23" s="50">
        <f t="shared" si="0"/>
        <v>45851.249999999985</v>
      </c>
      <c r="O23" s="50">
        <f t="shared" si="0"/>
        <v>45851.29166666665</v>
      </c>
      <c r="P23" s="50">
        <f t="shared" si="0"/>
        <v>45851.333333333314</v>
      </c>
      <c r="Q23" s="50">
        <f t="shared" si="0"/>
        <v>45851.374999999978</v>
      </c>
      <c r="R23" s="50">
        <f t="shared" si="0"/>
        <v>45851.416666666642</v>
      </c>
      <c r="S23" s="50">
        <f t="shared" si="0"/>
        <v>45851.458333333307</v>
      </c>
      <c r="T23" s="50">
        <f t="shared" si="0"/>
        <v>45851.499999999971</v>
      </c>
      <c r="U23" s="50">
        <f t="shared" si="0"/>
        <v>45851.541666666635</v>
      </c>
      <c r="V23" s="50">
        <f t="shared" si="0"/>
        <v>45851.583333333299</v>
      </c>
      <c r="W23" s="50">
        <f t="shared" si="0"/>
        <v>45851.624999999964</v>
      </c>
      <c r="X23" s="50">
        <f t="shared" si="0"/>
        <v>45851.666666666628</v>
      </c>
      <c r="Y23" s="50">
        <f t="shared" si="0"/>
        <v>45851.708333333292</v>
      </c>
      <c r="Z23" s="50">
        <f t="shared" si="0"/>
        <v>45851.749999999956</v>
      </c>
      <c r="AA23" s="50">
        <f t="shared" si="0"/>
        <v>45851.791666666621</v>
      </c>
      <c r="AB23" s="50">
        <f t="shared" si="0"/>
        <v>45851.833333333285</v>
      </c>
      <c r="AC23" s="50">
        <f t="shared" si="0"/>
        <v>45851.874999999949</v>
      </c>
      <c r="AD23" s="50">
        <f t="shared" si="0"/>
        <v>45851.916666666613</v>
      </c>
      <c r="AE23" s="50">
        <f t="shared" si="0"/>
        <v>45851.958333333278</v>
      </c>
      <c r="AF23" s="50">
        <f t="shared" si="0"/>
        <v>45851.999999999942</v>
      </c>
      <c r="AG23" s="50">
        <f t="shared" si="0"/>
        <v>45852.041666666606</v>
      </c>
      <c r="AH23" s="50">
        <f t="shared" si="0"/>
        <v>45852.08333333327</v>
      </c>
      <c r="AI23" s="50">
        <f t="shared" si="0"/>
        <v>45852.124999999935</v>
      </c>
      <c r="AJ23" s="50">
        <f t="shared" si="0"/>
        <v>45852.166666666599</v>
      </c>
      <c r="AK23" s="50">
        <f t="shared" si="0"/>
        <v>45852.208333333263</v>
      </c>
      <c r="AL23" s="50">
        <f t="shared" si="0"/>
        <v>45852.249999999927</v>
      </c>
      <c r="AM23" s="50">
        <f t="shared" si="0"/>
        <v>45852.291666666591</v>
      </c>
      <c r="AN23" s="50">
        <f t="shared" si="0"/>
        <v>45852.333333333256</v>
      </c>
      <c r="AO23" s="50">
        <f t="shared" si="0"/>
        <v>45852.37499999992</v>
      </c>
      <c r="AP23" s="50">
        <f t="shared" si="0"/>
        <v>45852.416666666584</v>
      </c>
      <c r="AQ23" s="50">
        <f t="shared" si="0"/>
        <v>45852.458333333248</v>
      </c>
      <c r="AR23" s="50">
        <f t="shared" si="0"/>
        <v>45852.499999999913</v>
      </c>
      <c r="AS23" s="50">
        <f t="shared" si="0"/>
        <v>45852.541666666577</v>
      </c>
      <c r="AT23" s="50">
        <f t="shared" si="0"/>
        <v>45852.583333333241</v>
      </c>
      <c r="AU23" s="50">
        <f t="shared" si="0"/>
        <v>45852.624999999905</v>
      </c>
      <c r="AV23" s="50">
        <f t="shared" si="0"/>
        <v>45852.66666666657</v>
      </c>
      <c r="AW23" s="50">
        <f t="shared" si="0"/>
        <v>45852.708333333234</v>
      </c>
      <c r="AX23" s="50">
        <f t="shared" si="0"/>
        <v>45852.749999999898</v>
      </c>
      <c r="AY23" s="50">
        <f t="shared" si="0"/>
        <v>45852.791666666562</v>
      </c>
      <c r="AZ23" s="50">
        <f t="shared" si="0"/>
        <v>45852.833333333227</v>
      </c>
      <c r="BA23" s="50">
        <f t="shared" si="0"/>
        <v>45852.874999999891</v>
      </c>
      <c r="BB23" s="50">
        <f t="shared" si="0"/>
        <v>45852.916666666555</v>
      </c>
      <c r="BC23" s="50">
        <f t="shared" si="0"/>
        <v>45852.958333333219</v>
      </c>
      <c r="BD23" s="50">
        <f t="shared" si="0"/>
        <v>45852.999999999884</v>
      </c>
      <c r="BE23" s="50">
        <f t="shared" si="0"/>
        <v>45853.041666666548</v>
      </c>
      <c r="BF23" s="50">
        <f t="shared" si="0"/>
        <v>45853.083333333212</v>
      </c>
      <c r="BG23" s="50">
        <f t="shared" si="0"/>
        <v>45853.124999999876</v>
      </c>
      <c r="BH23" s="50">
        <f t="shared" si="0"/>
        <v>45853.166666666541</v>
      </c>
      <c r="BI23" s="50">
        <f t="shared" si="0"/>
        <v>45853.208333333205</v>
      </c>
      <c r="BJ23" s="50">
        <f t="shared" si="0"/>
        <v>45853.249999999869</v>
      </c>
      <c r="BK23" s="50">
        <f t="shared" si="0"/>
        <v>45853.291666666533</v>
      </c>
      <c r="BL23" s="50">
        <f t="shared" si="0"/>
        <v>45853.333333333198</v>
      </c>
      <c r="BM23" s="50">
        <f t="shared" si="0"/>
        <v>45853.374999999862</v>
      </c>
      <c r="BN23" s="50">
        <f t="shared" si="0"/>
        <v>45853.416666666526</v>
      </c>
      <c r="BO23" s="50">
        <f t="shared" si="0"/>
        <v>45853.45833333319</v>
      </c>
      <c r="BP23" s="50">
        <f t="shared" si="0"/>
        <v>45853.499999999854</v>
      </c>
      <c r="BQ23" s="50">
        <f t="shared" si="0"/>
        <v>45853.541666666519</v>
      </c>
      <c r="BR23" s="50">
        <f t="shared" si="0"/>
        <v>45853.583333333183</v>
      </c>
      <c r="BS23" s="50">
        <f t="shared" si="0"/>
        <v>45853.624999999847</v>
      </c>
      <c r="BT23" s="50">
        <f t="shared" si="0"/>
        <v>45853.666666666511</v>
      </c>
      <c r="BU23" s="50">
        <f t="shared" ref="BU23:EF23" si="1">IFERROR(IF(BT23+TIME(1,0,0)&lt;=$G$12,BT23+TIME(1,0,0),""),"")</f>
        <v>45853.708333333176</v>
      </c>
      <c r="BV23" s="50">
        <f t="shared" si="1"/>
        <v>45853.74999999984</v>
      </c>
      <c r="BW23" s="50">
        <f t="shared" si="1"/>
        <v>45853.791666666504</v>
      </c>
      <c r="BX23" s="50">
        <f t="shared" si="1"/>
        <v>45853.833333333168</v>
      </c>
      <c r="BY23" s="50">
        <f t="shared" si="1"/>
        <v>45853.874999999833</v>
      </c>
      <c r="BZ23" s="50">
        <f t="shared" si="1"/>
        <v>45853.916666666497</v>
      </c>
      <c r="CA23" s="50">
        <f t="shared" si="1"/>
        <v>45853.958333333161</v>
      </c>
      <c r="CB23" s="50">
        <f t="shared" si="1"/>
        <v>45853.999999999825</v>
      </c>
      <c r="CC23" s="50">
        <f t="shared" si="1"/>
        <v>45854.04166666649</v>
      </c>
      <c r="CD23" s="50">
        <f t="shared" si="1"/>
        <v>45854.083333333154</v>
      </c>
      <c r="CE23" s="50">
        <f t="shared" si="1"/>
        <v>45854.124999999818</v>
      </c>
      <c r="CF23" s="50">
        <f t="shared" si="1"/>
        <v>45854.166666666482</v>
      </c>
      <c r="CG23" s="50">
        <f t="shared" si="1"/>
        <v>45854.208333333147</v>
      </c>
      <c r="CH23" s="50">
        <f t="shared" si="1"/>
        <v>45854.249999999811</v>
      </c>
      <c r="CI23" s="50">
        <f t="shared" si="1"/>
        <v>45854.291666666475</v>
      </c>
      <c r="CJ23" s="50">
        <f t="shared" si="1"/>
        <v>45854.333333333139</v>
      </c>
      <c r="CK23" s="50">
        <f t="shared" si="1"/>
        <v>45854.374999999804</v>
      </c>
      <c r="CL23" s="50">
        <f t="shared" si="1"/>
        <v>45854.416666666468</v>
      </c>
      <c r="CM23" s="50">
        <f t="shared" si="1"/>
        <v>45854.458333333132</v>
      </c>
      <c r="CN23" s="50">
        <f t="shared" si="1"/>
        <v>45854.499999999796</v>
      </c>
      <c r="CO23" s="50">
        <f t="shared" si="1"/>
        <v>45854.541666666461</v>
      </c>
      <c r="CP23" s="50">
        <f t="shared" si="1"/>
        <v>45854.583333333125</v>
      </c>
      <c r="CQ23" s="50">
        <f t="shared" si="1"/>
        <v>45854.624999999789</v>
      </c>
      <c r="CR23" s="50">
        <f t="shared" si="1"/>
        <v>45854.666666666453</v>
      </c>
      <c r="CS23" s="50">
        <f t="shared" si="1"/>
        <v>45854.708333333117</v>
      </c>
      <c r="CT23" s="50">
        <f t="shared" si="1"/>
        <v>45854.749999999782</v>
      </c>
      <c r="CU23" s="50">
        <f t="shared" si="1"/>
        <v>45854.791666666446</v>
      </c>
      <c r="CV23" s="50">
        <f t="shared" si="1"/>
        <v>45854.83333333311</v>
      </c>
      <c r="CW23" s="50">
        <f t="shared" si="1"/>
        <v>45854.874999999774</v>
      </c>
      <c r="CX23" s="50">
        <f t="shared" si="1"/>
        <v>45854.916666666439</v>
      </c>
      <c r="CY23" s="50">
        <f t="shared" si="1"/>
        <v>45854.958333333103</v>
      </c>
      <c r="CZ23" s="50">
        <f t="shared" si="1"/>
        <v>45854.999999999767</v>
      </c>
      <c r="DA23" s="50">
        <f t="shared" si="1"/>
        <v>45855.041666666431</v>
      </c>
      <c r="DB23" s="50">
        <f t="shared" si="1"/>
        <v>45855.083333333096</v>
      </c>
      <c r="DC23" s="50">
        <f t="shared" si="1"/>
        <v>45855.12499999976</v>
      </c>
      <c r="DD23" s="50">
        <f t="shared" si="1"/>
        <v>45855.166666666424</v>
      </c>
      <c r="DE23" s="50">
        <f t="shared" si="1"/>
        <v>45855.208333333088</v>
      </c>
      <c r="DF23" s="50">
        <f t="shared" si="1"/>
        <v>45855.249999999753</v>
      </c>
      <c r="DG23" s="50">
        <f t="shared" si="1"/>
        <v>45855.291666666417</v>
      </c>
      <c r="DH23" s="50">
        <f t="shared" si="1"/>
        <v>45855.333333333081</v>
      </c>
      <c r="DI23" s="50">
        <f t="shared" si="1"/>
        <v>45855.374999999745</v>
      </c>
      <c r="DJ23" s="50">
        <f t="shared" si="1"/>
        <v>45855.41666666641</v>
      </c>
      <c r="DK23" s="50">
        <f t="shared" si="1"/>
        <v>45855.458333333074</v>
      </c>
      <c r="DL23" s="50">
        <f t="shared" si="1"/>
        <v>45855.499999999738</v>
      </c>
      <c r="DM23" s="50">
        <f t="shared" si="1"/>
        <v>45855.541666666402</v>
      </c>
      <c r="DN23" s="50">
        <f t="shared" si="1"/>
        <v>45855.583333333067</v>
      </c>
      <c r="DO23" s="50">
        <f t="shared" si="1"/>
        <v>45855.624999999731</v>
      </c>
      <c r="DP23" s="50">
        <f t="shared" si="1"/>
        <v>45855.666666666395</v>
      </c>
      <c r="DQ23" s="50">
        <f t="shared" si="1"/>
        <v>45855.708333333059</v>
      </c>
      <c r="DR23" s="50">
        <f t="shared" si="1"/>
        <v>45855.749999999724</v>
      </c>
      <c r="DS23" s="50">
        <f t="shared" si="1"/>
        <v>45855.791666666388</v>
      </c>
      <c r="DT23" s="50">
        <f t="shared" si="1"/>
        <v>45855.833333333052</v>
      </c>
      <c r="DU23" s="50">
        <f t="shared" si="1"/>
        <v>45855.874999999716</v>
      </c>
      <c r="DV23" s="50">
        <f t="shared" si="1"/>
        <v>45855.91666666638</v>
      </c>
      <c r="DW23" s="50">
        <f t="shared" si="1"/>
        <v>45855.958333333045</v>
      </c>
      <c r="DX23" s="50">
        <f t="shared" si="1"/>
        <v>45855.999999999709</v>
      </c>
      <c r="DY23" s="50">
        <f t="shared" si="1"/>
        <v>45856.041666666373</v>
      </c>
      <c r="DZ23" s="50">
        <f t="shared" si="1"/>
        <v>45856.083333333037</v>
      </c>
      <c r="EA23" s="50">
        <f t="shared" si="1"/>
        <v>45856.124999999702</v>
      </c>
      <c r="EB23" s="50">
        <f t="shared" si="1"/>
        <v>45856.166666666366</v>
      </c>
      <c r="EC23" s="50">
        <f t="shared" si="1"/>
        <v>45856.20833333303</v>
      </c>
      <c r="ED23" s="50">
        <f t="shared" si="1"/>
        <v>45856.249999999694</v>
      </c>
      <c r="EE23" s="50">
        <f t="shared" si="1"/>
        <v>45856.291666666359</v>
      </c>
      <c r="EF23" s="50">
        <f t="shared" si="1"/>
        <v>45856.333333333023</v>
      </c>
      <c r="EG23" s="50">
        <f t="shared" ref="EG23:FS23" si="2">IFERROR(IF(EF23+TIME(1,0,0)&lt;=$G$12,EF23+TIME(1,0,0),""),"")</f>
        <v>45856.374999999687</v>
      </c>
      <c r="EH23" s="50">
        <f t="shared" si="2"/>
        <v>45856.416666666351</v>
      </c>
      <c r="EI23" s="50">
        <f t="shared" si="2"/>
        <v>45856.458333333016</v>
      </c>
      <c r="EJ23" s="50">
        <f t="shared" si="2"/>
        <v>45856.49999999968</v>
      </c>
      <c r="EK23" s="50">
        <f t="shared" si="2"/>
        <v>45856.541666666344</v>
      </c>
      <c r="EL23" s="50">
        <f t="shared" si="2"/>
        <v>45856.583333333008</v>
      </c>
      <c r="EM23" s="50">
        <f t="shared" si="2"/>
        <v>45856.624999999673</v>
      </c>
      <c r="EN23" s="50">
        <f t="shared" si="2"/>
        <v>45856.666666666337</v>
      </c>
      <c r="EO23" s="50">
        <f t="shared" si="2"/>
        <v>45856.708333333001</v>
      </c>
      <c r="EP23" s="50">
        <f t="shared" si="2"/>
        <v>45856.749999999665</v>
      </c>
      <c r="EQ23" s="50">
        <f t="shared" si="2"/>
        <v>45856.79166666633</v>
      </c>
      <c r="ER23" s="50">
        <f t="shared" si="2"/>
        <v>45856.833333332994</v>
      </c>
      <c r="ES23" s="50">
        <f t="shared" si="2"/>
        <v>45856.874999999658</v>
      </c>
      <c r="ET23" s="50">
        <f t="shared" si="2"/>
        <v>45856.916666666322</v>
      </c>
      <c r="EU23" s="50">
        <f t="shared" si="2"/>
        <v>45856.958333332987</v>
      </c>
      <c r="EV23" s="50">
        <f t="shared" si="2"/>
        <v>45856.999999999651</v>
      </c>
      <c r="EW23" s="50">
        <f t="shared" si="2"/>
        <v>45857.041666666315</v>
      </c>
      <c r="EX23" s="50">
        <f t="shared" si="2"/>
        <v>45857.083333332979</v>
      </c>
      <c r="EY23" s="50">
        <f t="shared" si="2"/>
        <v>45857.124999999643</v>
      </c>
      <c r="EZ23" s="50">
        <f t="shared" si="2"/>
        <v>45857.166666666308</v>
      </c>
      <c r="FA23" s="50">
        <f t="shared" si="2"/>
        <v>45857.208333332972</v>
      </c>
      <c r="FB23" s="50">
        <f t="shared" si="2"/>
        <v>45857.249999999636</v>
      </c>
      <c r="FC23" s="50">
        <f t="shared" si="2"/>
        <v>45857.2916666663</v>
      </c>
      <c r="FD23" s="50">
        <f t="shared" si="2"/>
        <v>45857.333333332965</v>
      </c>
      <c r="FE23" s="50">
        <f t="shared" si="2"/>
        <v>45857.374999999629</v>
      </c>
      <c r="FF23" s="50">
        <f t="shared" si="2"/>
        <v>45857.416666666293</v>
      </c>
      <c r="FG23" s="50">
        <f t="shared" si="2"/>
        <v>45857.458333332957</v>
      </c>
      <c r="FH23" s="50">
        <f t="shared" si="2"/>
        <v>45857.499999999622</v>
      </c>
      <c r="FI23" s="50">
        <f t="shared" si="2"/>
        <v>45857.541666666286</v>
      </c>
      <c r="FJ23" s="50">
        <f t="shared" si="2"/>
        <v>45857.58333333295</v>
      </c>
      <c r="FK23" s="50">
        <f t="shared" si="2"/>
        <v>45857.624999999614</v>
      </c>
      <c r="FL23" s="50">
        <f t="shared" si="2"/>
        <v>45857.666666666279</v>
      </c>
      <c r="FM23" s="50">
        <f t="shared" si="2"/>
        <v>45857.708333332943</v>
      </c>
      <c r="FN23" s="50">
        <f t="shared" si="2"/>
        <v>45857.749999999607</v>
      </c>
      <c r="FO23" s="50">
        <f t="shared" si="2"/>
        <v>45857.791666666271</v>
      </c>
      <c r="FP23" s="50">
        <f t="shared" si="2"/>
        <v>45857.833333332936</v>
      </c>
      <c r="FQ23" s="50">
        <f t="shared" si="2"/>
        <v>45857.8749999996</v>
      </c>
      <c r="FR23" s="50">
        <f t="shared" si="2"/>
        <v>45857.916666666264</v>
      </c>
      <c r="FS23" s="50">
        <f t="shared" si="2"/>
        <v>45857.958333332928</v>
      </c>
      <c r="FT23" s="50" t="str">
        <f>IFERROR(IF(FS23+TIME(1,0,0)&lt;=$G$12,FS23+TIME(1,0,0),""),"")</f>
        <v/>
      </c>
      <c r="FU23" s="50" t="str">
        <f t="shared" ref="FU23:IF23" si="3">IFERROR(IF(FT23+TIME(1,0,0)&lt;=$G$12,FT23+TIME(1,0,0),""),"")</f>
        <v/>
      </c>
      <c r="FV23" s="50" t="str">
        <f t="shared" si="3"/>
        <v/>
      </c>
      <c r="FW23" s="50" t="str">
        <f t="shared" si="3"/>
        <v/>
      </c>
      <c r="FX23" s="50" t="str">
        <f t="shared" si="3"/>
        <v/>
      </c>
      <c r="FY23" s="50" t="str">
        <f t="shared" si="3"/>
        <v/>
      </c>
      <c r="FZ23" s="50" t="str">
        <f t="shared" si="3"/>
        <v/>
      </c>
      <c r="GA23" s="50" t="str">
        <f t="shared" si="3"/>
        <v/>
      </c>
      <c r="GB23" s="50" t="str">
        <f t="shared" si="3"/>
        <v/>
      </c>
      <c r="GC23" s="50" t="str">
        <f t="shared" si="3"/>
        <v/>
      </c>
      <c r="GD23" s="50" t="str">
        <f t="shared" si="3"/>
        <v/>
      </c>
      <c r="GE23" s="50" t="str">
        <f t="shared" si="3"/>
        <v/>
      </c>
      <c r="GF23" s="50" t="str">
        <f t="shared" si="3"/>
        <v/>
      </c>
      <c r="GG23" s="50" t="str">
        <f t="shared" si="3"/>
        <v/>
      </c>
      <c r="GH23" s="50" t="str">
        <f t="shared" si="3"/>
        <v/>
      </c>
      <c r="GI23" s="50" t="str">
        <f t="shared" si="3"/>
        <v/>
      </c>
      <c r="GJ23" s="50" t="str">
        <f t="shared" si="3"/>
        <v/>
      </c>
      <c r="GK23" s="50" t="str">
        <f t="shared" si="3"/>
        <v/>
      </c>
      <c r="GL23" s="50" t="str">
        <f t="shared" si="3"/>
        <v/>
      </c>
      <c r="GM23" s="50" t="str">
        <f t="shared" si="3"/>
        <v/>
      </c>
      <c r="GN23" s="50" t="str">
        <f t="shared" si="3"/>
        <v/>
      </c>
      <c r="GO23" s="50" t="str">
        <f t="shared" si="3"/>
        <v/>
      </c>
      <c r="GP23" s="50" t="str">
        <f t="shared" si="3"/>
        <v/>
      </c>
      <c r="GQ23" s="50" t="str">
        <f t="shared" si="3"/>
        <v/>
      </c>
      <c r="GR23" s="50" t="str">
        <f t="shared" si="3"/>
        <v/>
      </c>
      <c r="GS23" s="50" t="str">
        <f t="shared" si="3"/>
        <v/>
      </c>
      <c r="GT23" s="50" t="str">
        <f t="shared" si="3"/>
        <v/>
      </c>
      <c r="GU23" s="50" t="str">
        <f t="shared" si="3"/>
        <v/>
      </c>
      <c r="GV23" s="50" t="str">
        <f t="shared" si="3"/>
        <v/>
      </c>
      <c r="GW23" s="50" t="str">
        <f t="shared" si="3"/>
        <v/>
      </c>
      <c r="GX23" s="50" t="str">
        <f t="shared" si="3"/>
        <v/>
      </c>
      <c r="GY23" s="50" t="str">
        <f t="shared" si="3"/>
        <v/>
      </c>
      <c r="GZ23" s="50" t="str">
        <f t="shared" si="3"/>
        <v/>
      </c>
      <c r="HA23" s="50" t="str">
        <f t="shared" si="3"/>
        <v/>
      </c>
      <c r="HB23" s="50" t="str">
        <f t="shared" si="3"/>
        <v/>
      </c>
      <c r="HC23" s="50" t="str">
        <f t="shared" si="3"/>
        <v/>
      </c>
      <c r="HD23" s="50" t="str">
        <f t="shared" si="3"/>
        <v/>
      </c>
      <c r="HE23" s="50" t="str">
        <f t="shared" si="3"/>
        <v/>
      </c>
      <c r="HF23" s="50" t="str">
        <f t="shared" si="3"/>
        <v/>
      </c>
      <c r="HG23" s="50" t="str">
        <f t="shared" si="3"/>
        <v/>
      </c>
      <c r="HH23" s="50" t="str">
        <f t="shared" si="3"/>
        <v/>
      </c>
      <c r="HI23" s="50" t="str">
        <f t="shared" si="3"/>
        <v/>
      </c>
      <c r="HJ23" s="50" t="str">
        <f t="shared" si="3"/>
        <v/>
      </c>
      <c r="HK23" s="50" t="str">
        <f t="shared" si="3"/>
        <v/>
      </c>
      <c r="HL23" s="50" t="str">
        <f t="shared" si="3"/>
        <v/>
      </c>
      <c r="HM23" s="50" t="str">
        <f t="shared" si="3"/>
        <v/>
      </c>
      <c r="HN23" s="50" t="str">
        <f t="shared" si="3"/>
        <v/>
      </c>
      <c r="HO23" s="50" t="str">
        <f t="shared" si="3"/>
        <v/>
      </c>
      <c r="HP23" s="50" t="str">
        <f t="shared" si="3"/>
        <v/>
      </c>
      <c r="HQ23" s="50" t="str">
        <f t="shared" si="3"/>
        <v/>
      </c>
      <c r="HR23" s="50" t="str">
        <f t="shared" si="3"/>
        <v/>
      </c>
      <c r="HS23" s="50" t="str">
        <f t="shared" si="3"/>
        <v/>
      </c>
      <c r="HT23" s="50" t="str">
        <f t="shared" si="3"/>
        <v/>
      </c>
      <c r="HU23" s="50" t="str">
        <f t="shared" si="3"/>
        <v/>
      </c>
      <c r="HV23" s="50" t="str">
        <f t="shared" si="3"/>
        <v/>
      </c>
      <c r="HW23" s="50" t="str">
        <f t="shared" si="3"/>
        <v/>
      </c>
      <c r="HX23" s="50" t="str">
        <f t="shared" si="3"/>
        <v/>
      </c>
      <c r="HY23" s="50" t="str">
        <f t="shared" si="3"/>
        <v/>
      </c>
      <c r="HZ23" s="50" t="str">
        <f t="shared" si="3"/>
        <v/>
      </c>
      <c r="IA23" s="50" t="str">
        <f t="shared" si="3"/>
        <v/>
      </c>
      <c r="IB23" s="50" t="str">
        <f t="shared" si="3"/>
        <v/>
      </c>
      <c r="IC23" s="50" t="str">
        <f t="shared" si="3"/>
        <v/>
      </c>
      <c r="ID23" s="50" t="str">
        <f t="shared" si="3"/>
        <v/>
      </c>
      <c r="IE23" s="50" t="str">
        <f t="shared" si="3"/>
        <v/>
      </c>
      <c r="IF23" s="50" t="str">
        <f t="shared" si="3"/>
        <v/>
      </c>
      <c r="IG23" s="50" t="str">
        <f t="shared" ref="IG23:KR23" si="4">IFERROR(IF(IF23+TIME(1,0,0)&lt;=$G$12,IF23+TIME(1,0,0),""),"")</f>
        <v/>
      </c>
      <c r="IH23" s="50" t="str">
        <f t="shared" si="4"/>
        <v/>
      </c>
      <c r="II23" s="50" t="str">
        <f t="shared" si="4"/>
        <v/>
      </c>
      <c r="IJ23" s="50" t="str">
        <f t="shared" si="4"/>
        <v/>
      </c>
      <c r="IK23" s="50" t="str">
        <f t="shared" si="4"/>
        <v/>
      </c>
      <c r="IL23" s="50" t="str">
        <f t="shared" si="4"/>
        <v/>
      </c>
      <c r="IM23" s="50" t="str">
        <f t="shared" si="4"/>
        <v/>
      </c>
      <c r="IN23" s="50" t="str">
        <f t="shared" si="4"/>
        <v/>
      </c>
      <c r="IO23" s="50" t="str">
        <f t="shared" si="4"/>
        <v/>
      </c>
      <c r="IP23" s="50" t="str">
        <f t="shared" si="4"/>
        <v/>
      </c>
      <c r="IQ23" s="50" t="str">
        <f t="shared" si="4"/>
        <v/>
      </c>
      <c r="IR23" s="50" t="str">
        <f t="shared" si="4"/>
        <v/>
      </c>
      <c r="IS23" s="50" t="str">
        <f t="shared" si="4"/>
        <v/>
      </c>
      <c r="IT23" s="50" t="str">
        <f t="shared" si="4"/>
        <v/>
      </c>
      <c r="IU23" s="50" t="str">
        <f t="shared" si="4"/>
        <v/>
      </c>
      <c r="IV23" s="50" t="str">
        <f t="shared" si="4"/>
        <v/>
      </c>
      <c r="IW23" s="50" t="str">
        <f t="shared" si="4"/>
        <v/>
      </c>
      <c r="IX23" s="50" t="str">
        <f t="shared" si="4"/>
        <v/>
      </c>
      <c r="IY23" s="50" t="str">
        <f t="shared" si="4"/>
        <v/>
      </c>
      <c r="IZ23" s="50" t="str">
        <f t="shared" si="4"/>
        <v/>
      </c>
      <c r="JA23" s="50" t="str">
        <f t="shared" si="4"/>
        <v/>
      </c>
      <c r="JB23" s="50" t="str">
        <f t="shared" si="4"/>
        <v/>
      </c>
      <c r="JC23" s="50" t="str">
        <f t="shared" si="4"/>
        <v/>
      </c>
      <c r="JD23" s="50" t="str">
        <f t="shared" si="4"/>
        <v/>
      </c>
      <c r="JE23" s="50" t="str">
        <f t="shared" si="4"/>
        <v/>
      </c>
      <c r="JF23" s="50" t="str">
        <f t="shared" si="4"/>
        <v/>
      </c>
      <c r="JG23" s="50" t="str">
        <f t="shared" si="4"/>
        <v/>
      </c>
      <c r="JH23" s="50" t="str">
        <f t="shared" si="4"/>
        <v/>
      </c>
      <c r="JI23" s="50" t="str">
        <f t="shared" si="4"/>
        <v/>
      </c>
      <c r="JJ23" s="50" t="str">
        <f t="shared" si="4"/>
        <v/>
      </c>
      <c r="JK23" s="50" t="str">
        <f t="shared" si="4"/>
        <v/>
      </c>
      <c r="JL23" s="50" t="str">
        <f t="shared" si="4"/>
        <v/>
      </c>
      <c r="JM23" s="50" t="str">
        <f t="shared" si="4"/>
        <v/>
      </c>
      <c r="JN23" s="50" t="str">
        <f t="shared" si="4"/>
        <v/>
      </c>
      <c r="JO23" s="50" t="str">
        <f t="shared" si="4"/>
        <v/>
      </c>
      <c r="JP23" s="50" t="str">
        <f t="shared" si="4"/>
        <v/>
      </c>
      <c r="JQ23" s="50" t="str">
        <f t="shared" si="4"/>
        <v/>
      </c>
      <c r="JR23" s="50" t="str">
        <f t="shared" si="4"/>
        <v/>
      </c>
      <c r="JS23" s="50" t="str">
        <f t="shared" si="4"/>
        <v/>
      </c>
      <c r="JT23" s="50" t="str">
        <f t="shared" si="4"/>
        <v/>
      </c>
      <c r="JU23" s="50" t="str">
        <f t="shared" si="4"/>
        <v/>
      </c>
      <c r="JV23" s="50" t="str">
        <f t="shared" si="4"/>
        <v/>
      </c>
      <c r="JW23" s="50" t="str">
        <f t="shared" si="4"/>
        <v/>
      </c>
      <c r="JX23" s="50" t="str">
        <f t="shared" si="4"/>
        <v/>
      </c>
      <c r="JY23" s="50" t="str">
        <f t="shared" si="4"/>
        <v/>
      </c>
      <c r="JZ23" s="50" t="str">
        <f t="shared" si="4"/>
        <v/>
      </c>
      <c r="KA23" s="50" t="str">
        <f t="shared" si="4"/>
        <v/>
      </c>
      <c r="KB23" s="50" t="str">
        <f t="shared" si="4"/>
        <v/>
      </c>
      <c r="KC23" s="50" t="str">
        <f t="shared" si="4"/>
        <v/>
      </c>
      <c r="KD23" s="50" t="str">
        <f t="shared" si="4"/>
        <v/>
      </c>
      <c r="KE23" s="50" t="str">
        <f t="shared" si="4"/>
        <v/>
      </c>
      <c r="KF23" s="50" t="str">
        <f t="shared" si="4"/>
        <v/>
      </c>
      <c r="KG23" s="50" t="str">
        <f t="shared" si="4"/>
        <v/>
      </c>
      <c r="KH23" s="50" t="str">
        <f t="shared" si="4"/>
        <v/>
      </c>
      <c r="KI23" s="50" t="str">
        <f t="shared" si="4"/>
        <v/>
      </c>
      <c r="KJ23" s="50" t="str">
        <f t="shared" si="4"/>
        <v/>
      </c>
      <c r="KK23" s="50" t="str">
        <f t="shared" si="4"/>
        <v/>
      </c>
      <c r="KL23" s="50" t="str">
        <f t="shared" si="4"/>
        <v/>
      </c>
      <c r="KM23" s="50" t="str">
        <f t="shared" si="4"/>
        <v/>
      </c>
      <c r="KN23" s="50" t="str">
        <f t="shared" si="4"/>
        <v/>
      </c>
      <c r="KO23" s="50" t="str">
        <f t="shared" si="4"/>
        <v/>
      </c>
      <c r="KP23" s="50" t="str">
        <f t="shared" si="4"/>
        <v/>
      </c>
      <c r="KQ23" s="50" t="str">
        <f t="shared" si="4"/>
        <v/>
      </c>
      <c r="KR23" s="50" t="str">
        <f t="shared" si="4"/>
        <v/>
      </c>
      <c r="KS23" s="50" t="str">
        <f t="shared" ref="KS23:ND23" si="5">IFERROR(IF(KR23+TIME(1,0,0)&lt;=$G$12,KR23+TIME(1,0,0),""),"")</f>
        <v/>
      </c>
      <c r="KT23" s="50" t="str">
        <f t="shared" si="5"/>
        <v/>
      </c>
      <c r="KU23" s="50" t="str">
        <f t="shared" si="5"/>
        <v/>
      </c>
      <c r="KV23" s="50" t="str">
        <f t="shared" si="5"/>
        <v/>
      </c>
      <c r="KW23" s="50" t="str">
        <f t="shared" si="5"/>
        <v/>
      </c>
      <c r="KX23" s="50" t="str">
        <f t="shared" si="5"/>
        <v/>
      </c>
      <c r="KY23" s="50" t="str">
        <f t="shared" si="5"/>
        <v/>
      </c>
      <c r="KZ23" s="50" t="str">
        <f t="shared" si="5"/>
        <v/>
      </c>
      <c r="LA23" s="50" t="str">
        <f t="shared" si="5"/>
        <v/>
      </c>
      <c r="LB23" s="50" t="str">
        <f t="shared" si="5"/>
        <v/>
      </c>
      <c r="LC23" s="50" t="str">
        <f t="shared" si="5"/>
        <v/>
      </c>
      <c r="LD23" s="50" t="str">
        <f t="shared" si="5"/>
        <v/>
      </c>
      <c r="LE23" s="50" t="str">
        <f t="shared" si="5"/>
        <v/>
      </c>
      <c r="LF23" s="50" t="str">
        <f t="shared" si="5"/>
        <v/>
      </c>
      <c r="LG23" s="50" t="str">
        <f t="shared" si="5"/>
        <v/>
      </c>
      <c r="LH23" s="50" t="str">
        <f t="shared" si="5"/>
        <v/>
      </c>
      <c r="LI23" s="50" t="str">
        <f t="shared" si="5"/>
        <v/>
      </c>
      <c r="LJ23" s="50" t="str">
        <f t="shared" si="5"/>
        <v/>
      </c>
      <c r="LK23" s="50" t="str">
        <f t="shared" si="5"/>
        <v/>
      </c>
      <c r="LL23" s="50" t="str">
        <f t="shared" si="5"/>
        <v/>
      </c>
      <c r="LM23" s="50" t="str">
        <f t="shared" si="5"/>
        <v/>
      </c>
      <c r="LN23" s="50" t="str">
        <f t="shared" si="5"/>
        <v/>
      </c>
      <c r="LO23" s="50" t="str">
        <f t="shared" si="5"/>
        <v/>
      </c>
      <c r="LP23" s="50" t="str">
        <f t="shared" si="5"/>
        <v/>
      </c>
      <c r="LQ23" s="50" t="str">
        <f t="shared" si="5"/>
        <v/>
      </c>
      <c r="LR23" s="50" t="str">
        <f t="shared" si="5"/>
        <v/>
      </c>
      <c r="LS23" s="50" t="str">
        <f t="shared" si="5"/>
        <v/>
      </c>
      <c r="LT23" s="50" t="str">
        <f t="shared" si="5"/>
        <v/>
      </c>
      <c r="LU23" s="50" t="str">
        <f t="shared" si="5"/>
        <v/>
      </c>
      <c r="LV23" s="50" t="str">
        <f t="shared" si="5"/>
        <v/>
      </c>
      <c r="LW23" s="50" t="str">
        <f t="shared" si="5"/>
        <v/>
      </c>
      <c r="LX23" s="50" t="str">
        <f t="shared" si="5"/>
        <v/>
      </c>
      <c r="LY23" s="50" t="str">
        <f t="shared" si="5"/>
        <v/>
      </c>
      <c r="LZ23" s="50" t="str">
        <f t="shared" si="5"/>
        <v/>
      </c>
      <c r="MA23" s="50" t="str">
        <f t="shared" si="5"/>
        <v/>
      </c>
      <c r="MB23" s="50" t="str">
        <f t="shared" si="5"/>
        <v/>
      </c>
      <c r="MC23" s="50" t="str">
        <f t="shared" si="5"/>
        <v/>
      </c>
      <c r="MD23" s="50" t="str">
        <f t="shared" si="5"/>
        <v/>
      </c>
      <c r="ME23" s="50" t="str">
        <f t="shared" si="5"/>
        <v/>
      </c>
      <c r="MF23" s="50" t="str">
        <f t="shared" si="5"/>
        <v/>
      </c>
      <c r="MG23" s="50" t="str">
        <f t="shared" si="5"/>
        <v/>
      </c>
      <c r="MH23" s="50" t="str">
        <f t="shared" si="5"/>
        <v/>
      </c>
      <c r="MI23" s="50" t="str">
        <f t="shared" si="5"/>
        <v/>
      </c>
      <c r="MJ23" s="50" t="str">
        <f t="shared" si="5"/>
        <v/>
      </c>
      <c r="MK23" s="50" t="str">
        <f t="shared" si="5"/>
        <v/>
      </c>
      <c r="ML23" s="50" t="str">
        <f t="shared" si="5"/>
        <v/>
      </c>
      <c r="MM23" s="50" t="str">
        <f t="shared" si="5"/>
        <v/>
      </c>
      <c r="MN23" s="50" t="str">
        <f t="shared" si="5"/>
        <v/>
      </c>
      <c r="MO23" s="50" t="str">
        <f t="shared" si="5"/>
        <v/>
      </c>
      <c r="MP23" s="50" t="str">
        <f t="shared" si="5"/>
        <v/>
      </c>
      <c r="MQ23" s="50" t="str">
        <f t="shared" si="5"/>
        <v/>
      </c>
      <c r="MR23" s="50" t="str">
        <f t="shared" si="5"/>
        <v/>
      </c>
      <c r="MS23" s="50" t="str">
        <f t="shared" si="5"/>
        <v/>
      </c>
      <c r="MT23" s="50" t="str">
        <f t="shared" si="5"/>
        <v/>
      </c>
      <c r="MU23" s="50" t="str">
        <f t="shared" si="5"/>
        <v/>
      </c>
      <c r="MV23" s="50" t="str">
        <f t="shared" si="5"/>
        <v/>
      </c>
      <c r="MW23" s="50" t="str">
        <f t="shared" si="5"/>
        <v/>
      </c>
      <c r="MX23" s="50" t="str">
        <f t="shared" si="5"/>
        <v/>
      </c>
      <c r="MY23" s="50" t="str">
        <f t="shared" si="5"/>
        <v/>
      </c>
      <c r="MZ23" s="50" t="str">
        <f t="shared" si="5"/>
        <v/>
      </c>
      <c r="NA23" s="50" t="str">
        <f t="shared" si="5"/>
        <v/>
      </c>
      <c r="NB23" s="50" t="str">
        <f t="shared" si="5"/>
        <v/>
      </c>
      <c r="NC23" s="50" t="str">
        <f t="shared" si="5"/>
        <v/>
      </c>
      <c r="ND23" s="50" t="str">
        <f t="shared" si="5"/>
        <v/>
      </c>
      <c r="NE23" s="50" t="str">
        <f t="shared" ref="NE23:PP23" si="6">IFERROR(IF(ND23+TIME(1,0,0)&lt;=$G$12,ND23+TIME(1,0,0),""),"")</f>
        <v/>
      </c>
      <c r="NF23" s="50" t="str">
        <f t="shared" si="6"/>
        <v/>
      </c>
      <c r="NG23" s="50" t="str">
        <f t="shared" si="6"/>
        <v/>
      </c>
      <c r="NH23" s="50" t="str">
        <f t="shared" si="6"/>
        <v/>
      </c>
      <c r="NI23" s="50" t="str">
        <f t="shared" si="6"/>
        <v/>
      </c>
      <c r="NJ23" s="50" t="str">
        <f t="shared" si="6"/>
        <v/>
      </c>
      <c r="NK23" s="50" t="str">
        <f t="shared" si="6"/>
        <v/>
      </c>
      <c r="NL23" s="50" t="str">
        <f t="shared" si="6"/>
        <v/>
      </c>
      <c r="NM23" s="50" t="str">
        <f t="shared" si="6"/>
        <v/>
      </c>
      <c r="NN23" s="50" t="str">
        <f t="shared" si="6"/>
        <v/>
      </c>
      <c r="NO23" s="50" t="str">
        <f t="shared" si="6"/>
        <v/>
      </c>
      <c r="NP23" s="50" t="str">
        <f t="shared" si="6"/>
        <v/>
      </c>
      <c r="NQ23" s="50" t="str">
        <f t="shared" si="6"/>
        <v/>
      </c>
      <c r="NR23" s="50" t="str">
        <f t="shared" si="6"/>
        <v/>
      </c>
      <c r="NS23" s="50" t="str">
        <f t="shared" si="6"/>
        <v/>
      </c>
      <c r="NT23" s="50" t="str">
        <f t="shared" si="6"/>
        <v/>
      </c>
      <c r="NU23" s="50" t="str">
        <f t="shared" si="6"/>
        <v/>
      </c>
      <c r="NV23" s="50" t="str">
        <f t="shared" si="6"/>
        <v/>
      </c>
      <c r="NW23" s="50" t="str">
        <f t="shared" si="6"/>
        <v/>
      </c>
      <c r="NX23" s="50" t="str">
        <f t="shared" si="6"/>
        <v/>
      </c>
      <c r="NY23" s="50" t="str">
        <f t="shared" si="6"/>
        <v/>
      </c>
      <c r="NZ23" s="50" t="str">
        <f t="shared" si="6"/>
        <v/>
      </c>
      <c r="OA23" s="50" t="str">
        <f t="shared" si="6"/>
        <v/>
      </c>
      <c r="OB23" s="50" t="str">
        <f t="shared" si="6"/>
        <v/>
      </c>
      <c r="OC23" s="50" t="str">
        <f t="shared" si="6"/>
        <v/>
      </c>
      <c r="OD23" s="50" t="str">
        <f t="shared" si="6"/>
        <v/>
      </c>
      <c r="OE23" s="50" t="str">
        <f t="shared" si="6"/>
        <v/>
      </c>
      <c r="OF23" s="50" t="str">
        <f t="shared" si="6"/>
        <v/>
      </c>
      <c r="OG23" s="50" t="str">
        <f t="shared" si="6"/>
        <v/>
      </c>
      <c r="OH23" s="50" t="str">
        <f t="shared" si="6"/>
        <v/>
      </c>
      <c r="OI23" s="50" t="str">
        <f t="shared" si="6"/>
        <v/>
      </c>
      <c r="OJ23" s="50" t="str">
        <f t="shared" si="6"/>
        <v/>
      </c>
      <c r="OK23" s="50" t="str">
        <f t="shared" si="6"/>
        <v/>
      </c>
      <c r="OL23" s="50" t="str">
        <f t="shared" si="6"/>
        <v/>
      </c>
      <c r="OM23" s="50" t="str">
        <f t="shared" si="6"/>
        <v/>
      </c>
      <c r="ON23" s="50" t="str">
        <f t="shared" si="6"/>
        <v/>
      </c>
      <c r="OO23" s="50" t="str">
        <f t="shared" si="6"/>
        <v/>
      </c>
      <c r="OP23" s="50" t="str">
        <f t="shared" si="6"/>
        <v/>
      </c>
      <c r="OQ23" s="50" t="str">
        <f t="shared" si="6"/>
        <v/>
      </c>
      <c r="OR23" s="50" t="str">
        <f t="shared" si="6"/>
        <v/>
      </c>
      <c r="OS23" s="50" t="str">
        <f t="shared" si="6"/>
        <v/>
      </c>
      <c r="OT23" s="50" t="str">
        <f t="shared" si="6"/>
        <v/>
      </c>
      <c r="OU23" s="50" t="str">
        <f t="shared" si="6"/>
        <v/>
      </c>
      <c r="OV23" s="50" t="str">
        <f t="shared" si="6"/>
        <v/>
      </c>
      <c r="OW23" s="50" t="str">
        <f t="shared" si="6"/>
        <v/>
      </c>
      <c r="OX23" s="50" t="str">
        <f t="shared" si="6"/>
        <v/>
      </c>
      <c r="OY23" s="50" t="str">
        <f t="shared" si="6"/>
        <v/>
      </c>
      <c r="OZ23" s="50" t="str">
        <f t="shared" si="6"/>
        <v/>
      </c>
      <c r="PA23" s="50" t="str">
        <f t="shared" si="6"/>
        <v/>
      </c>
      <c r="PB23" s="50" t="str">
        <f t="shared" si="6"/>
        <v/>
      </c>
      <c r="PC23" s="50" t="str">
        <f t="shared" si="6"/>
        <v/>
      </c>
      <c r="PD23" s="50" t="str">
        <f t="shared" si="6"/>
        <v/>
      </c>
      <c r="PE23" s="50" t="str">
        <f t="shared" si="6"/>
        <v/>
      </c>
      <c r="PF23" s="50" t="str">
        <f t="shared" si="6"/>
        <v/>
      </c>
      <c r="PG23" s="50" t="str">
        <f t="shared" si="6"/>
        <v/>
      </c>
      <c r="PH23" s="50" t="str">
        <f t="shared" si="6"/>
        <v/>
      </c>
      <c r="PI23" s="50" t="str">
        <f t="shared" si="6"/>
        <v/>
      </c>
      <c r="PJ23" s="50" t="str">
        <f t="shared" si="6"/>
        <v/>
      </c>
      <c r="PK23" s="50" t="str">
        <f t="shared" si="6"/>
        <v/>
      </c>
      <c r="PL23" s="50" t="str">
        <f t="shared" si="6"/>
        <v/>
      </c>
      <c r="PM23" s="50" t="str">
        <f t="shared" si="6"/>
        <v/>
      </c>
      <c r="PN23" s="50" t="str">
        <f t="shared" si="6"/>
        <v/>
      </c>
      <c r="PO23" s="50" t="str">
        <f t="shared" si="6"/>
        <v/>
      </c>
      <c r="PP23" s="50" t="str">
        <f t="shared" si="6"/>
        <v/>
      </c>
      <c r="PQ23" s="50" t="str">
        <f t="shared" ref="PQ23:SB23" si="7">IFERROR(IF(PP23+TIME(1,0,0)&lt;=$G$12,PP23+TIME(1,0,0),""),"")</f>
        <v/>
      </c>
      <c r="PR23" s="50" t="str">
        <f t="shared" si="7"/>
        <v/>
      </c>
      <c r="PS23" s="50" t="str">
        <f t="shared" si="7"/>
        <v/>
      </c>
      <c r="PT23" s="50" t="str">
        <f t="shared" si="7"/>
        <v/>
      </c>
      <c r="PU23" s="50" t="str">
        <f t="shared" si="7"/>
        <v/>
      </c>
      <c r="PV23" s="50" t="str">
        <f t="shared" si="7"/>
        <v/>
      </c>
      <c r="PW23" s="50" t="str">
        <f t="shared" si="7"/>
        <v/>
      </c>
      <c r="PX23" s="50" t="str">
        <f t="shared" si="7"/>
        <v/>
      </c>
      <c r="PY23" s="50" t="str">
        <f t="shared" si="7"/>
        <v/>
      </c>
      <c r="PZ23" s="50" t="str">
        <f t="shared" si="7"/>
        <v/>
      </c>
      <c r="QA23" s="50" t="str">
        <f t="shared" si="7"/>
        <v/>
      </c>
      <c r="QB23" s="50" t="str">
        <f t="shared" si="7"/>
        <v/>
      </c>
      <c r="QC23" s="50" t="str">
        <f t="shared" si="7"/>
        <v/>
      </c>
      <c r="QD23" s="50" t="str">
        <f t="shared" si="7"/>
        <v/>
      </c>
      <c r="QE23" s="50" t="str">
        <f t="shared" si="7"/>
        <v/>
      </c>
      <c r="QF23" s="50" t="str">
        <f t="shared" si="7"/>
        <v/>
      </c>
      <c r="QG23" s="50" t="str">
        <f t="shared" si="7"/>
        <v/>
      </c>
      <c r="QH23" s="50" t="str">
        <f t="shared" si="7"/>
        <v/>
      </c>
      <c r="QI23" s="50" t="str">
        <f t="shared" si="7"/>
        <v/>
      </c>
      <c r="QJ23" s="50" t="str">
        <f t="shared" si="7"/>
        <v/>
      </c>
      <c r="QK23" s="50" t="str">
        <f t="shared" si="7"/>
        <v/>
      </c>
      <c r="QL23" s="50" t="str">
        <f t="shared" si="7"/>
        <v/>
      </c>
      <c r="QM23" s="50" t="str">
        <f t="shared" si="7"/>
        <v/>
      </c>
      <c r="QN23" s="50" t="str">
        <f t="shared" si="7"/>
        <v/>
      </c>
      <c r="QO23" s="50" t="str">
        <f t="shared" si="7"/>
        <v/>
      </c>
      <c r="QP23" s="50" t="str">
        <f t="shared" si="7"/>
        <v/>
      </c>
      <c r="QQ23" s="50" t="str">
        <f t="shared" si="7"/>
        <v/>
      </c>
      <c r="QR23" s="50" t="str">
        <f t="shared" si="7"/>
        <v/>
      </c>
      <c r="QS23" s="50" t="str">
        <f t="shared" si="7"/>
        <v/>
      </c>
      <c r="QT23" s="50" t="str">
        <f t="shared" si="7"/>
        <v/>
      </c>
      <c r="QU23" s="50" t="str">
        <f t="shared" si="7"/>
        <v/>
      </c>
      <c r="QV23" s="50" t="str">
        <f t="shared" si="7"/>
        <v/>
      </c>
      <c r="QW23" s="50" t="str">
        <f t="shared" si="7"/>
        <v/>
      </c>
      <c r="QX23" s="50" t="str">
        <f t="shared" si="7"/>
        <v/>
      </c>
      <c r="QY23" s="50" t="str">
        <f t="shared" si="7"/>
        <v/>
      </c>
      <c r="QZ23" s="50" t="str">
        <f t="shared" si="7"/>
        <v/>
      </c>
      <c r="RA23" s="50" t="str">
        <f t="shared" si="7"/>
        <v/>
      </c>
      <c r="RB23" s="50" t="str">
        <f t="shared" si="7"/>
        <v/>
      </c>
      <c r="RC23" s="50" t="str">
        <f t="shared" si="7"/>
        <v/>
      </c>
      <c r="RD23" s="50" t="str">
        <f t="shared" si="7"/>
        <v/>
      </c>
      <c r="RE23" s="50" t="str">
        <f t="shared" si="7"/>
        <v/>
      </c>
      <c r="RF23" s="50" t="str">
        <f t="shared" si="7"/>
        <v/>
      </c>
      <c r="RG23" s="50" t="str">
        <f t="shared" si="7"/>
        <v/>
      </c>
      <c r="RH23" s="50" t="str">
        <f t="shared" si="7"/>
        <v/>
      </c>
      <c r="RI23" s="50" t="str">
        <f t="shared" si="7"/>
        <v/>
      </c>
      <c r="RJ23" s="50" t="str">
        <f t="shared" si="7"/>
        <v/>
      </c>
      <c r="RK23" s="50" t="str">
        <f t="shared" si="7"/>
        <v/>
      </c>
      <c r="RL23" s="50" t="str">
        <f t="shared" si="7"/>
        <v/>
      </c>
      <c r="RM23" s="50" t="str">
        <f t="shared" si="7"/>
        <v/>
      </c>
      <c r="RN23" s="50" t="str">
        <f t="shared" si="7"/>
        <v/>
      </c>
      <c r="RO23" s="50" t="str">
        <f t="shared" si="7"/>
        <v/>
      </c>
      <c r="RP23" s="50" t="str">
        <f t="shared" si="7"/>
        <v/>
      </c>
      <c r="RQ23" s="50" t="str">
        <f t="shared" si="7"/>
        <v/>
      </c>
      <c r="RR23" s="50" t="str">
        <f t="shared" si="7"/>
        <v/>
      </c>
      <c r="RS23" s="50" t="str">
        <f t="shared" si="7"/>
        <v/>
      </c>
      <c r="RT23" s="50" t="str">
        <f t="shared" si="7"/>
        <v/>
      </c>
      <c r="RU23" s="50" t="str">
        <f t="shared" si="7"/>
        <v/>
      </c>
      <c r="RV23" s="50" t="str">
        <f t="shared" si="7"/>
        <v/>
      </c>
      <c r="RW23" s="50" t="str">
        <f t="shared" si="7"/>
        <v/>
      </c>
      <c r="RX23" s="50" t="str">
        <f t="shared" si="7"/>
        <v/>
      </c>
      <c r="RY23" s="50" t="str">
        <f t="shared" si="7"/>
        <v/>
      </c>
      <c r="RZ23" s="50" t="str">
        <f t="shared" si="7"/>
        <v/>
      </c>
      <c r="SA23" s="50" t="str">
        <f t="shared" si="7"/>
        <v/>
      </c>
      <c r="SB23" s="50" t="str">
        <f t="shared" si="7"/>
        <v/>
      </c>
      <c r="SC23" s="50" t="str">
        <f t="shared" ref="SC23:UN23" si="8">IFERROR(IF(SB23+TIME(1,0,0)&lt;=$G$12,SB23+TIME(1,0,0),""),"")</f>
        <v/>
      </c>
      <c r="SD23" s="50" t="str">
        <f t="shared" si="8"/>
        <v/>
      </c>
      <c r="SE23" s="50" t="str">
        <f t="shared" si="8"/>
        <v/>
      </c>
      <c r="SF23" s="50" t="str">
        <f t="shared" si="8"/>
        <v/>
      </c>
      <c r="SG23" s="50" t="str">
        <f t="shared" si="8"/>
        <v/>
      </c>
      <c r="SH23" s="50" t="str">
        <f t="shared" si="8"/>
        <v/>
      </c>
      <c r="SI23" s="50" t="str">
        <f t="shared" si="8"/>
        <v/>
      </c>
      <c r="SJ23" s="50" t="str">
        <f t="shared" si="8"/>
        <v/>
      </c>
      <c r="SK23" s="50" t="str">
        <f t="shared" si="8"/>
        <v/>
      </c>
      <c r="SL23" s="50" t="str">
        <f t="shared" si="8"/>
        <v/>
      </c>
      <c r="SM23" s="50" t="str">
        <f t="shared" si="8"/>
        <v/>
      </c>
      <c r="SN23" s="50" t="str">
        <f t="shared" si="8"/>
        <v/>
      </c>
      <c r="SO23" s="50" t="str">
        <f t="shared" si="8"/>
        <v/>
      </c>
      <c r="SP23" s="50" t="str">
        <f t="shared" si="8"/>
        <v/>
      </c>
      <c r="SQ23" s="50" t="str">
        <f t="shared" si="8"/>
        <v/>
      </c>
      <c r="SR23" s="50" t="str">
        <f t="shared" si="8"/>
        <v/>
      </c>
      <c r="SS23" s="50" t="str">
        <f t="shared" si="8"/>
        <v/>
      </c>
      <c r="ST23" s="50" t="str">
        <f t="shared" si="8"/>
        <v/>
      </c>
      <c r="SU23" s="50" t="str">
        <f t="shared" si="8"/>
        <v/>
      </c>
      <c r="SV23" s="50" t="str">
        <f t="shared" si="8"/>
        <v/>
      </c>
      <c r="SW23" s="50" t="str">
        <f t="shared" si="8"/>
        <v/>
      </c>
      <c r="SX23" s="50" t="str">
        <f t="shared" si="8"/>
        <v/>
      </c>
      <c r="SY23" s="50" t="str">
        <f t="shared" si="8"/>
        <v/>
      </c>
      <c r="SZ23" s="50" t="str">
        <f t="shared" si="8"/>
        <v/>
      </c>
      <c r="TA23" s="50" t="str">
        <f t="shared" si="8"/>
        <v/>
      </c>
      <c r="TB23" s="50" t="str">
        <f t="shared" si="8"/>
        <v/>
      </c>
      <c r="TC23" s="50" t="str">
        <f t="shared" si="8"/>
        <v/>
      </c>
      <c r="TD23" s="50" t="str">
        <f t="shared" si="8"/>
        <v/>
      </c>
      <c r="TE23" s="50" t="str">
        <f t="shared" si="8"/>
        <v/>
      </c>
      <c r="TF23" s="50" t="str">
        <f t="shared" si="8"/>
        <v/>
      </c>
      <c r="TG23" s="50" t="str">
        <f t="shared" si="8"/>
        <v/>
      </c>
      <c r="TH23" s="50" t="str">
        <f t="shared" si="8"/>
        <v/>
      </c>
      <c r="TI23" s="50" t="str">
        <f t="shared" si="8"/>
        <v/>
      </c>
      <c r="TJ23" s="50" t="str">
        <f t="shared" si="8"/>
        <v/>
      </c>
      <c r="TK23" s="50" t="str">
        <f t="shared" si="8"/>
        <v/>
      </c>
      <c r="TL23" s="50" t="str">
        <f t="shared" si="8"/>
        <v/>
      </c>
      <c r="TM23" s="50" t="str">
        <f t="shared" si="8"/>
        <v/>
      </c>
      <c r="TN23" s="50" t="str">
        <f t="shared" si="8"/>
        <v/>
      </c>
      <c r="TO23" s="50" t="str">
        <f t="shared" si="8"/>
        <v/>
      </c>
      <c r="TP23" s="50" t="str">
        <f t="shared" si="8"/>
        <v/>
      </c>
      <c r="TQ23" s="50" t="str">
        <f t="shared" si="8"/>
        <v/>
      </c>
      <c r="TR23" s="50" t="str">
        <f t="shared" si="8"/>
        <v/>
      </c>
      <c r="TS23" s="50" t="str">
        <f t="shared" si="8"/>
        <v/>
      </c>
      <c r="TT23" s="50" t="str">
        <f t="shared" si="8"/>
        <v/>
      </c>
      <c r="TU23" s="50" t="str">
        <f t="shared" si="8"/>
        <v/>
      </c>
      <c r="TV23" s="50" t="str">
        <f t="shared" si="8"/>
        <v/>
      </c>
      <c r="TW23" s="50" t="str">
        <f t="shared" si="8"/>
        <v/>
      </c>
      <c r="TX23" s="50" t="str">
        <f t="shared" si="8"/>
        <v/>
      </c>
      <c r="TY23" s="50" t="str">
        <f t="shared" si="8"/>
        <v/>
      </c>
      <c r="TZ23" s="50" t="str">
        <f t="shared" si="8"/>
        <v/>
      </c>
      <c r="UA23" s="50" t="str">
        <f t="shared" si="8"/>
        <v/>
      </c>
      <c r="UB23" s="50" t="str">
        <f t="shared" si="8"/>
        <v/>
      </c>
      <c r="UC23" s="50" t="str">
        <f t="shared" si="8"/>
        <v/>
      </c>
      <c r="UD23" s="50" t="str">
        <f t="shared" si="8"/>
        <v/>
      </c>
      <c r="UE23" s="50" t="str">
        <f t="shared" si="8"/>
        <v/>
      </c>
      <c r="UF23" s="50" t="str">
        <f t="shared" si="8"/>
        <v/>
      </c>
      <c r="UG23" s="50" t="str">
        <f t="shared" si="8"/>
        <v/>
      </c>
      <c r="UH23" s="50" t="str">
        <f t="shared" si="8"/>
        <v/>
      </c>
      <c r="UI23" s="50" t="str">
        <f t="shared" si="8"/>
        <v/>
      </c>
      <c r="UJ23" s="50" t="str">
        <f t="shared" si="8"/>
        <v/>
      </c>
      <c r="UK23" s="50" t="str">
        <f t="shared" si="8"/>
        <v/>
      </c>
      <c r="UL23" s="50" t="str">
        <f t="shared" si="8"/>
        <v/>
      </c>
      <c r="UM23" s="50" t="str">
        <f t="shared" si="8"/>
        <v/>
      </c>
      <c r="UN23" s="50" t="str">
        <f t="shared" si="8"/>
        <v/>
      </c>
      <c r="UO23" s="50" t="str">
        <f t="shared" ref="UO23:WZ23" si="9">IFERROR(IF(UN23+TIME(1,0,0)&lt;=$G$12,UN23+TIME(1,0,0),""),"")</f>
        <v/>
      </c>
      <c r="UP23" s="50" t="str">
        <f t="shared" si="9"/>
        <v/>
      </c>
      <c r="UQ23" s="50" t="str">
        <f t="shared" si="9"/>
        <v/>
      </c>
      <c r="UR23" s="50" t="str">
        <f t="shared" si="9"/>
        <v/>
      </c>
      <c r="US23" s="50" t="str">
        <f t="shared" si="9"/>
        <v/>
      </c>
      <c r="UT23" s="50" t="str">
        <f t="shared" si="9"/>
        <v/>
      </c>
      <c r="UU23" s="50" t="str">
        <f t="shared" si="9"/>
        <v/>
      </c>
      <c r="UV23" s="50" t="str">
        <f t="shared" si="9"/>
        <v/>
      </c>
      <c r="UW23" s="50" t="str">
        <f t="shared" si="9"/>
        <v/>
      </c>
      <c r="UX23" s="50" t="str">
        <f t="shared" si="9"/>
        <v/>
      </c>
      <c r="UY23" s="50" t="str">
        <f t="shared" si="9"/>
        <v/>
      </c>
      <c r="UZ23" s="50" t="str">
        <f t="shared" si="9"/>
        <v/>
      </c>
      <c r="VA23" s="50" t="str">
        <f t="shared" si="9"/>
        <v/>
      </c>
      <c r="VB23" s="50" t="str">
        <f t="shared" si="9"/>
        <v/>
      </c>
      <c r="VC23" s="50" t="str">
        <f t="shared" si="9"/>
        <v/>
      </c>
      <c r="VD23" s="50" t="str">
        <f t="shared" si="9"/>
        <v/>
      </c>
      <c r="VE23" s="50" t="str">
        <f t="shared" si="9"/>
        <v/>
      </c>
      <c r="VF23" s="50" t="str">
        <f t="shared" si="9"/>
        <v/>
      </c>
      <c r="VG23" s="50" t="str">
        <f t="shared" si="9"/>
        <v/>
      </c>
      <c r="VH23" s="50" t="str">
        <f t="shared" si="9"/>
        <v/>
      </c>
      <c r="VI23" s="50" t="str">
        <f t="shared" si="9"/>
        <v/>
      </c>
      <c r="VJ23" s="50" t="str">
        <f t="shared" si="9"/>
        <v/>
      </c>
      <c r="VK23" s="50" t="str">
        <f t="shared" si="9"/>
        <v/>
      </c>
      <c r="VL23" s="50" t="str">
        <f t="shared" si="9"/>
        <v/>
      </c>
      <c r="VM23" s="50" t="str">
        <f t="shared" si="9"/>
        <v/>
      </c>
      <c r="VN23" s="50" t="str">
        <f t="shared" si="9"/>
        <v/>
      </c>
      <c r="VO23" s="50" t="str">
        <f t="shared" si="9"/>
        <v/>
      </c>
      <c r="VP23" s="50" t="str">
        <f t="shared" si="9"/>
        <v/>
      </c>
      <c r="VQ23" s="50" t="str">
        <f t="shared" si="9"/>
        <v/>
      </c>
      <c r="VR23" s="50" t="str">
        <f t="shared" si="9"/>
        <v/>
      </c>
      <c r="VS23" s="50" t="str">
        <f t="shared" si="9"/>
        <v/>
      </c>
      <c r="VT23" s="50" t="str">
        <f t="shared" si="9"/>
        <v/>
      </c>
      <c r="VU23" s="50" t="str">
        <f t="shared" si="9"/>
        <v/>
      </c>
      <c r="VV23" s="50" t="str">
        <f t="shared" si="9"/>
        <v/>
      </c>
      <c r="VW23" s="50" t="str">
        <f t="shared" si="9"/>
        <v/>
      </c>
      <c r="VX23" s="50" t="str">
        <f t="shared" si="9"/>
        <v/>
      </c>
      <c r="VY23" s="50" t="str">
        <f t="shared" si="9"/>
        <v/>
      </c>
      <c r="VZ23" s="50" t="str">
        <f t="shared" si="9"/>
        <v/>
      </c>
      <c r="WA23" s="50" t="str">
        <f t="shared" si="9"/>
        <v/>
      </c>
      <c r="WB23" s="50" t="str">
        <f t="shared" si="9"/>
        <v/>
      </c>
      <c r="WC23" s="50" t="str">
        <f t="shared" si="9"/>
        <v/>
      </c>
      <c r="WD23" s="50" t="str">
        <f t="shared" si="9"/>
        <v/>
      </c>
      <c r="WE23" s="50" t="str">
        <f t="shared" si="9"/>
        <v/>
      </c>
      <c r="WF23" s="50" t="str">
        <f t="shared" si="9"/>
        <v/>
      </c>
      <c r="WG23" s="50" t="str">
        <f t="shared" si="9"/>
        <v/>
      </c>
      <c r="WH23" s="50" t="str">
        <f t="shared" si="9"/>
        <v/>
      </c>
      <c r="WI23" s="50" t="str">
        <f t="shared" si="9"/>
        <v/>
      </c>
      <c r="WJ23" s="50" t="str">
        <f t="shared" si="9"/>
        <v/>
      </c>
      <c r="WK23" s="50" t="str">
        <f t="shared" si="9"/>
        <v/>
      </c>
      <c r="WL23" s="50" t="str">
        <f t="shared" si="9"/>
        <v/>
      </c>
      <c r="WM23" s="50" t="str">
        <f t="shared" si="9"/>
        <v/>
      </c>
      <c r="WN23" s="50" t="str">
        <f t="shared" si="9"/>
        <v/>
      </c>
      <c r="WO23" s="50" t="str">
        <f t="shared" si="9"/>
        <v/>
      </c>
      <c r="WP23" s="50" t="str">
        <f t="shared" si="9"/>
        <v/>
      </c>
      <c r="WQ23" s="50" t="str">
        <f t="shared" si="9"/>
        <v/>
      </c>
      <c r="WR23" s="50" t="str">
        <f t="shared" si="9"/>
        <v/>
      </c>
      <c r="WS23" s="50" t="str">
        <f t="shared" si="9"/>
        <v/>
      </c>
      <c r="WT23" s="50" t="str">
        <f t="shared" si="9"/>
        <v/>
      </c>
      <c r="WU23" s="50" t="str">
        <f t="shared" si="9"/>
        <v/>
      </c>
      <c r="WV23" s="50" t="str">
        <f t="shared" si="9"/>
        <v/>
      </c>
      <c r="WW23" s="50" t="str">
        <f t="shared" si="9"/>
        <v/>
      </c>
      <c r="WX23" s="50" t="str">
        <f t="shared" si="9"/>
        <v/>
      </c>
      <c r="WY23" s="50" t="str">
        <f t="shared" si="9"/>
        <v/>
      </c>
      <c r="WZ23" s="50" t="str">
        <f t="shared" si="9"/>
        <v/>
      </c>
      <c r="XA23" s="50" t="str">
        <f t="shared" ref="XA23:ZL23" si="10">IFERROR(IF(WZ23+TIME(1,0,0)&lt;=$G$12,WZ23+TIME(1,0,0),""),"")</f>
        <v/>
      </c>
      <c r="XB23" s="50" t="str">
        <f t="shared" si="10"/>
        <v/>
      </c>
      <c r="XC23" s="50" t="str">
        <f t="shared" si="10"/>
        <v/>
      </c>
      <c r="XD23" s="50" t="str">
        <f t="shared" si="10"/>
        <v/>
      </c>
      <c r="XE23" s="50" t="str">
        <f t="shared" si="10"/>
        <v/>
      </c>
      <c r="XF23" s="50" t="str">
        <f t="shared" si="10"/>
        <v/>
      </c>
      <c r="XG23" s="50" t="str">
        <f t="shared" si="10"/>
        <v/>
      </c>
      <c r="XH23" s="50" t="str">
        <f t="shared" si="10"/>
        <v/>
      </c>
      <c r="XI23" s="50" t="str">
        <f t="shared" si="10"/>
        <v/>
      </c>
      <c r="XJ23" s="50" t="str">
        <f t="shared" si="10"/>
        <v/>
      </c>
      <c r="XK23" s="50" t="str">
        <f t="shared" si="10"/>
        <v/>
      </c>
      <c r="XL23" s="50" t="str">
        <f t="shared" si="10"/>
        <v/>
      </c>
      <c r="XM23" s="50" t="str">
        <f t="shared" si="10"/>
        <v/>
      </c>
      <c r="XN23" s="50" t="str">
        <f t="shared" si="10"/>
        <v/>
      </c>
      <c r="XO23" s="50" t="str">
        <f t="shared" si="10"/>
        <v/>
      </c>
      <c r="XP23" s="50" t="str">
        <f t="shared" si="10"/>
        <v/>
      </c>
      <c r="XQ23" s="50" t="str">
        <f t="shared" si="10"/>
        <v/>
      </c>
      <c r="XR23" s="50" t="str">
        <f t="shared" si="10"/>
        <v/>
      </c>
      <c r="XS23" s="50" t="str">
        <f t="shared" si="10"/>
        <v/>
      </c>
      <c r="XT23" s="50" t="str">
        <f t="shared" si="10"/>
        <v/>
      </c>
      <c r="XU23" s="50" t="str">
        <f t="shared" si="10"/>
        <v/>
      </c>
      <c r="XV23" s="50" t="str">
        <f t="shared" si="10"/>
        <v/>
      </c>
      <c r="XW23" s="50" t="str">
        <f t="shared" si="10"/>
        <v/>
      </c>
      <c r="XX23" s="50" t="str">
        <f t="shared" si="10"/>
        <v/>
      </c>
      <c r="XY23" s="50" t="str">
        <f t="shared" si="10"/>
        <v/>
      </c>
      <c r="XZ23" s="50" t="str">
        <f t="shared" si="10"/>
        <v/>
      </c>
      <c r="YA23" s="50" t="str">
        <f t="shared" si="10"/>
        <v/>
      </c>
      <c r="YB23" s="50" t="str">
        <f t="shared" si="10"/>
        <v/>
      </c>
      <c r="YC23" s="50" t="str">
        <f t="shared" si="10"/>
        <v/>
      </c>
      <c r="YD23" s="50" t="str">
        <f t="shared" si="10"/>
        <v/>
      </c>
      <c r="YE23" s="50" t="str">
        <f t="shared" si="10"/>
        <v/>
      </c>
      <c r="YF23" s="50" t="str">
        <f t="shared" si="10"/>
        <v/>
      </c>
      <c r="YG23" s="50" t="str">
        <f t="shared" si="10"/>
        <v/>
      </c>
      <c r="YH23" s="50" t="str">
        <f t="shared" si="10"/>
        <v/>
      </c>
      <c r="YI23" s="50" t="str">
        <f t="shared" si="10"/>
        <v/>
      </c>
      <c r="YJ23" s="50" t="str">
        <f t="shared" si="10"/>
        <v/>
      </c>
      <c r="YK23" s="50" t="str">
        <f t="shared" si="10"/>
        <v/>
      </c>
      <c r="YL23" s="50" t="str">
        <f t="shared" si="10"/>
        <v/>
      </c>
      <c r="YM23" s="50" t="str">
        <f t="shared" si="10"/>
        <v/>
      </c>
      <c r="YN23" s="50" t="str">
        <f t="shared" si="10"/>
        <v/>
      </c>
      <c r="YO23" s="50" t="str">
        <f t="shared" si="10"/>
        <v/>
      </c>
      <c r="YP23" s="50" t="str">
        <f t="shared" si="10"/>
        <v/>
      </c>
      <c r="YQ23" s="50" t="str">
        <f t="shared" si="10"/>
        <v/>
      </c>
      <c r="YR23" s="50" t="str">
        <f t="shared" si="10"/>
        <v/>
      </c>
      <c r="YS23" s="50" t="str">
        <f t="shared" si="10"/>
        <v/>
      </c>
      <c r="YT23" s="50" t="str">
        <f t="shared" si="10"/>
        <v/>
      </c>
      <c r="YU23" s="50" t="str">
        <f t="shared" si="10"/>
        <v/>
      </c>
      <c r="YV23" s="50" t="str">
        <f t="shared" si="10"/>
        <v/>
      </c>
      <c r="YW23" s="50" t="str">
        <f t="shared" si="10"/>
        <v/>
      </c>
      <c r="YX23" s="50" t="str">
        <f t="shared" si="10"/>
        <v/>
      </c>
      <c r="YY23" s="50" t="str">
        <f t="shared" si="10"/>
        <v/>
      </c>
      <c r="YZ23" s="50" t="str">
        <f t="shared" si="10"/>
        <v/>
      </c>
      <c r="ZA23" s="50" t="str">
        <f t="shared" si="10"/>
        <v/>
      </c>
      <c r="ZB23" s="50" t="str">
        <f t="shared" si="10"/>
        <v/>
      </c>
      <c r="ZC23" s="50" t="str">
        <f t="shared" si="10"/>
        <v/>
      </c>
      <c r="ZD23" s="50" t="str">
        <f t="shared" si="10"/>
        <v/>
      </c>
      <c r="ZE23" s="50" t="str">
        <f t="shared" si="10"/>
        <v/>
      </c>
      <c r="ZF23" s="50" t="str">
        <f t="shared" si="10"/>
        <v/>
      </c>
      <c r="ZG23" s="50" t="str">
        <f t="shared" si="10"/>
        <v/>
      </c>
      <c r="ZH23" s="50" t="str">
        <f t="shared" si="10"/>
        <v/>
      </c>
      <c r="ZI23" s="50" t="str">
        <f t="shared" si="10"/>
        <v/>
      </c>
      <c r="ZJ23" s="50" t="str">
        <f t="shared" si="10"/>
        <v/>
      </c>
      <c r="ZK23" s="50" t="str">
        <f t="shared" si="10"/>
        <v/>
      </c>
      <c r="ZL23" s="50" t="str">
        <f t="shared" si="10"/>
        <v/>
      </c>
      <c r="ZM23" s="50" t="str">
        <f t="shared" ref="ZM23:ABX23" si="11">IFERROR(IF(ZL23+TIME(1,0,0)&lt;=$G$12,ZL23+TIME(1,0,0),""),"")</f>
        <v/>
      </c>
      <c r="ZN23" s="50" t="str">
        <f t="shared" si="11"/>
        <v/>
      </c>
      <c r="ZO23" s="50" t="str">
        <f t="shared" si="11"/>
        <v/>
      </c>
      <c r="ZP23" s="50" t="str">
        <f t="shared" si="11"/>
        <v/>
      </c>
      <c r="ZQ23" s="50" t="str">
        <f t="shared" si="11"/>
        <v/>
      </c>
      <c r="ZR23" s="50" t="str">
        <f t="shared" si="11"/>
        <v/>
      </c>
      <c r="ZS23" s="50" t="str">
        <f t="shared" si="11"/>
        <v/>
      </c>
      <c r="ZT23" s="50" t="str">
        <f t="shared" si="11"/>
        <v/>
      </c>
      <c r="ZU23" s="50" t="str">
        <f t="shared" si="11"/>
        <v/>
      </c>
      <c r="ZV23" s="50" t="str">
        <f t="shared" si="11"/>
        <v/>
      </c>
      <c r="ZW23" s="50" t="str">
        <f t="shared" si="11"/>
        <v/>
      </c>
      <c r="ZX23" s="50" t="str">
        <f t="shared" si="11"/>
        <v/>
      </c>
      <c r="ZY23" s="50" t="str">
        <f t="shared" si="11"/>
        <v/>
      </c>
      <c r="ZZ23" s="50" t="str">
        <f t="shared" si="11"/>
        <v/>
      </c>
      <c r="AAA23" s="50" t="str">
        <f t="shared" si="11"/>
        <v/>
      </c>
      <c r="AAB23" s="50" t="str">
        <f t="shared" si="11"/>
        <v/>
      </c>
      <c r="AAC23" s="50" t="str">
        <f t="shared" si="11"/>
        <v/>
      </c>
      <c r="AAD23" s="50" t="str">
        <f t="shared" si="11"/>
        <v/>
      </c>
      <c r="AAE23" s="50" t="str">
        <f t="shared" si="11"/>
        <v/>
      </c>
      <c r="AAF23" s="50" t="str">
        <f t="shared" si="11"/>
        <v/>
      </c>
      <c r="AAG23" s="50" t="str">
        <f t="shared" si="11"/>
        <v/>
      </c>
      <c r="AAH23" s="50" t="str">
        <f t="shared" si="11"/>
        <v/>
      </c>
      <c r="AAI23" s="50" t="str">
        <f t="shared" si="11"/>
        <v/>
      </c>
      <c r="AAJ23" s="50" t="str">
        <f t="shared" si="11"/>
        <v/>
      </c>
      <c r="AAK23" s="50" t="str">
        <f t="shared" si="11"/>
        <v/>
      </c>
      <c r="AAL23" s="50" t="str">
        <f t="shared" si="11"/>
        <v/>
      </c>
      <c r="AAM23" s="50" t="str">
        <f t="shared" si="11"/>
        <v/>
      </c>
      <c r="AAN23" s="50" t="str">
        <f t="shared" si="11"/>
        <v/>
      </c>
      <c r="AAO23" s="50" t="str">
        <f t="shared" si="11"/>
        <v/>
      </c>
      <c r="AAP23" s="50" t="str">
        <f t="shared" si="11"/>
        <v/>
      </c>
      <c r="AAQ23" s="50" t="str">
        <f t="shared" si="11"/>
        <v/>
      </c>
      <c r="AAR23" s="50" t="str">
        <f t="shared" si="11"/>
        <v/>
      </c>
      <c r="AAS23" s="50" t="str">
        <f t="shared" si="11"/>
        <v/>
      </c>
      <c r="AAT23" s="50" t="str">
        <f t="shared" si="11"/>
        <v/>
      </c>
      <c r="AAU23" s="50" t="str">
        <f t="shared" si="11"/>
        <v/>
      </c>
      <c r="AAV23" s="50" t="str">
        <f t="shared" si="11"/>
        <v/>
      </c>
      <c r="AAW23" s="50" t="str">
        <f t="shared" si="11"/>
        <v/>
      </c>
      <c r="AAX23" s="50" t="str">
        <f t="shared" si="11"/>
        <v/>
      </c>
      <c r="AAY23" s="50" t="str">
        <f t="shared" si="11"/>
        <v/>
      </c>
      <c r="AAZ23" s="50" t="str">
        <f t="shared" si="11"/>
        <v/>
      </c>
      <c r="ABA23" s="50" t="str">
        <f t="shared" si="11"/>
        <v/>
      </c>
      <c r="ABB23" s="50" t="str">
        <f t="shared" si="11"/>
        <v/>
      </c>
      <c r="ABC23" s="50" t="str">
        <f t="shared" si="11"/>
        <v/>
      </c>
      <c r="ABD23" s="50" t="str">
        <f t="shared" si="11"/>
        <v/>
      </c>
      <c r="ABE23" s="50" t="str">
        <f t="shared" si="11"/>
        <v/>
      </c>
      <c r="ABF23" s="50" t="str">
        <f t="shared" si="11"/>
        <v/>
      </c>
      <c r="ABG23" s="50" t="str">
        <f t="shared" si="11"/>
        <v/>
      </c>
      <c r="ABH23" s="50" t="str">
        <f t="shared" si="11"/>
        <v/>
      </c>
      <c r="ABI23" s="50" t="str">
        <f t="shared" si="11"/>
        <v/>
      </c>
      <c r="ABJ23" s="50" t="str">
        <f t="shared" si="11"/>
        <v/>
      </c>
      <c r="ABK23" s="50" t="str">
        <f t="shared" si="11"/>
        <v/>
      </c>
      <c r="ABL23" s="50" t="str">
        <f t="shared" si="11"/>
        <v/>
      </c>
      <c r="ABM23" s="50" t="str">
        <f t="shared" si="11"/>
        <v/>
      </c>
      <c r="ABN23" s="50" t="str">
        <f t="shared" si="11"/>
        <v/>
      </c>
      <c r="ABO23" s="50" t="str">
        <f t="shared" si="11"/>
        <v/>
      </c>
      <c r="ABP23" s="50" t="str">
        <f t="shared" si="11"/>
        <v/>
      </c>
      <c r="ABQ23" s="50" t="str">
        <f t="shared" si="11"/>
        <v/>
      </c>
      <c r="ABR23" s="50" t="str">
        <f t="shared" si="11"/>
        <v/>
      </c>
      <c r="ABS23" s="50" t="str">
        <f t="shared" si="11"/>
        <v/>
      </c>
      <c r="ABT23" s="50" t="str">
        <f t="shared" si="11"/>
        <v/>
      </c>
      <c r="ABU23" s="50" t="str">
        <f t="shared" si="11"/>
        <v/>
      </c>
      <c r="ABV23" s="50" t="str">
        <f t="shared" si="11"/>
        <v/>
      </c>
      <c r="ABW23" s="50" t="str">
        <f t="shared" si="11"/>
        <v/>
      </c>
      <c r="ABX23" s="50" t="str">
        <f t="shared" si="11"/>
        <v/>
      </c>
      <c r="ABY23" s="50" t="str">
        <f t="shared" ref="ABY23:AEJ23" si="12">IFERROR(IF(ABX23+TIME(1,0,0)&lt;=$G$12,ABX23+TIME(1,0,0),""),"")</f>
        <v/>
      </c>
      <c r="ABZ23" s="50" t="str">
        <f t="shared" si="12"/>
        <v/>
      </c>
      <c r="ACA23" s="50" t="str">
        <f t="shared" si="12"/>
        <v/>
      </c>
      <c r="ACB23" s="50" t="str">
        <f t="shared" si="12"/>
        <v/>
      </c>
      <c r="ACC23" s="50" t="str">
        <f t="shared" si="12"/>
        <v/>
      </c>
      <c r="ACD23" s="50" t="str">
        <f t="shared" si="12"/>
        <v/>
      </c>
      <c r="ACE23" s="50" t="str">
        <f t="shared" si="12"/>
        <v/>
      </c>
      <c r="ACF23" s="50" t="str">
        <f t="shared" si="12"/>
        <v/>
      </c>
      <c r="ACG23" s="50" t="str">
        <f t="shared" si="12"/>
        <v/>
      </c>
      <c r="ACH23" s="50" t="str">
        <f t="shared" si="12"/>
        <v/>
      </c>
      <c r="ACI23" s="50" t="str">
        <f t="shared" si="12"/>
        <v/>
      </c>
      <c r="ACJ23" s="50" t="str">
        <f t="shared" si="12"/>
        <v/>
      </c>
      <c r="ACK23" s="50" t="str">
        <f t="shared" si="12"/>
        <v/>
      </c>
      <c r="ACL23" s="50" t="str">
        <f t="shared" si="12"/>
        <v/>
      </c>
      <c r="ACM23" s="50" t="str">
        <f t="shared" si="12"/>
        <v/>
      </c>
      <c r="ACN23" s="50" t="str">
        <f t="shared" si="12"/>
        <v/>
      </c>
      <c r="ACO23" s="50" t="str">
        <f t="shared" si="12"/>
        <v/>
      </c>
      <c r="ACP23" s="50" t="str">
        <f t="shared" si="12"/>
        <v/>
      </c>
      <c r="ACQ23" s="50" t="str">
        <f t="shared" si="12"/>
        <v/>
      </c>
      <c r="ACR23" s="50" t="str">
        <f t="shared" si="12"/>
        <v/>
      </c>
      <c r="ACS23" s="50" t="str">
        <f t="shared" si="12"/>
        <v/>
      </c>
      <c r="ACT23" s="50" t="str">
        <f t="shared" si="12"/>
        <v/>
      </c>
      <c r="ACU23" s="50" t="str">
        <f t="shared" si="12"/>
        <v/>
      </c>
      <c r="ACV23" s="50" t="str">
        <f t="shared" si="12"/>
        <v/>
      </c>
      <c r="ACW23" s="50" t="str">
        <f t="shared" si="12"/>
        <v/>
      </c>
      <c r="ACX23" s="50" t="str">
        <f t="shared" si="12"/>
        <v/>
      </c>
      <c r="ACY23" s="50" t="str">
        <f t="shared" si="12"/>
        <v/>
      </c>
      <c r="ACZ23" s="50" t="str">
        <f t="shared" si="12"/>
        <v/>
      </c>
      <c r="ADA23" s="50" t="str">
        <f t="shared" si="12"/>
        <v/>
      </c>
      <c r="ADB23" s="50" t="str">
        <f t="shared" si="12"/>
        <v/>
      </c>
      <c r="ADC23" s="50" t="str">
        <f t="shared" si="12"/>
        <v/>
      </c>
      <c r="ADD23" s="50" t="str">
        <f t="shared" si="12"/>
        <v/>
      </c>
      <c r="ADE23" s="50" t="str">
        <f t="shared" si="12"/>
        <v/>
      </c>
      <c r="ADF23" s="50" t="str">
        <f t="shared" si="12"/>
        <v/>
      </c>
      <c r="ADG23" s="50" t="str">
        <f t="shared" si="12"/>
        <v/>
      </c>
      <c r="ADH23" s="50" t="str">
        <f t="shared" si="12"/>
        <v/>
      </c>
      <c r="ADI23" s="50" t="str">
        <f t="shared" si="12"/>
        <v/>
      </c>
      <c r="ADJ23" s="50" t="str">
        <f t="shared" si="12"/>
        <v/>
      </c>
      <c r="ADK23" s="50" t="str">
        <f t="shared" si="12"/>
        <v/>
      </c>
      <c r="ADL23" s="50" t="str">
        <f t="shared" si="12"/>
        <v/>
      </c>
      <c r="ADM23" s="50" t="str">
        <f t="shared" si="12"/>
        <v/>
      </c>
      <c r="ADN23" s="50" t="str">
        <f t="shared" si="12"/>
        <v/>
      </c>
      <c r="ADO23" s="50" t="str">
        <f t="shared" si="12"/>
        <v/>
      </c>
      <c r="ADP23" s="50" t="str">
        <f t="shared" si="12"/>
        <v/>
      </c>
      <c r="ADQ23" s="50" t="str">
        <f t="shared" si="12"/>
        <v/>
      </c>
      <c r="ADR23" s="50" t="str">
        <f t="shared" si="12"/>
        <v/>
      </c>
      <c r="ADS23" s="50" t="str">
        <f t="shared" si="12"/>
        <v/>
      </c>
      <c r="ADT23" s="50" t="str">
        <f t="shared" si="12"/>
        <v/>
      </c>
      <c r="ADU23" s="50" t="str">
        <f t="shared" si="12"/>
        <v/>
      </c>
      <c r="ADV23" s="50" t="str">
        <f t="shared" si="12"/>
        <v/>
      </c>
      <c r="ADW23" s="50" t="str">
        <f t="shared" si="12"/>
        <v/>
      </c>
      <c r="ADX23" s="50" t="str">
        <f t="shared" si="12"/>
        <v/>
      </c>
      <c r="ADY23" s="50" t="str">
        <f t="shared" si="12"/>
        <v/>
      </c>
      <c r="ADZ23" s="50" t="str">
        <f t="shared" si="12"/>
        <v/>
      </c>
      <c r="AEA23" s="50" t="str">
        <f t="shared" si="12"/>
        <v/>
      </c>
      <c r="AEB23" s="50" t="str">
        <f t="shared" si="12"/>
        <v/>
      </c>
      <c r="AEC23" s="50" t="str">
        <f t="shared" si="12"/>
        <v/>
      </c>
      <c r="AED23" s="50" t="str">
        <f t="shared" si="12"/>
        <v/>
      </c>
      <c r="AEE23" s="50" t="str">
        <f t="shared" si="12"/>
        <v/>
      </c>
      <c r="AEF23" s="50" t="str">
        <f t="shared" si="12"/>
        <v/>
      </c>
      <c r="AEG23" s="50" t="str">
        <f t="shared" si="12"/>
        <v/>
      </c>
      <c r="AEH23" s="50" t="str">
        <f t="shared" si="12"/>
        <v/>
      </c>
      <c r="AEI23" s="50" t="str">
        <f t="shared" si="12"/>
        <v/>
      </c>
      <c r="AEJ23" s="50" t="str">
        <f t="shared" si="12"/>
        <v/>
      </c>
      <c r="AEK23" s="50" t="str">
        <f t="shared" ref="AEK23:AGV23" si="13">IFERROR(IF(AEJ23+TIME(1,0,0)&lt;=$G$12,AEJ23+TIME(1,0,0),""),"")</f>
        <v/>
      </c>
      <c r="AEL23" s="50" t="str">
        <f t="shared" si="13"/>
        <v/>
      </c>
      <c r="AEM23" s="50" t="str">
        <f t="shared" si="13"/>
        <v/>
      </c>
      <c r="AEN23" s="50" t="str">
        <f t="shared" si="13"/>
        <v/>
      </c>
      <c r="AEO23" s="50" t="str">
        <f t="shared" si="13"/>
        <v/>
      </c>
      <c r="AEP23" s="50" t="str">
        <f t="shared" si="13"/>
        <v/>
      </c>
      <c r="AEQ23" s="50" t="str">
        <f t="shared" si="13"/>
        <v/>
      </c>
      <c r="AER23" s="50" t="str">
        <f t="shared" si="13"/>
        <v/>
      </c>
      <c r="AES23" s="50" t="str">
        <f t="shared" si="13"/>
        <v/>
      </c>
      <c r="AET23" s="50" t="str">
        <f t="shared" si="13"/>
        <v/>
      </c>
      <c r="AEU23" s="50" t="str">
        <f t="shared" si="13"/>
        <v/>
      </c>
      <c r="AEV23" s="50" t="str">
        <f t="shared" si="13"/>
        <v/>
      </c>
      <c r="AEW23" s="50" t="str">
        <f t="shared" si="13"/>
        <v/>
      </c>
      <c r="AEX23" s="50" t="str">
        <f t="shared" si="13"/>
        <v/>
      </c>
      <c r="AEY23" s="50" t="str">
        <f t="shared" si="13"/>
        <v/>
      </c>
      <c r="AEZ23" s="50" t="str">
        <f t="shared" si="13"/>
        <v/>
      </c>
      <c r="AFA23" s="50" t="str">
        <f t="shared" si="13"/>
        <v/>
      </c>
      <c r="AFB23" s="50" t="str">
        <f t="shared" si="13"/>
        <v/>
      </c>
      <c r="AFC23" s="50" t="str">
        <f t="shared" si="13"/>
        <v/>
      </c>
      <c r="AFD23" s="50" t="str">
        <f t="shared" si="13"/>
        <v/>
      </c>
      <c r="AFE23" s="50" t="str">
        <f t="shared" si="13"/>
        <v/>
      </c>
      <c r="AFF23" s="50" t="str">
        <f t="shared" si="13"/>
        <v/>
      </c>
      <c r="AFG23" s="50" t="str">
        <f t="shared" si="13"/>
        <v/>
      </c>
      <c r="AFH23" s="50" t="str">
        <f t="shared" si="13"/>
        <v/>
      </c>
      <c r="AFI23" s="50" t="str">
        <f t="shared" si="13"/>
        <v/>
      </c>
      <c r="AFJ23" s="50" t="str">
        <f t="shared" si="13"/>
        <v/>
      </c>
      <c r="AFK23" s="50" t="str">
        <f t="shared" si="13"/>
        <v/>
      </c>
      <c r="AFL23" s="50" t="str">
        <f t="shared" si="13"/>
        <v/>
      </c>
      <c r="AFM23" s="50" t="str">
        <f t="shared" si="13"/>
        <v/>
      </c>
      <c r="AFN23" s="50" t="str">
        <f t="shared" si="13"/>
        <v/>
      </c>
      <c r="AFO23" s="50" t="str">
        <f t="shared" si="13"/>
        <v/>
      </c>
      <c r="AFP23" s="50" t="str">
        <f t="shared" si="13"/>
        <v/>
      </c>
      <c r="AFQ23" s="50" t="str">
        <f t="shared" si="13"/>
        <v/>
      </c>
      <c r="AFR23" s="50" t="str">
        <f t="shared" si="13"/>
        <v/>
      </c>
      <c r="AFS23" s="50" t="str">
        <f t="shared" si="13"/>
        <v/>
      </c>
      <c r="AFT23" s="50" t="str">
        <f t="shared" si="13"/>
        <v/>
      </c>
      <c r="AFU23" s="50" t="str">
        <f t="shared" si="13"/>
        <v/>
      </c>
      <c r="AFV23" s="50" t="str">
        <f t="shared" si="13"/>
        <v/>
      </c>
      <c r="AFW23" s="50" t="str">
        <f t="shared" si="13"/>
        <v/>
      </c>
      <c r="AFX23" s="50" t="str">
        <f t="shared" si="13"/>
        <v/>
      </c>
      <c r="AFY23" s="50" t="str">
        <f t="shared" si="13"/>
        <v/>
      </c>
      <c r="AFZ23" s="50" t="str">
        <f t="shared" si="13"/>
        <v/>
      </c>
      <c r="AGA23" s="50" t="str">
        <f t="shared" si="13"/>
        <v/>
      </c>
      <c r="AGB23" s="50" t="str">
        <f t="shared" si="13"/>
        <v/>
      </c>
      <c r="AGC23" s="50" t="str">
        <f t="shared" si="13"/>
        <v/>
      </c>
      <c r="AGD23" s="50" t="str">
        <f t="shared" si="13"/>
        <v/>
      </c>
      <c r="AGE23" s="50" t="str">
        <f t="shared" si="13"/>
        <v/>
      </c>
      <c r="AGF23" s="50" t="str">
        <f t="shared" si="13"/>
        <v/>
      </c>
      <c r="AGG23" s="50" t="str">
        <f t="shared" si="13"/>
        <v/>
      </c>
      <c r="AGH23" s="50" t="str">
        <f t="shared" si="13"/>
        <v/>
      </c>
      <c r="AGI23" s="50" t="str">
        <f t="shared" si="13"/>
        <v/>
      </c>
      <c r="AGJ23" s="50" t="str">
        <f t="shared" si="13"/>
        <v/>
      </c>
      <c r="AGK23" s="50" t="str">
        <f t="shared" si="13"/>
        <v/>
      </c>
      <c r="AGL23" s="50" t="str">
        <f t="shared" si="13"/>
        <v/>
      </c>
      <c r="AGM23" s="50" t="str">
        <f t="shared" si="13"/>
        <v/>
      </c>
      <c r="AGN23" s="50" t="str">
        <f t="shared" si="13"/>
        <v/>
      </c>
      <c r="AGO23" s="50" t="str">
        <f t="shared" si="13"/>
        <v/>
      </c>
      <c r="AGP23" s="50" t="str">
        <f t="shared" si="13"/>
        <v/>
      </c>
      <c r="AGQ23" s="50" t="str">
        <f t="shared" si="13"/>
        <v/>
      </c>
      <c r="AGR23" s="50" t="str">
        <f t="shared" si="13"/>
        <v/>
      </c>
      <c r="AGS23" s="50" t="str">
        <f t="shared" si="13"/>
        <v/>
      </c>
      <c r="AGT23" s="50" t="str">
        <f t="shared" si="13"/>
        <v/>
      </c>
      <c r="AGU23" s="50" t="str">
        <f t="shared" si="13"/>
        <v/>
      </c>
      <c r="AGV23" s="50" t="str">
        <f t="shared" si="13"/>
        <v/>
      </c>
      <c r="AGW23" s="50" t="str">
        <f t="shared" ref="AGW23:AJH23" si="14">IFERROR(IF(AGV23+TIME(1,0,0)&lt;=$G$12,AGV23+TIME(1,0,0),""),"")</f>
        <v/>
      </c>
      <c r="AGX23" s="50" t="str">
        <f t="shared" si="14"/>
        <v/>
      </c>
      <c r="AGY23" s="50" t="str">
        <f t="shared" si="14"/>
        <v/>
      </c>
      <c r="AGZ23" s="50" t="str">
        <f t="shared" si="14"/>
        <v/>
      </c>
      <c r="AHA23" s="50" t="str">
        <f t="shared" si="14"/>
        <v/>
      </c>
      <c r="AHB23" s="50" t="str">
        <f t="shared" si="14"/>
        <v/>
      </c>
      <c r="AHC23" s="50" t="str">
        <f t="shared" si="14"/>
        <v/>
      </c>
      <c r="AHD23" s="50" t="str">
        <f t="shared" si="14"/>
        <v/>
      </c>
      <c r="AHE23" s="50" t="str">
        <f t="shared" si="14"/>
        <v/>
      </c>
      <c r="AHF23" s="50" t="str">
        <f t="shared" si="14"/>
        <v/>
      </c>
      <c r="AHG23" s="50" t="str">
        <f t="shared" si="14"/>
        <v/>
      </c>
      <c r="AHH23" s="50" t="str">
        <f t="shared" si="14"/>
        <v/>
      </c>
      <c r="AHI23" s="50" t="str">
        <f t="shared" si="14"/>
        <v/>
      </c>
      <c r="AHJ23" s="50" t="str">
        <f t="shared" si="14"/>
        <v/>
      </c>
      <c r="AHK23" s="50" t="str">
        <f t="shared" si="14"/>
        <v/>
      </c>
      <c r="AHL23" s="50" t="str">
        <f t="shared" si="14"/>
        <v/>
      </c>
      <c r="AHM23" s="50" t="str">
        <f t="shared" si="14"/>
        <v/>
      </c>
      <c r="AHN23" s="50" t="str">
        <f t="shared" si="14"/>
        <v/>
      </c>
      <c r="AHO23" s="50" t="str">
        <f t="shared" si="14"/>
        <v/>
      </c>
      <c r="AHP23" s="50" t="str">
        <f t="shared" si="14"/>
        <v/>
      </c>
      <c r="AHQ23" s="50" t="str">
        <f t="shared" si="14"/>
        <v/>
      </c>
      <c r="AHR23" s="50" t="str">
        <f t="shared" si="14"/>
        <v/>
      </c>
      <c r="AHS23" s="50" t="str">
        <f t="shared" si="14"/>
        <v/>
      </c>
      <c r="AHT23" s="50" t="str">
        <f t="shared" si="14"/>
        <v/>
      </c>
      <c r="AHU23" s="50" t="str">
        <f t="shared" si="14"/>
        <v/>
      </c>
      <c r="AHV23" s="50" t="str">
        <f t="shared" si="14"/>
        <v/>
      </c>
      <c r="AHW23" s="50" t="str">
        <f t="shared" si="14"/>
        <v/>
      </c>
      <c r="AHX23" s="50" t="str">
        <f t="shared" si="14"/>
        <v/>
      </c>
      <c r="AHY23" s="50" t="str">
        <f t="shared" si="14"/>
        <v/>
      </c>
      <c r="AHZ23" s="50" t="str">
        <f t="shared" si="14"/>
        <v/>
      </c>
      <c r="AIA23" s="50" t="str">
        <f t="shared" si="14"/>
        <v/>
      </c>
      <c r="AIB23" s="50" t="str">
        <f t="shared" si="14"/>
        <v/>
      </c>
      <c r="AIC23" s="50" t="str">
        <f t="shared" si="14"/>
        <v/>
      </c>
      <c r="AID23" s="50" t="str">
        <f t="shared" si="14"/>
        <v/>
      </c>
      <c r="AIE23" s="50" t="str">
        <f t="shared" si="14"/>
        <v/>
      </c>
      <c r="AIF23" s="50" t="str">
        <f t="shared" si="14"/>
        <v/>
      </c>
      <c r="AIG23" s="50" t="str">
        <f t="shared" si="14"/>
        <v/>
      </c>
      <c r="AIH23" s="50" t="str">
        <f t="shared" si="14"/>
        <v/>
      </c>
      <c r="AII23" s="50" t="str">
        <f t="shared" si="14"/>
        <v/>
      </c>
      <c r="AIJ23" s="50" t="str">
        <f t="shared" si="14"/>
        <v/>
      </c>
      <c r="AIK23" s="50" t="str">
        <f t="shared" si="14"/>
        <v/>
      </c>
      <c r="AIL23" s="50" t="str">
        <f t="shared" si="14"/>
        <v/>
      </c>
      <c r="AIM23" s="50" t="str">
        <f t="shared" si="14"/>
        <v/>
      </c>
      <c r="AIN23" s="50" t="str">
        <f t="shared" si="14"/>
        <v/>
      </c>
      <c r="AIO23" s="50" t="str">
        <f t="shared" si="14"/>
        <v/>
      </c>
      <c r="AIP23" s="50" t="str">
        <f t="shared" si="14"/>
        <v/>
      </c>
      <c r="AIQ23" s="50" t="str">
        <f t="shared" si="14"/>
        <v/>
      </c>
      <c r="AIR23" s="50" t="str">
        <f t="shared" si="14"/>
        <v/>
      </c>
      <c r="AIS23" s="50" t="str">
        <f t="shared" si="14"/>
        <v/>
      </c>
      <c r="AIT23" s="50" t="str">
        <f t="shared" si="14"/>
        <v/>
      </c>
      <c r="AIU23" s="50" t="str">
        <f t="shared" si="14"/>
        <v/>
      </c>
      <c r="AIV23" s="50" t="str">
        <f t="shared" si="14"/>
        <v/>
      </c>
      <c r="AIW23" s="50" t="str">
        <f t="shared" si="14"/>
        <v/>
      </c>
      <c r="AIX23" s="50" t="str">
        <f t="shared" si="14"/>
        <v/>
      </c>
      <c r="AIY23" s="50" t="str">
        <f t="shared" si="14"/>
        <v/>
      </c>
      <c r="AIZ23" s="50" t="str">
        <f t="shared" si="14"/>
        <v/>
      </c>
      <c r="AJA23" s="50" t="str">
        <f t="shared" si="14"/>
        <v/>
      </c>
      <c r="AJB23" s="50" t="str">
        <f t="shared" si="14"/>
        <v/>
      </c>
      <c r="AJC23" s="50" t="str">
        <f t="shared" si="14"/>
        <v/>
      </c>
      <c r="AJD23" s="50" t="str">
        <f t="shared" si="14"/>
        <v/>
      </c>
      <c r="AJE23" s="50" t="str">
        <f t="shared" si="14"/>
        <v/>
      </c>
      <c r="AJF23" s="50" t="str">
        <f t="shared" si="14"/>
        <v/>
      </c>
      <c r="AJG23" s="50" t="str">
        <f t="shared" si="14"/>
        <v/>
      </c>
      <c r="AJH23" s="50" t="str">
        <f t="shared" si="14"/>
        <v/>
      </c>
      <c r="AJI23" s="50" t="str">
        <f t="shared" ref="AJI23:ALT23" si="15">IFERROR(IF(AJH23+TIME(1,0,0)&lt;=$G$12,AJH23+TIME(1,0,0),""),"")</f>
        <v/>
      </c>
      <c r="AJJ23" s="50" t="str">
        <f t="shared" si="15"/>
        <v/>
      </c>
      <c r="AJK23" s="50" t="str">
        <f t="shared" si="15"/>
        <v/>
      </c>
      <c r="AJL23" s="50" t="str">
        <f t="shared" si="15"/>
        <v/>
      </c>
      <c r="AJM23" s="50" t="str">
        <f t="shared" si="15"/>
        <v/>
      </c>
      <c r="AJN23" s="50" t="str">
        <f t="shared" si="15"/>
        <v/>
      </c>
      <c r="AJO23" s="50" t="str">
        <f t="shared" si="15"/>
        <v/>
      </c>
      <c r="AJP23" s="50" t="str">
        <f t="shared" si="15"/>
        <v/>
      </c>
      <c r="AJQ23" s="50" t="str">
        <f t="shared" si="15"/>
        <v/>
      </c>
      <c r="AJR23" s="50" t="str">
        <f t="shared" si="15"/>
        <v/>
      </c>
      <c r="AJS23" s="50" t="str">
        <f t="shared" si="15"/>
        <v/>
      </c>
      <c r="AJT23" s="50" t="str">
        <f t="shared" si="15"/>
        <v/>
      </c>
      <c r="AJU23" s="50" t="str">
        <f t="shared" si="15"/>
        <v/>
      </c>
      <c r="AJV23" s="50" t="str">
        <f t="shared" si="15"/>
        <v/>
      </c>
      <c r="AJW23" s="50" t="str">
        <f t="shared" si="15"/>
        <v/>
      </c>
      <c r="AJX23" s="50" t="str">
        <f t="shared" si="15"/>
        <v/>
      </c>
      <c r="AJY23" s="50" t="str">
        <f t="shared" si="15"/>
        <v/>
      </c>
      <c r="AJZ23" s="50" t="str">
        <f t="shared" si="15"/>
        <v/>
      </c>
      <c r="AKA23" s="50" t="str">
        <f t="shared" si="15"/>
        <v/>
      </c>
      <c r="AKB23" s="50" t="str">
        <f t="shared" si="15"/>
        <v/>
      </c>
      <c r="AKC23" s="50" t="str">
        <f t="shared" si="15"/>
        <v/>
      </c>
      <c r="AKD23" s="50" t="str">
        <f t="shared" si="15"/>
        <v/>
      </c>
      <c r="AKE23" s="50" t="str">
        <f t="shared" si="15"/>
        <v/>
      </c>
      <c r="AKF23" s="50" t="str">
        <f t="shared" si="15"/>
        <v/>
      </c>
      <c r="AKG23" s="50" t="str">
        <f t="shared" si="15"/>
        <v/>
      </c>
      <c r="AKH23" s="50" t="str">
        <f t="shared" si="15"/>
        <v/>
      </c>
      <c r="AKI23" s="50" t="str">
        <f t="shared" si="15"/>
        <v/>
      </c>
      <c r="AKJ23" s="50" t="str">
        <f t="shared" si="15"/>
        <v/>
      </c>
      <c r="AKK23" s="50" t="str">
        <f t="shared" si="15"/>
        <v/>
      </c>
      <c r="AKL23" s="50" t="str">
        <f t="shared" si="15"/>
        <v/>
      </c>
      <c r="AKM23" s="50" t="str">
        <f t="shared" si="15"/>
        <v/>
      </c>
      <c r="AKN23" s="50" t="str">
        <f t="shared" si="15"/>
        <v/>
      </c>
      <c r="AKO23" s="50" t="str">
        <f t="shared" si="15"/>
        <v/>
      </c>
      <c r="AKP23" s="50" t="str">
        <f t="shared" si="15"/>
        <v/>
      </c>
      <c r="AKQ23" s="50" t="str">
        <f t="shared" si="15"/>
        <v/>
      </c>
      <c r="AKR23" s="50" t="str">
        <f t="shared" si="15"/>
        <v/>
      </c>
      <c r="AKS23" s="50" t="str">
        <f t="shared" si="15"/>
        <v/>
      </c>
      <c r="AKT23" s="50" t="str">
        <f t="shared" si="15"/>
        <v/>
      </c>
      <c r="AKU23" s="50" t="str">
        <f t="shared" si="15"/>
        <v/>
      </c>
      <c r="AKV23" s="50" t="str">
        <f t="shared" si="15"/>
        <v/>
      </c>
      <c r="AKW23" s="50" t="str">
        <f t="shared" si="15"/>
        <v/>
      </c>
      <c r="AKX23" s="50" t="str">
        <f t="shared" si="15"/>
        <v/>
      </c>
      <c r="AKY23" s="50" t="str">
        <f t="shared" si="15"/>
        <v/>
      </c>
      <c r="AKZ23" s="50" t="str">
        <f t="shared" si="15"/>
        <v/>
      </c>
      <c r="ALA23" s="50" t="str">
        <f t="shared" si="15"/>
        <v/>
      </c>
      <c r="ALB23" s="50" t="str">
        <f t="shared" si="15"/>
        <v/>
      </c>
      <c r="ALC23" s="50" t="str">
        <f t="shared" si="15"/>
        <v/>
      </c>
      <c r="ALD23" s="50" t="str">
        <f t="shared" si="15"/>
        <v/>
      </c>
      <c r="ALE23" s="50" t="str">
        <f t="shared" si="15"/>
        <v/>
      </c>
      <c r="ALF23" s="50" t="str">
        <f t="shared" si="15"/>
        <v/>
      </c>
      <c r="ALG23" s="50" t="str">
        <f t="shared" si="15"/>
        <v/>
      </c>
      <c r="ALH23" s="50" t="str">
        <f t="shared" si="15"/>
        <v/>
      </c>
      <c r="ALI23" s="50" t="str">
        <f t="shared" si="15"/>
        <v/>
      </c>
      <c r="ALJ23" s="50" t="str">
        <f t="shared" si="15"/>
        <v/>
      </c>
      <c r="ALK23" s="50" t="str">
        <f t="shared" si="15"/>
        <v/>
      </c>
      <c r="ALL23" s="50" t="str">
        <f t="shared" si="15"/>
        <v/>
      </c>
      <c r="ALM23" s="50" t="str">
        <f t="shared" si="15"/>
        <v/>
      </c>
      <c r="ALN23" s="50" t="str">
        <f t="shared" si="15"/>
        <v/>
      </c>
      <c r="ALO23" s="50" t="str">
        <f t="shared" si="15"/>
        <v/>
      </c>
      <c r="ALP23" s="50" t="str">
        <f t="shared" si="15"/>
        <v/>
      </c>
      <c r="ALQ23" s="50" t="str">
        <f t="shared" si="15"/>
        <v/>
      </c>
      <c r="ALR23" s="50" t="str">
        <f t="shared" si="15"/>
        <v/>
      </c>
      <c r="ALS23" s="50" t="str">
        <f t="shared" si="15"/>
        <v/>
      </c>
      <c r="ALT23" s="50" t="str">
        <f t="shared" si="15"/>
        <v/>
      </c>
      <c r="ALU23" s="50" t="str">
        <f t="shared" ref="ALU23:AOF23" si="16">IFERROR(IF(ALT23+TIME(1,0,0)&lt;=$G$12,ALT23+TIME(1,0,0),""),"")</f>
        <v/>
      </c>
      <c r="ALV23" s="50" t="str">
        <f t="shared" si="16"/>
        <v/>
      </c>
      <c r="ALW23" s="50" t="str">
        <f t="shared" si="16"/>
        <v/>
      </c>
      <c r="ALX23" s="50" t="str">
        <f t="shared" si="16"/>
        <v/>
      </c>
      <c r="ALY23" s="50" t="str">
        <f t="shared" si="16"/>
        <v/>
      </c>
      <c r="ALZ23" s="50" t="str">
        <f t="shared" si="16"/>
        <v/>
      </c>
      <c r="AMA23" s="50" t="str">
        <f t="shared" si="16"/>
        <v/>
      </c>
      <c r="AMB23" s="50" t="str">
        <f t="shared" si="16"/>
        <v/>
      </c>
      <c r="AMC23" s="50" t="str">
        <f t="shared" si="16"/>
        <v/>
      </c>
      <c r="AMD23" s="50" t="str">
        <f t="shared" si="16"/>
        <v/>
      </c>
      <c r="AME23" s="50" t="str">
        <f t="shared" si="16"/>
        <v/>
      </c>
      <c r="AMF23" s="50" t="str">
        <f t="shared" si="16"/>
        <v/>
      </c>
      <c r="AMG23" s="50" t="str">
        <f t="shared" si="16"/>
        <v/>
      </c>
      <c r="AMH23" s="50" t="str">
        <f t="shared" si="16"/>
        <v/>
      </c>
      <c r="AMI23" s="50" t="str">
        <f t="shared" si="16"/>
        <v/>
      </c>
      <c r="AMJ23" s="50" t="str">
        <f t="shared" si="16"/>
        <v/>
      </c>
      <c r="AMK23" s="50" t="str">
        <f t="shared" si="16"/>
        <v/>
      </c>
      <c r="AML23" s="50" t="str">
        <f t="shared" si="16"/>
        <v/>
      </c>
      <c r="AMM23" s="50" t="str">
        <f t="shared" si="16"/>
        <v/>
      </c>
      <c r="AMN23" s="50" t="str">
        <f t="shared" si="16"/>
        <v/>
      </c>
      <c r="AMO23" s="50" t="str">
        <f t="shared" si="16"/>
        <v/>
      </c>
      <c r="AMP23" s="50" t="str">
        <f t="shared" si="16"/>
        <v/>
      </c>
      <c r="AMQ23" s="50" t="str">
        <f t="shared" si="16"/>
        <v/>
      </c>
      <c r="AMR23" s="50" t="str">
        <f t="shared" si="16"/>
        <v/>
      </c>
      <c r="AMS23" s="50" t="str">
        <f t="shared" si="16"/>
        <v/>
      </c>
      <c r="AMT23" s="50" t="str">
        <f t="shared" si="16"/>
        <v/>
      </c>
      <c r="AMU23" s="50" t="str">
        <f t="shared" si="16"/>
        <v/>
      </c>
      <c r="AMV23" s="50" t="str">
        <f t="shared" si="16"/>
        <v/>
      </c>
      <c r="AMW23" s="50" t="str">
        <f t="shared" si="16"/>
        <v/>
      </c>
      <c r="AMX23" s="50" t="str">
        <f t="shared" si="16"/>
        <v/>
      </c>
      <c r="AMY23" s="50" t="str">
        <f t="shared" si="16"/>
        <v/>
      </c>
      <c r="AMZ23" s="50" t="str">
        <f t="shared" si="16"/>
        <v/>
      </c>
      <c r="ANA23" s="50" t="str">
        <f t="shared" si="16"/>
        <v/>
      </c>
      <c r="ANB23" s="50" t="str">
        <f t="shared" si="16"/>
        <v/>
      </c>
      <c r="ANC23" s="50" t="str">
        <f t="shared" si="16"/>
        <v/>
      </c>
      <c r="AND23" s="50" t="str">
        <f t="shared" si="16"/>
        <v/>
      </c>
      <c r="ANE23" s="50" t="str">
        <f t="shared" si="16"/>
        <v/>
      </c>
      <c r="ANF23" s="50" t="str">
        <f t="shared" si="16"/>
        <v/>
      </c>
      <c r="ANG23" s="50" t="str">
        <f t="shared" si="16"/>
        <v/>
      </c>
      <c r="ANH23" s="50" t="str">
        <f t="shared" si="16"/>
        <v/>
      </c>
      <c r="ANI23" s="50" t="str">
        <f t="shared" si="16"/>
        <v/>
      </c>
      <c r="ANJ23" s="50" t="str">
        <f t="shared" si="16"/>
        <v/>
      </c>
      <c r="ANK23" s="50" t="str">
        <f t="shared" si="16"/>
        <v/>
      </c>
      <c r="ANL23" s="50" t="str">
        <f t="shared" si="16"/>
        <v/>
      </c>
      <c r="ANM23" s="50" t="str">
        <f t="shared" si="16"/>
        <v/>
      </c>
      <c r="ANN23" s="50" t="str">
        <f t="shared" si="16"/>
        <v/>
      </c>
      <c r="ANO23" s="50" t="str">
        <f t="shared" si="16"/>
        <v/>
      </c>
      <c r="ANP23" s="50" t="str">
        <f t="shared" si="16"/>
        <v/>
      </c>
      <c r="ANQ23" s="50" t="str">
        <f t="shared" si="16"/>
        <v/>
      </c>
      <c r="ANR23" s="50" t="str">
        <f t="shared" si="16"/>
        <v/>
      </c>
      <c r="ANS23" s="50" t="str">
        <f t="shared" si="16"/>
        <v/>
      </c>
      <c r="ANT23" s="50" t="str">
        <f t="shared" si="16"/>
        <v/>
      </c>
      <c r="ANU23" s="50" t="str">
        <f t="shared" si="16"/>
        <v/>
      </c>
      <c r="ANV23" s="50" t="str">
        <f t="shared" si="16"/>
        <v/>
      </c>
      <c r="ANW23" s="50" t="str">
        <f t="shared" si="16"/>
        <v/>
      </c>
      <c r="ANX23" s="50" t="str">
        <f t="shared" si="16"/>
        <v/>
      </c>
      <c r="ANY23" s="50" t="str">
        <f t="shared" si="16"/>
        <v/>
      </c>
      <c r="ANZ23" s="50" t="str">
        <f t="shared" si="16"/>
        <v/>
      </c>
      <c r="AOA23" s="50" t="str">
        <f t="shared" si="16"/>
        <v/>
      </c>
      <c r="AOB23" s="50" t="str">
        <f t="shared" si="16"/>
        <v/>
      </c>
      <c r="AOC23" s="50" t="str">
        <f t="shared" si="16"/>
        <v/>
      </c>
      <c r="AOD23" s="50" t="str">
        <f t="shared" si="16"/>
        <v/>
      </c>
      <c r="AOE23" s="50" t="str">
        <f t="shared" si="16"/>
        <v/>
      </c>
      <c r="AOF23" s="50" t="str">
        <f t="shared" si="16"/>
        <v/>
      </c>
      <c r="AOG23" s="50" t="str">
        <f t="shared" ref="AOG23:AQR23" si="17">IFERROR(IF(AOF23+TIME(1,0,0)&lt;=$G$12,AOF23+TIME(1,0,0),""),"")</f>
        <v/>
      </c>
      <c r="AOH23" s="50" t="str">
        <f t="shared" si="17"/>
        <v/>
      </c>
      <c r="AOI23" s="50" t="str">
        <f t="shared" si="17"/>
        <v/>
      </c>
      <c r="AOJ23" s="50" t="str">
        <f t="shared" si="17"/>
        <v/>
      </c>
      <c r="AOK23" s="50" t="str">
        <f t="shared" si="17"/>
        <v/>
      </c>
      <c r="AOL23" s="50" t="str">
        <f t="shared" si="17"/>
        <v/>
      </c>
      <c r="AOM23" s="50" t="str">
        <f t="shared" si="17"/>
        <v/>
      </c>
      <c r="AON23" s="50" t="str">
        <f t="shared" si="17"/>
        <v/>
      </c>
      <c r="AOO23" s="50" t="str">
        <f t="shared" si="17"/>
        <v/>
      </c>
      <c r="AOP23" s="50" t="str">
        <f t="shared" si="17"/>
        <v/>
      </c>
      <c r="AOQ23" s="50" t="str">
        <f t="shared" si="17"/>
        <v/>
      </c>
      <c r="AOR23" s="50" t="str">
        <f t="shared" si="17"/>
        <v/>
      </c>
      <c r="AOS23" s="50" t="str">
        <f t="shared" si="17"/>
        <v/>
      </c>
      <c r="AOT23" s="50" t="str">
        <f t="shared" si="17"/>
        <v/>
      </c>
      <c r="AOU23" s="50" t="str">
        <f t="shared" si="17"/>
        <v/>
      </c>
      <c r="AOV23" s="50" t="str">
        <f t="shared" si="17"/>
        <v/>
      </c>
      <c r="AOW23" s="50" t="str">
        <f t="shared" si="17"/>
        <v/>
      </c>
      <c r="AOX23" s="50" t="str">
        <f t="shared" si="17"/>
        <v/>
      </c>
      <c r="AOY23" s="50" t="str">
        <f t="shared" si="17"/>
        <v/>
      </c>
      <c r="AOZ23" s="50" t="str">
        <f t="shared" si="17"/>
        <v/>
      </c>
      <c r="APA23" s="50" t="str">
        <f t="shared" si="17"/>
        <v/>
      </c>
      <c r="APB23" s="50" t="str">
        <f t="shared" si="17"/>
        <v/>
      </c>
      <c r="APC23" s="50" t="str">
        <f t="shared" si="17"/>
        <v/>
      </c>
      <c r="APD23" s="50" t="str">
        <f t="shared" si="17"/>
        <v/>
      </c>
      <c r="APE23" s="50" t="str">
        <f t="shared" si="17"/>
        <v/>
      </c>
      <c r="APF23" s="50" t="str">
        <f t="shared" si="17"/>
        <v/>
      </c>
      <c r="APG23" s="50" t="str">
        <f t="shared" si="17"/>
        <v/>
      </c>
      <c r="APH23" s="50" t="str">
        <f t="shared" si="17"/>
        <v/>
      </c>
      <c r="API23" s="50" t="str">
        <f t="shared" si="17"/>
        <v/>
      </c>
      <c r="APJ23" s="50" t="str">
        <f t="shared" si="17"/>
        <v/>
      </c>
      <c r="APK23" s="50" t="str">
        <f t="shared" si="17"/>
        <v/>
      </c>
      <c r="APL23" s="50" t="str">
        <f t="shared" si="17"/>
        <v/>
      </c>
      <c r="APM23" s="50" t="str">
        <f t="shared" si="17"/>
        <v/>
      </c>
      <c r="APN23" s="50" t="str">
        <f t="shared" si="17"/>
        <v/>
      </c>
      <c r="APO23" s="50" t="str">
        <f t="shared" si="17"/>
        <v/>
      </c>
      <c r="APP23" s="50" t="str">
        <f t="shared" si="17"/>
        <v/>
      </c>
      <c r="APQ23" s="50" t="str">
        <f t="shared" si="17"/>
        <v/>
      </c>
      <c r="APR23" s="50" t="str">
        <f t="shared" si="17"/>
        <v/>
      </c>
      <c r="APS23" s="50" t="str">
        <f t="shared" si="17"/>
        <v/>
      </c>
      <c r="APT23" s="50" t="str">
        <f t="shared" si="17"/>
        <v/>
      </c>
      <c r="APU23" s="50" t="str">
        <f t="shared" si="17"/>
        <v/>
      </c>
      <c r="APV23" s="50" t="str">
        <f t="shared" si="17"/>
        <v/>
      </c>
      <c r="APW23" s="50" t="str">
        <f t="shared" si="17"/>
        <v/>
      </c>
      <c r="APX23" s="50" t="str">
        <f t="shared" si="17"/>
        <v/>
      </c>
      <c r="APY23" s="50" t="str">
        <f t="shared" si="17"/>
        <v/>
      </c>
      <c r="APZ23" s="50" t="str">
        <f t="shared" si="17"/>
        <v/>
      </c>
      <c r="AQA23" s="50" t="str">
        <f t="shared" si="17"/>
        <v/>
      </c>
      <c r="AQB23" s="50" t="str">
        <f t="shared" si="17"/>
        <v/>
      </c>
      <c r="AQC23" s="50" t="str">
        <f t="shared" si="17"/>
        <v/>
      </c>
      <c r="AQD23" s="50" t="str">
        <f t="shared" si="17"/>
        <v/>
      </c>
      <c r="AQE23" s="50" t="str">
        <f t="shared" si="17"/>
        <v/>
      </c>
      <c r="AQF23" s="50" t="str">
        <f t="shared" si="17"/>
        <v/>
      </c>
      <c r="AQG23" s="50" t="str">
        <f t="shared" si="17"/>
        <v/>
      </c>
      <c r="AQH23" s="50" t="str">
        <f t="shared" si="17"/>
        <v/>
      </c>
      <c r="AQI23" s="50" t="str">
        <f t="shared" si="17"/>
        <v/>
      </c>
      <c r="AQJ23" s="50" t="str">
        <f t="shared" si="17"/>
        <v/>
      </c>
      <c r="AQK23" s="50" t="str">
        <f t="shared" si="17"/>
        <v/>
      </c>
      <c r="AQL23" s="50" t="str">
        <f t="shared" si="17"/>
        <v/>
      </c>
      <c r="AQM23" s="50" t="str">
        <f t="shared" si="17"/>
        <v/>
      </c>
      <c r="AQN23" s="50" t="str">
        <f t="shared" si="17"/>
        <v/>
      </c>
      <c r="AQO23" s="50" t="str">
        <f t="shared" si="17"/>
        <v/>
      </c>
      <c r="AQP23" s="50" t="str">
        <f t="shared" si="17"/>
        <v/>
      </c>
      <c r="AQQ23" s="50" t="str">
        <f t="shared" si="17"/>
        <v/>
      </c>
      <c r="AQR23" s="50" t="str">
        <f t="shared" si="17"/>
        <v/>
      </c>
      <c r="AQS23" s="50" t="str">
        <f t="shared" ref="AQS23:ATD23" si="18">IFERROR(IF(AQR23+TIME(1,0,0)&lt;=$G$12,AQR23+TIME(1,0,0),""),"")</f>
        <v/>
      </c>
      <c r="AQT23" s="50" t="str">
        <f t="shared" si="18"/>
        <v/>
      </c>
      <c r="AQU23" s="50" t="str">
        <f t="shared" si="18"/>
        <v/>
      </c>
      <c r="AQV23" s="50" t="str">
        <f t="shared" si="18"/>
        <v/>
      </c>
      <c r="AQW23" s="50" t="str">
        <f t="shared" si="18"/>
        <v/>
      </c>
      <c r="AQX23" s="50" t="str">
        <f t="shared" si="18"/>
        <v/>
      </c>
      <c r="AQY23" s="50" t="str">
        <f t="shared" si="18"/>
        <v/>
      </c>
      <c r="AQZ23" s="50" t="str">
        <f t="shared" si="18"/>
        <v/>
      </c>
      <c r="ARA23" s="50" t="str">
        <f t="shared" si="18"/>
        <v/>
      </c>
      <c r="ARB23" s="50" t="str">
        <f t="shared" si="18"/>
        <v/>
      </c>
      <c r="ARC23" s="50" t="str">
        <f t="shared" si="18"/>
        <v/>
      </c>
      <c r="ARD23" s="50" t="str">
        <f t="shared" si="18"/>
        <v/>
      </c>
      <c r="ARE23" s="50" t="str">
        <f t="shared" si="18"/>
        <v/>
      </c>
      <c r="ARF23" s="50" t="str">
        <f t="shared" si="18"/>
        <v/>
      </c>
      <c r="ARG23" s="50" t="str">
        <f t="shared" si="18"/>
        <v/>
      </c>
      <c r="ARH23" s="50" t="str">
        <f t="shared" si="18"/>
        <v/>
      </c>
      <c r="ARI23" s="50" t="str">
        <f t="shared" si="18"/>
        <v/>
      </c>
      <c r="ARJ23" s="50" t="str">
        <f t="shared" si="18"/>
        <v/>
      </c>
      <c r="ARK23" s="50" t="str">
        <f t="shared" si="18"/>
        <v/>
      </c>
      <c r="ARL23" s="50" t="str">
        <f t="shared" si="18"/>
        <v/>
      </c>
      <c r="ARM23" s="50" t="str">
        <f t="shared" si="18"/>
        <v/>
      </c>
      <c r="ARN23" s="50" t="str">
        <f t="shared" si="18"/>
        <v/>
      </c>
      <c r="ARO23" s="50" t="str">
        <f t="shared" si="18"/>
        <v/>
      </c>
      <c r="ARP23" s="50" t="str">
        <f t="shared" si="18"/>
        <v/>
      </c>
      <c r="ARQ23" s="50" t="str">
        <f t="shared" si="18"/>
        <v/>
      </c>
      <c r="ARR23" s="50" t="str">
        <f t="shared" si="18"/>
        <v/>
      </c>
      <c r="ARS23" s="50" t="str">
        <f t="shared" si="18"/>
        <v/>
      </c>
      <c r="ART23" s="50" t="str">
        <f t="shared" si="18"/>
        <v/>
      </c>
      <c r="ARU23" s="50" t="str">
        <f t="shared" si="18"/>
        <v/>
      </c>
      <c r="ARV23" s="50" t="str">
        <f t="shared" si="18"/>
        <v/>
      </c>
      <c r="ARW23" s="50" t="str">
        <f t="shared" si="18"/>
        <v/>
      </c>
      <c r="ARX23" s="50" t="str">
        <f t="shared" si="18"/>
        <v/>
      </c>
      <c r="ARY23" s="50" t="str">
        <f t="shared" si="18"/>
        <v/>
      </c>
      <c r="ARZ23" s="50" t="str">
        <f t="shared" si="18"/>
        <v/>
      </c>
      <c r="ASA23" s="50" t="str">
        <f t="shared" si="18"/>
        <v/>
      </c>
      <c r="ASB23" s="50" t="str">
        <f t="shared" si="18"/>
        <v/>
      </c>
      <c r="ASC23" s="50" t="str">
        <f t="shared" si="18"/>
        <v/>
      </c>
      <c r="ASD23" s="50" t="str">
        <f t="shared" si="18"/>
        <v/>
      </c>
      <c r="ASE23" s="50" t="str">
        <f t="shared" si="18"/>
        <v/>
      </c>
      <c r="ASF23" s="50" t="str">
        <f t="shared" si="18"/>
        <v/>
      </c>
      <c r="ASG23" s="50" t="str">
        <f t="shared" si="18"/>
        <v/>
      </c>
      <c r="ASH23" s="50" t="str">
        <f t="shared" si="18"/>
        <v/>
      </c>
      <c r="ASI23" s="50" t="str">
        <f t="shared" si="18"/>
        <v/>
      </c>
      <c r="ASJ23" s="50" t="str">
        <f t="shared" si="18"/>
        <v/>
      </c>
      <c r="ASK23" s="50" t="str">
        <f t="shared" si="18"/>
        <v/>
      </c>
      <c r="ASL23" s="50" t="str">
        <f t="shared" si="18"/>
        <v/>
      </c>
      <c r="ASM23" s="50" t="str">
        <f t="shared" si="18"/>
        <v/>
      </c>
      <c r="ASN23" s="50" t="str">
        <f t="shared" si="18"/>
        <v/>
      </c>
      <c r="ASO23" s="50" t="str">
        <f t="shared" si="18"/>
        <v/>
      </c>
      <c r="ASP23" s="50" t="str">
        <f t="shared" si="18"/>
        <v/>
      </c>
      <c r="ASQ23" s="50" t="str">
        <f t="shared" si="18"/>
        <v/>
      </c>
      <c r="ASR23" s="50" t="str">
        <f t="shared" si="18"/>
        <v/>
      </c>
      <c r="ASS23" s="50" t="str">
        <f t="shared" si="18"/>
        <v/>
      </c>
      <c r="AST23" s="50" t="str">
        <f t="shared" si="18"/>
        <v/>
      </c>
      <c r="ASU23" s="50" t="str">
        <f t="shared" si="18"/>
        <v/>
      </c>
      <c r="ASV23" s="50" t="str">
        <f t="shared" si="18"/>
        <v/>
      </c>
      <c r="ASW23" s="50" t="str">
        <f t="shared" si="18"/>
        <v/>
      </c>
      <c r="ASX23" s="50" t="str">
        <f t="shared" si="18"/>
        <v/>
      </c>
      <c r="ASY23" s="50" t="str">
        <f t="shared" si="18"/>
        <v/>
      </c>
      <c r="ASZ23" s="50" t="str">
        <f t="shared" si="18"/>
        <v/>
      </c>
      <c r="ATA23" s="50" t="str">
        <f t="shared" si="18"/>
        <v/>
      </c>
      <c r="ATB23" s="50" t="str">
        <f t="shared" si="18"/>
        <v/>
      </c>
      <c r="ATC23" s="50" t="str">
        <f t="shared" si="18"/>
        <v/>
      </c>
      <c r="ATD23" s="50" t="str">
        <f t="shared" si="18"/>
        <v/>
      </c>
      <c r="ATE23" s="50" t="str">
        <f t="shared" ref="ATE23:AVP23" si="19">IFERROR(IF(ATD23+TIME(1,0,0)&lt;=$G$12,ATD23+TIME(1,0,0),""),"")</f>
        <v/>
      </c>
      <c r="ATF23" s="50" t="str">
        <f t="shared" si="19"/>
        <v/>
      </c>
      <c r="ATG23" s="50" t="str">
        <f t="shared" si="19"/>
        <v/>
      </c>
      <c r="ATH23" s="50" t="str">
        <f t="shared" si="19"/>
        <v/>
      </c>
      <c r="ATI23" s="50" t="str">
        <f t="shared" si="19"/>
        <v/>
      </c>
      <c r="ATJ23" s="50" t="str">
        <f t="shared" si="19"/>
        <v/>
      </c>
      <c r="ATK23" s="50" t="str">
        <f t="shared" si="19"/>
        <v/>
      </c>
      <c r="ATL23" s="50" t="str">
        <f t="shared" si="19"/>
        <v/>
      </c>
      <c r="ATM23" s="50" t="str">
        <f t="shared" si="19"/>
        <v/>
      </c>
      <c r="ATN23" s="50" t="str">
        <f t="shared" si="19"/>
        <v/>
      </c>
      <c r="ATO23" s="50" t="str">
        <f t="shared" si="19"/>
        <v/>
      </c>
      <c r="ATP23" s="50" t="str">
        <f t="shared" si="19"/>
        <v/>
      </c>
      <c r="ATQ23" s="50" t="str">
        <f t="shared" si="19"/>
        <v/>
      </c>
      <c r="ATR23" s="50" t="str">
        <f t="shared" si="19"/>
        <v/>
      </c>
      <c r="ATS23" s="50" t="str">
        <f t="shared" si="19"/>
        <v/>
      </c>
      <c r="ATT23" s="50" t="str">
        <f t="shared" si="19"/>
        <v/>
      </c>
      <c r="ATU23" s="50" t="str">
        <f t="shared" si="19"/>
        <v/>
      </c>
      <c r="ATV23" s="50" t="str">
        <f t="shared" si="19"/>
        <v/>
      </c>
      <c r="ATW23" s="50" t="str">
        <f t="shared" si="19"/>
        <v/>
      </c>
      <c r="ATX23" s="50" t="str">
        <f t="shared" si="19"/>
        <v/>
      </c>
      <c r="ATY23" s="50" t="str">
        <f t="shared" si="19"/>
        <v/>
      </c>
      <c r="ATZ23" s="50" t="str">
        <f t="shared" si="19"/>
        <v/>
      </c>
      <c r="AUA23" s="50" t="str">
        <f t="shared" si="19"/>
        <v/>
      </c>
      <c r="AUB23" s="50" t="str">
        <f t="shared" si="19"/>
        <v/>
      </c>
      <c r="AUC23" s="50" t="str">
        <f t="shared" si="19"/>
        <v/>
      </c>
      <c r="AUD23" s="50" t="str">
        <f t="shared" si="19"/>
        <v/>
      </c>
      <c r="AUE23" s="50" t="str">
        <f t="shared" si="19"/>
        <v/>
      </c>
      <c r="AUF23" s="50" t="str">
        <f t="shared" si="19"/>
        <v/>
      </c>
      <c r="AUG23" s="50" t="str">
        <f t="shared" si="19"/>
        <v/>
      </c>
      <c r="AUH23" s="50" t="str">
        <f t="shared" si="19"/>
        <v/>
      </c>
      <c r="AUI23" s="50" t="str">
        <f t="shared" si="19"/>
        <v/>
      </c>
      <c r="AUJ23" s="50" t="str">
        <f t="shared" si="19"/>
        <v/>
      </c>
      <c r="AUK23" s="50" t="str">
        <f t="shared" si="19"/>
        <v/>
      </c>
      <c r="AUL23" s="50" t="str">
        <f t="shared" si="19"/>
        <v/>
      </c>
      <c r="AUM23" s="50" t="str">
        <f t="shared" si="19"/>
        <v/>
      </c>
      <c r="AUN23" s="50" t="str">
        <f t="shared" si="19"/>
        <v/>
      </c>
      <c r="AUO23" s="50" t="str">
        <f t="shared" si="19"/>
        <v/>
      </c>
      <c r="AUP23" s="50" t="str">
        <f t="shared" si="19"/>
        <v/>
      </c>
      <c r="AUQ23" s="50" t="str">
        <f t="shared" si="19"/>
        <v/>
      </c>
      <c r="AUR23" s="50" t="str">
        <f t="shared" si="19"/>
        <v/>
      </c>
      <c r="AUS23" s="50" t="str">
        <f t="shared" si="19"/>
        <v/>
      </c>
      <c r="AUT23" s="50" t="str">
        <f t="shared" si="19"/>
        <v/>
      </c>
      <c r="AUU23" s="50" t="str">
        <f t="shared" si="19"/>
        <v/>
      </c>
      <c r="AUV23" s="50" t="str">
        <f t="shared" si="19"/>
        <v/>
      </c>
      <c r="AUW23" s="50" t="str">
        <f t="shared" si="19"/>
        <v/>
      </c>
      <c r="AUX23" s="50" t="str">
        <f t="shared" si="19"/>
        <v/>
      </c>
      <c r="AUY23" s="50" t="str">
        <f t="shared" si="19"/>
        <v/>
      </c>
      <c r="AUZ23" s="50" t="str">
        <f t="shared" si="19"/>
        <v/>
      </c>
      <c r="AVA23" s="50" t="str">
        <f t="shared" si="19"/>
        <v/>
      </c>
      <c r="AVB23" s="50" t="str">
        <f t="shared" si="19"/>
        <v/>
      </c>
      <c r="AVC23" s="50" t="str">
        <f t="shared" si="19"/>
        <v/>
      </c>
      <c r="AVD23" s="50" t="str">
        <f t="shared" si="19"/>
        <v/>
      </c>
      <c r="AVE23" s="50" t="str">
        <f t="shared" si="19"/>
        <v/>
      </c>
      <c r="AVF23" s="50" t="str">
        <f t="shared" si="19"/>
        <v/>
      </c>
      <c r="AVG23" s="50" t="str">
        <f t="shared" si="19"/>
        <v/>
      </c>
      <c r="AVH23" s="50" t="str">
        <f t="shared" si="19"/>
        <v/>
      </c>
      <c r="AVI23" s="50" t="str">
        <f t="shared" si="19"/>
        <v/>
      </c>
      <c r="AVJ23" s="50" t="str">
        <f t="shared" si="19"/>
        <v/>
      </c>
      <c r="AVK23" s="50" t="str">
        <f t="shared" si="19"/>
        <v/>
      </c>
      <c r="AVL23" s="50" t="str">
        <f t="shared" si="19"/>
        <v/>
      </c>
      <c r="AVM23" s="50" t="str">
        <f t="shared" si="19"/>
        <v/>
      </c>
      <c r="AVN23" s="50" t="str">
        <f t="shared" si="19"/>
        <v/>
      </c>
      <c r="AVO23" s="50" t="str">
        <f t="shared" si="19"/>
        <v/>
      </c>
      <c r="AVP23" s="50" t="str">
        <f t="shared" si="19"/>
        <v/>
      </c>
      <c r="AVQ23" s="50" t="str">
        <f t="shared" ref="AVQ23:AYB23" si="20">IFERROR(IF(AVP23+TIME(1,0,0)&lt;=$G$12,AVP23+TIME(1,0,0),""),"")</f>
        <v/>
      </c>
      <c r="AVR23" s="50" t="str">
        <f t="shared" si="20"/>
        <v/>
      </c>
      <c r="AVS23" s="50" t="str">
        <f t="shared" si="20"/>
        <v/>
      </c>
      <c r="AVT23" s="50" t="str">
        <f t="shared" si="20"/>
        <v/>
      </c>
      <c r="AVU23" s="50" t="str">
        <f t="shared" si="20"/>
        <v/>
      </c>
      <c r="AVV23" s="50" t="str">
        <f t="shared" si="20"/>
        <v/>
      </c>
      <c r="AVW23" s="50" t="str">
        <f t="shared" si="20"/>
        <v/>
      </c>
      <c r="AVX23" s="50" t="str">
        <f t="shared" si="20"/>
        <v/>
      </c>
      <c r="AVY23" s="50" t="str">
        <f t="shared" si="20"/>
        <v/>
      </c>
      <c r="AVZ23" s="50" t="str">
        <f t="shared" si="20"/>
        <v/>
      </c>
      <c r="AWA23" s="50" t="str">
        <f t="shared" si="20"/>
        <v/>
      </c>
      <c r="AWB23" s="50" t="str">
        <f t="shared" si="20"/>
        <v/>
      </c>
      <c r="AWC23" s="50" t="str">
        <f t="shared" si="20"/>
        <v/>
      </c>
      <c r="AWD23" s="50" t="str">
        <f t="shared" si="20"/>
        <v/>
      </c>
      <c r="AWE23" s="50" t="str">
        <f t="shared" si="20"/>
        <v/>
      </c>
      <c r="AWF23" s="50" t="str">
        <f t="shared" si="20"/>
        <v/>
      </c>
      <c r="AWG23" s="50" t="str">
        <f t="shared" si="20"/>
        <v/>
      </c>
      <c r="AWH23" s="50" t="str">
        <f t="shared" si="20"/>
        <v/>
      </c>
      <c r="AWI23" s="50" t="str">
        <f t="shared" si="20"/>
        <v/>
      </c>
      <c r="AWJ23" s="50" t="str">
        <f t="shared" si="20"/>
        <v/>
      </c>
      <c r="AWK23" s="50" t="str">
        <f t="shared" si="20"/>
        <v/>
      </c>
      <c r="AWL23" s="50" t="str">
        <f t="shared" si="20"/>
        <v/>
      </c>
      <c r="AWM23" s="50" t="str">
        <f t="shared" si="20"/>
        <v/>
      </c>
      <c r="AWN23" s="50" t="str">
        <f t="shared" si="20"/>
        <v/>
      </c>
      <c r="AWO23" s="50" t="str">
        <f t="shared" si="20"/>
        <v/>
      </c>
      <c r="AWP23" s="50" t="str">
        <f t="shared" si="20"/>
        <v/>
      </c>
      <c r="AWQ23" s="50" t="str">
        <f t="shared" si="20"/>
        <v/>
      </c>
      <c r="AWR23" s="50" t="str">
        <f t="shared" si="20"/>
        <v/>
      </c>
      <c r="AWS23" s="50" t="str">
        <f t="shared" si="20"/>
        <v/>
      </c>
      <c r="AWT23" s="50" t="str">
        <f t="shared" si="20"/>
        <v/>
      </c>
      <c r="AWU23" s="50" t="str">
        <f t="shared" si="20"/>
        <v/>
      </c>
      <c r="AWV23" s="50" t="str">
        <f t="shared" si="20"/>
        <v/>
      </c>
      <c r="AWW23" s="50" t="str">
        <f t="shared" si="20"/>
        <v/>
      </c>
      <c r="AWX23" s="50" t="str">
        <f t="shared" si="20"/>
        <v/>
      </c>
      <c r="AWY23" s="50" t="str">
        <f t="shared" si="20"/>
        <v/>
      </c>
      <c r="AWZ23" s="50" t="str">
        <f t="shared" si="20"/>
        <v/>
      </c>
      <c r="AXA23" s="50" t="str">
        <f t="shared" si="20"/>
        <v/>
      </c>
      <c r="AXB23" s="50" t="str">
        <f t="shared" si="20"/>
        <v/>
      </c>
      <c r="AXC23" s="50" t="str">
        <f t="shared" si="20"/>
        <v/>
      </c>
      <c r="AXD23" s="50" t="str">
        <f t="shared" si="20"/>
        <v/>
      </c>
      <c r="AXE23" s="50" t="str">
        <f t="shared" si="20"/>
        <v/>
      </c>
      <c r="AXF23" s="50" t="str">
        <f t="shared" si="20"/>
        <v/>
      </c>
      <c r="AXG23" s="50" t="str">
        <f t="shared" si="20"/>
        <v/>
      </c>
      <c r="AXH23" s="50" t="str">
        <f t="shared" si="20"/>
        <v/>
      </c>
      <c r="AXI23" s="50" t="str">
        <f t="shared" si="20"/>
        <v/>
      </c>
      <c r="AXJ23" s="50" t="str">
        <f t="shared" si="20"/>
        <v/>
      </c>
      <c r="AXK23" s="50" t="str">
        <f t="shared" si="20"/>
        <v/>
      </c>
      <c r="AXL23" s="50" t="str">
        <f t="shared" si="20"/>
        <v/>
      </c>
      <c r="AXM23" s="50" t="str">
        <f t="shared" si="20"/>
        <v/>
      </c>
      <c r="AXN23" s="50" t="str">
        <f t="shared" si="20"/>
        <v/>
      </c>
      <c r="AXO23" s="50" t="str">
        <f t="shared" si="20"/>
        <v/>
      </c>
      <c r="AXP23" s="50" t="str">
        <f t="shared" si="20"/>
        <v/>
      </c>
      <c r="AXQ23" s="50" t="str">
        <f t="shared" si="20"/>
        <v/>
      </c>
      <c r="AXR23" s="50" t="str">
        <f t="shared" si="20"/>
        <v/>
      </c>
      <c r="AXS23" s="50" t="str">
        <f t="shared" si="20"/>
        <v/>
      </c>
      <c r="AXT23" s="50" t="str">
        <f t="shared" si="20"/>
        <v/>
      </c>
      <c r="AXU23" s="50" t="str">
        <f t="shared" si="20"/>
        <v/>
      </c>
      <c r="AXV23" s="50" t="str">
        <f t="shared" si="20"/>
        <v/>
      </c>
      <c r="AXW23" s="50" t="str">
        <f t="shared" si="20"/>
        <v/>
      </c>
      <c r="AXX23" s="50" t="str">
        <f t="shared" si="20"/>
        <v/>
      </c>
      <c r="AXY23" s="50" t="str">
        <f t="shared" si="20"/>
        <v/>
      </c>
      <c r="AXZ23" s="50" t="str">
        <f t="shared" si="20"/>
        <v/>
      </c>
      <c r="AYA23" s="50" t="str">
        <f t="shared" si="20"/>
        <v/>
      </c>
      <c r="AYB23" s="50" t="str">
        <f t="shared" si="20"/>
        <v/>
      </c>
      <c r="AYC23" s="50" t="str">
        <f t="shared" ref="AYC23:BAN23" si="21">IFERROR(IF(AYB23+TIME(1,0,0)&lt;=$G$12,AYB23+TIME(1,0,0),""),"")</f>
        <v/>
      </c>
      <c r="AYD23" s="50" t="str">
        <f t="shared" si="21"/>
        <v/>
      </c>
      <c r="AYE23" s="50" t="str">
        <f t="shared" si="21"/>
        <v/>
      </c>
      <c r="AYF23" s="50" t="str">
        <f t="shared" si="21"/>
        <v/>
      </c>
      <c r="AYG23" s="50" t="str">
        <f t="shared" si="21"/>
        <v/>
      </c>
      <c r="AYH23" s="50" t="str">
        <f t="shared" si="21"/>
        <v/>
      </c>
      <c r="AYI23" s="50" t="str">
        <f t="shared" si="21"/>
        <v/>
      </c>
      <c r="AYJ23" s="50" t="str">
        <f t="shared" si="21"/>
        <v/>
      </c>
      <c r="AYK23" s="50" t="str">
        <f t="shared" si="21"/>
        <v/>
      </c>
      <c r="AYL23" s="50" t="str">
        <f t="shared" si="21"/>
        <v/>
      </c>
      <c r="AYM23" s="50" t="str">
        <f t="shared" si="21"/>
        <v/>
      </c>
      <c r="AYN23" s="50" t="str">
        <f t="shared" si="21"/>
        <v/>
      </c>
      <c r="AYO23" s="50" t="str">
        <f t="shared" si="21"/>
        <v/>
      </c>
      <c r="AYP23" s="50" t="str">
        <f t="shared" si="21"/>
        <v/>
      </c>
      <c r="AYQ23" s="50" t="str">
        <f t="shared" si="21"/>
        <v/>
      </c>
      <c r="AYR23" s="50" t="str">
        <f t="shared" si="21"/>
        <v/>
      </c>
      <c r="AYS23" s="50" t="str">
        <f t="shared" si="21"/>
        <v/>
      </c>
      <c r="AYT23" s="50" t="str">
        <f t="shared" si="21"/>
        <v/>
      </c>
      <c r="AYU23" s="50" t="str">
        <f t="shared" si="21"/>
        <v/>
      </c>
      <c r="AYV23" s="50" t="str">
        <f t="shared" si="21"/>
        <v/>
      </c>
      <c r="AYW23" s="50" t="str">
        <f t="shared" si="21"/>
        <v/>
      </c>
      <c r="AYX23" s="50" t="str">
        <f t="shared" si="21"/>
        <v/>
      </c>
      <c r="AYY23" s="50" t="str">
        <f t="shared" si="21"/>
        <v/>
      </c>
      <c r="AYZ23" s="50" t="str">
        <f t="shared" si="21"/>
        <v/>
      </c>
      <c r="AZA23" s="50" t="str">
        <f t="shared" si="21"/>
        <v/>
      </c>
      <c r="AZB23" s="50" t="str">
        <f t="shared" si="21"/>
        <v/>
      </c>
      <c r="AZC23" s="50" t="str">
        <f t="shared" si="21"/>
        <v/>
      </c>
      <c r="AZD23" s="50" t="str">
        <f t="shared" si="21"/>
        <v/>
      </c>
      <c r="AZE23" s="50" t="str">
        <f t="shared" si="21"/>
        <v/>
      </c>
      <c r="AZF23" s="50" t="str">
        <f t="shared" si="21"/>
        <v/>
      </c>
      <c r="AZG23" s="50" t="str">
        <f t="shared" si="21"/>
        <v/>
      </c>
      <c r="AZH23" s="50" t="str">
        <f t="shared" si="21"/>
        <v/>
      </c>
      <c r="AZI23" s="50" t="str">
        <f t="shared" si="21"/>
        <v/>
      </c>
      <c r="AZJ23" s="50" t="str">
        <f t="shared" si="21"/>
        <v/>
      </c>
      <c r="AZK23" s="50" t="str">
        <f t="shared" si="21"/>
        <v/>
      </c>
      <c r="AZL23" s="50" t="str">
        <f t="shared" si="21"/>
        <v/>
      </c>
      <c r="AZM23" s="50" t="str">
        <f t="shared" si="21"/>
        <v/>
      </c>
      <c r="AZN23" s="50" t="str">
        <f t="shared" si="21"/>
        <v/>
      </c>
      <c r="AZO23" s="50" t="str">
        <f t="shared" si="21"/>
        <v/>
      </c>
      <c r="AZP23" s="50" t="str">
        <f t="shared" si="21"/>
        <v/>
      </c>
      <c r="AZQ23" s="50" t="str">
        <f t="shared" si="21"/>
        <v/>
      </c>
      <c r="AZR23" s="50" t="str">
        <f t="shared" si="21"/>
        <v/>
      </c>
      <c r="AZS23" s="50" t="str">
        <f t="shared" si="21"/>
        <v/>
      </c>
      <c r="AZT23" s="50" t="str">
        <f t="shared" si="21"/>
        <v/>
      </c>
      <c r="AZU23" s="50" t="str">
        <f t="shared" si="21"/>
        <v/>
      </c>
      <c r="AZV23" s="50" t="str">
        <f t="shared" si="21"/>
        <v/>
      </c>
      <c r="AZW23" s="50" t="str">
        <f t="shared" si="21"/>
        <v/>
      </c>
      <c r="AZX23" s="50" t="str">
        <f t="shared" si="21"/>
        <v/>
      </c>
      <c r="AZY23" s="50" t="str">
        <f t="shared" si="21"/>
        <v/>
      </c>
      <c r="AZZ23" s="50" t="str">
        <f t="shared" si="21"/>
        <v/>
      </c>
      <c r="BAA23" s="50" t="str">
        <f t="shared" si="21"/>
        <v/>
      </c>
      <c r="BAB23" s="50" t="str">
        <f t="shared" si="21"/>
        <v/>
      </c>
      <c r="BAC23" s="50" t="str">
        <f t="shared" si="21"/>
        <v/>
      </c>
      <c r="BAD23" s="50" t="str">
        <f t="shared" si="21"/>
        <v/>
      </c>
      <c r="BAE23" s="50" t="str">
        <f t="shared" si="21"/>
        <v/>
      </c>
      <c r="BAF23" s="50" t="str">
        <f t="shared" si="21"/>
        <v/>
      </c>
      <c r="BAG23" s="50" t="str">
        <f t="shared" si="21"/>
        <v/>
      </c>
      <c r="BAH23" s="50" t="str">
        <f t="shared" si="21"/>
        <v/>
      </c>
      <c r="BAI23" s="50" t="str">
        <f t="shared" si="21"/>
        <v/>
      </c>
      <c r="BAJ23" s="50" t="str">
        <f t="shared" si="21"/>
        <v/>
      </c>
      <c r="BAK23" s="50" t="str">
        <f t="shared" si="21"/>
        <v/>
      </c>
      <c r="BAL23" s="50" t="str">
        <f t="shared" si="21"/>
        <v/>
      </c>
      <c r="BAM23" s="50" t="str">
        <f t="shared" si="21"/>
        <v/>
      </c>
      <c r="BAN23" s="50" t="str">
        <f t="shared" si="21"/>
        <v/>
      </c>
      <c r="BAO23" s="50" t="str">
        <f t="shared" ref="BAO23:BCZ23" si="22">IFERROR(IF(BAN23+TIME(1,0,0)&lt;=$G$12,BAN23+TIME(1,0,0),""),"")</f>
        <v/>
      </c>
      <c r="BAP23" s="50" t="str">
        <f t="shared" si="22"/>
        <v/>
      </c>
      <c r="BAQ23" s="50" t="str">
        <f t="shared" si="22"/>
        <v/>
      </c>
      <c r="BAR23" s="50" t="str">
        <f t="shared" si="22"/>
        <v/>
      </c>
      <c r="BAS23" s="50" t="str">
        <f t="shared" si="22"/>
        <v/>
      </c>
      <c r="BAT23" s="50" t="str">
        <f t="shared" si="22"/>
        <v/>
      </c>
      <c r="BAU23" s="50" t="str">
        <f t="shared" si="22"/>
        <v/>
      </c>
      <c r="BAV23" s="50" t="str">
        <f t="shared" si="22"/>
        <v/>
      </c>
      <c r="BAW23" s="50" t="str">
        <f t="shared" si="22"/>
        <v/>
      </c>
      <c r="BAX23" s="50" t="str">
        <f t="shared" si="22"/>
        <v/>
      </c>
      <c r="BAY23" s="50" t="str">
        <f t="shared" si="22"/>
        <v/>
      </c>
      <c r="BAZ23" s="50" t="str">
        <f t="shared" si="22"/>
        <v/>
      </c>
      <c r="BBA23" s="50" t="str">
        <f t="shared" si="22"/>
        <v/>
      </c>
      <c r="BBB23" s="50" t="str">
        <f t="shared" si="22"/>
        <v/>
      </c>
      <c r="BBC23" s="50" t="str">
        <f t="shared" si="22"/>
        <v/>
      </c>
      <c r="BBD23" s="50" t="str">
        <f t="shared" si="22"/>
        <v/>
      </c>
      <c r="BBE23" s="50" t="str">
        <f t="shared" si="22"/>
        <v/>
      </c>
      <c r="BBF23" s="50" t="str">
        <f t="shared" si="22"/>
        <v/>
      </c>
      <c r="BBG23" s="50" t="str">
        <f t="shared" si="22"/>
        <v/>
      </c>
      <c r="BBH23" s="50" t="str">
        <f t="shared" si="22"/>
        <v/>
      </c>
      <c r="BBI23" s="50" t="str">
        <f t="shared" si="22"/>
        <v/>
      </c>
      <c r="BBJ23" s="50" t="str">
        <f t="shared" si="22"/>
        <v/>
      </c>
      <c r="BBK23" s="50" t="str">
        <f t="shared" si="22"/>
        <v/>
      </c>
      <c r="BBL23" s="50" t="str">
        <f t="shared" si="22"/>
        <v/>
      </c>
      <c r="BBM23" s="50" t="str">
        <f t="shared" si="22"/>
        <v/>
      </c>
      <c r="BBN23" s="50" t="str">
        <f t="shared" si="22"/>
        <v/>
      </c>
      <c r="BBO23" s="50" t="str">
        <f t="shared" si="22"/>
        <v/>
      </c>
      <c r="BBP23" s="50" t="str">
        <f t="shared" si="22"/>
        <v/>
      </c>
      <c r="BBQ23" s="50" t="str">
        <f t="shared" si="22"/>
        <v/>
      </c>
      <c r="BBR23" s="50" t="str">
        <f t="shared" si="22"/>
        <v/>
      </c>
      <c r="BBS23" s="50" t="str">
        <f t="shared" si="22"/>
        <v/>
      </c>
      <c r="BBT23" s="50" t="str">
        <f t="shared" si="22"/>
        <v/>
      </c>
      <c r="BBU23" s="50" t="str">
        <f t="shared" si="22"/>
        <v/>
      </c>
      <c r="BBV23" s="50" t="str">
        <f t="shared" si="22"/>
        <v/>
      </c>
      <c r="BBW23" s="50" t="str">
        <f t="shared" si="22"/>
        <v/>
      </c>
      <c r="BBX23" s="50" t="str">
        <f t="shared" si="22"/>
        <v/>
      </c>
      <c r="BBY23" s="50" t="str">
        <f t="shared" si="22"/>
        <v/>
      </c>
      <c r="BBZ23" s="50" t="str">
        <f t="shared" si="22"/>
        <v/>
      </c>
      <c r="BCA23" s="50" t="str">
        <f t="shared" si="22"/>
        <v/>
      </c>
      <c r="BCB23" s="50" t="str">
        <f t="shared" si="22"/>
        <v/>
      </c>
      <c r="BCC23" s="50" t="str">
        <f t="shared" si="22"/>
        <v/>
      </c>
      <c r="BCD23" s="50" t="str">
        <f t="shared" si="22"/>
        <v/>
      </c>
      <c r="BCE23" s="50" t="str">
        <f t="shared" si="22"/>
        <v/>
      </c>
      <c r="BCF23" s="50" t="str">
        <f t="shared" si="22"/>
        <v/>
      </c>
      <c r="BCG23" s="50" t="str">
        <f t="shared" si="22"/>
        <v/>
      </c>
      <c r="BCH23" s="50" t="str">
        <f t="shared" si="22"/>
        <v/>
      </c>
      <c r="BCI23" s="50" t="str">
        <f t="shared" si="22"/>
        <v/>
      </c>
      <c r="BCJ23" s="50" t="str">
        <f t="shared" si="22"/>
        <v/>
      </c>
      <c r="BCK23" s="50" t="str">
        <f t="shared" si="22"/>
        <v/>
      </c>
      <c r="BCL23" s="50" t="str">
        <f t="shared" si="22"/>
        <v/>
      </c>
      <c r="BCM23" s="50" t="str">
        <f t="shared" si="22"/>
        <v/>
      </c>
      <c r="BCN23" s="50" t="str">
        <f t="shared" si="22"/>
        <v/>
      </c>
      <c r="BCO23" s="50" t="str">
        <f t="shared" si="22"/>
        <v/>
      </c>
      <c r="BCP23" s="50" t="str">
        <f t="shared" si="22"/>
        <v/>
      </c>
      <c r="BCQ23" s="50" t="str">
        <f t="shared" si="22"/>
        <v/>
      </c>
      <c r="BCR23" s="50" t="str">
        <f t="shared" si="22"/>
        <v/>
      </c>
      <c r="BCS23" s="50" t="str">
        <f t="shared" si="22"/>
        <v/>
      </c>
      <c r="BCT23" s="50" t="str">
        <f t="shared" si="22"/>
        <v/>
      </c>
      <c r="BCU23" s="50" t="str">
        <f t="shared" si="22"/>
        <v/>
      </c>
      <c r="BCV23" s="50" t="str">
        <f t="shared" si="22"/>
        <v/>
      </c>
      <c r="BCW23" s="50" t="str">
        <f t="shared" si="22"/>
        <v/>
      </c>
      <c r="BCX23" s="50" t="str">
        <f t="shared" si="22"/>
        <v/>
      </c>
      <c r="BCY23" s="50" t="str">
        <f t="shared" si="22"/>
        <v/>
      </c>
      <c r="BCZ23" s="50" t="str">
        <f t="shared" si="22"/>
        <v/>
      </c>
      <c r="BDA23" s="50" t="str">
        <f t="shared" ref="BDA23:BFL23" si="23">IFERROR(IF(BCZ23+TIME(1,0,0)&lt;=$G$12,BCZ23+TIME(1,0,0),""),"")</f>
        <v/>
      </c>
      <c r="BDB23" s="50" t="str">
        <f t="shared" si="23"/>
        <v/>
      </c>
      <c r="BDC23" s="50" t="str">
        <f t="shared" si="23"/>
        <v/>
      </c>
      <c r="BDD23" s="50" t="str">
        <f t="shared" si="23"/>
        <v/>
      </c>
      <c r="BDE23" s="50" t="str">
        <f t="shared" si="23"/>
        <v/>
      </c>
      <c r="BDF23" s="50" t="str">
        <f t="shared" si="23"/>
        <v/>
      </c>
      <c r="BDG23" s="50" t="str">
        <f t="shared" si="23"/>
        <v/>
      </c>
      <c r="BDH23" s="50" t="str">
        <f t="shared" si="23"/>
        <v/>
      </c>
      <c r="BDI23" s="50" t="str">
        <f t="shared" si="23"/>
        <v/>
      </c>
      <c r="BDJ23" s="50" t="str">
        <f t="shared" si="23"/>
        <v/>
      </c>
      <c r="BDK23" s="50" t="str">
        <f t="shared" si="23"/>
        <v/>
      </c>
      <c r="BDL23" s="50" t="str">
        <f t="shared" si="23"/>
        <v/>
      </c>
      <c r="BDM23" s="50" t="str">
        <f t="shared" si="23"/>
        <v/>
      </c>
      <c r="BDN23" s="50" t="str">
        <f t="shared" si="23"/>
        <v/>
      </c>
      <c r="BDO23" s="50" t="str">
        <f t="shared" si="23"/>
        <v/>
      </c>
      <c r="BDP23" s="50" t="str">
        <f t="shared" si="23"/>
        <v/>
      </c>
      <c r="BDQ23" s="50" t="str">
        <f t="shared" si="23"/>
        <v/>
      </c>
      <c r="BDR23" s="50" t="str">
        <f t="shared" si="23"/>
        <v/>
      </c>
      <c r="BDS23" s="50" t="str">
        <f t="shared" si="23"/>
        <v/>
      </c>
      <c r="BDT23" s="50" t="str">
        <f t="shared" si="23"/>
        <v/>
      </c>
      <c r="BDU23" s="50" t="str">
        <f t="shared" si="23"/>
        <v/>
      </c>
      <c r="BDV23" s="50" t="str">
        <f t="shared" si="23"/>
        <v/>
      </c>
      <c r="BDW23" s="50" t="str">
        <f t="shared" si="23"/>
        <v/>
      </c>
      <c r="BDX23" s="50" t="str">
        <f t="shared" si="23"/>
        <v/>
      </c>
      <c r="BDY23" s="50" t="str">
        <f t="shared" si="23"/>
        <v/>
      </c>
      <c r="BDZ23" s="50" t="str">
        <f t="shared" si="23"/>
        <v/>
      </c>
      <c r="BEA23" s="50" t="str">
        <f t="shared" si="23"/>
        <v/>
      </c>
      <c r="BEB23" s="50" t="str">
        <f t="shared" si="23"/>
        <v/>
      </c>
      <c r="BEC23" s="50" t="str">
        <f t="shared" si="23"/>
        <v/>
      </c>
      <c r="BED23" s="50" t="str">
        <f t="shared" si="23"/>
        <v/>
      </c>
      <c r="BEE23" s="50" t="str">
        <f t="shared" si="23"/>
        <v/>
      </c>
      <c r="BEF23" s="50" t="str">
        <f t="shared" si="23"/>
        <v/>
      </c>
      <c r="BEG23" s="50" t="str">
        <f t="shared" si="23"/>
        <v/>
      </c>
      <c r="BEH23" s="50" t="str">
        <f t="shared" si="23"/>
        <v/>
      </c>
      <c r="BEI23" s="50" t="str">
        <f t="shared" si="23"/>
        <v/>
      </c>
      <c r="BEJ23" s="50" t="str">
        <f t="shared" si="23"/>
        <v/>
      </c>
      <c r="BEK23" s="50" t="str">
        <f t="shared" si="23"/>
        <v/>
      </c>
      <c r="BEL23" s="50" t="str">
        <f t="shared" si="23"/>
        <v/>
      </c>
      <c r="BEM23" s="50" t="str">
        <f t="shared" si="23"/>
        <v/>
      </c>
      <c r="BEN23" s="50" t="str">
        <f t="shared" si="23"/>
        <v/>
      </c>
      <c r="BEO23" s="50" t="str">
        <f t="shared" si="23"/>
        <v/>
      </c>
      <c r="BEP23" s="50" t="str">
        <f t="shared" si="23"/>
        <v/>
      </c>
      <c r="BEQ23" s="50" t="str">
        <f t="shared" si="23"/>
        <v/>
      </c>
      <c r="BER23" s="50" t="str">
        <f t="shared" si="23"/>
        <v/>
      </c>
      <c r="BES23" s="50" t="str">
        <f t="shared" si="23"/>
        <v/>
      </c>
      <c r="BET23" s="50" t="str">
        <f t="shared" si="23"/>
        <v/>
      </c>
      <c r="BEU23" s="50" t="str">
        <f t="shared" si="23"/>
        <v/>
      </c>
      <c r="BEV23" s="50" t="str">
        <f t="shared" si="23"/>
        <v/>
      </c>
      <c r="BEW23" s="50" t="str">
        <f t="shared" si="23"/>
        <v/>
      </c>
      <c r="BEX23" s="50" t="str">
        <f t="shared" si="23"/>
        <v/>
      </c>
      <c r="BEY23" s="50" t="str">
        <f t="shared" si="23"/>
        <v/>
      </c>
      <c r="BEZ23" s="50" t="str">
        <f t="shared" si="23"/>
        <v/>
      </c>
      <c r="BFA23" s="50" t="str">
        <f t="shared" si="23"/>
        <v/>
      </c>
      <c r="BFB23" s="50" t="str">
        <f t="shared" si="23"/>
        <v/>
      </c>
      <c r="BFC23" s="50" t="str">
        <f t="shared" si="23"/>
        <v/>
      </c>
      <c r="BFD23" s="50" t="str">
        <f t="shared" si="23"/>
        <v/>
      </c>
      <c r="BFE23" s="50" t="str">
        <f t="shared" si="23"/>
        <v/>
      </c>
      <c r="BFF23" s="50" t="str">
        <f t="shared" si="23"/>
        <v/>
      </c>
      <c r="BFG23" s="50" t="str">
        <f t="shared" si="23"/>
        <v/>
      </c>
      <c r="BFH23" s="50" t="str">
        <f t="shared" si="23"/>
        <v/>
      </c>
      <c r="BFI23" s="50" t="str">
        <f t="shared" si="23"/>
        <v/>
      </c>
      <c r="BFJ23" s="50" t="str">
        <f t="shared" si="23"/>
        <v/>
      </c>
      <c r="BFK23" s="50" t="str">
        <f t="shared" si="23"/>
        <v/>
      </c>
      <c r="BFL23" s="50" t="str">
        <f t="shared" si="23"/>
        <v/>
      </c>
      <c r="BFM23" s="50" t="str">
        <f t="shared" ref="BFM23:BHX23" si="24">IFERROR(IF(BFL23+TIME(1,0,0)&lt;=$G$12,BFL23+TIME(1,0,0),""),"")</f>
        <v/>
      </c>
      <c r="BFN23" s="50" t="str">
        <f t="shared" si="24"/>
        <v/>
      </c>
      <c r="BFO23" s="50" t="str">
        <f t="shared" si="24"/>
        <v/>
      </c>
      <c r="BFP23" s="50" t="str">
        <f t="shared" si="24"/>
        <v/>
      </c>
      <c r="BFQ23" s="50" t="str">
        <f t="shared" si="24"/>
        <v/>
      </c>
      <c r="BFR23" s="50" t="str">
        <f t="shared" si="24"/>
        <v/>
      </c>
      <c r="BFS23" s="50" t="str">
        <f t="shared" si="24"/>
        <v/>
      </c>
      <c r="BFT23" s="50" t="str">
        <f t="shared" si="24"/>
        <v/>
      </c>
      <c r="BFU23" s="50" t="str">
        <f t="shared" si="24"/>
        <v/>
      </c>
      <c r="BFV23" s="50" t="str">
        <f t="shared" si="24"/>
        <v/>
      </c>
      <c r="BFW23" s="50" t="str">
        <f t="shared" si="24"/>
        <v/>
      </c>
      <c r="BFX23" s="50" t="str">
        <f t="shared" si="24"/>
        <v/>
      </c>
      <c r="BFY23" s="50" t="str">
        <f t="shared" si="24"/>
        <v/>
      </c>
      <c r="BFZ23" s="50" t="str">
        <f t="shared" si="24"/>
        <v/>
      </c>
      <c r="BGA23" s="50" t="str">
        <f t="shared" si="24"/>
        <v/>
      </c>
      <c r="BGB23" s="50" t="str">
        <f t="shared" si="24"/>
        <v/>
      </c>
      <c r="BGC23" s="50" t="str">
        <f t="shared" si="24"/>
        <v/>
      </c>
      <c r="BGD23" s="50" t="str">
        <f t="shared" si="24"/>
        <v/>
      </c>
      <c r="BGE23" s="50" t="str">
        <f t="shared" si="24"/>
        <v/>
      </c>
      <c r="BGF23" s="50" t="str">
        <f t="shared" si="24"/>
        <v/>
      </c>
      <c r="BGG23" s="50" t="str">
        <f t="shared" si="24"/>
        <v/>
      </c>
      <c r="BGH23" s="50" t="str">
        <f t="shared" si="24"/>
        <v/>
      </c>
      <c r="BGI23" s="50" t="str">
        <f t="shared" si="24"/>
        <v/>
      </c>
      <c r="BGJ23" s="50" t="str">
        <f t="shared" si="24"/>
        <v/>
      </c>
      <c r="BGK23" s="50" t="str">
        <f t="shared" si="24"/>
        <v/>
      </c>
      <c r="BGL23" s="50" t="str">
        <f t="shared" si="24"/>
        <v/>
      </c>
      <c r="BGM23" s="50" t="str">
        <f t="shared" si="24"/>
        <v/>
      </c>
      <c r="BGN23" s="50" t="str">
        <f t="shared" si="24"/>
        <v/>
      </c>
      <c r="BGO23" s="50" t="str">
        <f t="shared" si="24"/>
        <v/>
      </c>
      <c r="BGP23" s="50" t="str">
        <f t="shared" si="24"/>
        <v/>
      </c>
      <c r="BGQ23" s="50" t="str">
        <f t="shared" si="24"/>
        <v/>
      </c>
      <c r="BGR23" s="50" t="str">
        <f t="shared" si="24"/>
        <v/>
      </c>
      <c r="BGS23" s="50" t="str">
        <f t="shared" si="24"/>
        <v/>
      </c>
      <c r="BGT23" s="50" t="str">
        <f t="shared" si="24"/>
        <v/>
      </c>
      <c r="BGU23" s="50" t="str">
        <f t="shared" si="24"/>
        <v/>
      </c>
      <c r="BGV23" s="50" t="str">
        <f t="shared" si="24"/>
        <v/>
      </c>
      <c r="BGW23" s="50" t="str">
        <f t="shared" si="24"/>
        <v/>
      </c>
      <c r="BGX23" s="50" t="str">
        <f t="shared" si="24"/>
        <v/>
      </c>
      <c r="BGY23" s="50" t="str">
        <f t="shared" si="24"/>
        <v/>
      </c>
      <c r="BGZ23" s="50" t="str">
        <f t="shared" si="24"/>
        <v/>
      </c>
      <c r="BHA23" s="50" t="str">
        <f t="shared" si="24"/>
        <v/>
      </c>
      <c r="BHB23" s="50" t="str">
        <f t="shared" si="24"/>
        <v/>
      </c>
      <c r="BHC23" s="50" t="str">
        <f t="shared" si="24"/>
        <v/>
      </c>
      <c r="BHD23" s="50" t="str">
        <f t="shared" si="24"/>
        <v/>
      </c>
      <c r="BHE23" s="50" t="str">
        <f t="shared" si="24"/>
        <v/>
      </c>
      <c r="BHF23" s="50" t="str">
        <f t="shared" si="24"/>
        <v/>
      </c>
      <c r="BHG23" s="50" t="str">
        <f t="shared" si="24"/>
        <v/>
      </c>
      <c r="BHH23" s="50" t="str">
        <f t="shared" si="24"/>
        <v/>
      </c>
      <c r="BHI23" s="50" t="str">
        <f t="shared" si="24"/>
        <v/>
      </c>
      <c r="BHJ23" s="50" t="str">
        <f t="shared" si="24"/>
        <v/>
      </c>
      <c r="BHK23" s="50" t="str">
        <f t="shared" si="24"/>
        <v/>
      </c>
      <c r="BHL23" s="50" t="str">
        <f t="shared" si="24"/>
        <v/>
      </c>
      <c r="BHM23" s="50" t="str">
        <f t="shared" si="24"/>
        <v/>
      </c>
      <c r="BHN23" s="50" t="str">
        <f t="shared" si="24"/>
        <v/>
      </c>
      <c r="BHO23" s="50" t="str">
        <f t="shared" si="24"/>
        <v/>
      </c>
      <c r="BHP23" s="50" t="str">
        <f t="shared" si="24"/>
        <v/>
      </c>
      <c r="BHQ23" s="50" t="str">
        <f t="shared" si="24"/>
        <v/>
      </c>
      <c r="BHR23" s="50" t="str">
        <f t="shared" si="24"/>
        <v/>
      </c>
      <c r="BHS23" s="50" t="str">
        <f t="shared" si="24"/>
        <v/>
      </c>
      <c r="BHT23" s="50" t="str">
        <f t="shared" si="24"/>
        <v/>
      </c>
      <c r="BHU23" s="50" t="str">
        <f t="shared" si="24"/>
        <v/>
      </c>
      <c r="BHV23" s="50" t="str">
        <f t="shared" si="24"/>
        <v/>
      </c>
      <c r="BHW23" s="50" t="str">
        <f t="shared" si="24"/>
        <v/>
      </c>
      <c r="BHX23" s="50" t="str">
        <f t="shared" si="24"/>
        <v/>
      </c>
      <c r="BHY23" s="50" t="str">
        <f t="shared" ref="BHY23:BKJ23" si="25">IFERROR(IF(BHX23+TIME(1,0,0)&lt;=$G$12,BHX23+TIME(1,0,0),""),"")</f>
        <v/>
      </c>
      <c r="BHZ23" s="50" t="str">
        <f t="shared" si="25"/>
        <v/>
      </c>
      <c r="BIA23" s="50" t="str">
        <f t="shared" si="25"/>
        <v/>
      </c>
      <c r="BIB23" s="50" t="str">
        <f t="shared" si="25"/>
        <v/>
      </c>
      <c r="BIC23" s="50" t="str">
        <f t="shared" si="25"/>
        <v/>
      </c>
      <c r="BID23" s="50" t="str">
        <f t="shared" si="25"/>
        <v/>
      </c>
      <c r="BIE23" s="50" t="str">
        <f t="shared" si="25"/>
        <v/>
      </c>
      <c r="BIF23" s="50" t="str">
        <f t="shared" si="25"/>
        <v/>
      </c>
      <c r="BIG23" s="50" t="str">
        <f t="shared" si="25"/>
        <v/>
      </c>
      <c r="BIH23" s="50" t="str">
        <f t="shared" si="25"/>
        <v/>
      </c>
      <c r="BII23" s="50" t="str">
        <f t="shared" si="25"/>
        <v/>
      </c>
      <c r="BIJ23" s="50" t="str">
        <f t="shared" si="25"/>
        <v/>
      </c>
      <c r="BIK23" s="50" t="str">
        <f t="shared" si="25"/>
        <v/>
      </c>
      <c r="BIL23" s="50" t="str">
        <f t="shared" si="25"/>
        <v/>
      </c>
      <c r="BIM23" s="50" t="str">
        <f t="shared" si="25"/>
        <v/>
      </c>
      <c r="BIN23" s="50" t="str">
        <f t="shared" si="25"/>
        <v/>
      </c>
      <c r="BIO23" s="50" t="str">
        <f t="shared" si="25"/>
        <v/>
      </c>
      <c r="BIP23" s="50" t="str">
        <f t="shared" si="25"/>
        <v/>
      </c>
      <c r="BIQ23" s="50" t="str">
        <f t="shared" si="25"/>
        <v/>
      </c>
      <c r="BIR23" s="50" t="str">
        <f t="shared" si="25"/>
        <v/>
      </c>
      <c r="BIS23" s="50" t="str">
        <f t="shared" si="25"/>
        <v/>
      </c>
      <c r="BIT23" s="50" t="str">
        <f t="shared" si="25"/>
        <v/>
      </c>
      <c r="BIU23" s="50" t="str">
        <f t="shared" si="25"/>
        <v/>
      </c>
      <c r="BIV23" s="50" t="str">
        <f t="shared" si="25"/>
        <v/>
      </c>
      <c r="BIW23" s="50" t="str">
        <f t="shared" si="25"/>
        <v/>
      </c>
      <c r="BIX23" s="50" t="str">
        <f t="shared" si="25"/>
        <v/>
      </c>
      <c r="BIY23" s="50" t="str">
        <f t="shared" si="25"/>
        <v/>
      </c>
      <c r="BIZ23" s="50" t="str">
        <f t="shared" si="25"/>
        <v/>
      </c>
      <c r="BJA23" s="50" t="str">
        <f t="shared" si="25"/>
        <v/>
      </c>
      <c r="BJB23" s="50" t="str">
        <f t="shared" si="25"/>
        <v/>
      </c>
      <c r="BJC23" s="50" t="str">
        <f t="shared" si="25"/>
        <v/>
      </c>
      <c r="BJD23" s="50" t="str">
        <f t="shared" si="25"/>
        <v/>
      </c>
      <c r="BJE23" s="50" t="str">
        <f t="shared" si="25"/>
        <v/>
      </c>
      <c r="BJF23" s="50" t="str">
        <f t="shared" si="25"/>
        <v/>
      </c>
      <c r="BJG23" s="50" t="str">
        <f t="shared" si="25"/>
        <v/>
      </c>
      <c r="BJH23" s="50" t="str">
        <f t="shared" si="25"/>
        <v/>
      </c>
      <c r="BJI23" s="50" t="str">
        <f t="shared" si="25"/>
        <v/>
      </c>
      <c r="BJJ23" s="50" t="str">
        <f t="shared" si="25"/>
        <v/>
      </c>
      <c r="BJK23" s="50" t="str">
        <f t="shared" si="25"/>
        <v/>
      </c>
      <c r="BJL23" s="50" t="str">
        <f t="shared" si="25"/>
        <v/>
      </c>
      <c r="BJM23" s="50" t="str">
        <f t="shared" si="25"/>
        <v/>
      </c>
      <c r="BJN23" s="50" t="str">
        <f t="shared" si="25"/>
        <v/>
      </c>
      <c r="BJO23" s="50" t="str">
        <f t="shared" si="25"/>
        <v/>
      </c>
      <c r="BJP23" s="50" t="str">
        <f t="shared" si="25"/>
        <v/>
      </c>
      <c r="BJQ23" s="50" t="str">
        <f t="shared" si="25"/>
        <v/>
      </c>
      <c r="BJR23" s="50" t="str">
        <f t="shared" si="25"/>
        <v/>
      </c>
      <c r="BJS23" s="50" t="str">
        <f t="shared" si="25"/>
        <v/>
      </c>
      <c r="BJT23" s="50" t="str">
        <f t="shared" si="25"/>
        <v/>
      </c>
      <c r="BJU23" s="50" t="str">
        <f t="shared" si="25"/>
        <v/>
      </c>
      <c r="BJV23" s="50" t="str">
        <f t="shared" si="25"/>
        <v/>
      </c>
      <c r="BJW23" s="50" t="str">
        <f t="shared" si="25"/>
        <v/>
      </c>
      <c r="BJX23" s="50" t="str">
        <f t="shared" si="25"/>
        <v/>
      </c>
      <c r="BJY23" s="50" t="str">
        <f t="shared" si="25"/>
        <v/>
      </c>
      <c r="BJZ23" s="50" t="str">
        <f t="shared" si="25"/>
        <v/>
      </c>
      <c r="BKA23" s="50" t="str">
        <f t="shared" si="25"/>
        <v/>
      </c>
      <c r="BKB23" s="50" t="str">
        <f t="shared" si="25"/>
        <v/>
      </c>
      <c r="BKC23" s="50" t="str">
        <f t="shared" si="25"/>
        <v/>
      </c>
      <c r="BKD23" s="50" t="str">
        <f t="shared" si="25"/>
        <v/>
      </c>
      <c r="BKE23" s="50" t="str">
        <f t="shared" si="25"/>
        <v/>
      </c>
      <c r="BKF23" s="50" t="str">
        <f t="shared" si="25"/>
        <v/>
      </c>
      <c r="BKG23" s="50" t="str">
        <f t="shared" si="25"/>
        <v/>
      </c>
      <c r="BKH23" s="50" t="str">
        <f t="shared" si="25"/>
        <v/>
      </c>
      <c r="BKI23" s="50" t="str">
        <f t="shared" si="25"/>
        <v/>
      </c>
      <c r="BKJ23" s="50" t="str">
        <f t="shared" si="25"/>
        <v/>
      </c>
      <c r="BKK23" s="50" t="str">
        <f t="shared" ref="BKK23:BMV23" si="26">IFERROR(IF(BKJ23+TIME(1,0,0)&lt;=$G$12,BKJ23+TIME(1,0,0),""),"")</f>
        <v/>
      </c>
      <c r="BKL23" s="50" t="str">
        <f t="shared" si="26"/>
        <v/>
      </c>
      <c r="BKM23" s="50" t="str">
        <f t="shared" si="26"/>
        <v/>
      </c>
      <c r="BKN23" s="50" t="str">
        <f t="shared" si="26"/>
        <v/>
      </c>
      <c r="BKO23" s="50" t="str">
        <f t="shared" si="26"/>
        <v/>
      </c>
      <c r="BKP23" s="50" t="str">
        <f t="shared" si="26"/>
        <v/>
      </c>
      <c r="BKQ23" s="50" t="str">
        <f t="shared" si="26"/>
        <v/>
      </c>
      <c r="BKR23" s="50" t="str">
        <f t="shared" si="26"/>
        <v/>
      </c>
      <c r="BKS23" s="50" t="str">
        <f t="shared" si="26"/>
        <v/>
      </c>
      <c r="BKT23" s="50" t="str">
        <f t="shared" si="26"/>
        <v/>
      </c>
      <c r="BKU23" s="50" t="str">
        <f t="shared" si="26"/>
        <v/>
      </c>
      <c r="BKV23" s="50" t="str">
        <f t="shared" si="26"/>
        <v/>
      </c>
      <c r="BKW23" s="50" t="str">
        <f t="shared" si="26"/>
        <v/>
      </c>
      <c r="BKX23" s="50" t="str">
        <f t="shared" si="26"/>
        <v/>
      </c>
      <c r="BKY23" s="50" t="str">
        <f t="shared" si="26"/>
        <v/>
      </c>
      <c r="BKZ23" s="50" t="str">
        <f t="shared" si="26"/>
        <v/>
      </c>
      <c r="BLA23" s="50" t="str">
        <f t="shared" si="26"/>
        <v/>
      </c>
      <c r="BLB23" s="50" t="str">
        <f t="shared" si="26"/>
        <v/>
      </c>
      <c r="BLC23" s="50" t="str">
        <f t="shared" si="26"/>
        <v/>
      </c>
      <c r="BLD23" s="50" t="str">
        <f t="shared" si="26"/>
        <v/>
      </c>
      <c r="BLE23" s="50" t="str">
        <f t="shared" si="26"/>
        <v/>
      </c>
      <c r="BLF23" s="50" t="str">
        <f t="shared" si="26"/>
        <v/>
      </c>
      <c r="BLG23" s="50" t="str">
        <f t="shared" si="26"/>
        <v/>
      </c>
      <c r="BLH23" s="50" t="str">
        <f t="shared" si="26"/>
        <v/>
      </c>
      <c r="BLI23" s="50" t="str">
        <f t="shared" si="26"/>
        <v/>
      </c>
      <c r="BLJ23" s="50" t="str">
        <f t="shared" si="26"/>
        <v/>
      </c>
      <c r="BLK23" s="50" t="str">
        <f t="shared" si="26"/>
        <v/>
      </c>
      <c r="BLL23" s="50" t="str">
        <f t="shared" si="26"/>
        <v/>
      </c>
      <c r="BLM23" s="50" t="str">
        <f t="shared" si="26"/>
        <v/>
      </c>
      <c r="BLN23" s="50" t="str">
        <f t="shared" si="26"/>
        <v/>
      </c>
      <c r="BLO23" s="50" t="str">
        <f t="shared" si="26"/>
        <v/>
      </c>
      <c r="BLP23" s="50" t="str">
        <f t="shared" si="26"/>
        <v/>
      </c>
      <c r="BLQ23" s="50" t="str">
        <f t="shared" si="26"/>
        <v/>
      </c>
      <c r="BLR23" s="50" t="str">
        <f t="shared" si="26"/>
        <v/>
      </c>
      <c r="BLS23" s="50" t="str">
        <f t="shared" si="26"/>
        <v/>
      </c>
      <c r="BLT23" s="50" t="str">
        <f t="shared" si="26"/>
        <v/>
      </c>
      <c r="BLU23" s="50" t="str">
        <f t="shared" si="26"/>
        <v/>
      </c>
      <c r="BLV23" s="50" t="str">
        <f t="shared" si="26"/>
        <v/>
      </c>
      <c r="BLW23" s="50" t="str">
        <f t="shared" si="26"/>
        <v/>
      </c>
      <c r="BLX23" s="50" t="str">
        <f t="shared" si="26"/>
        <v/>
      </c>
      <c r="BLY23" s="50" t="str">
        <f t="shared" si="26"/>
        <v/>
      </c>
      <c r="BLZ23" s="50" t="str">
        <f t="shared" si="26"/>
        <v/>
      </c>
      <c r="BMA23" s="50" t="str">
        <f t="shared" si="26"/>
        <v/>
      </c>
      <c r="BMB23" s="50" t="str">
        <f t="shared" si="26"/>
        <v/>
      </c>
      <c r="BMC23" s="50" t="str">
        <f t="shared" si="26"/>
        <v/>
      </c>
      <c r="BMD23" s="50" t="str">
        <f t="shared" si="26"/>
        <v/>
      </c>
      <c r="BME23" s="50" t="str">
        <f t="shared" si="26"/>
        <v/>
      </c>
      <c r="BMF23" s="50" t="str">
        <f t="shared" si="26"/>
        <v/>
      </c>
      <c r="BMG23" s="50" t="str">
        <f t="shared" si="26"/>
        <v/>
      </c>
      <c r="BMH23" s="50" t="str">
        <f t="shared" si="26"/>
        <v/>
      </c>
      <c r="BMI23" s="50" t="str">
        <f t="shared" si="26"/>
        <v/>
      </c>
      <c r="BMJ23" s="50" t="str">
        <f t="shared" si="26"/>
        <v/>
      </c>
      <c r="BMK23" s="50" t="str">
        <f t="shared" si="26"/>
        <v/>
      </c>
      <c r="BML23" s="50" t="str">
        <f t="shared" si="26"/>
        <v/>
      </c>
      <c r="BMM23" s="50" t="str">
        <f t="shared" si="26"/>
        <v/>
      </c>
      <c r="BMN23" s="50" t="str">
        <f t="shared" si="26"/>
        <v/>
      </c>
      <c r="BMO23" s="50" t="str">
        <f t="shared" si="26"/>
        <v/>
      </c>
      <c r="BMP23" s="50" t="str">
        <f t="shared" si="26"/>
        <v/>
      </c>
      <c r="BMQ23" s="50" t="str">
        <f t="shared" si="26"/>
        <v/>
      </c>
      <c r="BMR23" s="50" t="str">
        <f t="shared" si="26"/>
        <v/>
      </c>
      <c r="BMS23" s="50" t="str">
        <f t="shared" si="26"/>
        <v/>
      </c>
      <c r="BMT23" s="50" t="str">
        <f t="shared" si="26"/>
        <v/>
      </c>
      <c r="BMU23" s="50" t="str">
        <f t="shared" si="26"/>
        <v/>
      </c>
      <c r="BMV23" s="50" t="str">
        <f t="shared" si="26"/>
        <v/>
      </c>
      <c r="BMW23" s="50" t="str">
        <f t="shared" ref="BMW23:BPH23" si="27">IFERROR(IF(BMV23+TIME(1,0,0)&lt;=$G$12,BMV23+TIME(1,0,0),""),"")</f>
        <v/>
      </c>
      <c r="BMX23" s="50" t="str">
        <f t="shared" si="27"/>
        <v/>
      </c>
      <c r="BMY23" s="50" t="str">
        <f t="shared" si="27"/>
        <v/>
      </c>
      <c r="BMZ23" s="50" t="str">
        <f t="shared" si="27"/>
        <v/>
      </c>
      <c r="BNA23" s="50" t="str">
        <f t="shared" si="27"/>
        <v/>
      </c>
      <c r="BNB23" s="50" t="str">
        <f t="shared" si="27"/>
        <v/>
      </c>
      <c r="BNC23" s="50" t="str">
        <f t="shared" si="27"/>
        <v/>
      </c>
      <c r="BND23" s="50" t="str">
        <f t="shared" si="27"/>
        <v/>
      </c>
      <c r="BNE23" s="50" t="str">
        <f t="shared" si="27"/>
        <v/>
      </c>
      <c r="BNF23" s="50" t="str">
        <f t="shared" si="27"/>
        <v/>
      </c>
      <c r="BNG23" s="50" t="str">
        <f t="shared" si="27"/>
        <v/>
      </c>
      <c r="BNH23" s="50" t="str">
        <f t="shared" si="27"/>
        <v/>
      </c>
      <c r="BNI23" s="50" t="str">
        <f t="shared" si="27"/>
        <v/>
      </c>
      <c r="BNJ23" s="50" t="str">
        <f t="shared" si="27"/>
        <v/>
      </c>
      <c r="BNK23" s="50" t="str">
        <f t="shared" si="27"/>
        <v/>
      </c>
      <c r="BNL23" s="50" t="str">
        <f t="shared" si="27"/>
        <v/>
      </c>
      <c r="BNM23" s="50" t="str">
        <f t="shared" si="27"/>
        <v/>
      </c>
      <c r="BNN23" s="50" t="str">
        <f t="shared" si="27"/>
        <v/>
      </c>
      <c r="BNO23" s="50" t="str">
        <f t="shared" si="27"/>
        <v/>
      </c>
      <c r="BNP23" s="50" t="str">
        <f t="shared" si="27"/>
        <v/>
      </c>
      <c r="BNQ23" s="50" t="str">
        <f t="shared" si="27"/>
        <v/>
      </c>
      <c r="BNR23" s="50" t="str">
        <f t="shared" si="27"/>
        <v/>
      </c>
      <c r="BNS23" s="50" t="str">
        <f t="shared" si="27"/>
        <v/>
      </c>
      <c r="BNT23" s="50" t="str">
        <f t="shared" si="27"/>
        <v/>
      </c>
      <c r="BNU23" s="50" t="str">
        <f t="shared" si="27"/>
        <v/>
      </c>
      <c r="BNV23" s="50" t="str">
        <f t="shared" si="27"/>
        <v/>
      </c>
      <c r="BNW23" s="50" t="str">
        <f t="shared" si="27"/>
        <v/>
      </c>
      <c r="BNX23" s="50" t="str">
        <f t="shared" si="27"/>
        <v/>
      </c>
      <c r="BNY23" s="50" t="str">
        <f t="shared" si="27"/>
        <v/>
      </c>
      <c r="BNZ23" s="50" t="str">
        <f t="shared" si="27"/>
        <v/>
      </c>
      <c r="BOA23" s="50" t="str">
        <f t="shared" si="27"/>
        <v/>
      </c>
      <c r="BOB23" s="50" t="str">
        <f t="shared" si="27"/>
        <v/>
      </c>
      <c r="BOC23" s="50" t="str">
        <f t="shared" si="27"/>
        <v/>
      </c>
      <c r="BOD23" s="50" t="str">
        <f t="shared" si="27"/>
        <v/>
      </c>
      <c r="BOE23" s="50" t="str">
        <f t="shared" si="27"/>
        <v/>
      </c>
      <c r="BOF23" s="50" t="str">
        <f t="shared" si="27"/>
        <v/>
      </c>
      <c r="BOG23" s="50" t="str">
        <f t="shared" si="27"/>
        <v/>
      </c>
      <c r="BOH23" s="50" t="str">
        <f t="shared" si="27"/>
        <v/>
      </c>
      <c r="BOI23" s="50" t="str">
        <f t="shared" si="27"/>
        <v/>
      </c>
      <c r="BOJ23" s="50" t="str">
        <f t="shared" si="27"/>
        <v/>
      </c>
      <c r="BOK23" s="50" t="str">
        <f t="shared" si="27"/>
        <v/>
      </c>
      <c r="BOL23" s="50" t="str">
        <f t="shared" si="27"/>
        <v/>
      </c>
      <c r="BOM23" s="50" t="str">
        <f t="shared" si="27"/>
        <v/>
      </c>
      <c r="BON23" s="50" t="str">
        <f t="shared" si="27"/>
        <v/>
      </c>
      <c r="BOO23" s="50" t="str">
        <f t="shared" si="27"/>
        <v/>
      </c>
      <c r="BOP23" s="50" t="str">
        <f t="shared" si="27"/>
        <v/>
      </c>
      <c r="BOQ23" s="50" t="str">
        <f t="shared" si="27"/>
        <v/>
      </c>
      <c r="BOR23" s="50" t="str">
        <f t="shared" si="27"/>
        <v/>
      </c>
      <c r="BOS23" s="50" t="str">
        <f t="shared" si="27"/>
        <v/>
      </c>
      <c r="BOT23" s="50" t="str">
        <f t="shared" si="27"/>
        <v/>
      </c>
      <c r="BOU23" s="50" t="str">
        <f t="shared" si="27"/>
        <v/>
      </c>
      <c r="BOV23" s="50" t="str">
        <f t="shared" si="27"/>
        <v/>
      </c>
      <c r="BOW23" s="50" t="str">
        <f t="shared" si="27"/>
        <v/>
      </c>
      <c r="BOX23" s="50" t="str">
        <f t="shared" si="27"/>
        <v/>
      </c>
      <c r="BOY23" s="50" t="str">
        <f t="shared" si="27"/>
        <v/>
      </c>
      <c r="BOZ23" s="50" t="str">
        <f t="shared" si="27"/>
        <v/>
      </c>
      <c r="BPA23" s="50" t="str">
        <f t="shared" si="27"/>
        <v/>
      </c>
      <c r="BPB23" s="50" t="str">
        <f t="shared" si="27"/>
        <v/>
      </c>
      <c r="BPC23" s="50" t="str">
        <f t="shared" si="27"/>
        <v/>
      </c>
      <c r="BPD23" s="50" t="str">
        <f t="shared" si="27"/>
        <v/>
      </c>
      <c r="BPE23" s="50" t="str">
        <f t="shared" si="27"/>
        <v/>
      </c>
      <c r="BPF23" s="50" t="str">
        <f t="shared" si="27"/>
        <v/>
      </c>
      <c r="BPG23" s="50" t="str">
        <f t="shared" si="27"/>
        <v/>
      </c>
      <c r="BPH23" s="50" t="str">
        <f t="shared" si="27"/>
        <v/>
      </c>
      <c r="BPI23" s="50" t="str">
        <f t="shared" ref="BPI23:BRT23" si="28">IFERROR(IF(BPH23+TIME(1,0,0)&lt;=$G$12,BPH23+TIME(1,0,0),""),"")</f>
        <v/>
      </c>
      <c r="BPJ23" s="50" t="str">
        <f t="shared" si="28"/>
        <v/>
      </c>
      <c r="BPK23" s="50" t="str">
        <f t="shared" si="28"/>
        <v/>
      </c>
      <c r="BPL23" s="50" t="str">
        <f t="shared" si="28"/>
        <v/>
      </c>
      <c r="BPM23" s="50" t="str">
        <f t="shared" si="28"/>
        <v/>
      </c>
      <c r="BPN23" s="50" t="str">
        <f t="shared" si="28"/>
        <v/>
      </c>
      <c r="BPO23" s="50" t="str">
        <f t="shared" si="28"/>
        <v/>
      </c>
      <c r="BPP23" s="50" t="str">
        <f t="shared" si="28"/>
        <v/>
      </c>
      <c r="BPQ23" s="50" t="str">
        <f t="shared" si="28"/>
        <v/>
      </c>
      <c r="BPR23" s="50" t="str">
        <f t="shared" si="28"/>
        <v/>
      </c>
      <c r="BPS23" s="50" t="str">
        <f t="shared" si="28"/>
        <v/>
      </c>
      <c r="BPT23" s="50" t="str">
        <f t="shared" si="28"/>
        <v/>
      </c>
      <c r="BPU23" s="50" t="str">
        <f t="shared" si="28"/>
        <v/>
      </c>
      <c r="BPV23" s="50" t="str">
        <f t="shared" si="28"/>
        <v/>
      </c>
      <c r="BPW23" s="50" t="str">
        <f t="shared" si="28"/>
        <v/>
      </c>
      <c r="BPX23" s="50" t="str">
        <f t="shared" si="28"/>
        <v/>
      </c>
      <c r="BPY23" s="50" t="str">
        <f t="shared" si="28"/>
        <v/>
      </c>
      <c r="BPZ23" s="50" t="str">
        <f t="shared" si="28"/>
        <v/>
      </c>
      <c r="BQA23" s="50" t="str">
        <f t="shared" si="28"/>
        <v/>
      </c>
      <c r="BQB23" s="50" t="str">
        <f t="shared" si="28"/>
        <v/>
      </c>
      <c r="BQC23" s="50" t="str">
        <f t="shared" si="28"/>
        <v/>
      </c>
      <c r="BQD23" s="50" t="str">
        <f t="shared" si="28"/>
        <v/>
      </c>
      <c r="BQE23" s="50" t="str">
        <f t="shared" si="28"/>
        <v/>
      </c>
      <c r="BQF23" s="50" t="str">
        <f t="shared" si="28"/>
        <v/>
      </c>
      <c r="BQG23" s="50" t="str">
        <f t="shared" si="28"/>
        <v/>
      </c>
      <c r="BQH23" s="50" t="str">
        <f t="shared" si="28"/>
        <v/>
      </c>
      <c r="BQI23" s="50" t="str">
        <f t="shared" si="28"/>
        <v/>
      </c>
      <c r="BQJ23" s="50" t="str">
        <f t="shared" si="28"/>
        <v/>
      </c>
      <c r="BQK23" s="50" t="str">
        <f t="shared" si="28"/>
        <v/>
      </c>
      <c r="BQL23" s="50" t="str">
        <f t="shared" si="28"/>
        <v/>
      </c>
      <c r="BQM23" s="50" t="str">
        <f t="shared" si="28"/>
        <v/>
      </c>
      <c r="BQN23" s="50" t="str">
        <f t="shared" si="28"/>
        <v/>
      </c>
      <c r="BQO23" s="50" t="str">
        <f t="shared" si="28"/>
        <v/>
      </c>
      <c r="BQP23" s="50" t="str">
        <f t="shared" si="28"/>
        <v/>
      </c>
      <c r="BQQ23" s="50" t="str">
        <f t="shared" si="28"/>
        <v/>
      </c>
      <c r="BQR23" s="50" t="str">
        <f t="shared" si="28"/>
        <v/>
      </c>
      <c r="BQS23" s="50" t="str">
        <f t="shared" si="28"/>
        <v/>
      </c>
      <c r="BQT23" s="50" t="str">
        <f t="shared" si="28"/>
        <v/>
      </c>
      <c r="BQU23" s="50" t="str">
        <f t="shared" si="28"/>
        <v/>
      </c>
      <c r="BQV23" s="50" t="str">
        <f t="shared" si="28"/>
        <v/>
      </c>
      <c r="BQW23" s="50" t="str">
        <f t="shared" si="28"/>
        <v/>
      </c>
      <c r="BQX23" s="50" t="str">
        <f t="shared" si="28"/>
        <v/>
      </c>
      <c r="BQY23" s="50" t="str">
        <f t="shared" si="28"/>
        <v/>
      </c>
      <c r="BQZ23" s="50" t="str">
        <f t="shared" si="28"/>
        <v/>
      </c>
      <c r="BRA23" s="50" t="str">
        <f t="shared" si="28"/>
        <v/>
      </c>
      <c r="BRB23" s="50" t="str">
        <f t="shared" si="28"/>
        <v/>
      </c>
      <c r="BRC23" s="50" t="str">
        <f t="shared" si="28"/>
        <v/>
      </c>
      <c r="BRD23" s="50" t="str">
        <f t="shared" si="28"/>
        <v/>
      </c>
      <c r="BRE23" s="50" t="str">
        <f t="shared" si="28"/>
        <v/>
      </c>
      <c r="BRF23" s="50" t="str">
        <f t="shared" si="28"/>
        <v/>
      </c>
      <c r="BRG23" s="50" t="str">
        <f t="shared" si="28"/>
        <v/>
      </c>
      <c r="BRH23" s="50" t="str">
        <f t="shared" si="28"/>
        <v/>
      </c>
      <c r="BRI23" s="50" t="str">
        <f t="shared" si="28"/>
        <v/>
      </c>
      <c r="BRJ23" s="50" t="str">
        <f t="shared" si="28"/>
        <v/>
      </c>
      <c r="BRK23" s="50" t="str">
        <f t="shared" si="28"/>
        <v/>
      </c>
      <c r="BRL23" s="50" t="str">
        <f t="shared" si="28"/>
        <v/>
      </c>
      <c r="BRM23" s="50" t="str">
        <f t="shared" si="28"/>
        <v/>
      </c>
      <c r="BRN23" s="50" t="str">
        <f t="shared" si="28"/>
        <v/>
      </c>
      <c r="BRO23" s="50" t="str">
        <f t="shared" si="28"/>
        <v/>
      </c>
      <c r="BRP23" s="50" t="str">
        <f t="shared" si="28"/>
        <v/>
      </c>
      <c r="BRQ23" s="50" t="str">
        <f t="shared" si="28"/>
        <v/>
      </c>
      <c r="BRR23" s="50" t="str">
        <f t="shared" si="28"/>
        <v/>
      </c>
      <c r="BRS23" s="50" t="str">
        <f t="shared" si="28"/>
        <v/>
      </c>
      <c r="BRT23" s="50" t="str">
        <f t="shared" si="28"/>
        <v/>
      </c>
      <c r="BRU23" s="50" t="str">
        <f t="shared" ref="BRU23:BUF23" si="29">IFERROR(IF(BRT23+TIME(1,0,0)&lt;=$G$12,BRT23+TIME(1,0,0),""),"")</f>
        <v/>
      </c>
      <c r="BRV23" s="50" t="str">
        <f t="shared" si="29"/>
        <v/>
      </c>
      <c r="BRW23" s="50" t="str">
        <f t="shared" si="29"/>
        <v/>
      </c>
      <c r="BRX23" s="50" t="str">
        <f t="shared" si="29"/>
        <v/>
      </c>
      <c r="BRY23" s="50" t="str">
        <f t="shared" si="29"/>
        <v/>
      </c>
      <c r="BRZ23" s="50" t="str">
        <f t="shared" si="29"/>
        <v/>
      </c>
      <c r="BSA23" s="50" t="str">
        <f t="shared" si="29"/>
        <v/>
      </c>
      <c r="BSB23" s="50" t="str">
        <f t="shared" si="29"/>
        <v/>
      </c>
      <c r="BSC23" s="50" t="str">
        <f t="shared" si="29"/>
        <v/>
      </c>
      <c r="BSD23" s="50" t="str">
        <f t="shared" si="29"/>
        <v/>
      </c>
      <c r="BSE23" s="50" t="str">
        <f t="shared" si="29"/>
        <v/>
      </c>
      <c r="BSF23" s="50" t="str">
        <f t="shared" si="29"/>
        <v/>
      </c>
      <c r="BSG23" s="50" t="str">
        <f t="shared" si="29"/>
        <v/>
      </c>
      <c r="BSH23" s="50" t="str">
        <f t="shared" si="29"/>
        <v/>
      </c>
      <c r="BSI23" s="50" t="str">
        <f t="shared" si="29"/>
        <v/>
      </c>
      <c r="BSJ23" s="50" t="str">
        <f t="shared" si="29"/>
        <v/>
      </c>
      <c r="BSK23" s="50" t="str">
        <f t="shared" si="29"/>
        <v/>
      </c>
      <c r="BSL23" s="50" t="str">
        <f t="shared" si="29"/>
        <v/>
      </c>
      <c r="BSM23" s="50" t="str">
        <f t="shared" si="29"/>
        <v/>
      </c>
      <c r="BSN23" s="50" t="str">
        <f t="shared" si="29"/>
        <v/>
      </c>
      <c r="BSO23" s="50" t="str">
        <f t="shared" si="29"/>
        <v/>
      </c>
      <c r="BSP23" s="50" t="str">
        <f t="shared" si="29"/>
        <v/>
      </c>
      <c r="BSQ23" s="50" t="str">
        <f t="shared" si="29"/>
        <v/>
      </c>
      <c r="BSR23" s="50" t="str">
        <f t="shared" si="29"/>
        <v/>
      </c>
      <c r="BSS23" s="50" t="str">
        <f t="shared" si="29"/>
        <v/>
      </c>
      <c r="BST23" s="50" t="str">
        <f t="shared" si="29"/>
        <v/>
      </c>
      <c r="BSU23" s="50" t="str">
        <f t="shared" si="29"/>
        <v/>
      </c>
      <c r="BSV23" s="50" t="str">
        <f t="shared" si="29"/>
        <v/>
      </c>
      <c r="BSW23" s="50" t="str">
        <f t="shared" si="29"/>
        <v/>
      </c>
      <c r="BSX23" s="50" t="str">
        <f t="shared" si="29"/>
        <v/>
      </c>
      <c r="BSY23" s="50" t="str">
        <f t="shared" si="29"/>
        <v/>
      </c>
      <c r="BSZ23" s="50" t="str">
        <f t="shared" si="29"/>
        <v/>
      </c>
      <c r="BTA23" s="50" t="str">
        <f t="shared" si="29"/>
        <v/>
      </c>
      <c r="BTB23" s="50" t="str">
        <f t="shared" si="29"/>
        <v/>
      </c>
      <c r="BTC23" s="50" t="str">
        <f t="shared" si="29"/>
        <v/>
      </c>
      <c r="BTD23" s="50" t="str">
        <f t="shared" si="29"/>
        <v/>
      </c>
      <c r="BTE23" s="50" t="str">
        <f t="shared" si="29"/>
        <v/>
      </c>
      <c r="BTF23" s="50" t="str">
        <f t="shared" si="29"/>
        <v/>
      </c>
      <c r="BTG23" s="50" t="str">
        <f t="shared" si="29"/>
        <v/>
      </c>
      <c r="BTH23" s="50" t="str">
        <f t="shared" si="29"/>
        <v/>
      </c>
      <c r="BTI23" s="50" t="str">
        <f t="shared" si="29"/>
        <v/>
      </c>
      <c r="BTJ23" s="50" t="str">
        <f t="shared" si="29"/>
        <v/>
      </c>
      <c r="BTK23" s="50" t="str">
        <f t="shared" si="29"/>
        <v/>
      </c>
      <c r="BTL23" s="50" t="str">
        <f t="shared" si="29"/>
        <v/>
      </c>
      <c r="BTM23" s="50" t="str">
        <f t="shared" si="29"/>
        <v/>
      </c>
      <c r="BTN23" s="50" t="str">
        <f t="shared" si="29"/>
        <v/>
      </c>
      <c r="BTO23" s="50" t="str">
        <f t="shared" si="29"/>
        <v/>
      </c>
      <c r="BTP23" s="50" t="str">
        <f t="shared" si="29"/>
        <v/>
      </c>
      <c r="BTQ23" s="50" t="str">
        <f t="shared" si="29"/>
        <v/>
      </c>
      <c r="BTR23" s="50" t="str">
        <f t="shared" si="29"/>
        <v/>
      </c>
      <c r="BTS23" s="50" t="str">
        <f t="shared" si="29"/>
        <v/>
      </c>
      <c r="BTT23" s="50" t="str">
        <f t="shared" si="29"/>
        <v/>
      </c>
      <c r="BTU23" s="50" t="str">
        <f t="shared" si="29"/>
        <v/>
      </c>
      <c r="BTV23" s="50" t="str">
        <f t="shared" si="29"/>
        <v/>
      </c>
      <c r="BTW23" s="50" t="str">
        <f t="shared" si="29"/>
        <v/>
      </c>
      <c r="BTX23" s="50" t="str">
        <f t="shared" si="29"/>
        <v/>
      </c>
      <c r="BTY23" s="50" t="str">
        <f t="shared" si="29"/>
        <v/>
      </c>
      <c r="BTZ23" s="50" t="str">
        <f t="shared" si="29"/>
        <v/>
      </c>
      <c r="BUA23" s="50" t="str">
        <f t="shared" si="29"/>
        <v/>
      </c>
      <c r="BUB23" s="50" t="str">
        <f t="shared" si="29"/>
        <v/>
      </c>
      <c r="BUC23" s="50" t="str">
        <f t="shared" si="29"/>
        <v/>
      </c>
      <c r="BUD23" s="50" t="str">
        <f t="shared" si="29"/>
        <v/>
      </c>
      <c r="BUE23" s="50" t="str">
        <f t="shared" si="29"/>
        <v/>
      </c>
      <c r="BUF23" s="50" t="str">
        <f t="shared" si="29"/>
        <v/>
      </c>
      <c r="BUG23" s="50" t="str">
        <f t="shared" ref="BUG23:BWR23" si="30">IFERROR(IF(BUF23+TIME(1,0,0)&lt;=$G$12,BUF23+TIME(1,0,0),""),"")</f>
        <v/>
      </c>
      <c r="BUH23" s="50" t="str">
        <f t="shared" si="30"/>
        <v/>
      </c>
      <c r="BUI23" s="50" t="str">
        <f t="shared" si="30"/>
        <v/>
      </c>
      <c r="BUJ23" s="50" t="str">
        <f t="shared" si="30"/>
        <v/>
      </c>
      <c r="BUK23" s="50" t="str">
        <f t="shared" si="30"/>
        <v/>
      </c>
      <c r="BUL23" s="50" t="str">
        <f t="shared" si="30"/>
        <v/>
      </c>
      <c r="BUM23" s="50" t="str">
        <f t="shared" si="30"/>
        <v/>
      </c>
      <c r="BUN23" s="50" t="str">
        <f t="shared" si="30"/>
        <v/>
      </c>
      <c r="BUO23" s="50" t="str">
        <f t="shared" si="30"/>
        <v/>
      </c>
      <c r="BUP23" s="50" t="str">
        <f t="shared" si="30"/>
        <v/>
      </c>
      <c r="BUQ23" s="50" t="str">
        <f t="shared" si="30"/>
        <v/>
      </c>
      <c r="BUR23" s="50" t="str">
        <f t="shared" si="30"/>
        <v/>
      </c>
      <c r="BUS23" s="50" t="str">
        <f t="shared" si="30"/>
        <v/>
      </c>
      <c r="BUT23" s="50" t="str">
        <f t="shared" si="30"/>
        <v/>
      </c>
      <c r="BUU23" s="50" t="str">
        <f t="shared" si="30"/>
        <v/>
      </c>
      <c r="BUV23" s="50" t="str">
        <f t="shared" si="30"/>
        <v/>
      </c>
      <c r="BUW23" s="50" t="str">
        <f t="shared" si="30"/>
        <v/>
      </c>
      <c r="BUX23" s="50" t="str">
        <f t="shared" si="30"/>
        <v/>
      </c>
      <c r="BUY23" s="50" t="str">
        <f t="shared" si="30"/>
        <v/>
      </c>
      <c r="BUZ23" s="50" t="str">
        <f t="shared" si="30"/>
        <v/>
      </c>
      <c r="BVA23" s="50" t="str">
        <f t="shared" si="30"/>
        <v/>
      </c>
      <c r="BVB23" s="50" t="str">
        <f t="shared" si="30"/>
        <v/>
      </c>
      <c r="BVC23" s="50" t="str">
        <f t="shared" si="30"/>
        <v/>
      </c>
      <c r="BVD23" s="50" t="str">
        <f t="shared" si="30"/>
        <v/>
      </c>
      <c r="BVE23" s="50" t="str">
        <f t="shared" si="30"/>
        <v/>
      </c>
      <c r="BVF23" s="50" t="str">
        <f t="shared" si="30"/>
        <v/>
      </c>
      <c r="BVG23" s="50" t="str">
        <f t="shared" si="30"/>
        <v/>
      </c>
      <c r="BVH23" s="50" t="str">
        <f t="shared" si="30"/>
        <v/>
      </c>
      <c r="BVI23" s="50" t="str">
        <f t="shared" si="30"/>
        <v/>
      </c>
      <c r="BVJ23" s="50" t="str">
        <f t="shared" si="30"/>
        <v/>
      </c>
      <c r="BVK23" s="50" t="str">
        <f t="shared" si="30"/>
        <v/>
      </c>
      <c r="BVL23" s="50" t="str">
        <f t="shared" si="30"/>
        <v/>
      </c>
      <c r="BVM23" s="50" t="str">
        <f t="shared" si="30"/>
        <v/>
      </c>
      <c r="BVN23" s="50" t="str">
        <f t="shared" si="30"/>
        <v/>
      </c>
      <c r="BVO23" s="50" t="str">
        <f t="shared" si="30"/>
        <v/>
      </c>
      <c r="BVP23" s="50" t="str">
        <f t="shared" si="30"/>
        <v/>
      </c>
      <c r="BVQ23" s="50" t="str">
        <f t="shared" si="30"/>
        <v/>
      </c>
      <c r="BVR23" s="50" t="str">
        <f t="shared" si="30"/>
        <v/>
      </c>
      <c r="BVS23" s="50" t="str">
        <f t="shared" si="30"/>
        <v/>
      </c>
      <c r="BVT23" s="50" t="str">
        <f t="shared" si="30"/>
        <v/>
      </c>
      <c r="BVU23" s="50" t="str">
        <f t="shared" si="30"/>
        <v/>
      </c>
      <c r="BVV23" s="50" t="str">
        <f t="shared" si="30"/>
        <v/>
      </c>
      <c r="BVW23" s="50" t="str">
        <f t="shared" si="30"/>
        <v/>
      </c>
      <c r="BVX23" s="50" t="str">
        <f t="shared" si="30"/>
        <v/>
      </c>
      <c r="BVY23" s="50" t="str">
        <f t="shared" si="30"/>
        <v/>
      </c>
      <c r="BVZ23" s="50" t="str">
        <f t="shared" si="30"/>
        <v/>
      </c>
      <c r="BWA23" s="50" t="str">
        <f t="shared" si="30"/>
        <v/>
      </c>
      <c r="BWB23" s="50" t="str">
        <f t="shared" si="30"/>
        <v/>
      </c>
      <c r="BWC23" s="50" t="str">
        <f t="shared" si="30"/>
        <v/>
      </c>
      <c r="BWD23" s="50" t="str">
        <f t="shared" si="30"/>
        <v/>
      </c>
      <c r="BWE23" s="50" t="str">
        <f t="shared" si="30"/>
        <v/>
      </c>
      <c r="BWF23" s="50" t="str">
        <f t="shared" si="30"/>
        <v/>
      </c>
      <c r="BWG23" s="50" t="str">
        <f t="shared" si="30"/>
        <v/>
      </c>
      <c r="BWH23" s="50" t="str">
        <f t="shared" si="30"/>
        <v/>
      </c>
      <c r="BWI23" s="50" t="str">
        <f t="shared" si="30"/>
        <v/>
      </c>
      <c r="BWJ23" s="50" t="str">
        <f t="shared" si="30"/>
        <v/>
      </c>
      <c r="BWK23" s="50" t="str">
        <f t="shared" si="30"/>
        <v/>
      </c>
      <c r="BWL23" s="50" t="str">
        <f t="shared" si="30"/>
        <v/>
      </c>
      <c r="BWM23" s="50" t="str">
        <f t="shared" si="30"/>
        <v/>
      </c>
      <c r="BWN23" s="50" t="str">
        <f t="shared" si="30"/>
        <v/>
      </c>
      <c r="BWO23" s="50" t="str">
        <f t="shared" si="30"/>
        <v/>
      </c>
      <c r="BWP23" s="50" t="str">
        <f t="shared" si="30"/>
        <v/>
      </c>
      <c r="BWQ23" s="50" t="str">
        <f t="shared" si="30"/>
        <v/>
      </c>
      <c r="BWR23" s="50" t="str">
        <f t="shared" si="30"/>
        <v/>
      </c>
      <c r="BWS23" s="50" t="str">
        <f t="shared" ref="BWS23:BZD23" si="31">IFERROR(IF(BWR23+TIME(1,0,0)&lt;=$G$12,BWR23+TIME(1,0,0),""),"")</f>
        <v/>
      </c>
      <c r="BWT23" s="50" t="str">
        <f t="shared" si="31"/>
        <v/>
      </c>
      <c r="BWU23" s="50" t="str">
        <f t="shared" si="31"/>
        <v/>
      </c>
      <c r="BWV23" s="50" t="str">
        <f t="shared" si="31"/>
        <v/>
      </c>
      <c r="BWW23" s="50" t="str">
        <f t="shared" si="31"/>
        <v/>
      </c>
      <c r="BWX23" s="50" t="str">
        <f t="shared" si="31"/>
        <v/>
      </c>
      <c r="BWY23" s="50" t="str">
        <f t="shared" si="31"/>
        <v/>
      </c>
      <c r="BWZ23" s="50" t="str">
        <f t="shared" si="31"/>
        <v/>
      </c>
      <c r="BXA23" s="50" t="str">
        <f t="shared" si="31"/>
        <v/>
      </c>
      <c r="BXB23" s="50" t="str">
        <f t="shared" si="31"/>
        <v/>
      </c>
      <c r="BXC23" s="50" t="str">
        <f t="shared" si="31"/>
        <v/>
      </c>
      <c r="BXD23" s="50" t="str">
        <f t="shared" si="31"/>
        <v/>
      </c>
      <c r="BXE23" s="50" t="str">
        <f t="shared" si="31"/>
        <v/>
      </c>
      <c r="BXF23" s="50" t="str">
        <f t="shared" si="31"/>
        <v/>
      </c>
      <c r="BXG23" s="50" t="str">
        <f t="shared" si="31"/>
        <v/>
      </c>
      <c r="BXH23" s="50" t="str">
        <f t="shared" si="31"/>
        <v/>
      </c>
      <c r="BXI23" s="50" t="str">
        <f t="shared" si="31"/>
        <v/>
      </c>
      <c r="BXJ23" s="50" t="str">
        <f t="shared" si="31"/>
        <v/>
      </c>
      <c r="BXK23" s="50" t="str">
        <f t="shared" si="31"/>
        <v/>
      </c>
      <c r="BXL23" s="50" t="str">
        <f t="shared" si="31"/>
        <v/>
      </c>
      <c r="BXM23" s="50" t="str">
        <f t="shared" si="31"/>
        <v/>
      </c>
      <c r="BXN23" s="50" t="str">
        <f t="shared" si="31"/>
        <v/>
      </c>
      <c r="BXO23" s="50" t="str">
        <f t="shared" si="31"/>
        <v/>
      </c>
      <c r="BXP23" s="50" t="str">
        <f t="shared" si="31"/>
        <v/>
      </c>
      <c r="BXQ23" s="50" t="str">
        <f t="shared" si="31"/>
        <v/>
      </c>
      <c r="BXR23" s="50" t="str">
        <f t="shared" si="31"/>
        <v/>
      </c>
      <c r="BXS23" s="50" t="str">
        <f t="shared" si="31"/>
        <v/>
      </c>
      <c r="BXT23" s="50" t="str">
        <f t="shared" si="31"/>
        <v/>
      </c>
      <c r="BXU23" s="50" t="str">
        <f t="shared" si="31"/>
        <v/>
      </c>
      <c r="BXV23" s="50" t="str">
        <f t="shared" si="31"/>
        <v/>
      </c>
      <c r="BXW23" s="50" t="str">
        <f t="shared" si="31"/>
        <v/>
      </c>
      <c r="BXX23" s="50" t="str">
        <f t="shared" si="31"/>
        <v/>
      </c>
      <c r="BXY23" s="50" t="str">
        <f t="shared" si="31"/>
        <v/>
      </c>
      <c r="BXZ23" s="50" t="str">
        <f t="shared" si="31"/>
        <v/>
      </c>
      <c r="BYA23" s="50" t="str">
        <f t="shared" si="31"/>
        <v/>
      </c>
      <c r="BYB23" s="50" t="str">
        <f t="shared" si="31"/>
        <v/>
      </c>
      <c r="BYC23" s="50" t="str">
        <f t="shared" si="31"/>
        <v/>
      </c>
      <c r="BYD23" s="50" t="str">
        <f t="shared" si="31"/>
        <v/>
      </c>
      <c r="BYE23" s="50" t="str">
        <f t="shared" si="31"/>
        <v/>
      </c>
      <c r="BYF23" s="50" t="str">
        <f t="shared" si="31"/>
        <v/>
      </c>
      <c r="BYG23" s="50" t="str">
        <f t="shared" si="31"/>
        <v/>
      </c>
      <c r="BYH23" s="50" t="str">
        <f t="shared" si="31"/>
        <v/>
      </c>
      <c r="BYI23" s="50" t="str">
        <f t="shared" si="31"/>
        <v/>
      </c>
      <c r="BYJ23" s="50" t="str">
        <f t="shared" si="31"/>
        <v/>
      </c>
      <c r="BYK23" s="50" t="str">
        <f t="shared" si="31"/>
        <v/>
      </c>
      <c r="BYL23" s="50" t="str">
        <f t="shared" si="31"/>
        <v/>
      </c>
      <c r="BYM23" s="50" t="str">
        <f t="shared" si="31"/>
        <v/>
      </c>
      <c r="BYN23" s="50" t="str">
        <f t="shared" si="31"/>
        <v/>
      </c>
      <c r="BYO23" s="50" t="str">
        <f t="shared" si="31"/>
        <v/>
      </c>
      <c r="BYP23" s="50" t="str">
        <f t="shared" si="31"/>
        <v/>
      </c>
      <c r="BYQ23" s="50" t="str">
        <f t="shared" si="31"/>
        <v/>
      </c>
      <c r="BYR23" s="50" t="str">
        <f t="shared" si="31"/>
        <v/>
      </c>
      <c r="BYS23" s="50" t="str">
        <f t="shared" si="31"/>
        <v/>
      </c>
      <c r="BYT23" s="50" t="str">
        <f t="shared" si="31"/>
        <v/>
      </c>
      <c r="BYU23" s="50" t="str">
        <f t="shared" si="31"/>
        <v/>
      </c>
      <c r="BYV23" s="50" t="str">
        <f t="shared" si="31"/>
        <v/>
      </c>
      <c r="BYW23" s="50" t="str">
        <f t="shared" si="31"/>
        <v/>
      </c>
      <c r="BYX23" s="50" t="str">
        <f t="shared" si="31"/>
        <v/>
      </c>
      <c r="BYY23" s="50" t="str">
        <f t="shared" si="31"/>
        <v/>
      </c>
      <c r="BYZ23" s="50" t="str">
        <f t="shared" si="31"/>
        <v/>
      </c>
      <c r="BZA23" s="50" t="str">
        <f t="shared" si="31"/>
        <v/>
      </c>
      <c r="BZB23" s="50" t="str">
        <f t="shared" si="31"/>
        <v/>
      </c>
      <c r="BZC23" s="50" t="str">
        <f t="shared" si="31"/>
        <v/>
      </c>
      <c r="BZD23" s="50" t="str">
        <f t="shared" si="31"/>
        <v/>
      </c>
      <c r="BZE23" s="50" t="str">
        <f t="shared" ref="BZE23:CBP23" si="32">IFERROR(IF(BZD23+TIME(1,0,0)&lt;=$G$12,BZD23+TIME(1,0,0),""),"")</f>
        <v/>
      </c>
      <c r="BZF23" s="50" t="str">
        <f t="shared" si="32"/>
        <v/>
      </c>
      <c r="BZG23" s="50" t="str">
        <f t="shared" si="32"/>
        <v/>
      </c>
      <c r="BZH23" s="50" t="str">
        <f t="shared" si="32"/>
        <v/>
      </c>
      <c r="BZI23" s="50" t="str">
        <f t="shared" si="32"/>
        <v/>
      </c>
      <c r="BZJ23" s="50" t="str">
        <f t="shared" si="32"/>
        <v/>
      </c>
      <c r="BZK23" s="50" t="str">
        <f t="shared" si="32"/>
        <v/>
      </c>
      <c r="BZL23" s="50" t="str">
        <f t="shared" si="32"/>
        <v/>
      </c>
      <c r="BZM23" s="50" t="str">
        <f t="shared" si="32"/>
        <v/>
      </c>
      <c r="BZN23" s="50" t="str">
        <f t="shared" si="32"/>
        <v/>
      </c>
      <c r="BZO23" s="50" t="str">
        <f t="shared" si="32"/>
        <v/>
      </c>
      <c r="BZP23" s="50" t="str">
        <f t="shared" si="32"/>
        <v/>
      </c>
      <c r="BZQ23" s="50" t="str">
        <f t="shared" si="32"/>
        <v/>
      </c>
      <c r="BZR23" s="50" t="str">
        <f t="shared" si="32"/>
        <v/>
      </c>
      <c r="BZS23" s="50" t="str">
        <f t="shared" si="32"/>
        <v/>
      </c>
      <c r="BZT23" s="50" t="str">
        <f t="shared" si="32"/>
        <v/>
      </c>
      <c r="BZU23" s="50" t="str">
        <f t="shared" si="32"/>
        <v/>
      </c>
      <c r="BZV23" s="50" t="str">
        <f t="shared" si="32"/>
        <v/>
      </c>
      <c r="BZW23" s="50" t="str">
        <f t="shared" si="32"/>
        <v/>
      </c>
      <c r="BZX23" s="50" t="str">
        <f t="shared" si="32"/>
        <v/>
      </c>
      <c r="BZY23" s="50" t="str">
        <f t="shared" si="32"/>
        <v/>
      </c>
      <c r="BZZ23" s="50" t="str">
        <f t="shared" si="32"/>
        <v/>
      </c>
      <c r="CAA23" s="50" t="str">
        <f t="shared" si="32"/>
        <v/>
      </c>
      <c r="CAB23" s="50" t="str">
        <f t="shared" si="32"/>
        <v/>
      </c>
      <c r="CAC23" s="50" t="str">
        <f t="shared" si="32"/>
        <v/>
      </c>
      <c r="CAD23" s="50" t="str">
        <f t="shared" si="32"/>
        <v/>
      </c>
      <c r="CAE23" s="50" t="str">
        <f t="shared" si="32"/>
        <v/>
      </c>
      <c r="CAF23" s="50" t="str">
        <f t="shared" si="32"/>
        <v/>
      </c>
      <c r="CAG23" s="50" t="str">
        <f t="shared" si="32"/>
        <v/>
      </c>
      <c r="CAH23" s="50" t="str">
        <f t="shared" si="32"/>
        <v/>
      </c>
      <c r="CAI23" s="50" t="str">
        <f t="shared" si="32"/>
        <v/>
      </c>
      <c r="CAJ23" s="50" t="str">
        <f t="shared" si="32"/>
        <v/>
      </c>
      <c r="CAK23" s="50" t="str">
        <f t="shared" si="32"/>
        <v/>
      </c>
      <c r="CAL23" s="50" t="str">
        <f t="shared" si="32"/>
        <v/>
      </c>
      <c r="CAM23" s="50" t="str">
        <f t="shared" si="32"/>
        <v/>
      </c>
      <c r="CAN23" s="50" t="str">
        <f t="shared" si="32"/>
        <v/>
      </c>
      <c r="CAO23" s="50" t="str">
        <f t="shared" si="32"/>
        <v/>
      </c>
      <c r="CAP23" s="50" t="str">
        <f t="shared" si="32"/>
        <v/>
      </c>
      <c r="CAQ23" s="50" t="str">
        <f t="shared" si="32"/>
        <v/>
      </c>
      <c r="CAR23" s="50" t="str">
        <f t="shared" si="32"/>
        <v/>
      </c>
      <c r="CAS23" s="50" t="str">
        <f t="shared" si="32"/>
        <v/>
      </c>
      <c r="CAT23" s="50" t="str">
        <f t="shared" si="32"/>
        <v/>
      </c>
      <c r="CAU23" s="50" t="str">
        <f t="shared" si="32"/>
        <v/>
      </c>
      <c r="CAV23" s="50" t="str">
        <f t="shared" si="32"/>
        <v/>
      </c>
      <c r="CAW23" s="50" t="str">
        <f t="shared" si="32"/>
        <v/>
      </c>
      <c r="CAX23" s="50" t="str">
        <f t="shared" si="32"/>
        <v/>
      </c>
      <c r="CAY23" s="50" t="str">
        <f t="shared" si="32"/>
        <v/>
      </c>
      <c r="CAZ23" s="50" t="str">
        <f t="shared" si="32"/>
        <v/>
      </c>
      <c r="CBA23" s="50" t="str">
        <f t="shared" si="32"/>
        <v/>
      </c>
      <c r="CBB23" s="50" t="str">
        <f t="shared" si="32"/>
        <v/>
      </c>
      <c r="CBC23" s="50" t="str">
        <f t="shared" si="32"/>
        <v/>
      </c>
      <c r="CBD23" s="50" t="str">
        <f t="shared" si="32"/>
        <v/>
      </c>
      <c r="CBE23" s="50" t="str">
        <f t="shared" si="32"/>
        <v/>
      </c>
      <c r="CBF23" s="50" t="str">
        <f t="shared" si="32"/>
        <v/>
      </c>
      <c r="CBG23" s="50" t="str">
        <f t="shared" si="32"/>
        <v/>
      </c>
      <c r="CBH23" s="50" t="str">
        <f t="shared" si="32"/>
        <v/>
      </c>
      <c r="CBI23" s="50" t="str">
        <f t="shared" si="32"/>
        <v/>
      </c>
      <c r="CBJ23" s="50" t="str">
        <f t="shared" si="32"/>
        <v/>
      </c>
      <c r="CBK23" s="50" t="str">
        <f t="shared" si="32"/>
        <v/>
      </c>
      <c r="CBL23" s="50" t="str">
        <f t="shared" si="32"/>
        <v/>
      </c>
      <c r="CBM23" s="50" t="str">
        <f t="shared" si="32"/>
        <v/>
      </c>
      <c r="CBN23" s="50" t="str">
        <f t="shared" si="32"/>
        <v/>
      </c>
      <c r="CBO23" s="50" t="str">
        <f t="shared" si="32"/>
        <v/>
      </c>
      <c r="CBP23" s="50" t="str">
        <f t="shared" si="32"/>
        <v/>
      </c>
      <c r="CBQ23" s="50" t="str">
        <f t="shared" ref="CBQ23:CEB23" si="33">IFERROR(IF(CBP23+TIME(1,0,0)&lt;=$G$12,CBP23+TIME(1,0,0),""),"")</f>
        <v/>
      </c>
      <c r="CBR23" s="50" t="str">
        <f t="shared" si="33"/>
        <v/>
      </c>
      <c r="CBS23" s="50" t="str">
        <f t="shared" si="33"/>
        <v/>
      </c>
      <c r="CBT23" s="50" t="str">
        <f t="shared" si="33"/>
        <v/>
      </c>
      <c r="CBU23" s="50" t="str">
        <f t="shared" si="33"/>
        <v/>
      </c>
      <c r="CBV23" s="50" t="str">
        <f t="shared" si="33"/>
        <v/>
      </c>
      <c r="CBW23" s="50" t="str">
        <f t="shared" si="33"/>
        <v/>
      </c>
      <c r="CBX23" s="50" t="str">
        <f t="shared" si="33"/>
        <v/>
      </c>
      <c r="CBY23" s="50" t="str">
        <f t="shared" si="33"/>
        <v/>
      </c>
      <c r="CBZ23" s="50" t="str">
        <f t="shared" si="33"/>
        <v/>
      </c>
      <c r="CCA23" s="50" t="str">
        <f t="shared" si="33"/>
        <v/>
      </c>
      <c r="CCB23" s="50" t="str">
        <f t="shared" si="33"/>
        <v/>
      </c>
      <c r="CCC23" s="50" t="str">
        <f t="shared" si="33"/>
        <v/>
      </c>
      <c r="CCD23" s="50" t="str">
        <f t="shared" si="33"/>
        <v/>
      </c>
      <c r="CCE23" s="50" t="str">
        <f t="shared" si="33"/>
        <v/>
      </c>
      <c r="CCF23" s="50" t="str">
        <f t="shared" si="33"/>
        <v/>
      </c>
      <c r="CCG23" s="50" t="str">
        <f t="shared" si="33"/>
        <v/>
      </c>
      <c r="CCH23" s="50" t="str">
        <f t="shared" si="33"/>
        <v/>
      </c>
      <c r="CCI23" s="50" t="str">
        <f t="shared" si="33"/>
        <v/>
      </c>
      <c r="CCJ23" s="50" t="str">
        <f t="shared" si="33"/>
        <v/>
      </c>
      <c r="CCK23" s="50" t="str">
        <f t="shared" si="33"/>
        <v/>
      </c>
      <c r="CCL23" s="50" t="str">
        <f t="shared" si="33"/>
        <v/>
      </c>
      <c r="CCM23" s="50" t="str">
        <f t="shared" si="33"/>
        <v/>
      </c>
      <c r="CCN23" s="50" t="str">
        <f t="shared" si="33"/>
        <v/>
      </c>
      <c r="CCO23" s="50" t="str">
        <f t="shared" si="33"/>
        <v/>
      </c>
      <c r="CCP23" s="50" t="str">
        <f t="shared" si="33"/>
        <v/>
      </c>
      <c r="CCQ23" s="50" t="str">
        <f t="shared" si="33"/>
        <v/>
      </c>
      <c r="CCR23" s="50" t="str">
        <f t="shared" si="33"/>
        <v/>
      </c>
      <c r="CCS23" s="50" t="str">
        <f t="shared" si="33"/>
        <v/>
      </c>
      <c r="CCT23" s="50" t="str">
        <f t="shared" si="33"/>
        <v/>
      </c>
      <c r="CCU23" s="50" t="str">
        <f t="shared" si="33"/>
        <v/>
      </c>
      <c r="CCV23" s="50" t="str">
        <f t="shared" si="33"/>
        <v/>
      </c>
      <c r="CCW23" s="50" t="str">
        <f t="shared" si="33"/>
        <v/>
      </c>
      <c r="CCX23" s="50" t="str">
        <f t="shared" si="33"/>
        <v/>
      </c>
      <c r="CCY23" s="50" t="str">
        <f t="shared" si="33"/>
        <v/>
      </c>
      <c r="CCZ23" s="50" t="str">
        <f t="shared" si="33"/>
        <v/>
      </c>
      <c r="CDA23" s="50" t="str">
        <f t="shared" si="33"/>
        <v/>
      </c>
      <c r="CDB23" s="50" t="str">
        <f t="shared" si="33"/>
        <v/>
      </c>
      <c r="CDC23" s="50" t="str">
        <f t="shared" si="33"/>
        <v/>
      </c>
      <c r="CDD23" s="50" t="str">
        <f t="shared" si="33"/>
        <v/>
      </c>
      <c r="CDE23" s="50" t="str">
        <f t="shared" si="33"/>
        <v/>
      </c>
      <c r="CDF23" s="50" t="str">
        <f t="shared" si="33"/>
        <v/>
      </c>
      <c r="CDG23" s="50" t="str">
        <f t="shared" si="33"/>
        <v/>
      </c>
      <c r="CDH23" s="50" t="str">
        <f t="shared" si="33"/>
        <v/>
      </c>
      <c r="CDI23" s="50" t="str">
        <f t="shared" si="33"/>
        <v/>
      </c>
      <c r="CDJ23" s="50" t="str">
        <f t="shared" si="33"/>
        <v/>
      </c>
      <c r="CDK23" s="50" t="str">
        <f t="shared" si="33"/>
        <v/>
      </c>
      <c r="CDL23" s="50" t="str">
        <f t="shared" si="33"/>
        <v/>
      </c>
      <c r="CDM23" s="50" t="str">
        <f t="shared" si="33"/>
        <v/>
      </c>
      <c r="CDN23" s="50" t="str">
        <f t="shared" si="33"/>
        <v/>
      </c>
      <c r="CDO23" s="50" t="str">
        <f t="shared" si="33"/>
        <v/>
      </c>
      <c r="CDP23" s="50" t="str">
        <f t="shared" si="33"/>
        <v/>
      </c>
      <c r="CDQ23" s="50" t="str">
        <f t="shared" si="33"/>
        <v/>
      </c>
      <c r="CDR23" s="50" t="str">
        <f t="shared" si="33"/>
        <v/>
      </c>
      <c r="CDS23" s="50" t="str">
        <f t="shared" si="33"/>
        <v/>
      </c>
      <c r="CDT23" s="50" t="str">
        <f t="shared" si="33"/>
        <v/>
      </c>
      <c r="CDU23" s="50" t="str">
        <f t="shared" si="33"/>
        <v/>
      </c>
      <c r="CDV23" s="50" t="str">
        <f t="shared" si="33"/>
        <v/>
      </c>
      <c r="CDW23" s="50" t="str">
        <f t="shared" si="33"/>
        <v/>
      </c>
      <c r="CDX23" s="50" t="str">
        <f t="shared" si="33"/>
        <v/>
      </c>
      <c r="CDY23" s="50" t="str">
        <f t="shared" si="33"/>
        <v/>
      </c>
      <c r="CDZ23" s="50" t="str">
        <f t="shared" si="33"/>
        <v/>
      </c>
      <c r="CEA23" s="50" t="str">
        <f t="shared" si="33"/>
        <v/>
      </c>
      <c r="CEB23" s="50" t="str">
        <f t="shared" si="33"/>
        <v/>
      </c>
      <c r="CEC23" s="50" t="str">
        <f t="shared" ref="CEC23:CGN23" si="34">IFERROR(IF(CEB23+TIME(1,0,0)&lt;=$G$12,CEB23+TIME(1,0,0),""),"")</f>
        <v/>
      </c>
      <c r="CED23" s="50" t="str">
        <f t="shared" si="34"/>
        <v/>
      </c>
      <c r="CEE23" s="50" t="str">
        <f t="shared" si="34"/>
        <v/>
      </c>
      <c r="CEF23" s="50" t="str">
        <f t="shared" si="34"/>
        <v/>
      </c>
      <c r="CEG23" s="50" t="str">
        <f t="shared" si="34"/>
        <v/>
      </c>
      <c r="CEH23" s="50" t="str">
        <f t="shared" si="34"/>
        <v/>
      </c>
      <c r="CEI23" s="50" t="str">
        <f t="shared" si="34"/>
        <v/>
      </c>
      <c r="CEJ23" s="50" t="str">
        <f t="shared" si="34"/>
        <v/>
      </c>
      <c r="CEK23" s="50" t="str">
        <f t="shared" si="34"/>
        <v/>
      </c>
      <c r="CEL23" s="50" t="str">
        <f t="shared" si="34"/>
        <v/>
      </c>
      <c r="CEM23" s="50" t="str">
        <f t="shared" si="34"/>
        <v/>
      </c>
      <c r="CEN23" s="50" t="str">
        <f t="shared" si="34"/>
        <v/>
      </c>
      <c r="CEO23" s="50" t="str">
        <f t="shared" si="34"/>
        <v/>
      </c>
      <c r="CEP23" s="50" t="str">
        <f t="shared" si="34"/>
        <v/>
      </c>
      <c r="CEQ23" s="50" t="str">
        <f t="shared" si="34"/>
        <v/>
      </c>
      <c r="CER23" s="50" t="str">
        <f t="shared" si="34"/>
        <v/>
      </c>
      <c r="CES23" s="50" t="str">
        <f t="shared" si="34"/>
        <v/>
      </c>
      <c r="CET23" s="50" t="str">
        <f t="shared" si="34"/>
        <v/>
      </c>
      <c r="CEU23" s="50" t="str">
        <f t="shared" si="34"/>
        <v/>
      </c>
      <c r="CEV23" s="50" t="str">
        <f t="shared" si="34"/>
        <v/>
      </c>
      <c r="CEW23" s="50" t="str">
        <f t="shared" si="34"/>
        <v/>
      </c>
      <c r="CEX23" s="50" t="str">
        <f t="shared" si="34"/>
        <v/>
      </c>
      <c r="CEY23" s="50" t="str">
        <f t="shared" si="34"/>
        <v/>
      </c>
      <c r="CEZ23" s="50" t="str">
        <f t="shared" si="34"/>
        <v/>
      </c>
      <c r="CFA23" s="50" t="str">
        <f t="shared" si="34"/>
        <v/>
      </c>
      <c r="CFB23" s="50" t="str">
        <f t="shared" si="34"/>
        <v/>
      </c>
      <c r="CFC23" s="50" t="str">
        <f t="shared" si="34"/>
        <v/>
      </c>
      <c r="CFD23" s="50" t="str">
        <f t="shared" si="34"/>
        <v/>
      </c>
      <c r="CFE23" s="50" t="str">
        <f t="shared" si="34"/>
        <v/>
      </c>
      <c r="CFF23" s="50" t="str">
        <f t="shared" si="34"/>
        <v/>
      </c>
      <c r="CFG23" s="50" t="str">
        <f t="shared" si="34"/>
        <v/>
      </c>
      <c r="CFH23" s="50" t="str">
        <f t="shared" si="34"/>
        <v/>
      </c>
      <c r="CFI23" s="50" t="str">
        <f t="shared" si="34"/>
        <v/>
      </c>
      <c r="CFJ23" s="50" t="str">
        <f t="shared" si="34"/>
        <v/>
      </c>
      <c r="CFK23" s="50" t="str">
        <f t="shared" si="34"/>
        <v/>
      </c>
      <c r="CFL23" s="50" t="str">
        <f t="shared" si="34"/>
        <v/>
      </c>
      <c r="CFM23" s="50" t="str">
        <f t="shared" si="34"/>
        <v/>
      </c>
      <c r="CFN23" s="50" t="str">
        <f t="shared" si="34"/>
        <v/>
      </c>
      <c r="CFO23" s="50" t="str">
        <f t="shared" si="34"/>
        <v/>
      </c>
      <c r="CFP23" s="50" t="str">
        <f t="shared" si="34"/>
        <v/>
      </c>
      <c r="CFQ23" s="50" t="str">
        <f t="shared" si="34"/>
        <v/>
      </c>
      <c r="CFR23" s="50" t="str">
        <f t="shared" si="34"/>
        <v/>
      </c>
      <c r="CFS23" s="50" t="str">
        <f t="shared" si="34"/>
        <v/>
      </c>
      <c r="CFT23" s="50" t="str">
        <f t="shared" si="34"/>
        <v/>
      </c>
      <c r="CFU23" s="50" t="str">
        <f t="shared" si="34"/>
        <v/>
      </c>
      <c r="CFV23" s="50" t="str">
        <f t="shared" si="34"/>
        <v/>
      </c>
      <c r="CFW23" s="50" t="str">
        <f t="shared" si="34"/>
        <v/>
      </c>
      <c r="CFX23" s="50" t="str">
        <f t="shared" si="34"/>
        <v/>
      </c>
      <c r="CFY23" s="50" t="str">
        <f t="shared" si="34"/>
        <v/>
      </c>
      <c r="CFZ23" s="50" t="str">
        <f t="shared" si="34"/>
        <v/>
      </c>
      <c r="CGA23" s="50" t="str">
        <f t="shared" si="34"/>
        <v/>
      </c>
      <c r="CGB23" s="50" t="str">
        <f t="shared" si="34"/>
        <v/>
      </c>
      <c r="CGC23" s="50" t="str">
        <f t="shared" si="34"/>
        <v/>
      </c>
      <c r="CGD23" s="50" t="str">
        <f t="shared" si="34"/>
        <v/>
      </c>
      <c r="CGE23" s="50" t="str">
        <f t="shared" si="34"/>
        <v/>
      </c>
      <c r="CGF23" s="50" t="str">
        <f t="shared" si="34"/>
        <v/>
      </c>
      <c r="CGG23" s="50" t="str">
        <f t="shared" si="34"/>
        <v/>
      </c>
      <c r="CGH23" s="50" t="str">
        <f t="shared" si="34"/>
        <v/>
      </c>
      <c r="CGI23" s="50" t="str">
        <f t="shared" si="34"/>
        <v/>
      </c>
      <c r="CGJ23" s="50" t="str">
        <f t="shared" si="34"/>
        <v/>
      </c>
      <c r="CGK23" s="50" t="str">
        <f t="shared" si="34"/>
        <v/>
      </c>
      <c r="CGL23" s="50" t="str">
        <f t="shared" si="34"/>
        <v/>
      </c>
      <c r="CGM23" s="50" t="str">
        <f t="shared" si="34"/>
        <v/>
      </c>
      <c r="CGN23" s="50" t="str">
        <f t="shared" si="34"/>
        <v/>
      </c>
      <c r="CGO23" s="50" t="str">
        <f t="shared" ref="CGO23:CIZ23" si="35">IFERROR(IF(CGN23+TIME(1,0,0)&lt;=$G$12,CGN23+TIME(1,0,0),""),"")</f>
        <v/>
      </c>
      <c r="CGP23" s="50" t="str">
        <f t="shared" si="35"/>
        <v/>
      </c>
      <c r="CGQ23" s="50" t="str">
        <f t="shared" si="35"/>
        <v/>
      </c>
      <c r="CGR23" s="50" t="str">
        <f t="shared" si="35"/>
        <v/>
      </c>
      <c r="CGS23" s="50" t="str">
        <f t="shared" si="35"/>
        <v/>
      </c>
      <c r="CGT23" s="50" t="str">
        <f t="shared" si="35"/>
        <v/>
      </c>
      <c r="CGU23" s="50" t="str">
        <f t="shared" si="35"/>
        <v/>
      </c>
      <c r="CGV23" s="50" t="str">
        <f t="shared" si="35"/>
        <v/>
      </c>
      <c r="CGW23" s="50" t="str">
        <f t="shared" si="35"/>
        <v/>
      </c>
      <c r="CGX23" s="50" t="str">
        <f t="shared" si="35"/>
        <v/>
      </c>
      <c r="CGY23" s="50" t="str">
        <f t="shared" si="35"/>
        <v/>
      </c>
      <c r="CGZ23" s="50" t="str">
        <f t="shared" si="35"/>
        <v/>
      </c>
      <c r="CHA23" s="50" t="str">
        <f t="shared" si="35"/>
        <v/>
      </c>
      <c r="CHB23" s="50" t="str">
        <f t="shared" si="35"/>
        <v/>
      </c>
      <c r="CHC23" s="50" t="str">
        <f t="shared" si="35"/>
        <v/>
      </c>
      <c r="CHD23" s="50" t="str">
        <f t="shared" si="35"/>
        <v/>
      </c>
      <c r="CHE23" s="50" t="str">
        <f t="shared" si="35"/>
        <v/>
      </c>
      <c r="CHF23" s="50" t="str">
        <f t="shared" si="35"/>
        <v/>
      </c>
      <c r="CHG23" s="50" t="str">
        <f t="shared" si="35"/>
        <v/>
      </c>
      <c r="CHH23" s="50" t="str">
        <f t="shared" si="35"/>
        <v/>
      </c>
      <c r="CHI23" s="50" t="str">
        <f t="shared" si="35"/>
        <v/>
      </c>
      <c r="CHJ23" s="50" t="str">
        <f t="shared" si="35"/>
        <v/>
      </c>
      <c r="CHK23" s="50" t="str">
        <f t="shared" si="35"/>
        <v/>
      </c>
      <c r="CHL23" s="50" t="str">
        <f t="shared" si="35"/>
        <v/>
      </c>
      <c r="CHM23" s="50" t="str">
        <f t="shared" si="35"/>
        <v/>
      </c>
      <c r="CHN23" s="50" t="str">
        <f t="shared" si="35"/>
        <v/>
      </c>
      <c r="CHO23" s="50" t="str">
        <f t="shared" si="35"/>
        <v/>
      </c>
      <c r="CHP23" s="50" t="str">
        <f t="shared" si="35"/>
        <v/>
      </c>
      <c r="CHQ23" s="50" t="str">
        <f t="shared" si="35"/>
        <v/>
      </c>
      <c r="CHR23" s="50" t="str">
        <f t="shared" si="35"/>
        <v/>
      </c>
      <c r="CHS23" s="50" t="str">
        <f t="shared" si="35"/>
        <v/>
      </c>
      <c r="CHT23" s="50" t="str">
        <f t="shared" si="35"/>
        <v/>
      </c>
      <c r="CHU23" s="50" t="str">
        <f t="shared" si="35"/>
        <v/>
      </c>
      <c r="CHV23" s="50" t="str">
        <f t="shared" si="35"/>
        <v/>
      </c>
      <c r="CHW23" s="50" t="str">
        <f t="shared" si="35"/>
        <v/>
      </c>
      <c r="CHX23" s="50" t="str">
        <f t="shared" si="35"/>
        <v/>
      </c>
      <c r="CHY23" s="50" t="str">
        <f t="shared" si="35"/>
        <v/>
      </c>
      <c r="CHZ23" s="50" t="str">
        <f t="shared" si="35"/>
        <v/>
      </c>
      <c r="CIA23" s="50" t="str">
        <f t="shared" si="35"/>
        <v/>
      </c>
      <c r="CIB23" s="50" t="str">
        <f t="shared" si="35"/>
        <v/>
      </c>
      <c r="CIC23" s="50" t="str">
        <f t="shared" si="35"/>
        <v/>
      </c>
      <c r="CID23" s="50" t="str">
        <f t="shared" si="35"/>
        <v/>
      </c>
      <c r="CIE23" s="50" t="str">
        <f t="shared" si="35"/>
        <v/>
      </c>
      <c r="CIF23" s="50" t="str">
        <f t="shared" si="35"/>
        <v/>
      </c>
      <c r="CIG23" s="50" t="str">
        <f t="shared" si="35"/>
        <v/>
      </c>
      <c r="CIH23" s="50" t="str">
        <f t="shared" si="35"/>
        <v/>
      </c>
      <c r="CII23" s="50" t="str">
        <f t="shared" si="35"/>
        <v/>
      </c>
      <c r="CIJ23" s="50" t="str">
        <f t="shared" si="35"/>
        <v/>
      </c>
      <c r="CIK23" s="50" t="str">
        <f t="shared" si="35"/>
        <v/>
      </c>
      <c r="CIL23" s="50" t="str">
        <f t="shared" si="35"/>
        <v/>
      </c>
      <c r="CIM23" s="50" t="str">
        <f t="shared" si="35"/>
        <v/>
      </c>
      <c r="CIN23" s="50" t="str">
        <f t="shared" si="35"/>
        <v/>
      </c>
      <c r="CIO23" s="50" t="str">
        <f t="shared" si="35"/>
        <v/>
      </c>
      <c r="CIP23" s="50" t="str">
        <f t="shared" si="35"/>
        <v/>
      </c>
      <c r="CIQ23" s="50" t="str">
        <f t="shared" si="35"/>
        <v/>
      </c>
      <c r="CIR23" s="50" t="str">
        <f t="shared" si="35"/>
        <v/>
      </c>
      <c r="CIS23" s="50" t="str">
        <f t="shared" si="35"/>
        <v/>
      </c>
      <c r="CIT23" s="50" t="str">
        <f t="shared" si="35"/>
        <v/>
      </c>
      <c r="CIU23" s="50" t="str">
        <f t="shared" si="35"/>
        <v/>
      </c>
      <c r="CIV23" s="50" t="str">
        <f t="shared" si="35"/>
        <v/>
      </c>
      <c r="CIW23" s="50" t="str">
        <f t="shared" si="35"/>
        <v/>
      </c>
      <c r="CIX23" s="50" t="str">
        <f t="shared" si="35"/>
        <v/>
      </c>
      <c r="CIY23" s="50" t="str">
        <f t="shared" si="35"/>
        <v/>
      </c>
      <c r="CIZ23" s="50" t="str">
        <f t="shared" si="35"/>
        <v/>
      </c>
      <c r="CJA23" s="50" t="str">
        <f t="shared" ref="CJA23:CLL23" si="36">IFERROR(IF(CIZ23+TIME(1,0,0)&lt;=$G$12,CIZ23+TIME(1,0,0),""),"")</f>
        <v/>
      </c>
      <c r="CJB23" s="50" t="str">
        <f t="shared" si="36"/>
        <v/>
      </c>
      <c r="CJC23" s="50" t="str">
        <f t="shared" si="36"/>
        <v/>
      </c>
      <c r="CJD23" s="50" t="str">
        <f t="shared" si="36"/>
        <v/>
      </c>
      <c r="CJE23" s="50" t="str">
        <f t="shared" si="36"/>
        <v/>
      </c>
      <c r="CJF23" s="50" t="str">
        <f t="shared" si="36"/>
        <v/>
      </c>
      <c r="CJG23" s="50" t="str">
        <f t="shared" si="36"/>
        <v/>
      </c>
      <c r="CJH23" s="50" t="str">
        <f t="shared" si="36"/>
        <v/>
      </c>
      <c r="CJI23" s="50" t="str">
        <f t="shared" si="36"/>
        <v/>
      </c>
      <c r="CJJ23" s="50" t="str">
        <f t="shared" si="36"/>
        <v/>
      </c>
      <c r="CJK23" s="50" t="str">
        <f t="shared" si="36"/>
        <v/>
      </c>
      <c r="CJL23" s="50" t="str">
        <f t="shared" si="36"/>
        <v/>
      </c>
      <c r="CJM23" s="50" t="str">
        <f t="shared" si="36"/>
        <v/>
      </c>
      <c r="CJN23" s="50" t="str">
        <f t="shared" si="36"/>
        <v/>
      </c>
      <c r="CJO23" s="50" t="str">
        <f t="shared" si="36"/>
        <v/>
      </c>
      <c r="CJP23" s="50" t="str">
        <f t="shared" si="36"/>
        <v/>
      </c>
      <c r="CJQ23" s="50" t="str">
        <f t="shared" si="36"/>
        <v/>
      </c>
      <c r="CJR23" s="50" t="str">
        <f t="shared" si="36"/>
        <v/>
      </c>
      <c r="CJS23" s="50" t="str">
        <f t="shared" si="36"/>
        <v/>
      </c>
      <c r="CJT23" s="50" t="str">
        <f t="shared" si="36"/>
        <v/>
      </c>
      <c r="CJU23" s="50" t="str">
        <f t="shared" si="36"/>
        <v/>
      </c>
      <c r="CJV23" s="50" t="str">
        <f t="shared" si="36"/>
        <v/>
      </c>
      <c r="CJW23" s="50" t="str">
        <f t="shared" si="36"/>
        <v/>
      </c>
      <c r="CJX23" s="50" t="str">
        <f t="shared" si="36"/>
        <v/>
      </c>
      <c r="CJY23" s="50" t="str">
        <f t="shared" si="36"/>
        <v/>
      </c>
      <c r="CJZ23" s="50" t="str">
        <f t="shared" si="36"/>
        <v/>
      </c>
      <c r="CKA23" s="50" t="str">
        <f t="shared" si="36"/>
        <v/>
      </c>
      <c r="CKB23" s="50" t="str">
        <f t="shared" si="36"/>
        <v/>
      </c>
      <c r="CKC23" s="50" t="str">
        <f t="shared" si="36"/>
        <v/>
      </c>
      <c r="CKD23" s="50" t="str">
        <f t="shared" si="36"/>
        <v/>
      </c>
      <c r="CKE23" s="50" t="str">
        <f t="shared" si="36"/>
        <v/>
      </c>
      <c r="CKF23" s="50" t="str">
        <f t="shared" si="36"/>
        <v/>
      </c>
      <c r="CKG23" s="50" t="str">
        <f t="shared" si="36"/>
        <v/>
      </c>
      <c r="CKH23" s="50" t="str">
        <f t="shared" si="36"/>
        <v/>
      </c>
      <c r="CKI23" s="50" t="str">
        <f t="shared" si="36"/>
        <v/>
      </c>
      <c r="CKJ23" s="50" t="str">
        <f t="shared" si="36"/>
        <v/>
      </c>
      <c r="CKK23" s="50" t="str">
        <f t="shared" si="36"/>
        <v/>
      </c>
      <c r="CKL23" s="50" t="str">
        <f t="shared" si="36"/>
        <v/>
      </c>
      <c r="CKM23" s="50" t="str">
        <f t="shared" si="36"/>
        <v/>
      </c>
      <c r="CKN23" s="50" t="str">
        <f t="shared" si="36"/>
        <v/>
      </c>
      <c r="CKO23" s="50" t="str">
        <f t="shared" si="36"/>
        <v/>
      </c>
      <c r="CKP23" s="50" t="str">
        <f t="shared" si="36"/>
        <v/>
      </c>
      <c r="CKQ23" s="50" t="str">
        <f t="shared" si="36"/>
        <v/>
      </c>
      <c r="CKR23" s="50" t="str">
        <f t="shared" si="36"/>
        <v/>
      </c>
      <c r="CKS23" s="50" t="str">
        <f t="shared" si="36"/>
        <v/>
      </c>
      <c r="CKT23" s="50" t="str">
        <f t="shared" si="36"/>
        <v/>
      </c>
      <c r="CKU23" s="50" t="str">
        <f t="shared" si="36"/>
        <v/>
      </c>
      <c r="CKV23" s="50" t="str">
        <f t="shared" si="36"/>
        <v/>
      </c>
      <c r="CKW23" s="50" t="str">
        <f t="shared" si="36"/>
        <v/>
      </c>
      <c r="CKX23" s="50" t="str">
        <f t="shared" si="36"/>
        <v/>
      </c>
      <c r="CKY23" s="50" t="str">
        <f t="shared" si="36"/>
        <v/>
      </c>
      <c r="CKZ23" s="50" t="str">
        <f t="shared" si="36"/>
        <v/>
      </c>
      <c r="CLA23" s="50" t="str">
        <f t="shared" si="36"/>
        <v/>
      </c>
      <c r="CLB23" s="50" t="str">
        <f t="shared" si="36"/>
        <v/>
      </c>
      <c r="CLC23" s="50" t="str">
        <f t="shared" si="36"/>
        <v/>
      </c>
      <c r="CLD23" s="50" t="str">
        <f t="shared" si="36"/>
        <v/>
      </c>
      <c r="CLE23" s="50" t="str">
        <f t="shared" si="36"/>
        <v/>
      </c>
      <c r="CLF23" s="50" t="str">
        <f t="shared" si="36"/>
        <v/>
      </c>
      <c r="CLG23" s="50" t="str">
        <f t="shared" si="36"/>
        <v/>
      </c>
      <c r="CLH23" s="50" t="str">
        <f t="shared" si="36"/>
        <v/>
      </c>
      <c r="CLI23" s="50" t="str">
        <f t="shared" si="36"/>
        <v/>
      </c>
      <c r="CLJ23" s="50" t="str">
        <f t="shared" si="36"/>
        <v/>
      </c>
      <c r="CLK23" s="50" t="str">
        <f t="shared" si="36"/>
        <v/>
      </c>
      <c r="CLL23" s="50" t="str">
        <f t="shared" si="36"/>
        <v/>
      </c>
      <c r="CLM23" s="50" t="str">
        <f t="shared" ref="CLM23:CNX23" si="37">IFERROR(IF(CLL23+TIME(1,0,0)&lt;=$G$12,CLL23+TIME(1,0,0),""),"")</f>
        <v/>
      </c>
      <c r="CLN23" s="50" t="str">
        <f t="shared" si="37"/>
        <v/>
      </c>
      <c r="CLO23" s="50" t="str">
        <f t="shared" si="37"/>
        <v/>
      </c>
      <c r="CLP23" s="50" t="str">
        <f t="shared" si="37"/>
        <v/>
      </c>
      <c r="CLQ23" s="50" t="str">
        <f t="shared" si="37"/>
        <v/>
      </c>
      <c r="CLR23" s="50" t="str">
        <f t="shared" si="37"/>
        <v/>
      </c>
      <c r="CLS23" s="50" t="str">
        <f t="shared" si="37"/>
        <v/>
      </c>
      <c r="CLT23" s="50" t="str">
        <f t="shared" si="37"/>
        <v/>
      </c>
      <c r="CLU23" s="50" t="str">
        <f t="shared" si="37"/>
        <v/>
      </c>
      <c r="CLV23" s="50" t="str">
        <f t="shared" si="37"/>
        <v/>
      </c>
      <c r="CLW23" s="50" t="str">
        <f t="shared" si="37"/>
        <v/>
      </c>
      <c r="CLX23" s="50" t="str">
        <f t="shared" si="37"/>
        <v/>
      </c>
      <c r="CLY23" s="50" t="str">
        <f t="shared" si="37"/>
        <v/>
      </c>
      <c r="CLZ23" s="50" t="str">
        <f t="shared" si="37"/>
        <v/>
      </c>
      <c r="CMA23" s="50" t="str">
        <f t="shared" si="37"/>
        <v/>
      </c>
      <c r="CMB23" s="50" t="str">
        <f t="shared" si="37"/>
        <v/>
      </c>
      <c r="CMC23" s="50" t="str">
        <f t="shared" si="37"/>
        <v/>
      </c>
      <c r="CMD23" s="50" t="str">
        <f t="shared" si="37"/>
        <v/>
      </c>
      <c r="CME23" s="50" t="str">
        <f t="shared" si="37"/>
        <v/>
      </c>
      <c r="CMF23" s="50" t="str">
        <f t="shared" si="37"/>
        <v/>
      </c>
      <c r="CMG23" s="50" t="str">
        <f t="shared" si="37"/>
        <v/>
      </c>
      <c r="CMH23" s="50" t="str">
        <f t="shared" si="37"/>
        <v/>
      </c>
      <c r="CMI23" s="50" t="str">
        <f t="shared" si="37"/>
        <v/>
      </c>
      <c r="CMJ23" s="50" t="str">
        <f t="shared" si="37"/>
        <v/>
      </c>
      <c r="CMK23" s="50" t="str">
        <f t="shared" si="37"/>
        <v/>
      </c>
      <c r="CML23" s="50" t="str">
        <f t="shared" si="37"/>
        <v/>
      </c>
      <c r="CMM23" s="50" t="str">
        <f t="shared" si="37"/>
        <v/>
      </c>
      <c r="CMN23" s="50" t="str">
        <f t="shared" si="37"/>
        <v/>
      </c>
      <c r="CMO23" s="50" t="str">
        <f t="shared" si="37"/>
        <v/>
      </c>
      <c r="CMP23" s="50" t="str">
        <f t="shared" si="37"/>
        <v/>
      </c>
      <c r="CMQ23" s="50" t="str">
        <f t="shared" si="37"/>
        <v/>
      </c>
      <c r="CMR23" s="50" t="str">
        <f t="shared" si="37"/>
        <v/>
      </c>
      <c r="CMS23" s="50" t="str">
        <f t="shared" si="37"/>
        <v/>
      </c>
      <c r="CMT23" s="50" t="str">
        <f t="shared" si="37"/>
        <v/>
      </c>
      <c r="CMU23" s="50" t="str">
        <f t="shared" si="37"/>
        <v/>
      </c>
      <c r="CMV23" s="50" t="str">
        <f t="shared" si="37"/>
        <v/>
      </c>
      <c r="CMW23" s="50" t="str">
        <f t="shared" si="37"/>
        <v/>
      </c>
      <c r="CMX23" s="50" t="str">
        <f t="shared" si="37"/>
        <v/>
      </c>
      <c r="CMY23" s="50" t="str">
        <f t="shared" si="37"/>
        <v/>
      </c>
      <c r="CMZ23" s="50" t="str">
        <f t="shared" si="37"/>
        <v/>
      </c>
      <c r="CNA23" s="50" t="str">
        <f t="shared" si="37"/>
        <v/>
      </c>
      <c r="CNB23" s="50" t="str">
        <f t="shared" si="37"/>
        <v/>
      </c>
      <c r="CNC23" s="50" t="str">
        <f t="shared" si="37"/>
        <v/>
      </c>
      <c r="CND23" s="50" t="str">
        <f t="shared" si="37"/>
        <v/>
      </c>
      <c r="CNE23" s="50" t="str">
        <f t="shared" si="37"/>
        <v/>
      </c>
      <c r="CNF23" s="50" t="str">
        <f t="shared" si="37"/>
        <v/>
      </c>
      <c r="CNG23" s="50" t="str">
        <f t="shared" si="37"/>
        <v/>
      </c>
      <c r="CNH23" s="50" t="str">
        <f t="shared" si="37"/>
        <v/>
      </c>
      <c r="CNI23" s="50" t="str">
        <f t="shared" si="37"/>
        <v/>
      </c>
      <c r="CNJ23" s="50" t="str">
        <f t="shared" si="37"/>
        <v/>
      </c>
      <c r="CNK23" s="50" t="str">
        <f t="shared" si="37"/>
        <v/>
      </c>
      <c r="CNL23" s="50" t="str">
        <f t="shared" si="37"/>
        <v/>
      </c>
      <c r="CNM23" s="50" t="str">
        <f t="shared" si="37"/>
        <v/>
      </c>
      <c r="CNN23" s="50" t="str">
        <f t="shared" si="37"/>
        <v/>
      </c>
      <c r="CNO23" s="50" t="str">
        <f t="shared" si="37"/>
        <v/>
      </c>
      <c r="CNP23" s="50" t="str">
        <f t="shared" si="37"/>
        <v/>
      </c>
      <c r="CNQ23" s="50" t="str">
        <f t="shared" si="37"/>
        <v/>
      </c>
      <c r="CNR23" s="50" t="str">
        <f t="shared" si="37"/>
        <v/>
      </c>
      <c r="CNS23" s="50" t="str">
        <f t="shared" si="37"/>
        <v/>
      </c>
      <c r="CNT23" s="50" t="str">
        <f t="shared" si="37"/>
        <v/>
      </c>
      <c r="CNU23" s="50" t="str">
        <f t="shared" si="37"/>
        <v/>
      </c>
      <c r="CNV23" s="50" t="str">
        <f t="shared" si="37"/>
        <v/>
      </c>
      <c r="CNW23" s="50" t="str">
        <f t="shared" si="37"/>
        <v/>
      </c>
      <c r="CNX23" s="50" t="str">
        <f t="shared" si="37"/>
        <v/>
      </c>
      <c r="CNY23" s="50" t="str">
        <f t="shared" ref="CNY23:CQJ23" si="38">IFERROR(IF(CNX23+TIME(1,0,0)&lt;=$G$12,CNX23+TIME(1,0,0),""),"")</f>
        <v/>
      </c>
      <c r="CNZ23" s="50" t="str">
        <f t="shared" si="38"/>
        <v/>
      </c>
      <c r="COA23" s="50" t="str">
        <f t="shared" si="38"/>
        <v/>
      </c>
      <c r="COB23" s="50" t="str">
        <f t="shared" si="38"/>
        <v/>
      </c>
      <c r="COC23" s="50" t="str">
        <f t="shared" si="38"/>
        <v/>
      </c>
      <c r="COD23" s="50" t="str">
        <f t="shared" si="38"/>
        <v/>
      </c>
      <c r="COE23" s="50" t="str">
        <f t="shared" si="38"/>
        <v/>
      </c>
      <c r="COF23" s="50" t="str">
        <f t="shared" si="38"/>
        <v/>
      </c>
      <c r="COG23" s="50" t="str">
        <f t="shared" si="38"/>
        <v/>
      </c>
      <c r="COH23" s="50" t="str">
        <f t="shared" si="38"/>
        <v/>
      </c>
      <c r="COI23" s="50" t="str">
        <f t="shared" si="38"/>
        <v/>
      </c>
      <c r="COJ23" s="50" t="str">
        <f t="shared" si="38"/>
        <v/>
      </c>
      <c r="COK23" s="50" t="str">
        <f t="shared" si="38"/>
        <v/>
      </c>
      <c r="COL23" s="50" t="str">
        <f t="shared" si="38"/>
        <v/>
      </c>
      <c r="COM23" s="50" t="str">
        <f t="shared" si="38"/>
        <v/>
      </c>
      <c r="CON23" s="50" t="str">
        <f t="shared" si="38"/>
        <v/>
      </c>
      <c r="COO23" s="50" t="str">
        <f t="shared" si="38"/>
        <v/>
      </c>
      <c r="COP23" s="50" t="str">
        <f t="shared" si="38"/>
        <v/>
      </c>
      <c r="COQ23" s="50" t="str">
        <f t="shared" si="38"/>
        <v/>
      </c>
      <c r="COR23" s="50" t="str">
        <f t="shared" si="38"/>
        <v/>
      </c>
      <c r="COS23" s="50" t="str">
        <f t="shared" si="38"/>
        <v/>
      </c>
      <c r="COT23" s="50" t="str">
        <f t="shared" si="38"/>
        <v/>
      </c>
      <c r="COU23" s="50" t="str">
        <f t="shared" si="38"/>
        <v/>
      </c>
      <c r="COV23" s="50" t="str">
        <f t="shared" si="38"/>
        <v/>
      </c>
      <c r="COW23" s="50" t="str">
        <f t="shared" si="38"/>
        <v/>
      </c>
      <c r="COX23" s="50" t="str">
        <f t="shared" si="38"/>
        <v/>
      </c>
      <c r="COY23" s="50" t="str">
        <f t="shared" si="38"/>
        <v/>
      </c>
      <c r="COZ23" s="50" t="str">
        <f t="shared" si="38"/>
        <v/>
      </c>
      <c r="CPA23" s="50" t="str">
        <f t="shared" si="38"/>
        <v/>
      </c>
      <c r="CPB23" s="50" t="str">
        <f t="shared" si="38"/>
        <v/>
      </c>
      <c r="CPC23" s="50" t="str">
        <f t="shared" si="38"/>
        <v/>
      </c>
      <c r="CPD23" s="50" t="str">
        <f t="shared" si="38"/>
        <v/>
      </c>
      <c r="CPE23" s="50" t="str">
        <f t="shared" si="38"/>
        <v/>
      </c>
      <c r="CPF23" s="50" t="str">
        <f t="shared" si="38"/>
        <v/>
      </c>
      <c r="CPG23" s="50" t="str">
        <f t="shared" si="38"/>
        <v/>
      </c>
      <c r="CPH23" s="50" t="str">
        <f t="shared" si="38"/>
        <v/>
      </c>
      <c r="CPI23" s="50" t="str">
        <f t="shared" si="38"/>
        <v/>
      </c>
      <c r="CPJ23" s="50" t="str">
        <f t="shared" si="38"/>
        <v/>
      </c>
      <c r="CPK23" s="50" t="str">
        <f t="shared" si="38"/>
        <v/>
      </c>
      <c r="CPL23" s="50" t="str">
        <f t="shared" si="38"/>
        <v/>
      </c>
      <c r="CPM23" s="50" t="str">
        <f t="shared" si="38"/>
        <v/>
      </c>
      <c r="CPN23" s="50" t="str">
        <f t="shared" si="38"/>
        <v/>
      </c>
      <c r="CPO23" s="50" t="str">
        <f t="shared" si="38"/>
        <v/>
      </c>
      <c r="CPP23" s="50" t="str">
        <f t="shared" si="38"/>
        <v/>
      </c>
      <c r="CPQ23" s="50" t="str">
        <f t="shared" si="38"/>
        <v/>
      </c>
      <c r="CPR23" s="50" t="str">
        <f t="shared" si="38"/>
        <v/>
      </c>
      <c r="CPS23" s="50" t="str">
        <f t="shared" si="38"/>
        <v/>
      </c>
      <c r="CPT23" s="50" t="str">
        <f t="shared" si="38"/>
        <v/>
      </c>
      <c r="CPU23" s="50" t="str">
        <f t="shared" si="38"/>
        <v/>
      </c>
      <c r="CPV23" s="50" t="str">
        <f t="shared" si="38"/>
        <v/>
      </c>
      <c r="CPW23" s="50" t="str">
        <f t="shared" si="38"/>
        <v/>
      </c>
      <c r="CPX23" s="50" t="str">
        <f t="shared" si="38"/>
        <v/>
      </c>
      <c r="CPY23" s="50" t="str">
        <f t="shared" si="38"/>
        <v/>
      </c>
      <c r="CPZ23" s="50" t="str">
        <f t="shared" si="38"/>
        <v/>
      </c>
      <c r="CQA23" s="50" t="str">
        <f t="shared" si="38"/>
        <v/>
      </c>
      <c r="CQB23" s="50" t="str">
        <f t="shared" si="38"/>
        <v/>
      </c>
      <c r="CQC23" s="50" t="str">
        <f t="shared" si="38"/>
        <v/>
      </c>
      <c r="CQD23" s="50" t="str">
        <f t="shared" si="38"/>
        <v/>
      </c>
      <c r="CQE23" s="50" t="str">
        <f t="shared" si="38"/>
        <v/>
      </c>
      <c r="CQF23" s="50" t="str">
        <f t="shared" si="38"/>
        <v/>
      </c>
      <c r="CQG23" s="50" t="str">
        <f t="shared" si="38"/>
        <v/>
      </c>
      <c r="CQH23" s="50" t="str">
        <f t="shared" si="38"/>
        <v/>
      </c>
      <c r="CQI23" s="50" t="str">
        <f t="shared" si="38"/>
        <v/>
      </c>
      <c r="CQJ23" s="50" t="str">
        <f t="shared" si="38"/>
        <v/>
      </c>
      <c r="CQK23" s="50" t="str">
        <f t="shared" ref="CQK23:CSV23" si="39">IFERROR(IF(CQJ23+TIME(1,0,0)&lt;=$G$12,CQJ23+TIME(1,0,0),""),"")</f>
        <v/>
      </c>
      <c r="CQL23" s="50" t="str">
        <f t="shared" si="39"/>
        <v/>
      </c>
      <c r="CQM23" s="50" t="str">
        <f t="shared" si="39"/>
        <v/>
      </c>
      <c r="CQN23" s="50" t="str">
        <f t="shared" si="39"/>
        <v/>
      </c>
      <c r="CQO23" s="50" t="str">
        <f t="shared" si="39"/>
        <v/>
      </c>
      <c r="CQP23" s="50" t="str">
        <f t="shared" si="39"/>
        <v/>
      </c>
      <c r="CQQ23" s="50" t="str">
        <f t="shared" si="39"/>
        <v/>
      </c>
      <c r="CQR23" s="50" t="str">
        <f t="shared" si="39"/>
        <v/>
      </c>
      <c r="CQS23" s="50" t="str">
        <f t="shared" si="39"/>
        <v/>
      </c>
      <c r="CQT23" s="50" t="str">
        <f t="shared" si="39"/>
        <v/>
      </c>
      <c r="CQU23" s="50" t="str">
        <f t="shared" si="39"/>
        <v/>
      </c>
      <c r="CQV23" s="50" t="str">
        <f t="shared" si="39"/>
        <v/>
      </c>
      <c r="CQW23" s="50" t="str">
        <f t="shared" si="39"/>
        <v/>
      </c>
      <c r="CQX23" s="50" t="str">
        <f t="shared" si="39"/>
        <v/>
      </c>
      <c r="CQY23" s="50" t="str">
        <f t="shared" si="39"/>
        <v/>
      </c>
      <c r="CQZ23" s="50" t="str">
        <f t="shared" si="39"/>
        <v/>
      </c>
      <c r="CRA23" s="50" t="str">
        <f t="shared" si="39"/>
        <v/>
      </c>
      <c r="CRB23" s="50" t="str">
        <f t="shared" si="39"/>
        <v/>
      </c>
      <c r="CRC23" s="50" t="str">
        <f t="shared" si="39"/>
        <v/>
      </c>
      <c r="CRD23" s="50" t="str">
        <f t="shared" si="39"/>
        <v/>
      </c>
      <c r="CRE23" s="50" t="str">
        <f t="shared" si="39"/>
        <v/>
      </c>
      <c r="CRF23" s="50" t="str">
        <f t="shared" si="39"/>
        <v/>
      </c>
      <c r="CRG23" s="50" t="str">
        <f t="shared" si="39"/>
        <v/>
      </c>
      <c r="CRH23" s="50" t="str">
        <f t="shared" si="39"/>
        <v/>
      </c>
      <c r="CRI23" s="50" t="str">
        <f t="shared" si="39"/>
        <v/>
      </c>
      <c r="CRJ23" s="50" t="str">
        <f t="shared" si="39"/>
        <v/>
      </c>
      <c r="CRK23" s="50" t="str">
        <f t="shared" si="39"/>
        <v/>
      </c>
      <c r="CRL23" s="50" t="str">
        <f t="shared" si="39"/>
        <v/>
      </c>
      <c r="CRM23" s="50" t="str">
        <f t="shared" si="39"/>
        <v/>
      </c>
      <c r="CRN23" s="50" t="str">
        <f t="shared" si="39"/>
        <v/>
      </c>
      <c r="CRO23" s="50" t="str">
        <f t="shared" si="39"/>
        <v/>
      </c>
      <c r="CRP23" s="50" t="str">
        <f t="shared" si="39"/>
        <v/>
      </c>
      <c r="CRQ23" s="50" t="str">
        <f t="shared" si="39"/>
        <v/>
      </c>
      <c r="CRR23" s="50" t="str">
        <f t="shared" si="39"/>
        <v/>
      </c>
      <c r="CRS23" s="50" t="str">
        <f t="shared" si="39"/>
        <v/>
      </c>
      <c r="CRT23" s="50" t="str">
        <f t="shared" si="39"/>
        <v/>
      </c>
      <c r="CRU23" s="50" t="str">
        <f t="shared" si="39"/>
        <v/>
      </c>
      <c r="CRV23" s="50" t="str">
        <f t="shared" si="39"/>
        <v/>
      </c>
      <c r="CRW23" s="50" t="str">
        <f t="shared" si="39"/>
        <v/>
      </c>
      <c r="CRX23" s="50" t="str">
        <f t="shared" si="39"/>
        <v/>
      </c>
      <c r="CRY23" s="50" t="str">
        <f t="shared" si="39"/>
        <v/>
      </c>
      <c r="CRZ23" s="50" t="str">
        <f t="shared" si="39"/>
        <v/>
      </c>
      <c r="CSA23" s="50" t="str">
        <f t="shared" si="39"/>
        <v/>
      </c>
      <c r="CSB23" s="50" t="str">
        <f t="shared" si="39"/>
        <v/>
      </c>
      <c r="CSC23" s="50" t="str">
        <f t="shared" si="39"/>
        <v/>
      </c>
      <c r="CSD23" s="50" t="str">
        <f t="shared" si="39"/>
        <v/>
      </c>
      <c r="CSE23" s="50" t="str">
        <f t="shared" si="39"/>
        <v/>
      </c>
      <c r="CSF23" s="50" t="str">
        <f t="shared" si="39"/>
        <v/>
      </c>
      <c r="CSG23" s="50" t="str">
        <f t="shared" si="39"/>
        <v/>
      </c>
      <c r="CSH23" s="50" t="str">
        <f t="shared" si="39"/>
        <v/>
      </c>
      <c r="CSI23" s="50" t="str">
        <f t="shared" si="39"/>
        <v/>
      </c>
      <c r="CSJ23" s="50" t="str">
        <f t="shared" si="39"/>
        <v/>
      </c>
      <c r="CSK23" s="50" t="str">
        <f t="shared" si="39"/>
        <v/>
      </c>
      <c r="CSL23" s="50" t="str">
        <f t="shared" si="39"/>
        <v/>
      </c>
      <c r="CSM23" s="50" t="str">
        <f t="shared" si="39"/>
        <v/>
      </c>
      <c r="CSN23" s="50" t="str">
        <f t="shared" si="39"/>
        <v/>
      </c>
      <c r="CSO23" s="50" t="str">
        <f t="shared" si="39"/>
        <v/>
      </c>
      <c r="CSP23" s="50" t="str">
        <f t="shared" si="39"/>
        <v/>
      </c>
      <c r="CSQ23" s="50" t="str">
        <f t="shared" si="39"/>
        <v/>
      </c>
      <c r="CSR23" s="50" t="str">
        <f t="shared" si="39"/>
        <v/>
      </c>
      <c r="CSS23" s="50" t="str">
        <f t="shared" si="39"/>
        <v/>
      </c>
      <c r="CST23" s="50" t="str">
        <f t="shared" si="39"/>
        <v/>
      </c>
      <c r="CSU23" s="50" t="str">
        <f t="shared" si="39"/>
        <v/>
      </c>
      <c r="CSV23" s="50" t="str">
        <f t="shared" si="39"/>
        <v/>
      </c>
      <c r="CSW23" s="50" t="str">
        <f t="shared" ref="CSW23:CVH23" si="40">IFERROR(IF(CSV23+TIME(1,0,0)&lt;=$G$12,CSV23+TIME(1,0,0),""),"")</f>
        <v/>
      </c>
      <c r="CSX23" s="50" t="str">
        <f t="shared" si="40"/>
        <v/>
      </c>
      <c r="CSY23" s="50" t="str">
        <f t="shared" si="40"/>
        <v/>
      </c>
      <c r="CSZ23" s="50" t="str">
        <f t="shared" si="40"/>
        <v/>
      </c>
      <c r="CTA23" s="50" t="str">
        <f t="shared" si="40"/>
        <v/>
      </c>
      <c r="CTB23" s="50" t="str">
        <f t="shared" si="40"/>
        <v/>
      </c>
      <c r="CTC23" s="50" t="str">
        <f t="shared" si="40"/>
        <v/>
      </c>
      <c r="CTD23" s="50" t="str">
        <f t="shared" si="40"/>
        <v/>
      </c>
      <c r="CTE23" s="50" t="str">
        <f t="shared" si="40"/>
        <v/>
      </c>
      <c r="CTF23" s="50" t="str">
        <f t="shared" si="40"/>
        <v/>
      </c>
      <c r="CTG23" s="50" t="str">
        <f t="shared" si="40"/>
        <v/>
      </c>
      <c r="CTH23" s="50" t="str">
        <f t="shared" si="40"/>
        <v/>
      </c>
      <c r="CTI23" s="50" t="str">
        <f t="shared" si="40"/>
        <v/>
      </c>
      <c r="CTJ23" s="50" t="str">
        <f t="shared" si="40"/>
        <v/>
      </c>
      <c r="CTK23" s="50" t="str">
        <f t="shared" si="40"/>
        <v/>
      </c>
      <c r="CTL23" s="50" t="str">
        <f t="shared" si="40"/>
        <v/>
      </c>
      <c r="CTM23" s="50" t="str">
        <f t="shared" si="40"/>
        <v/>
      </c>
      <c r="CTN23" s="50" t="str">
        <f t="shared" si="40"/>
        <v/>
      </c>
      <c r="CTO23" s="50" t="str">
        <f t="shared" si="40"/>
        <v/>
      </c>
      <c r="CTP23" s="50" t="str">
        <f t="shared" si="40"/>
        <v/>
      </c>
      <c r="CTQ23" s="50" t="str">
        <f t="shared" si="40"/>
        <v/>
      </c>
      <c r="CTR23" s="50" t="str">
        <f t="shared" si="40"/>
        <v/>
      </c>
      <c r="CTS23" s="50" t="str">
        <f t="shared" si="40"/>
        <v/>
      </c>
      <c r="CTT23" s="50" t="str">
        <f t="shared" si="40"/>
        <v/>
      </c>
      <c r="CTU23" s="50" t="str">
        <f t="shared" si="40"/>
        <v/>
      </c>
      <c r="CTV23" s="50" t="str">
        <f t="shared" si="40"/>
        <v/>
      </c>
      <c r="CTW23" s="50" t="str">
        <f t="shared" si="40"/>
        <v/>
      </c>
      <c r="CTX23" s="50" t="str">
        <f t="shared" si="40"/>
        <v/>
      </c>
      <c r="CTY23" s="50" t="str">
        <f t="shared" si="40"/>
        <v/>
      </c>
      <c r="CTZ23" s="50" t="str">
        <f t="shared" si="40"/>
        <v/>
      </c>
      <c r="CUA23" s="50" t="str">
        <f t="shared" si="40"/>
        <v/>
      </c>
      <c r="CUB23" s="50" t="str">
        <f t="shared" si="40"/>
        <v/>
      </c>
      <c r="CUC23" s="50" t="str">
        <f t="shared" si="40"/>
        <v/>
      </c>
      <c r="CUD23" s="50" t="str">
        <f t="shared" si="40"/>
        <v/>
      </c>
      <c r="CUE23" s="50" t="str">
        <f t="shared" si="40"/>
        <v/>
      </c>
      <c r="CUF23" s="50" t="str">
        <f t="shared" si="40"/>
        <v/>
      </c>
      <c r="CUG23" s="50" t="str">
        <f t="shared" si="40"/>
        <v/>
      </c>
      <c r="CUH23" s="50" t="str">
        <f t="shared" si="40"/>
        <v/>
      </c>
      <c r="CUI23" s="50" t="str">
        <f t="shared" si="40"/>
        <v/>
      </c>
      <c r="CUJ23" s="50" t="str">
        <f t="shared" si="40"/>
        <v/>
      </c>
      <c r="CUK23" s="50" t="str">
        <f t="shared" si="40"/>
        <v/>
      </c>
      <c r="CUL23" s="50" t="str">
        <f t="shared" si="40"/>
        <v/>
      </c>
      <c r="CUM23" s="50" t="str">
        <f t="shared" si="40"/>
        <v/>
      </c>
      <c r="CUN23" s="50" t="str">
        <f t="shared" si="40"/>
        <v/>
      </c>
      <c r="CUO23" s="50" t="str">
        <f t="shared" si="40"/>
        <v/>
      </c>
      <c r="CUP23" s="50" t="str">
        <f t="shared" si="40"/>
        <v/>
      </c>
      <c r="CUQ23" s="50" t="str">
        <f t="shared" si="40"/>
        <v/>
      </c>
      <c r="CUR23" s="50" t="str">
        <f t="shared" si="40"/>
        <v/>
      </c>
      <c r="CUS23" s="50" t="str">
        <f t="shared" si="40"/>
        <v/>
      </c>
      <c r="CUT23" s="50" t="str">
        <f t="shared" si="40"/>
        <v/>
      </c>
      <c r="CUU23" s="50" t="str">
        <f t="shared" si="40"/>
        <v/>
      </c>
      <c r="CUV23" s="50" t="str">
        <f t="shared" si="40"/>
        <v/>
      </c>
      <c r="CUW23" s="50" t="str">
        <f t="shared" si="40"/>
        <v/>
      </c>
      <c r="CUX23" s="50" t="str">
        <f t="shared" si="40"/>
        <v/>
      </c>
      <c r="CUY23" s="50" t="str">
        <f t="shared" si="40"/>
        <v/>
      </c>
      <c r="CUZ23" s="50" t="str">
        <f t="shared" si="40"/>
        <v/>
      </c>
      <c r="CVA23" s="50" t="str">
        <f t="shared" si="40"/>
        <v/>
      </c>
      <c r="CVB23" s="50" t="str">
        <f t="shared" si="40"/>
        <v/>
      </c>
      <c r="CVC23" s="50" t="str">
        <f t="shared" si="40"/>
        <v/>
      </c>
      <c r="CVD23" s="50" t="str">
        <f t="shared" si="40"/>
        <v/>
      </c>
      <c r="CVE23" s="50" t="str">
        <f t="shared" si="40"/>
        <v/>
      </c>
      <c r="CVF23" s="50" t="str">
        <f t="shared" si="40"/>
        <v/>
      </c>
      <c r="CVG23" s="50" t="str">
        <f t="shared" si="40"/>
        <v/>
      </c>
      <c r="CVH23" s="50" t="str">
        <f t="shared" si="40"/>
        <v/>
      </c>
      <c r="CVI23" s="50" t="str">
        <f t="shared" ref="CVI23:CXT23" si="41">IFERROR(IF(CVH23+TIME(1,0,0)&lt;=$G$12,CVH23+TIME(1,0,0),""),"")</f>
        <v/>
      </c>
      <c r="CVJ23" s="50" t="str">
        <f t="shared" si="41"/>
        <v/>
      </c>
      <c r="CVK23" s="50" t="str">
        <f t="shared" si="41"/>
        <v/>
      </c>
      <c r="CVL23" s="50" t="str">
        <f t="shared" si="41"/>
        <v/>
      </c>
      <c r="CVM23" s="50" t="str">
        <f t="shared" si="41"/>
        <v/>
      </c>
      <c r="CVN23" s="50" t="str">
        <f t="shared" si="41"/>
        <v/>
      </c>
      <c r="CVO23" s="50" t="str">
        <f t="shared" si="41"/>
        <v/>
      </c>
      <c r="CVP23" s="50" t="str">
        <f t="shared" si="41"/>
        <v/>
      </c>
      <c r="CVQ23" s="50" t="str">
        <f t="shared" si="41"/>
        <v/>
      </c>
      <c r="CVR23" s="50" t="str">
        <f t="shared" si="41"/>
        <v/>
      </c>
      <c r="CVS23" s="50" t="str">
        <f t="shared" si="41"/>
        <v/>
      </c>
      <c r="CVT23" s="50" t="str">
        <f t="shared" si="41"/>
        <v/>
      </c>
      <c r="CVU23" s="50" t="str">
        <f t="shared" si="41"/>
        <v/>
      </c>
      <c r="CVV23" s="50" t="str">
        <f t="shared" si="41"/>
        <v/>
      </c>
      <c r="CVW23" s="50" t="str">
        <f t="shared" si="41"/>
        <v/>
      </c>
      <c r="CVX23" s="50" t="str">
        <f t="shared" si="41"/>
        <v/>
      </c>
      <c r="CVY23" s="50" t="str">
        <f t="shared" si="41"/>
        <v/>
      </c>
      <c r="CVZ23" s="50" t="str">
        <f t="shared" si="41"/>
        <v/>
      </c>
      <c r="CWA23" s="50" t="str">
        <f t="shared" si="41"/>
        <v/>
      </c>
      <c r="CWB23" s="50" t="str">
        <f t="shared" si="41"/>
        <v/>
      </c>
      <c r="CWC23" s="50" t="str">
        <f t="shared" si="41"/>
        <v/>
      </c>
      <c r="CWD23" s="50" t="str">
        <f t="shared" si="41"/>
        <v/>
      </c>
      <c r="CWE23" s="50" t="str">
        <f t="shared" si="41"/>
        <v/>
      </c>
      <c r="CWF23" s="50" t="str">
        <f t="shared" si="41"/>
        <v/>
      </c>
      <c r="CWG23" s="50" t="str">
        <f t="shared" si="41"/>
        <v/>
      </c>
      <c r="CWH23" s="50" t="str">
        <f t="shared" si="41"/>
        <v/>
      </c>
      <c r="CWI23" s="50" t="str">
        <f t="shared" si="41"/>
        <v/>
      </c>
      <c r="CWJ23" s="50" t="str">
        <f t="shared" si="41"/>
        <v/>
      </c>
      <c r="CWK23" s="50" t="str">
        <f t="shared" si="41"/>
        <v/>
      </c>
      <c r="CWL23" s="50" t="str">
        <f t="shared" si="41"/>
        <v/>
      </c>
      <c r="CWM23" s="50" t="str">
        <f t="shared" si="41"/>
        <v/>
      </c>
      <c r="CWN23" s="50" t="str">
        <f t="shared" si="41"/>
        <v/>
      </c>
      <c r="CWO23" s="50" t="str">
        <f t="shared" si="41"/>
        <v/>
      </c>
      <c r="CWP23" s="50" t="str">
        <f t="shared" si="41"/>
        <v/>
      </c>
      <c r="CWQ23" s="50" t="str">
        <f t="shared" si="41"/>
        <v/>
      </c>
      <c r="CWR23" s="50" t="str">
        <f t="shared" si="41"/>
        <v/>
      </c>
      <c r="CWS23" s="50" t="str">
        <f t="shared" si="41"/>
        <v/>
      </c>
      <c r="CWT23" s="50" t="str">
        <f t="shared" si="41"/>
        <v/>
      </c>
      <c r="CWU23" s="50" t="str">
        <f t="shared" si="41"/>
        <v/>
      </c>
      <c r="CWV23" s="50" t="str">
        <f t="shared" si="41"/>
        <v/>
      </c>
      <c r="CWW23" s="50" t="str">
        <f t="shared" si="41"/>
        <v/>
      </c>
      <c r="CWX23" s="50" t="str">
        <f t="shared" si="41"/>
        <v/>
      </c>
      <c r="CWY23" s="50" t="str">
        <f t="shared" si="41"/>
        <v/>
      </c>
      <c r="CWZ23" s="50" t="str">
        <f t="shared" si="41"/>
        <v/>
      </c>
      <c r="CXA23" s="50" t="str">
        <f t="shared" si="41"/>
        <v/>
      </c>
      <c r="CXB23" s="50" t="str">
        <f t="shared" si="41"/>
        <v/>
      </c>
      <c r="CXC23" s="50" t="str">
        <f t="shared" si="41"/>
        <v/>
      </c>
      <c r="CXD23" s="50" t="str">
        <f t="shared" si="41"/>
        <v/>
      </c>
      <c r="CXE23" s="50" t="str">
        <f t="shared" si="41"/>
        <v/>
      </c>
      <c r="CXF23" s="50" t="str">
        <f t="shared" si="41"/>
        <v/>
      </c>
      <c r="CXG23" s="50" t="str">
        <f t="shared" si="41"/>
        <v/>
      </c>
      <c r="CXH23" s="50" t="str">
        <f t="shared" si="41"/>
        <v/>
      </c>
      <c r="CXI23" s="50" t="str">
        <f t="shared" si="41"/>
        <v/>
      </c>
      <c r="CXJ23" s="50" t="str">
        <f t="shared" si="41"/>
        <v/>
      </c>
      <c r="CXK23" s="50" t="str">
        <f t="shared" si="41"/>
        <v/>
      </c>
      <c r="CXL23" s="50" t="str">
        <f t="shared" si="41"/>
        <v/>
      </c>
      <c r="CXM23" s="50" t="str">
        <f t="shared" si="41"/>
        <v/>
      </c>
      <c r="CXN23" s="50" t="str">
        <f t="shared" si="41"/>
        <v/>
      </c>
      <c r="CXO23" s="50" t="str">
        <f t="shared" si="41"/>
        <v/>
      </c>
      <c r="CXP23" s="50" t="str">
        <f t="shared" si="41"/>
        <v/>
      </c>
      <c r="CXQ23" s="50" t="str">
        <f t="shared" si="41"/>
        <v/>
      </c>
      <c r="CXR23" s="50" t="str">
        <f t="shared" si="41"/>
        <v/>
      </c>
      <c r="CXS23" s="50" t="str">
        <f t="shared" si="41"/>
        <v/>
      </c>
      <c r="CXT23" s="50" t="str">
        <f t="shared" si="41"/>
        <v/>
      </c>
      <c r="CXU23" s="50" t="str">
        <f t="shared" ref="CXU23:DAF23" si="42">IFERROR(IF(CXT23+TIME(1,0,0)&lt;=$G$12,CXT23+TIME(1,0,0),""),"")</f>
        <v/>
      </c>
      <c r="CXV23" s="50" t="str">
        <f t="shared" si="42"/>
        <v/>
      </c>
      <c r="CXW23" s="50" t="str">
        <f t="shared" si="42"/>
        <v/>
      </c>
      <c r="CXX23" s="50" t="str">
        <f t="shared" si="42"/>
        <v/>
      </c>
      <c r="CXY23" s="50" t="str">
        <f t="shared" si="42"/>
        <v/>
      </c>
      <c r="CXZ23" s="50" t="str">
        <f t="shared" si="42"/>
        <v/>
      </c>
      <c r="CYA23" s="50" t="str">
        <f t="shared" si="42"/>
        <v/>
      </c>
      <c r="CYB23" s="50" t="str">
        <f t="shared" si="42"/>
        <v/>
      </c>
      <c r="CYC23" s="50" t="str">
        <f t="shared" si="42"/>
        <v/>
      </c>
      <c r="CYD23" s="50" t="str">
        <f t="shared" si="42"/>
        <v/>
      </c>
      <c r="CYE23" s="50" t="str">
        <f t="shared" si="42"/>
        <v/>
      </c>
      <c r="CYF23" s="50" t="str">
        <f t="shared" si="42"/>
        <v/>
      </c>
      <c r="CYG23" s="50" t="str">
        <f t="shared" si="42"/>
        <v/>
      </c>
      <c r="CYH23" s="50" t="str">
        <f t="shared" si="42"/>
        <v/>
      </c>
      <c r="CYI23" s="50" t="str">
        <f t="shared" si="42"/>
        <v/>
      </c>
      <c r="CYJ23" s="50" t="str">
        <f t="shared" si="42"/>
        <v/>
      </c>
      <c r="CYK23" s="50" t="str">
        <f t="shared" si="42"/>
        <v/>
      </c>
      <c r="CYL23" s="50" t="str">
        <f t="shared" si="42"/>
        <v/>
      </c>
      <c r="CYM23" s="50" t="str">
        <f t="shared" si="42"/>
        <v/>
      </c>
      <c r="CYN23" s="50" t="str">
        <f t="shared" si="42"/>
        <v/>
      </c>
      <c r="CYO23" s="50" t="str">
        <f t="shared" si="42"/>
        <v/>
      </c>
      <c r="CYP23" s="50" t="str">
        <f t="shared" si="42"/>
        <v/>
      </c>
      <c r="CYQ23" s="50" t="str">
        <f t="shared" si="42"/>
        <v/>
      </c>
      <c r="CYR23" s="50" t="str">
        <f t="shared" si="42"/>
        <v/>
      </c>
      <c r="CYS23" s="50" t="str">
        <f t="shared" si="42"/>
        <v/>
      </c>
      <c r="CYT23" s="50" t="str">
        <f t="shared" si="42"/>
        <v/>
      </c>
      <c r="CYU23" s="50" t="str">
        <f t="shared" si="42"/>
        <v/>
      </c>
      <c r="CYV23" s="50" t="str">
        <f t="shared" si="42"/>
        <v/>
      </c>
      <c r="CYW23" s="50" t="str">
        <f t="shared" si="42"/>
        <v/>
      </c>
      <c r="CYX23" s="50" t="str">
        <f t="shared" si="42"/>
        <v/>
      </c>
      <c r="CYY23" s="50" t="str">
        <f t="shared" si="42"/>
        <v/>
      </c>
      <c r="CYZ23" s="50" t="str">
        <f t="shared" si="42"/>
        <v/>
      </c>
      <c r="CZA23" s="50" t="str">
        <f t="shared" si="42"/>
        <v/>
      </c>
      <c r="CZB23" s="50" t="str">
        <f t="shared" si="42"/>
        <v/>
      </c>
      <c r="CZC23" s="50" t="str">
        <f t="shared" si="42"/>
        <v/>
      </c>
      <c r="CZD23" s="50" t="str">
        <f t="shared" si="42"/>
        <v/>
      </c>
      <c r="CZE23" s="50" t="str">
        <f t="shared" si="42"/>
        <v/>
      </c>
      <c r="CZF23" s="50" t="str">
        <f t="shared" si="42"/>
        <v/>
      </c>
      <c r="CZG23" s="50" t="str">
        <f t="shared" si="42"/>
        <v/>
      </c>
      <c r="CZH23" s="50" t="str">
        <f t="shared" si="42"/>
        <v/>
      </c>
      <c r="CZI23" s="50" t="str">
        <f t="shared" si="42"/>
        <v/>
      </c>
      <c r="CZJ23" s="50" t="str">
        <f t="shared" si="42"/>
        <v/>
      </c>
      <c r="CZK23" s="50" t="str">
        <f t="shared" si="42"/>
        <v/>
      </c>
      <c r="CZL23" s="50" t="str">
        <f t="shared" si="42"/>
        <v/>
      </c>
      <c r="CZM23" s="50" t="str">
        <f t="shared" si="42"/>
        <v/>
      </c>
      <c r="CZN23" s="50" t="str">
        <f t="shared" si="42"/>
        <v/>
      </c>
      <c r="CZO23" s="50" t="str">
        <f t="shared" si="42"/>
        <v/>
      </c>
      <c r="CZP23" s="50" t="str">
        <f t="shared" si="42"/>
        <v/>
      </c>
      <c r="CZQ23" s="50" t="str">
        <f t="shared" si="42"/>
        <v/>
      </c>
      <c r="CZR23" s="50" t="str">
        <f t="shared" si="42"/>
        <v/>
      </c>
      <c r="CZS23" s="50" t="str">
        <f t="shared" si="42"/>
        <v/>
      </c>
      <c r="CZT23" s="50" t="str">
        <f t="shared" si="42"/>
        <v/>
      </c>
      <c r="CZU23" s="50" t="str">
        <f t="shared" si="42"/>
        <v/>
      </c>
      <c r="CZV23" s="50" t="str">
        <f t="shared" si="42"/>
        <v/>
      </c>
      <c r="CZW23" s="50" t="str">
        <f t="shared" si="42"/>
        <v/>
      </c>
      <c r="CZX23" s="50" t="str">
        <f t="shared" si="42"/>
        <v/>
      </c>
      <c r="CZY23" s="50" t="str">
        <f t="shared" si="42"/>
        <v/>
      </c>
      <c r="CZZ23" s="50" t="str">
        <f t="shared" si="42"/>
        <v/>
      </c>
      <c r="DAA23" s="50" t="str">
        <f t="shared" si="42"/>
        <v/>
      </c>
      <c r="DAB23" s="50" t="str">
        <f t="shared" si="42"/>
        <v/>
      </c>
      <c r="DAC23" s="50" t="str">
        <f t="shared" si="42"/>
        <v/>
      </c>
      <c r="DAD23" s="50" t="str">
        <f t="shared" si="42"/>
        <v/>
      </c>
      <c r="DAE23" s="50" t="str">
        <f t="shared" si="42"/>
        <v/>
      </c>
      <c r="DAF23" s="50" t="str">
        <f t="shared" si="42"/>
        <v/>
      </c>
      <c r="DAG23" s="50" t="str">
        <f t="shared" ref="DAG23:DCR23" si="43">IFERROR(IF(DAF23+TIME(1,0,0)&lt;=$G$12,DAF23+TIME(1,0,0),""),"")</f>
        <v/>
      </c>
      <c r="DAH23" s="50" t="str">
        <f t="shared" si="43"/>
        <v/>
      </c>
      <c r="DAI23" s="50" t="str">
        <f t="shared" si="43"/>
        <v/>
      </c>
      <c r="DAJ23" s="50" t="str">
        <f t="shared" si="43"/>
        <v/>
      </c>
      <c r="DAK23" s="50" t="str">
        <f t="shared" si="43"/>
        <v/>
      </c>
      <c r="DAL23" s="50" t="str">
        <f t="shared" si="43"/>
        <v/>
      </c>
      <c r="DAM23" s="50" t="str">
        <f t="shared" si="43"/>
        <v/>
      </c>
      <c r="DAN23" s="50" t="str">
        <f t="shared" si="43"/>
        <v/>
      </c>
      <c r="DAO23" s="50" t="str">
        <f t="shared" si="43"/>
        <v/>
      </c>
      <c r="DAP23" s="50" t="str">
        <f t="shared" si="43"/>
        <v/>
      </c>
      <c r="DAQ23" s="50" t="str">
        <f t="shared" si="43"/>
        <v/>
      </c>
      <c r="DAR23" s="50" t="str">
        <f t="shared" si="43"/>
        <v/>
      </c>
      <c r="DAS23" s="50" t="str">
        <f t="shared" si="43"/>
        <v/>
      </c>
      <c r="DAT23" s="50" t="str">
        <f t="shared" si="43"/>
        <v/>
      </c>
      <c r="DAU23" s="50" t="str">
        <f t="shared" si="43"/>
        <v/>
      </c>
      <c r="DAV23" s="50" t="str">
        <f t="shared" si="43"/>
        <v/>
      </c>
      <c r="DAW23" s="50" t="str">
        <f t="shared" si="43"/>
        <v/>
      </c>
      <c r="DAX23" s="50" t="str">
        <f t="shared" si="43"/>
        <v/>
      </c>
      <c r="DAY23" s="50" t="str">
        <f t="shared" si="43"/>
        <v/>
      </c>
      <c r="DAZ23" s="50" t="str">
        <f t="shared" si="43"/>
        <v/>
      </c>
      <c r="DBA23" s="50" t="str">
        <f t="shared" si="43"/>
        <v/>
      </c>
      <c r="DBB23" s="50" t="str">
        <f t="shared" si="43"/>
        <v/>
      </c>
      <c r="DBC23" s="50" t="str">
        <f t="shared" si="43"/>
        <v/>
      </c>
      <c r="DBD23" s="50" t="str">
        <f t="shared" si="43"/>
        <v/>
      </c>
      <c r="DBE23" s="50" t="str">
        <f t="shared" si="43"/>
        <v/>
      </c>
      <c r="DBF23" s="50" t="str">
        <f t="shared" si="43"/>
        <v/>
      </c>
      <c r="DBG23" s="50" t="str">
        <f t="shared" si="43"/>
        <v/>
      </c>
      <c r="DBH23" s="50" t="str">
        <f t="shared" si="43"/>
        <v/>
      </c>
      <c r="DBI23" s="50" t="str">
        <f t="shared" si="43"/>
        <v/>
      </c>
      <c r="DBJ23" s="50" t="str">
        <f t="shared" si="43"/>
        <v/>
      </c>
      <c r="DBK23" s="50" t="str">
        <f t="shared" si="43"/>
        <v/>
      </c>
      <c r="DBL23" s="50" t="str">
        <f t="shared" si="43"/>
        <v/>
      </c>
      <c r="DBM23" s="50" t="str">
        <f t="shared" si="43"/>
        <v/>
      </c>
      <c r="DBN23" s="50" t="str">
        <f t="shared" si="43"/>
        <v/>
      </c>
      <c r="DBO23" s="50" t="str">
        <f t="shared" si="43"/>
        <v/>
      </c>
      <c r="DBP23" s="50" t="str">
        <f t="shared" si="43"/>
        <v/>
      </c>
      <c r="DBQ23" s="50" t="str">
        <f t="shared" si="43"/>
        <v/>
      </c>
      <c r="DBR23" s="50" t="str">
        <f t="shared" si="43"/>
        <v/>
      </c>
      <c r="DBS23" s="50" t="str">
        <f t="shared" si="43"/>
        <v/>
      </c>
      <c r="DBT23" s="50" t="str">
        <f t="shared" si="43"/>
        <v/>
      </c>
      <c r="DBU23" s="50" t="str">
        <f t="shared" si="43"/>
        <v/>
      </c>
      <c r="DBV23" s="50" t="str">
        <f t="shared" si="43"/>
        <v/>
      </c>
      <c r="DBW23" s="50" t="str">
        <f t="shared" si="43"/>
        <v/>
      </c>
      <c r="DBX23" s="50" t="str">
        <f t="shared" si="43"/>
        <v/>
      </c>
      <c r="DBY23" s="50" t="str">
        <f t="shared" si="43"/>
        <v/>
      </c>
      <c r="DBZ23" s="50" t="str">
        <f t="shared" si="43"/>
        <v/>
      </c>
      <c r="DCA23" s="50" t="str">
        <f t="shared" si="43"/>
        <v/>
      </c>
      <c r="DCB23" s="50" t="str">
        <f t="shared" si="43"/>
        <v/>
      </c>
      <c r="DCC23" s="50" t="str">
        <f t="shared" si="43"/>
        <v/>
      </c>
      <c r="DCD23" s="50" t="str">
        <f t="shared" si="43"/>
        <v/>
      </c>
      <c r="DCE23" s="50" t="str">
        <f t="shared" si="43"/>
        <v/>
      </c>
      <c r="DCF23" s="50" t="str">
        <f t="shared" si="43"/>
        <v/>
      </c>
      <c r="DCG23" s="50" t="str">
        <f t="shared" si="43"/>
        <v/>
      </c>
      <c r="DCH23" s="50" t="str">
        <f t="shared" si="43"/>
        <v/>
      </c>
      <c r="DCI23" s="50" t="str">
        <f t="shared" si="43"/>
        <v/>
      </c>
      <c r="DCJ23" s="50" t="str">
        <f t="shared" si="43"/>
        <v/>
      </c>
      <c r="DCK23" s="50" t="str">
        <f t="shared" si="43"/>
        <v/>
      </c>
      <c r="DCL23" s="50" t="str">
        <f t="shared" si="43"/>
        <v/>
      </c>
      <c r="DCM23" s="50" t="str">
        <f t="shared" si="43"/>
        <v/>
      </c>
      <c r="DCN23" s="50" t="str">
        <f t="shared" si="43"/>
        <v/>
      </c>
      <c r="DCO23" s="50" t="str">
        <f t="shared" si="43"/>
        <v/>
      </c>
      <c r="DCP23" s="50" t="str">
        <f t="shared" si="43"/>
        <v/>
      </c>
      <c r="DCQ23" s="50" t="str">
        <f t="shared" si="43"/>
        <v/>
      </c>
      <c r="DCR23" s="50" t="str">
        <f t="shared" si="43"/>
        <v/>
      </c>
      <c r="DCS23" s="50" t="str">
        <f t="shared" ref="DCS23:DFD23" si="44">IFERROR(IF(DCR23+TIME(1,0,0)&lt;=$G$12,DCR23+TIME(1,0,0),""),"")</f>
        <v/>
      </c>
      <c r="DCT23" s="50" t="str">
        <f t="shared" si="44"/>
        <v/>
      </c>
      <c r="DCU23" s="50" t="str">
        <f t="shared" si="44"/>
        <v/>
      </c>
      <c r="DCV23" s="50" t="str">
        <f t="shared" si="44"/>
        <v/>
      </c>
      <c r="DCW23" s="50" t="str">
        <f t="shared" si="44"/>
        <v/>
      </c>
      <c r="DCX23" s="50" t="str">
        <f t="shared" si="44"/>
        <v/>
      </c>
      <c r="DCY23" s="50" t="str">
        <f t="shared" si="44"/>
        <v/>
      </c>
      <c r="DCZ23" s="50" t="str">
        <f t="shared" si="44"/>
        <v/>
      </c>
      <c r="DDA23" s="50" t="str">
        <f t="shared" si="44"/>
        <v/>
      </c>
      <c r="DDB23" s="50" t="str">
        <f t="shared" si="44"/>
        <v/>
      </c>
      <c r="DDC23" s="50" t="str">
        <f t="shared" si="44"/>
        <v/>
      </c>
      <c r="DDD23" s="50" t="str">
        <f t="shared" si="44"/>
        <v/>
      </c>
      <c r="DDE23" s="50" t="str">
        <f t="shared" si="44"/>
        <v/>
      </c>
      <c r="DDF23" s="50" t="str">
        <f t="shared" si="44"/>
        <v/>
      </c>
      <c r="DDG23" s="50" t="str">
        <f t="shared" si="44"/>
        <v/>
      </c>
      <c r="DDH23" s="50" t="str">
        <f t="shared" si="44"/>
        <v/>
      </c>
      <c r="DDI23" s="50" t="str">
        <f t="shared" si="44"/>
        <v/>
      </c>
      <c r="DDJ23" s="50" t="str">
        <f t="shared" si="44"/>
        <v/>
      </c>
      <c r="DDK23" s="50" t="str">
        <f t="shared" si="44"/>
        <v/>
      </c>
      <c r="DDL23" s="50" t="str">
        <f t="shared" si="44"/>
        <v/>
      </c>
      <c r="DDM23" s="50" t="str">
        <f t="shared" si="44"/>
        <v/>
      </c>
      <c r="DDN23" s="50" t="str">
        <f t="shared" si="44"/>
        <v/>
      </c>
      <c r="DDO23" s="50" t="str">
        <f t="shared" si="44"/>
        <v/>
      </c>
      <c r="DDP23" s="50" t="str">
        <f t="shared" si="44"/>
        <v/>
      </c>
      <c r="DDQ23" s="50" t="str">
        <f t="shared" si="44"/>
        <v/>
      </c>
      <c r="DDR23" s="50" t="str">
        <f t="shared" si="44"/>
        <v/>
      </c>
      <c r="DDS23" s="50" t="str">
        <f t="shared" si="44"/>
        <v/>
      </c>
      <c r="DDT23" s="50" t="str">
        <f t="shared" si="44"/>
        <v/>
      </c>
      <c r="DDU23" s="50" t="str">
        <f t="shared" si="44"/>
        <v/>
      </c>
      <c r="DDV23" s="50" t="str">
        <f t="shared" si="44"/>
        <v/>
      </c>
      <c r="DDW23" s="50" t="str">
        <f t="shared" si="44"/>
        <v/>
      </c>
      <c r="DDX23" s="50" t="str">
        <f t="shared" si="44"/>
        <v/>
      </c>
      <c r="DDY23" s="50" t="str">
        <f t="shared" si="44"/>
        <v/>
      </c>
      <c r="DDZ23" s="50" t="str">
        <f t="shared" si="44"/>
        <v/>
      </c>
      <c r="DEA23" s="50" t="str">
        <f t="shared" si="44"/>
        <v/>
      </c>
      <c r="DEB23" s="50" t="str">
        <f t="shared" si="44"/>
        <v/>
      </c>
      <c r="DEC23" s="50" t="str">
        <f t="shared" si="44"/>
        <v/>
      </c>
      <c r="DED23" s="50" t="str">
        <f t="shared" si="44"/>
        <v/>
      </c>
      <c r="DEE23" s="50" t="str">
        <f t="shared" si="44"/>
        <v/>
      </c>
      <c r="DEF23" s="50" t="str">
        <f t="shared" si="44"/>
        <v/>
      </c>
      <c r="DEG23" s="50" t="str">
        <f t="shared" si="44"/>
        <v/>
      </c>
      <c r="DEH23" s="50" t="str">
        <f t="shared" si="44"/>
        <v/>
      </c>
      <c r="DEI23" s="50" t="str">
        <f t="shared" si="44"/>
        <v/>
      </c>
      <c r="DEJ23" s="50" t="str">
        <f t="shared" si="44"/>
        <v/>
      </c>
      <c r="DEK23" s="50" t="str">
        <f t="shared" si="44"/>
        <v/>
      </c>
      <c r="DEL23" s="50" t="str">
        <f t="shared" si="44"/>
        <v/>
      </c>
      <c r="DEM23" s="50" t="str">
        <f t="shared" si="44"/>
        <v/>
      </c>
      <c r="DEN23" s="50" t="str">
        <f t="shared" si="44"/>
        <v/>
      </c>
      <c r="DEO23" s="50" t="str">
        <f t="shared" si="44"/>
        <v/>
      </c>
      <c r="DEP23" s="50" t="str">
        <f t="shared" si="44"/>
        <v/>
      </c>
      <c r="DEQ23" s="50" t="str">
        <f t="shared" si="44"/>
        <v/>
      </c>
      <c r="DER23" s="50" t="str">
        <f t="shared" si="44"/>
        <v/>
      </c>
      <c r="DES23" s="50" t="str">
        <f t="shared" si="44"/>
        <v/>
      </c>
      <c r="DET23" s="50" t="str">
        <f t="shared" si="44"/>
        <v/>
      </c>
      <c r="DEU23" s="50" t="str">
        <f t="shared" si="44"/>
        <v/>
      </c>
      <c r="DEV23" s="50" t="str">
        <f t="shared" si="44"/>
        <v/>
      </c>
      <c r="DEW23" s="50" t="str">
        <f t="shared" si="44"/>
        <v/>
      </c>
      <c r="DEX23" s="50" t="str">
        <f t="shared" si="44"/>
        <v/>
      </c>
      <c r="DEY23" s="50" t="str">
        <f t="shared" si="44"/>
        <v/>
      </c>
      <c r="DEZ23" s="50" t="str">
        <f t="shared" si="44"/>
        <v/>
      </c>
      <c r="DFA23" s="50" t="str">
        <f t="shared" si="44"/>
        <v/>
      </c>
      <c r="DFB23" s="50" t="str">
        <f t="shared" si="44"/>
        <v/>
      </c>
      <c r="DFC23" s="50" t="str">
        <f t="shared" si="44"/>
        <v/>
      </c>
      <c r="DFD23" s="50" t="str">
        <f t="shared" si="44"/>
        <v/>
      </c>
      <c r="DFE23" s="50" t="str">
        <f t="shared" ref="DFE23:DHP23" si="45">IFERROR(IF(DFD23+TIME(1,0,0)&lt;=$G$12,DFD23+TIME(1,0,0),""),"")</f>
        <v/>
      </c>
      <c r="DFF23" s="50" t="str">
        <f t="shared" si="45"/>
        <v/>
      </c>
      <c r="DFG23" s="50" t="str">
        <f t="shared" si="45"/>
        <v/>
      </c>
      <c r="DFH23" s="50" t="str">
        <f t="shared" si="45"/>
        <v/>
      </c>
      <c r="DFI23" s="50" t="str">
        <f t="shared" si="45"/>
        <v/>
      </c>
      <c r="DFJ23" s="50" t="str">
        <f t="shared" si="45"/>
        <v/>
      </c>
      <c r="DFK23" s="50" t="str">
        <f t="shared" si="45"/>
        <v/>
      </c>
      <c r="DFL23" s="50" t="str">
        <f t="shared" si="45"/>
        <v/>
      </c>
      <c r="DFM23" s="50" t="str">
        <f t="shared" si="45"/>
        <v/>
      </c>
      <c r="DFN23" s="50" t="str">
        <f t="shared" si="45"/>
        <v/>
      </c>
      <c r="DFO23" s="50" t="str">
        <f t="shared" si="45"/>
        <v/>
      </c>
      <c r="DFP23" s="50" t="str">
        <f t="shared" si="45"/>
        <v/>
      </c>
      <c r="DFQ23" s="50" t="str">
        <f t="shared" si="45"/>
        <v/>
      </c>
      <c r="DFR23" s="50" t="str">
        <f t="shared" si="45"/>
        <v/>
      </c>
      <c r="DFS23" s="50" t="str">
        <f t="shared" si="45"/>
        <v/>
      </c>
      <c r="DFT23" s="50" t="str">
        <f t="shared" si="45"/>
        <v/>
      </c>
      <c r="DFU23" s="50" t="str">
        <f t="shared" si="45"/>
        <v/>
      </c>
      <c r="DFV23" s="50" t="str">
        <f t="shared" si="45"/>
        <v/>
      </c>
      <c r="DFW23" s="50" t="str">
        <f t="shared" si="45"/>
        <v/>
      </c>
      <c r="DFX23" s="50" t="str">
        <f t="shared" si="45"/>
        <v/>
      </c>
      <c r="DFY23" s="50" t="str">
        <f t="shared" si="45"/>
        <v/>
      </c>
      <c r="DFZ23" s="50" t="str">
        <f t="shared" si="45"/>
        <v/>
      </c>
      <c r="DGA23" s="50" t="str">
        <f t="shared" si="45"/>
        <v/>
      </c>
      <c r="DGB23" s="50" t="str">
        <f t="shared" si="45"/>
        <v/>
      </c>
      <c r="DGC23" s="50" t="str">
        <f t="shared" si="45"/>
        <v/>
      </c>
      <c r="DGD23" s="50" t="str">
        <f t="shared" si="45"/>
        <v/>
      </c>
      <c r="DGE23" s="50" t="str">
        <f t="shared" si="45"/>
        <v/>
      </c>
      <c r="DGF23" s="50" t="str">
        <f t="shared" si="45"/>
        <v/>
      </c>
      <c r="DGG23" s="50" t="str">
        <f t="shared" si="45"/>
        <v/>
      </c>
      <c r="DGH23" s="50" t="str">
        <f t="shared" si="45"/>
        <v/>
      </c>
      <c r="DGI23" s="50" t="str">
        <f t="shared" si="45"/>
        <v/>
      </c>
      <c r="DGJ23" s="50" t="str">
        <f t="shared" si="45"/>
        <v/>
      </c>
      <c r="DGK23" s="50" t="str">
        <f t="shared" si="45"/>
        <v/>
      </c>
      <c r="DGL23" s="50" t="str">
        <f t="shared" si="45"/>
        <v/>
      </c>
      <c r="DGM23" s="50" t="str">
        <f t="shared" si="45"/>
        <v/>
      </c>
      <c r="DGN23" s="50" t="str">
        <f t="shared" si="45"/>
        <v/>
      </c>
      <c r="DGO23" s="50" t="str">
        <f t="shared" si="45"/>
        <v/>
      </c>
      <c r="DGP23" s="50" t="str">
        <f t="shared" si="45"/>
        <v/>
      </c>
      <c r="DGQ23" s="50" t="str">
        <f t="shared" si="45"/>
        <v/>
      </c>
      <c r="DGR23" s="50" t="str">
        <f t="shared" si="45"/>
        <v/>
      </c>
      <c r="DGS23" s="50" t="str">
        <f t="shared" si="45"/>
        <v/>
      </c>
      <c r="DGT23" s="50" t="str">
        <f t="shared" si="45"/>
        <v/>
      </c>
      <c r="DGU23" s="50" t="str">
        <f t="shared" si="45"/>
        <v/>
      </c>
      <c r="DGV23" s="50" t="str">
        <f t="shared" si="45"/>
        <v/>
      </c>
      <c r="DGW23" s="50" t="str">
        <f t="shared" si="45"/>
        <v/>
      </c>
      <c r="DGX23" s="50" t="str">
        <f t="shared" si="45"/>
        <v/>
      </c>
      <c r="DGY23" s="50" t="str">
        <f t="shared" si="45"/>
        <v/>
      </c>
      <c r="DGZ23" s="50" t="str">
        <f t="shared" si="45"/>
        <v/>
      </c>
      <c r="DHA23" s="50" t="str">
        <f t="shared" si="45"/>
        <v/>
      </c>
      <c r="DHB23" s="50" t="str">
        <f t="shared" si="45"/>
        <v/>
      </c>
      <c r="DHC23" s="50" t="str">
        <f t="shared" si="45"/>
        <v/>
      </c>
      <c r="DHD23" s="50" t="str">
        <f t="shared" si="45"/>
        <v/>
      </c>
      <c r="DHE23" s="50" t="str">
        <f t="shared" si="45"/>
        <v/>
      </c>
      <c r="DHF23" s="50" t="str">
        <f t="shared" si="45"/>
        <v/>
      </c>
      <c r="DHG23" s="50" t="str">
        <f t="shared" si="45"/>
        <v/>
      </c>
      <c r="DHH23" s="50" t="str">
        <f t="shared" si="45"/>
        <v/>
      </c>
      <c r="DHI23" s="50" t="str">
        <f t="shared" si="45"/>
        <v/>
      </c>
      <c r="DHJ23" s="50" t="str">
        <f t="shared" si="45"/>
        <v/>
      </c>
      <c r="DHK23" s="50" t="str">
        <f t="shared" si="45"/>
        <v/>
      </c>
      <c r="DHL23" s="50" t="str">
        <f t="shared" si="45"/>
        <v/>
      </c>
      <c r="DHM23" s="50" t="str">
        <f t="shared" si="45"/>
        <v/>
      </c>
      <c r="DHN23" s="50" t="str">
        <f t="shared" si="45"/>
        <v/>
      </c>
      <c r="DHO23" s="50" t="str">
        <f t="shared" si="45"/>
        <v/>
      </c>
      <c r="DHP23" s="50" t="str">
        <f t="shared" si="45"/>
        <v/>
      </c>
      <c r="DHQ23" s="50" t="str">
        <f t="shared" ref="DHQ23:DKB23" si="46">IFERROR(IF(DHP23+TIME(1,0,0)&lt;=$G$12,DHP23+TIME(1,0,0),""),"")</f>
        <v/>
      </c>
      <c r="DHR23" s="50" t="str">
        <f t="shared" si="46"/>
        <v/>
      </c>
      <c r="DHS23" s="50" t="str">
        <f t="shared" si="46"/>
        <v/>
      </c>
      <c r="DHT23" s="50" t="str">
        <f t="shared" si="46"/>
        <v/>
      </c>
      <c r="DHU23" s="50" t="str">
        <f t="shared" si="46"/>
        <v/>
      </c>
      <c r="DHV23" s="50" t="str">
        <f t="shared" si="46"/>
        <v/>
      </c>
      <c r="DHW23" s="50" t="str">
        <f t="shared" si="46"/>
        <v/>
      </c>
      <c r="DHX23" s="50" t="str">
        <f t="shared" si="46"/>
        <v/>
      </c>
      <c r="DHY23" s="50" t="str">
        <f t="shared" si="46"/>
        <v/>
      </c>
      <c r="DHZ23" s="50" t="str">
        <f t="shared" si="46"/>
        <v/>
      </c>
      <c r="DIA23" s="50" t="str">
        <f t="shared" si="46"/>
        <v/>
      </c>
      <c r="DIB23" s="50" t="str">
        <f t="shared" si="46"/>
        <v/>
      </c>
      <c r="DIC23" s="50" t="str">
        <f t="shared" si="46"/>
        <v/>
      </c>
      <c r="DID23" s="50" t="str">
        <f t="shared" si="46"/>
        <v/>
      </c>
      <c r="DIE23" s="50" t="str">
        <f t="shared" si="46"/>
        <v/>
      </c>
      <c r="DIF23" s="50" t="str">
        <f t="shared" si="46"/>
        <v/>
      </c>
      <c r="DIG23" s="50" t="str">
        <f t="shared" si="46"/>
        <v/>
      </c>
      <c r="DIH23" s="50" t="str">
        <f t="shared" si="46"/>
        <v/>
      </c>
      <c r="DII23" s="50" t="str">
        <f t="shared" si="46"/>
        <v/>
      </c>
      <c r="DIJ23" s="50" t="str">
        <f t="shared" si="46"/>
        <v/>
      </c>
      <c r="DIK23" s="50" t="str">
        <f t="shared" si="46"/>
        <v/>
      </c>
      <c r="DIL23" s="50" t="str">
        <f t="shared" si="46"/>
        <v/>
      </c>
      <c r="DIM23" s="50" t="str">
        <f t="shared" si="46"/>
        <v/>
      </c>
      <c r="DIN23" s="50" t="str">
        <f t="shared" si="46"/>
        <v/>
      </c>
      <c r="DIO23" s="50" t="str">
        <f t="shared" si="46"/>
        <v/>
      </c>
      <c r="DIP23" s="50" t="str">
        <f t="shared" si="46"/>
        <v/>
      </c>
      <c r="DIQ23" s="50" t="str">
        <f t="shared" si="46"/>
        <v/>
      </c>
      <c r="DIR23" s="50" t="str">
        <f t="shared" si="46"/>
        <v/>
      </c>
      <c r="DIS23" s="50" t="str">
        <f t="shared" si="46"/>
        <v/>
      </c>
      <c r="DIT23" s="50" t="str">
        <f t="shared" si="46"/>
        <v/>
      </c>
      <c r="DIU23" s="50" t="str">
        <f t="shared" si="46"/>
        <v/>
      </c>
      <c r="DIV23" s="50" t="str">
        <f t="shared" si="46"/>
        <v/>
      </c>
      <c r="DIW23" s="50" t="str">
        <f t="shared" si="46"/>
        <v/>
      </c>
      <c r="DIX23" s="50" t="str">
        <f t="shared" si="46"/>
        <v/>
      </c>
      <c r="DIY23" s="50" t="str">
        <f t="shared" si="46"/>
        <v/>
      </c>
      <c r="DIZ23" s="50" t="str">
        <f t="shared" si="46"/>
        <v/>
      </c>
      <c r="DJA23" s="50" t="str">
        <f t="shared" si="46"/>
        <v/>
      </c>
      <c r="DJB23" s="50" t="str">
        <f t="shared" si="46"/>
        <v/>
      </c>
      <c r="DJC23" s="50" t="str">
        <f t="shared" si="46"/>
        <v/>
      </c>
      <c r="DJD23" s="50" t="str">
        <f t="shared" si="46"/>
        <v/>
      </c>
      <c r="DJE23" s="50" t="str">
        <f t="shared" si="46"/>
        <v/>
      </c>
      <c r="DJF23" s="50" t="str">
        <f t="shared" si="46"/>
        <v/>
      </c>
      <c r="DJG23" s="50" t="str">
        <f t="shared" si="46"/>
        <v/>
      </c>
      <c r="DJH23" s="50" t="str">
        <f t="shared" si="46"/>
        <v/>
      </c>
      <c r="DJI23" s="50" t="str">
        <f t="shared" si="46"/>
        <v/>
      </c>
      <c r="DJJ23" s="50" t="str">
        <f t="shared" si="46"/>
        <v/>
      </c>
      <c r="DJK23" s="50" t="str">
        <f t="shared" si="46"/>
        <v/>
      </c>
      <c r="DJL23" s="50" t="str">
        <f t="shared" si="46"/>
        <v/>
      </c>
      <c r="DJM23" s="50" t="str">
        <f t="shared" si="46"/>
        <v/>
      </c>
      <c r="DJN23" s="50" t="str">
        <f t="shared" si="46"/>
        <v/>
      </c>
      <c r="DJO23" s="50" t="str">
        <f t="shared" si="46"/>
        <v/>
      </c>
      <c r="DJP23" s="50" t="str">
        <f t="shared" si="46"/>
        <v/>
      </c>
      <c r="DJQ23" s="50" t="str">
        <f t="shared" si="46"/>
        <v/>
      </c>
      <c r="DJR23" s="50" t="str">
        <f t="shared" si="46"/>
        <v/>
      </c>
      <c r="DJS23" s="50" t="str">
        <f t="shared" si="46"/>
        <v/>
      </c>
      <c r="DJT23" s="50" t="str">
        <f t="shared" si="46"/>
        <v/>
      </c>
      <c r="DJU23" s="50" t="str">
        <f t="shared" si="46"/>
        <v/>
      </c>
      <c r="DJV23" s="50" t="str">
        <f t="shared" si="46"/>
        <v/>
      </c>
      <c r="DJW23" s="50" t="str">
        <f t="shared" si="46"/>
        <v/>
      </c>
      <c r="DJX23" s="50" t="str">
        <f t="shared" si="46"/>
        <v/>
      </c>
      <c r="DJY23" s="50" t="str">
        <f t="shared" si="46"/>
        <v/>
      </c>
      <c r="DJZ23" s="50" t="str">
        <f t="shared" si="46"/>
        <v/>
      </c>
      <c r="DKA23" s="50" t="str">
        <f t="shared" si="46"/>
        <v/>
      </c>
      <c r="DKB23" s="50" t="str">
        <f t="shared" si="46"/>
        <v/>
      </c>
      <c r="DKC23" s="50" t="str">
        <f t="shared" ref="DKC23:DMN23" si="47">IFERROR(IF(DKB23+TIME(1,0,0)&lt;=$G$12,DKB23+TIME(1,0,0),""),"")</f>
        <v/>
      </c>
      <c r="DKD23" s="50" t="str">
        <f t="shared" si="47"/>
        <v/>
      </c>
      <c r="DKE23" s="50" t="str">
        <f t="shared" si="47"/>
        <v/>
      </c>
      <c r="DKF23" s="50" t="str">
        <f t="shared" si="47"/>
        <v/>
      </c>
      <c r="DKG23" s="50" t="str">
        <f t="shared" si="47"/>
        <v/>
      </c>
      <c r="DKH23" s="50" t="str">
        <f t="shared" si="47"/>
        <v/>
      </c>
      <c r="DKI23" s="50" t="str">
        <f t="shared" si="47"/>
        <v/>
      </c>
      <c r="DKJ23" s="50" t="str">
        <f t="shared" si="47"/>
        <v/>
      </c>
      <c r="DKK23" s="50" t="str">
        <f t="shared" si="47"/>
        <v/>
      </c>
      <c r="DKL23" s="50" t="str">
        <f t="shared" si="47"/>
        <v/>
      </c>
      <c r="DKM23" s="50" t="str">
        <f t="shared" si="47"/>
        <v/>
      </c>
      <c r="DKN23" s="50" t="str">
        <f t="shared" si="47"/>
        <v/>
      </c>
      <c r="DKO23" s="50" t="str">
        <f t="shared" si="47"/>
        <v/>
      </c>
      <c r="DKP23" s="50" t="str">
        <f t="shared" si="47"/>
        <v/>
      </c>
      <c r="DKQ23" s="50" t="str">
        <f t="shared" si="47"/>
        <v/>
      </c>
      <c r="DKR23" s="50" t="str">
        <f t="shared" si="47"/>
        <v/>
      </c>
      <c r="DKS23" s="50" t="str">
        <f t="shared" si="47"/>
        <v/>
      </c>
      <c r="DKT23" s="50" t="str">
        <f t="shared" si="47"/>
        <v/>
      </c>
      <c r="DKU23" s="50" t="str">
        <f t="shared" si="47"/>
        <v/>
      </c>
      <c r="DKV23" s="50" t="str">
        <f t="shared" si="47"/>
        <v/>
      </c>
      <c r="DKW23" s="50" t="str">
        <f t="shared" si="47"/>
        <v/>
      </c>
      <c r="DKX23" s="50" t="str">
        <f t="shared" si="47"/>
        <v/>
      </c>
      <c r="DKY23" s="50" t="str">
        <f t="shared" si="47"/>
        <v/>
      </c>
      <c r="DKZ23" s="50" t="str">
        <f t="shared" si="47"/>
        <v/>
      </c>
      <c r="DLA23" s="50" t="str">
        <f t="shared" si="47"/>
        <v/>
      </c>
      <c r="DLB23" s="50" t="str">
        <f t="shared" si="47"/>
        <v/>
      </c>
      <c r="DLC23" s="50" t="str">
        <f t="shared" si="47"/>
        <v/>
      </c>
      <c r="DLD23" s="50" t="str">
        <f t="shared" si="47"/>
        <v/>
      </c>
      <c r="DLE23" s="50" t="str">
        <f t="shared" si="47"/>
        <v/>
      </c>
      <c r="DLF23" s="50" t="str">
        <f t="shared" si="47"/>
        <v/>
      </c>
      <c r="DLG23" s="50" t="str">
        <f t="shared" si="47"/>
        <v/>
      </c>
      <c r="DLH23" s="50" t="str">
        <f t="shared" si="47"/>
        <v/>
      </c>
      <c r="DLI23" s="50" t="str">
        <f t="shared" si="47"/>
        <v/>
      </c>
      <c r="DLJ23" s="50" t="str">
        <f t="shared" si="47"/>
        <v/>
      </c>
      <c r="DLK23" s="50" t="str">
        <f t="shared" si="47"/>
        <v/>
      </c>
      <c r="DLL23" s="50" t="str">
        <f t="shared" si="47"/>
        <v/>
      </c>
      <c r="DLM23" s="50" t="str">
        <f t="shared" si="47"/>
        <v/>
      </c>
      <c r="DLN23" s="50" t="str">
        <f t="shared" si="47"/>
        <v/>
      </c>
      <c r="DLO23" s="50" t="str">
        <f t="shared" si="47"/>
        <v/>
      </c>
      <c r="DLP23" s="50" t="str">
        <f t="shared" si="47"/>
        <v/>
      </c>
      <c r="DLQ23" s="50" t="str">
        <f t="shared" si="47"/>
        <v/>
      </c>
      <c r="DLR23" s="50" t="str">
        <f t="shared" si="47"/>
        <v/>
      </c>
      <c r="DLS23" s="50" t="str">
        <f t="shared" si="47"/>
        <v/>
      </c>
      <c r="DLT23" s="50" t="str">
        <f t="shared" si="47"/>
        <v/>
      </c>
      <c r="DLU23" s="50" t="str">
        <f t="shared" si="47"/>
        <v/>
      </c>
      <c r="DLV23" s="50" t="str">
        <f t="shared" si="47"/>
        <v/>
      </c>
      <c r="DLW23" s="50" t="str">
        <f t="shared" si="47"/>
        <v/>
      </c>
      <c r="DLX23" s="50" t="str">
        <f t="shared" si="47"/>
        <v/>
      </c>
      <c r="DLY23" s="50" t="str">
        <f t="shared" si="47"/>
        <v/>
      </c>
      <c r="DLZ23" s="50" t="str">
        <f t="shared" si="47"/>
        <v/>
      </c>
      <c r="DMA23" s="50" t="str">
        <f t="shared" si="47"/>
        <v/>
      </c>
      <c r="DMB23" s="50" t="str">
        <f t="shared" si="47"/>
        <v/>
      </c>
      <c r="DMC23" s="50" t="str">
        <f t="shared" si="47"/>
        <v/>
      </c>
      <c r="DMD23" s="50" t="str">
        <f t="shared" si="47"/>
        <v/>
      </c>
      <c r="DME23" s="50" t="str">
        <f t="shared" si="47"/>
        <v/>
      </c>
      <c r="DMF23" s="50" t="str">
        <f t="shared" si="47"/>
        <v/>
      </c>
      <c r="DMG23" s="50" t="str">
        <f t="shared" si="47"/>
        <v/>
      </c>
      <c r="DMH23" s="50" t="str">
        <f t="shared" si="47"/>
        <v/>
      </c>
      <c r="DMI23" s="50" t="str">
        <f t="shared" si="47"/>
        <v/>
      </c>
      <c r="DMJ23" s="50" t="str">
        <f t="shared" si="47"/>
        <v/>
      </c>
      <c r="DMK23" s="50" t="str">
        <f t="shared" si="47"/>
        <v/>
      </c>
      <c r="DML23" s="50" t="str">
        <f t="shared" si="47"/>
        <v/>
      </c>
      <c r="DMM23" s="50" t="str">
        <f t="shared" si="47"/>
        <v/>
      </c>
      <c r="DMN23" s="50" t="str">
        <f t="shared" si="47"/>
        <v/>
      </c>
      <c r="DMO23" s="50" t="str">
        <f t="shared" ref="DMO23:DOZ23" si="48">IFERROR(IF(DMN23+TIME(1,0,0)&lt;=$G$12,DMN23+TIME(1,0,0),""),"")</f>
        <v/>
      </c>
      <c r="DMP23" s="50" t="str">
        <f t="shared" si="48"/>
        <v/>
      </c>
      <c r="DMQ23" s="50" t="str">
        <f t="shared" si="48"/>
        <v/>
      </c>
      <c r="DMR23" s="50" t="str">
        <f t="shared" si="48"/>
        <v/>
      </c>
      <c r="DMS23" s="50" t="str">
        <f t="shared" si="48"/>
        <v/>
      </c>
      <c r="DMT23" s="50" t="str">
        <f t="shared" si="48"/>
        <v/>
      </c>
      <c r="DMU23" s="50" t="str">
        <f t="shared" si="48"/>
        <v/>
      </c>
      <c r="DMV23" s="50" t="str">
        <f t="shared" si="48"/>
        <v/>
      </c>
      <c r="DMW23" s="50" t="str">
        <f t="shared" si="48"/>
        <v/>
      </c>
      <c r="DMX23" s="50" t="str">
        <f t="shared" si="48"/>
        <v/>
      </c>
      <c r="DMY23" s="50" t="str">
        <f t="shared" si="48"/>
        <v/>
      </c>
      <c r="DMZ23" s="50" t="str">
        <f t="shared" si="48"/>
        <v/>
      </c>
      <c r="DNA23" s="50" t="str">
        <f t="shared" si="48"/>
        <v/>
      </c>
      <c r="DNB23" s="50" t="str">
        <f t="shared" si="48"/>
        <v/>
      </c>
      <c r="DNC23" s="50" t="str">
        <f t="shared" si="48"/>
        <v/>
      </c>
      <c r="DND23" s="50" t="str">
        <f t="shared" si="48"/>
        <v/>
      </c>
      <c r="DNE23" s="50" t="str">
        <f t="shared" si="48"/>
        <v/>
      </c>
      <c r="DNF23" s="50" t="str">
        <f t="shared" si="48"/>
        <v/>
      </c>
      <c r="DNG23" s="50" t="str">
        <f t="shared" si="48"/>
        <v/>
      </c>
      <c r="DNH23" s="50" t="str">
        <f t="shared" si="48"/>
        <v/>
      </c>
      <c r="DNI23" s="50" t="str">
        <f t="shared" si="48"/>
        <v/>
      </c>
      <c r="DNJ23" s="50" t="str">
        <f t="shared" si="48"/>
        <v/>
      </c>
      <c r="DNK23" s="50" t="str">
        <f t="shared" si="48"/>
        <v/>
      </c>
      <c r="DNL23" s="50" t="str">
        <f t="shared" si="48"/>
        <v/>
      </c>
      <c r="DNM23" s="50" t="str">
        <f t="shared" si="48"/>
        <v/>
      </c>
      <c r="DNN23" s="50" t="str">
        <f t="shared" si="48"/>
        <v/>
      </c>
      <c r="DNO23" s="50" t="str">
        <f t="shared" si="48"/>
        <v/>
      </c>
      <c r="DNP23" s="50" t="str">
        <f t="shared" si="48"/>
        <v/>
      </c>
      <c r="DNQ23" s="50" t="str">
        <f t="shared" si="48"/>
        <v/>
      </c>
      <c r="DNR23" s="50" t="str">
        <f t="shared" si="48"/>
        <v/>
      </c>
      <c r="DNS23" s="50" t="str">
        <f t="shared" si="48"/>
        <v/>
      </c>
      <c r="DNT23" s="50" t="str">
        <f t="shared" si="48"/>
        <v/>
      </c>
      <c r="DNU23" s="50" t="str">
        <f t="shared" si="48"/>
        <v/>
      </c>
      <c r="DNV23" s="50" t="str">
        <f t="shared" si="48"/>
        <v/>
      </c>
      <c r="DNW23" s="50" t="str">
        <f t="shared" si="48"/>
        <v/>
      </c>
      <c r="DNX23" s="50" t="str">
        <f t="shared" si="48"/>
        <v/>
      </c>
      <c r="DNY23" s="50" t="str">
        <f t="shared" si="48"/>
        <v/>
      </c>
      <c r="DNZ23" s="50" t="str">
        <f t="shared" si="48"/>
        <v/>
      </c>
      <c r="DOA23" s="50" t="str">
        <f t="shared" si="48"/>
        <v/>
      </c>
      <c r="DOB23" s="50" t="str">
        <f t="shared" si="48"/>
        <v/>
      </c>
      <c r="DOC23" s="50" t="str">
        <f t="shared" si="48"/>
        <v/>
      </c>
      <c r="DOD23" s="50" t="str">
        <f t="shared" si="48"/>
        <v/>
      </c>
      <c r="DOE23" s="50" t="str">
        <f t="shared" si="48"/>
        <v/>
      </c>
      <c r="DOF23" s="50" t="str">
        <f t="shared" si="48"/>
        <v/>
      </c>
      <c r="DOG23" s="50" t="str">
        <f t="shared" si="48"/>
        <v/>
      </c>
      <c r="DOH23" s="50" t="str">
        <f t="shared" si="48"/>
        <v/>
      </c>
      <c r="DOI23" s="50" t="str">
        <f t="shared" si="48"/>
        <v/>
      </c>
      <c r="DOJ23" s="50" t="str">
        <f t="shared" si="48"/>
        <v/>
      </c>
      <c r="DOK23" s="50" t="str">
        <f t="shared" si="48"/>
        <v/>
      </c>
      <c r="DOL23" s="50" t="str">
        <f t="shared" si="48"/>
        <v/>
      </c>
      <c r="DOM23" s="50" t="str">
        <f t="shared" si="48"/>
        <v/>
      </c>
      <c r="DON23" s="50" t="str">
        <f t="shared" si="48"/>
        <v/>
      </c>
      <c r="DOO23" s="50" t="str">
        <f t="shared" si="48"/>
        <v/>
      </c>
      <c r="DOP23" s="50" t="str">
        <f t="shared" si="48"/>
        <v/>
      </c>
      <c r="DOQ23" s="50" t="str">
        <f t="shared" si="48"/>
        <v/>
      </c>
      <c r="DOR23" s="50" t="str">
        <f t="shared" si="48"/>
        <v/>
      </c>
      <c r="DOS23" s="50" t="str">
        <f t="shared" si="48"/>
        <v/>
      </c>
      <c r="DOT23" s="50" t="str">
        <f t="shared" si="48"/>
        <v/>
      </c>
      <c r="DOU23" s="50" t="str">
        <f t="shared" si="48"/>
        <v/>
      </c>
      <c r="DOV23" s="50" t="str">
        <f t="shared" si="48"/>
        <v/>
      </c>
      <c r="DOW23" s="50" t="str">
        <f t="shared" si="48"/>
        <v/>
      </c>
      <c r="DOX23" s="50" t="str">
        <f t="shared" si="48"/>
        <v/>
      </c>
      <c r="DOY23" s="50" t="str">
        <f t="shared" si="48"/>
        <v/>
      </c>
      <c r="DOZ23" s="50" t="str">
        <f t="shared" si="48"/>
        <v/>
      </c>
      <c r="DPA23" s="50" t="str">
        <f t="shared" ref="DPA23:DRL23" si="49">IFERROR(IF(DOZ23+TIME(1,0,0)&lt;=$G$12,DOZ23+TIME(1,0,0),""),"")</f>
        <v/>
      </c>
      <c r="DPB23" s="50" t="str">
        <f t="shared" si="49"/>
        <v/>
      </c>
      <c r="DPC23" s="50" t="str">
        <f t="shared" si="49"/>
        <v/>
      </c>
      <c r="DPD23" s="50" t="str">
        <f t="shared" si="49"/>
        <v/>
      </c>
      <c r="DPE23" s="50" t="str">
        <f t="shared" si="49"/>
        <v/>
      </c>
      <c r="DPF23" s="50" t="str">
        <f t="shared" si="49"/>
        <v/>
      </c>
      <c r="DPG23" s="50" t="str">
        <f t="shared" si="49"/>
        <v/>
      </c>
      <c r="DPH23" s="50" t="str">
        <f t="shared" si="49"/>
        <v/>
      </c>
      <c r="DPI23" s="50" t="str">
        <f t="shared" si="49"/>
        <v/>
      </c>
      <c r="DPJ23" s="50" t="str">
        <f t="shared" si="49"/>
        <v/>
      </c>
      <c r="DPK23" s="50" t="str">
        <f t="shared" si="49"/>
        <v/>
      </c>
      <c r="DPL23" s="50" t="str">
        <f t="shared" si="49"/>
        <v/>
      </c>
      <c r="DPM23" s="50" t="str">
        <f t="shared" si="49"/>
        <v/>
      </c>
      <c r="DPN23" s="50" t="str">
        <f t="shared" si="49"/>
        <v/>
      </c>
      <c r="DPO23" s="50" t="str">
        <f t="shared" si="49"/>
        <v/>
      </c>
      <c r="DPP23" s="50" t="str">
        <f t="shared" si="49"/>
        <v/>
      </c>
      <c r="DPQ23" s="50" t="str">
        <f t="shared" si="49"/>
        <v/>
      </c>
      <c r="DPR23" s="50" t="str">
        <f t="shared" si="49"/>
        <v/>
      </c>
      <c r="DPS23" s="50" t="str">
        <f t="shared" si="49"/>
        <v/>
      </c>
      <c r="DPT23" s="50" t="str">
        <f t="shared" si="49"/>
        <v/>
      </c>
      <c r="DPU23" s="50" t="str">
        <f t="shared" si="49"/>
        <v/>
      </c>
      <c r="DPV23" s="50" t="str">
        <f t="shared" si="49"/>
        <v/>
      </c>
      <c r="DPW23" s="50" t="str">
        <f t="shared" si="49"/>
        <v/>
      </c>
      <c r="DPX23" s="50" t="str">
        <f t="shared" si="49"/>
        <v/>
      </c>
      <c r="DPY23" s="50" t="str">
        <f t="shared" si="49"/>
        <v/>
      </c>
      <c r="DPZ23" s="50" t="str">
        <f t="shared" si="49"/>
        <v/>
      </c>
      <c r="DQA23" s="50" t="str">
        <f t="shared" si="49"/>
        <v/>
      </c>
      <c r="DQB23" s="50" t="str">
        <f t="shared" si="49"/>
        <v/>
      </c>
      <c r="DQC23" s="50" t="str">
        <f t="shared" si="49"/>
        <v/>
      </c>
      <c r="DQD23" s="50" t="str">
        <f t="shared" si="49"/>
        <v/>
      </c>
      <c r="DQE23" s="50" t="str">
        <f t="shared" si="49"/>
        <v/>
      </c>
      <c r="DQF23" s="50" t="str">
        <f t="shared" si="49"/>
        <v/>
      </c>
      <c r="DQG23" s="50" t="str">
        <f t="shared" si="49"/>
        <v/>
      </c>
      <c r="DQH23" s="50" t="str">
        <f t="shared" si="49"/>
        <v/>
      </c>
      <c r="DQI23" s="50" t="str">
        <f t="shared" si="49"/>
        <v/>
      </c>
      <c r="DQJ23" s="50" t="str">
        <f t="shared" si="49"/>
        <v/>
      </c>
      <c r="DQK23" s="50" t="str">
        <f t="shared" si="49"/>
        <v/>
      </c>
      <c r="DQL23" s="50" t="str">
        <f t="shared" si="49"/>
        <v/>
      </c>
      <c r="DQM23" s="50" t="str">
        <f t="shared" si="49"/>
        <v/>
      </c>
      <c r="DQN23" s="50" t="str">
        <f t="shared" si="49"/>
        <v/>
      </c>
      <c r="DQO23" s="50" t="str">
        <f t="shared" si="49"/>
        <v/>
      </c>
      <c r="DQP23" s="50" t="str">
        <f t="shared" si="49"/>
        <v/>
      </c>
      <c r="DQQ23" s="50" t="str">
        <f t="shared" si="49"/>
        <v/>
      </c>
      <c r="DQR23" s="50" t="str">
        <f t="shared" si="49"/>
        <v/>
      </c>
      <c r="DQS23" s="50" t="str">
        <f t="shared" si="49"/>
        <v/>
      </c>
      <c r="DQT23" s="50" t="str">
        <f t="shared" si="49"/>
        <v/>
      </c>
      <c r="DQU23" s="50" t="str">
        <f t="shared" si="49"/>
        <v/>
      </c>
      <c r="DQV23" s="50" t="str">
        <f t="shared" si="49"/>
        <v/>
      </c>
      <c r="DQW23" s="50" t="str">
        <f t="shared" si="49"/>
        <v/>
      </c>
      <c r="DQX23" s="50" t="str">
        <f t="shared" si="49"/>
        <v/>
      </c>
      <c r="DQY23" s="50" t="str">
        <f t="shared" si="49"/>
        <v/>
      </c>
      <c r="DQZ23" s="50" t="str">
        <f t="shared" si="49"/>
        <v/>
      </c>
      <c r="DRA23" s="50" t="str">
        <f t="shared" si="49"/>
        <v/>
      </c>
      <c r="DRB23" s="50" t="str">
        <f t="shared" si="49"/>
        <v/>
      </c>
      <c r="DRC23" s="50" t="str">
        <f t="shared" si="49"/>
        <v/>
      </c>
      <c r="DRD23" s="50" t="str">
        <f t="shared" si="49"/>
        <v/>
      </c>
      <c r="DRE23" s="50" t="str">
        <f t="shared" si="49"/>
        <v/>
      </c>
      <c r="DRF23" s="50" t="str">
        <f t="shared" si="49"/>
        <v/>
      </c>
      <c r="DRG23" s="50" t="str">
        <f t="shared" si="49"/>
        <v/>
      </c>
      <c r="DRH23" s="50" t="str">
        <f t="shared" si="49"/>
        <v/>
      </c>
      <c r="DRI23" s="50" t="str">
        <f t="shared" si="49"/>
        <v/>
      </c>
      <c r="DRJ23" s="50" t="str">
        <f t="shared" si="49"/>
        <v/>
      </c>
      <c r="DRK23" s="50" t="str">
        <f t="shared" si="49"/>
        <v/>
      </c>
      <c r="DRL23" s="50" t="str">
        <f t="shared" si="49"/>
        <v/>
      </c>
      <c r="DRM23" s="50" t="str">
        <f t="shared" ref="DRM23:DTX23" si="50">IFERROR(IF(DRL23+TIME(1,0,0)&lt;=$G$12,DRL23+TIME(1,0,0),""),"")</f>
        <v/>
      </c>
      <c r="DRN23" s="50" t="str">
        <f t="shared" si="50"/>
        <v/>
      </c>
      <c r="DRO23" s="50" t="str">
        <f t="shared" si="50"/>
        <v/>
      </c>
      <c r="DRP23" s="50" t="str">
        <f t="shared" si="50"/>
        <v/>
      </c>
      <c r="DRQ23" s="50" t="str">
        <f t="shared" si="50"/>
        <v/>
      </c>
      <c r="DRR23" s="50" t="str">
        <f t="shared" si="50"/>
        <v/>
      </c>
      <c r="DRS23" s="50" t="str">
        <f t="shared" si="50"/>
        <v/>
      </c>
      <c r="DRT23" s="50" t="str">
        <f t="shared" si="50"/>
        <v/>
      </c>
      <c r="DRU23" s="50" t="str">
        <f t="shared" si="50"/>
        <v/>
      </c>
      <c r="DRV23" s="50" t="str">
        <f t="shared" si="50"/>
        <v/>
      </c>
      <c r="DRW23" s="50" t="str">
        <f t="shared" si="50"/>
        <v/>
      </c>
      <c r="DRX23" s="50" t="str">
        <f t="shared" si="50"/>
        <v/>
      </c>
      <c r="DRY23" s="50" t="str">
        <f t="shared" si="50"/>
        <v/>
      </c>
      <c r="DRZ23" s="50" t="str">
        <f t="shared" si="50"/>
        <v/>
      </c>
      <c r="DSA23" s="50" t="str">
        <f t="shared" si="50"/>
        <v/>
      </c>
      <c r="DSB23" s="50" t="str">
        <f t="shared" si="50"/>
        <v/>
      </c>
      <c r="DSC23" s="50" t="str">
        <f t="shared" si="50"/>
        <v/>
      </c>
      <c r="DSD23" s="50" t="str">
        <f t="shared" si="50"/>
        <v/>
      </c>
      <c r="DSE23" s="50" t="str">
        <f t="shared" si="50"/>
        <v/>
      </c>
      <c r="DSF23" s="50" t="str">
        <f t="shared" si="50"/>
        <v/>
      </c>
      <c r="DSG23" s="50" t="str">
        <f t="shared" si="50"/>
        <v/>
      </c>
      <c r="DSH23" s="50" t="str">
        <f t="shared" si="50"/>
        <v/>
      </c>
      <c r="DSI23" s="50" t="str">
        <f t="shared" si="50"/>
        <v/>
      </c>
      <c r="DSJ23" s="50" t="str">
        <f t="shared" si="50"/>
        <v/>
      </c>
      <c r="DSK23" s="50" t="str">
        <f t="shared" si="50"/>
        <v/>
      </c>
      <c r="DSL23" s="50" t="str">
        <f t="shared" si="50"/>
        <v/>
      </c>
      <c r="DSM23" s="50" t="str">
        <f t="shared" si="50"/>
        <v/>
      </c>
      <c r="DSN23" s="50" t="str">
        <f t="shared" si="50"/>
        <v/>
      </c>
      <c r="DSO23" s="50" t="str">
        <f t="shared" si="50"/>
        <v/>
      </c>
      <c r="DSP23" s="50" t="str">
        <f t="shared" si="50"/>
        <v/>
      </c>
      <c r="DSQ23" s="50" t="str">
        <f t="shared" si="50"/>
        <v/>
      </c>
      <c r="DSR23" s="50" t="str">
        <f t="shared" si="50"/>
        <v/>
      </c>
      <c r="DSS23" s="50" t="str">
        <f t="shared" si="50"/>
        <v/>
      </c>
      <c r="DST23" s="50" t="str">
        <f t="shared" si="50"/>
        <v/>
      </c>
      <c r="DSU23" s="50" t="str">
        <f t="shared" si="50"/>
        <v/>
      </c>
      <c r="DSV23" s="50" t="str">
        <f t="shared" si="50"/>
        <v/>
      </c>
      <c r="DSW23" s="50" t="str">
        <f t="shared" si="50"/>
        <v/>
      </c>
      <c r="DSX23" s="50" t="str">
        <f t="shared" si="50"/>
        <v/>
      </c>
      <c r="DSY23" s="50" t="str">
        <f t="shared" si="50"/>
        <v/>
      </c>
      <c r="DSZ23" s="50" t="str">
        <f t="shared" si="50"/>
        <v/>
      </c>
      <c r="DTA23" s="50" t="str">
        <f t="shared" si="50"/>
        <v/>
      </c>
      <c r="DTB23" s="50" t="str">
        <f t="shared" si="50"/>
        <v/>
      </c>
      <c r="DTC23" s="50" t="str">
        <f t="shared" si="50"/>
        <v/>
      </c>
      <c r="DTD23" s="50" t="str">
        <f t="shared" si="50"/>
        <v/>
      </c>
      <c r="DTE23" s="50" t="str">
        <f t="shared" si="50"/>
        <v/>
      </c>
      <c r="DTF23" s="50" t="str">
        <f t="shared" si="50"/>
        <v/>
      </c>
      <c r="DTG23" s="50" t="str">
        <f t="shared" si="50"/>
        <v/>
      </c>
      <c r="DTH23" s="50" t="str">
        <f t="shared" si="50"/>
        <v/>
      </c>
      <c r="DTI23" s="50" t="str">
        <f t="shared" si="50"/>
        <v/>
      </c>
      <c r="DTJ23" s="50" t="str">
        <f t="shared" si="50"/>
        <v/>
      </c>
      <c r="DTK23" s="50" t="str">
        <f t="shared" si="50"/>
        <v/>
      </c>
      <c r="DTL23" s="50" t="str">
        <f t="shared" si="50"/>
        <v/>
      </c>
      <c r="DTM23" s="50" t="str">
        <f t="shared" si="50"/>
        <v/>
      </c>
      <c r="DTN23" s="50" t="str">
        <f t="shared" si="50"/>
        <v/>
      </c>
      <c r="DTO23" s="50" t="str">
        <f t="shared" si="50"/>
        <v/>
      </c>
      <c r="DTP23" s="50" t="str">
        <f t="shared" si="50"/>
        <v/>
      </c>
      <c r="DTQ23" s="50" t="str">
        <f t="shared" si="50"/>
        <v/>
      </c>
      <c r="DTR23" s="50" t="str">
        <f t="shared" si="50"/>
        <v/>
      </c>
      <c r="DTS23" s="50" t="str">
        <f t="shared" si="50"/>
        <v/>
      </c>
      <c r="DTT23" s="50" t="str">
        <f t="shared" si="50"/>
        <v/>
      </c>
      <c r="DTU23" s="50" t="str">
        <f t="shared" si="50"/>
        <v/>
      </c>
      <c r="DTV23" s="50" t="str">
        <f t="shared" si="50"/>
        <v/>
      </c>
      <c r="DTW23" s="50" t="str">
        <f t="shared" si="50"/>
        <v/>
      </c>
      <c r="DTX23" s="50" t="str">
        <f t="shared" si="50"/>
        <v/>
      </c>
      <c r="DTY23" s="50" t="str">
        <f t="shared" ref="DTY23:DWJ23" si="51">IFERROR(IF(DTX23+TIME(1,0,0)&lt;=$G$12,DTX23+TIME(1,0,0),""),"")</f>
        <v/>
      </c>
      <c r="DTZ23" s="50" t="str">
        <f t="shared" si="51"/>
        <v/>
      </c>
      <c r="DUA23" s="50" t="str">
        <f t="shared" si="51"/>
        <v/>
      </c>
      <c r="DUB23" s="50" t="str">
        <f t="shared" si="51"/>
        <v/>
      </c>
      <c r="DUC23" s="50" t="str">
        <f t="shared" si="51"/>
        <v/>
      </c>
      <c r="DUD23" s="50" t="str">
        <f t="shared" si="51"/>
        <v/>
      </c>
      <c r="DUE23" s="50" t="str">
        <f t="shared" si="51"/>
        <v/>
      </c>
      <c r="DUF23" s="50" t="str">
        <f t="shared" si="51"/>
        <v/>
      </c>
      <c r="DUG23" s="50" t="str">
        <f t="shared" si="51"/>
        <v/>
      </c>
      <c r="DUH23" s="50" t="str">
        <f t="shared" si="51"/>
        <v/>
      </c>
      <c r="DUI23" s="50" t="str">
        <f t="shared" si="51"/>
        <v/>
      </c>
      <c r="DUJ23" s="50" t="str">
        <f t="shared" si="51"/>
        <v/>
      </c>
      <c r="DUK23" s="50" t="str">
        <f t="shared" si="51"/>
        <v/>
      </c>
      <c r="DUL23" s="50" t="str">
        <f t="shared" si="51"/>
        <v/>
      </c>
      <c r="DUM23" s="50" t="str">
        <f t="shared" si="51"/>
        <v/>
      </c>
      <c r="DUN23" s="50" t="str">
        <f t="shared" si="51"/>
        <v/>
      </c>
      <c r="DUO23" s="50" t="str">
        <f t="shared" si="51"/>
        <v/>
      </c>
      <c r="DUP23" s="50" t="str">
        <f t="shared" si="51"/>
        <v/>
      </c>
      <c r="DUQ23" s="50" t="str">
        <f t="shared" si="51"/>
        <v/>
      </c>
      <c r="DUR23" s="50" t="str">
        <f t="shared" si="51"/>
        <v/>
      </c>
      <c r="DUS23" s="50" t="str">
        <f t="shared" si="51"/>
        <v/>
      </c>
      <c r="DUT23" s="50" t="str">
        <f t="shared" si="51"/>
        <v/>
      </c>
      <c r="DUU23" s="50" t="str">
        <f t="shared" si="51"/>
        <v/>
      </c>
      <c r="DUV23" s="50" t="str">
        <f t="shared" si="51"/>
        <v/>
      </c>
      <c r="DUW23" s="50" t="str">
        <f t="shared" si="51"/>
        <v/>
      </c>
      <c r="DUX23" s="50" t="str">
        <f t="shared" si="51"/>
        <v/>
      </c>
      <c r="DUY23" s="50" t="str">
        <f t="shared" si="51"/>
        <v/>
      </c>
      <c r="DUZ23" s="50" t="str">
        <f t="shared" si="51"/>
        <v/>
      </c>
      <c r="DVA23" s="50" t="str">
        <f t="shared" si="51"/>
        <v/>
      </c>
      <c r="DVB23" s="50" t="str">
        <f t="shared" si="51"/>
        <v/>
      </c>
      <c r="DVC23" s="50" t="str">
        <f t="shared" si="51"/>
        <v/>
      </c>
      <c r="DVD23" s="50" t="str">
        <f t="shared" si="51"/>
        <v/>
      </c>
      <c r="DVE23" s="50" t="str">
        <f t="shared" si="51"/>
        <v/>
      </c>
      <c r="DVF23" s="50" t="str">
        <f t="shared" si="51"/>
        <v/>
      </c>
      <c r="DVG23" s="50" t="str">
        <f t="shared" si="51"/>
        <v/>
      </c>
      <c r="DVH23" s="50" t="str">
        <f t="shared" si="51"/>
        <v/>
      </c>
      <c r="DVI23" s="50" t="str">
        <f t="shared" si="51"/>
        <v/>
      </c>
      <c r="DVJ23" s="50" t="str">
        <f t="shared" si="51"/>
        <v/>
      </c>
      <c r="DVK23" s="50" t="str">
        <f t="shared" si="51"/>
        <v/>
      </c>
      <c r="DVL23" s="50" t="str">
        <f t="shared" si="51"/>
        <v/>
      </c>
      <c r="DVM23" s="50" t="str">
        <f t="shared" si="51"/>
        <v/>
      </c>
      <c r="DVN23" s="50" t="str">
        <f t="shared" si="51"/>
        <v/>
      </c>
      <c r="DVO23" s="50" t="str">
        <f t="shared" si="51"/>
        <v/>
      </c>
      <c r="DVP23" s="50" t="str">
        <f t="shared" si="51"/>
        <v/>
      </c>
      <c r="DVQ23" s="50" t="str">
        <f t="shared" si="51"/>
        <v/>
      </c>
      <c r="DVR23" s="50" t="str">
        <f t="shared" si="51"/>
        <v/>
      </c>
      <c r="DVS23" s="50" t="str">
        <f t="shared" si="51"/>
        <v/>
      </c>
      <c r="DVT23" s="50" t="str">
        <f t="shared" si="51"/>
        <v/>
      </c>
      <c r="DVU23" s="50" t="str">
        <f t="shared" si="51"/>
        <v/>
      </c>
      <c r="DVV23" s="50" t="str">
        <f t="shared" si="51"/>
        <v/>
      </c>
      <c r="DVW23" s="50" t="str">
        <f t="shared" si="51"/>
        <v/>
      </c>
      <c r="DVX23" s="50" t="str">
        <f t="shared" si="51"/>
        <v/>
      </c>
      <c r="DVY23" s="50" t="str">
        <f t="shared" si="51"/>
        <v/>
      </c>
      <c r="DVZ23" s="50" t="str">
        <f t="shared" si="51"/>
        <v/>
      </c>
      <c r="DWA23" s="50" t="str">
        <f t="shared" si="51"/>
        <v/>
      </c>
      <c r="DWB23" s="50" t="str">
        <f t="shared" si="51"/>
        <v/>
      </c>
      <c r="DWC23" s="50" t="str">
        <f t="shared" si="51"/>
        <v/>
      </c>
      <c r="DWD23" s="50" t="str">
        <f t="shared" si="51"/>
        <v/>
      </c>
      <c r="DWE23" s="50" t="str">
        <f t="shared" si="51"/>
        <v/>
      </c>
      <c r="DWF23" s="50" t="str">
        <f t="shared" si="51"/>
        <v/>
      </c>
      <c r="DWG23" s="50" t="str">
        <f t="shared" si="51"/>
        <v/>
      </c>
      <c r="DWH23" s="50" t="str">
        <f t="shared" si="51"/>
        <v/>
      </c>
      <c r="DWI23" s="50" t="str">
        <f t="shared" si="51"/>
        <v/>
      </c>
      <c r="DWJ23" s="50" t="str">
        <f t="shared" si="51"/>
        <v/>
      </c>
      <c r="DWK23" s="50" t="str">
        <f t="shared" ref="DWK23:DYV23" si="52">IFERROR(IF(DWJ23+TIME(1,0,0)&lt;=$G$12,DWJ23+TIME(1,0,0),""),"")</f>
        <v/>
      </c>
      <c r="DWL23" s="50" t="str">
        <f t="shared" si="52"/>
        <v/>
      </c>
      <c r="DWM23" s="50" t="str">
        <f t="shared" si="52"/>
        <v/>
      </c>
      <c r="DWN23" s="50" t="str">
        <f t="shared" si="52"/>
        <v/>
      </c>
      <c r="DWO23" s="50" t="str">
        <f t="shared" si="52"/>
        <v/>
      </c>
      <c r="DWP23" s="50" t="str">
        <f t="shared" si="52"/>
        <v/>
      </c>
      <c r="DWQ23" s="50" t="str">
        <f t="shared" si="52"/>
        <v/>
      </c>
      <c r="DWR23" s="50" t="str">
        <f t="shared" si="52"/>
        <v/>
      </c>
      <c r="DWS23" s="50" t="str">
        <f t="shared" si="52"/>
        <v/>
      </c>
      <c r="DWT23" s="50" t="str">
        <f t="shared" si="52"/>
        <v/>
      </c>
      <c r="DWU23" s="50" t="str">
        <f t="shared" si="52"/>
        <v/>
      </c>
      <c r="DWV23" s="50" t="str">
        <f t="shared" si="52"/>
        <v/>
      </c>
      <c r="DWW23" s="50" t="str">
        <f t="shared" si="52"/>
        <v/>
      </c>
      <c r="DWX23" s="50" t="str">
        <f t="shared" si="52"/>
        <v/>
      </c>
      <c r="DWY23" s="50" t="str">
        <f t="shared" si="52"/>
        <v/>
      </c>
      <c r="DWZ23" s="50" t="str">
        <f t="shared" si="52"/>
        <v/>
      </c>
      <c r="DXA23" s="50" t="str">
        <f t="shared" si="52"/>
        <v/>
      </c>
      <c r="DXB23" s="50" t="str">
        <f t="shared" si="52"/>
        <v/>
      </c>
      <c r="DXC23" s="50" t="str">
        <f t="shared" si="52"/>
        <v/>
      </c>
      <c r="DXD23" s="50" t="str">
        <f t="shared" si="52"/>
        <v/>
      </c>
      <c r="DXE23" s="50" t="str">
        <f t="shared" si="52"/>
        <v/>
      </c>
      <c r="DXF23" s="50" t="str">
        <f t="shared" si="52"/>
        <v/>
      </c>
      <c r="DXG23" s="50" t="str">
        <f t="shared" si="52"/>
        <v/>
      </c>
      <c r="DXH23" s="50" t="str">
        <f t="shared" si="52"/>
        <v/>
      </c>
      <c r="DXI23" s="50" t="str">
        <f t="shared" si="52"/>
        <v/>
      </c>
      <c r="DXJ23" s="50" t="str">
        <f t="shared" si="52"/>
        <v/>
      </c>
      <c r="DXK23" s="50" t="str">
        <f t="shared" si="52"/>
        <v/>
      </c>
      <c r="DXL23" s="50" t="str">
        <f t="shared" si="52"/>
        <v/>
      </c>
      <c r="DXM23" s="50" t="str">
        <f t="shared" si="52"/>
        <v/>
      </c>
      <c r="DXN23" s="50" t="str">
        <f t="shared" si="52"/>
        <v/>
      </c>
      <c r="DXO23" s="50" t="str">
        <f t="shared" si="52"/>
        <v/>
      </c>
      <c r="DXP23" s="50" t="str">
        <f t="shared" si="52"/>
        <v/>
      </c>
      <c r="DXQ23" s="50" t="str">
        <f t="shared" si="52"/>
        <v/>
      </c>
      <c r="DXR23" s="50" t="str">
        <f t="shared" si="52"/>
        <v/>
      </c>
      <c r="DXS23" s="50" t="str">
        <f t="shared" si="52"/>
        <v/>
      </c>
      <c r="DXT23" s="50" t="str">
        <f t="shared" si="52"/>
        <v/>
      </c>
      <c r="DXU23" s="50" t="str">
        <f t="shared" si="52"/>
        <v/>
      </c>
      <c r="DXV23" s="50" t="str">
        <f t="shared" si="52"/>
        <v/>
      </c>
      <c r="DXW23" s="50" t="str">
        <f t="shared" si="52"/>
        <v/>
      </c>
      <c r="DXX23" s="50" t="str">
        <f t="shared" si="52"/>
        <v/>
      </c>
      <c r="DXY23" s="50" t="str">
        <f t="shared" si="52"/>
        <v/>
      </c>
      <c r="DXZ23" s="50" t="str">
        <f t="shared" si="52"/>
        <v/>
      </c>
      <c r="DYA23" s="50" t="str">
        <f t="shared" si="52"/>
        <v/>
      </c>
      <c r="DYB23" s="50" t="str">
        <f t="shared" si="52"/>
        <v/>
      </c>
      <c r="DYC23" s="50" t="str">
        <f t="shared" si="52"/>
        <v/>
      </c>
      <c r="DYD23" s="50" t="str">
        <f t="shared" si="52"/>
        <v/>
      </c>
      <c r="DYE23" s="50" t="str">
        <f t="shared" si="52"/>
        <v/>
      </c>
      <c r="DYF23" s="50" t="str">
        <f t="shared" si="52"/>
        <v/>
      </c>
      <c r="DYG23" s="50" t="str">
        <f t="shared" si="52"/>
        <v/>
      </c>
      <c r="DYH23" s="50" t="str">
        <f t="shared" si="52"/>
        <v/>
      </c>
      <c r="DYI23" s="50" t="str">
        <f t="shared" si="52"/>
        <v/>
      </c>
      <c r="DYJ23" s="50" t="str">
        <f t="shared" si="52"/>
        <v/>
      </c>
      <c r="DYK23" s="50" t="str">
        <f t="shared" si="52"/>
        <v/>
      </c>
      <c r="DYL23" s="50" t="str">
        <f t="shared" si="52"/>
        <v/>
      </c>
      <c r="DYM23" s="50" t="str">
        <f t="shared" si="52"/>
        <v/>
      </c>
      <c r="DYN23" s="50" t="str">
        <f t="shared" si="52"/>
        <v/>
      </c>
      <c r="DYO23" s="50" t="str">
        <f t="shared" si="52"/>
        <v/>
      </c>
      <c r="DYP23" s="50" t="str">
        <f t="shared" si="52"/>
        <v/>
      </c>
      <c r="DYQ23" s="50" t="str">
        <f t="shared" si="52"/>
        <v/>
      </c>
      <c r="DYR23" s="50" t="str">
        <f t="shared" si="52"/>
        <v/>
      </c>
      <c r="DYS23" s="50" t="str">
        <f t="shared" si="52"/>
        <v/>
      </c>
      <c r="DYT23" s="50" t="str">
        <f t="shared" si="52"/>
        <v/>
      </c>
      <c r="DYU23" s="50" t="str">
        <f t="shared" si="52"/>
        <v/>
      </c>
      <c r="DYV23" s="50" t="str">
        <f t="shared" si="52"/>
        <v/>
      </c>
      <c r="DYW23" s="50" t="str">
        <f t="shared" ref="DYW23:EBH23" si="53">IFERROR(IF(DYV23+TIME(1,0,0)&lt;=$G$12,DYV23+TIME(1,0,0),""),"")</f>
        <v/>
      </c>
      <c r="DYX23" s="50" t="str">
        <f t="shared" si="53"/>
        <v/>
      </c>
      <c r="DYY23" s="50" t="str">
        <f t="shared" si="53"/>
        <v/>
      </c>
      <c r="DYZ23" s="50" t="str">
        <f t="shared" si="53"/>
        <v/>
      </c>
      <c r="DZA23" s="50" t="str">
        <f t="shared" si="53"/>
        <v/>
      </c>
      <c r="DZB23" s="50" t="str">
        <f t="shared" si="53"/>
        <v/>
      </c>
      <c r="DZC23" s="50" t="str">
        <f t="shared" si="53"/>
        <v/>
      </c>
      <c r="DZD23" s="50" t="str">
        <f t="shared" si="53"/>
        <v/>
      </c>
      <c r="DZE23" s="50" t="str">
        <f t="shared" si="53"/>
        <v/>
      </c>
      <c r="DZF23" s="50" t="str">
        <f t="shared" si="53"/>
        <v/>
      </c>
      <c r="DZG23" s="50" t="str">
        <f t="shared" si="53"/>
        <v/>
      </c>
      <c r="DZH23" s="50" t="str">
        <f t="shared" si="53"/>
        <v/>
      </c>
      <c r="DZI23" s="50" t="str">
        <f t="shared" si="53"/>
        <v/>
      </c>
      <c r="DZJ23" s="50" t="str">
        <f t="shared" si="53"/>
        <v/>
      </c>
      <c r="DZK23" s="50" t="str">
        <f t="shared" si="53"/>
        <v/>
      </c>
      <c r="DZL23" s="50" t="str">
        <f t="shared" si="53"/>
        <v/>
      </c>
      <c r="DZM23" s="50" t="str">
        <f t="shared" si="53"/>
        <v/>
      </c>
      <c r="DZN23" s="50" t="str">
        <f t="shared" si="53"/>
        <v/>
      </c>
      <c r="DZO23" s="50" t="str">
        <f t="shared" si="53"/>
        <v/>
      </c>
      <c r="DZP23" s="50" t="str">
        <f t="shared" si="53"/>
        <v/>
      </c>
      <c r="DZQ23" s="50" t="str">
        <f t="shared" si="53"/>
        <v/>
      </c>
      <c r="DZR23" s="50" t="str">
        <f t="shared" si="53"/>
        <v/>
      </c>
      <c r="DZS23" s="50" t="str">
        <f t="shared" si="53"/>
        <v/>
      </c>
      <c r="DZT23" s="50" t="str">
        <f t="shared" si="53"/>
        <v/>
      </c>
      <c r="DZU23" s="50" t="str">
        <f t="shared" si="53"/>
        <v/>
      </c>
      <c r="DZV23" s="50" t="str">
        <f t="shared" si="53"/>
        <v/>
      </c>
      <c r="DZW23" s="50" t="str">
        <f t="shared" si="53"/>
        <v/>
      </c>
      <c r="DZX23" s="50" t="str">
        <f t="shared" si="53"/>
        <v/>
      </c>
      <c r="DZY23" s="50" t="str">
        <f t="shared" si="53"/>
        <v/>
      </c>
      <c r="DZZ23" s="50" t="str">
        <f t="shared" si="53"/>
        <v/>
      </c>
      <c r="EAA23" s="50" t="str">
        <f t="shared" si="53"/>
        <v/>
      </c>
      <c r="EAB23" s="50" t="str">
        <f t="shared" si="53"/>
        <v/>
      </c>
      <c r="EAC23" s="50" t="str">
        <f t="shared" si="53"/>
        <v/>
      </c>
      <c r="EAD23" s="50" t="str">
        <f t="shared" si="53"/>
        <v/>
      </c>
      <c r="EAE23" s="50" t="str">
        <f t="shared" si="53"/>
        <v/>
      </c>
      <c r="EAF23" s="50" t="str">
        <f t="shared" si="53"/>
        <v/>
      </c>
      <c r="EAG23" s="50" t="str">
        <f t="shared" si="53"/>
        <v/>
      </c>
      <c r="EAH23" s="50" t="str">
        <f t="shared" si="53"/>
        <v/>
      </c>
      <c r="EAI23" s="50" t="str">
        <f t="shared" si="53"/>
        <v/>
      </c>
      <c r="EAJ23" s="50" t="str">
        <f t="shared" si="53"/>
        <v/>
      </c>
      <c r="EAK23" s="50" t="str">
        <f t="shared" si="53"/>
        <v/>
      </c>
      <c r="EAL23" s="50" t="str">
        <f t="shared" si="53"/>
        <v/>
      </c>
      <c r="EAM23" s="50" t="str">
        <f t="shared" si="53"/>
        <v/>
      </c>
      <c r="EAN23" s="50" t="str">
        <f t="shared" si="53"/>
        <v/>
      </c>
      <c r="EAO23" s="50" t="str">
        <f t="shared" si="53"/>
        <v/>
      </c>
      <c r="EAP23" s="50" t="str">
        <f t="shared" si="53"/>
        <v/>
      </c>
      <c r="EAQ23" s="50" t="str">
        <f t="shared" si="53"/>
        <v/>
      </c>
      <c r="EAR23" s="50" t="str">
        <f t="shared" si="53"/>
        <v/>
      </c>
      <c r="EAS23" s="50" t="str">
        <f t="shared" si="53"/>
        <v/>
      </c>
      <c r="EAT23" s="50" t="str">
        <f t="shared" si="53"/>
        <v/>
      </c>
      <c r="EAU23" s="50" t="str">
        <f t="shared" si="53"/>
        <v/>
      </c>
      <c r="EAV23" s="50" t="str">
        <f t="shared" si="53"/>
        <v/>
      </c>
      <c r="EAW23" s="50" t="str">
        <f t="shared" si="53"/>
        <v/>
      </c>
      <c r="EAX23" s="50" t="str">
        <f t="shared" si="53"/>
        <v/>
      </c>
      <c r="EAY23" s="50" t="str">
        <f t="shared" si="53"/>
        <v/>
      </c>
      <c r="EAZ23" s="50" t="str">
        <f t="shared" si="53"/>
        <v/>
      </c>
      <c r="EBA23" s="50" t="str">
        <f t="shared" si="53"/>
        <v/>
      </c>
      <c r="EBB23" s="50" t="str">
        <f t="shared" si="53"/>
        <v/>
      </c>
      <c r="EBC23" s="50" t="str">
        <f t="shared" si="53"/>
        <v/>
      </c>
      <c r="EBD23" s="50" t="str">
        <f t="shared" si="53"/>
        <v/>
      </c>
      <c r="EBE23" s="50" t="str">
        <f t="shared" si="53"/>
        <v/>
      </c>
      <c r="EBF23" s="50" t="str">
        <f t="shared" si="53"/>
        <v/>
      </c>
      <c r="EBG23" s="50" t="str">
        <f t="shared" si="53"/>
        <v/>
      </c>
      <c r="EBH23" s="50" t="str">
        <f t="shared" si="53"/>
        <v/>
      </c>
      <c r="EBI23" s="50" t="str">
        <f t="shared" ref="EBI23:EDT23" si="54">IFERROR(IF(EBH23+TIME(1,0,0)&lt;=$G$12,EBH23+TIME(1,0,0),""),"")</f>
        <v/>
      </c>
      <c r="EBJ23" s="50" t="str">
        <f t="shared" si="54"/>
        <v/>
      </c>
      <c r="EBK23" s="50" t="str">
        <f t="shared" si="54"/>
        <v/>
      </c>
      <c r="EBL23" s="50" t="str">
        <f t="shared" si="54"/>
        <v/>
      </c>
      <c r="EBM23" s="50" t="str">
        <f t="shared" si="54"/>
        <v/>
      </c>
      <c r="EBN23" s="50" t="str">
        <f t="shared" si="54"/>
        <v/>
      </c>
      <c r="EBO23" s="50" t="str">
        <f t="shared" si="54"/>
        <v/>
      </c>
      <c r="EBP23" s="50" t="str">
        <f t="shared" si="54"/>
        <v/>
      </c>
      <c r="EBQ23" s="50" t="str">
        <f t="shared" si="54"/>
        <v/>
      </c>
      <c r="EBR23" s="50" t="str">
        <f t="shared" si="54"/>
        <v/>
      </c>
      <c r="EBS23" s="50" t="str">
        <f t="shared" si="54"/>
        <v/>
      </c>
      <c r="EBT23" s="50" t="str">
        <f t="shared" si="54"/>
        <v/>
      </c>
      <c r="EBU23" s="50" t="str">
        <f t="shared" si="54"/>
        <v/>
      </c>
      <c r="EBV23" s="50" t="str">
        <f t="shared" si="54"/>
        <v/>
      </c>
      <c r="EBW23" s="50" t="str">
        <f t="shared" si="54"/>
        <v/>
      </c>
      <c r="EBX23" s="50" t="str">
        <f t="shared" si="54"/>
        <v/>
      </c>
      <c r="EBY23" s="50" t="str">
        <f t="shared" si="54"/>
        <v/>
      </c>
      <c r="EBZ23" s="50" t="str">
        <f t="shared" si="54"/>
        <v/>
      </c>
      <c r="ECA23" s="50" t="str">
        <f t="shared" si="54"/>
        <v/>
      </c>
      <c r="ECB23" s="50" t="str">
        <f t="shared" si="54"/>
        <v/>
      </c>
      <c r="ECC23" s="50" t="str">
        <f t="shared" si="54"/>
        <v/>
      </c>
      <c r="ECD23" s="50" t="str">
        <f t="shared" si="54"/>
        <v/>
      </c>
      <c r="ECE23" s="50" t="str">
        <f t="shared" si="54"/>
        <v/>
      </c>
      <c r="ECF23" s="50" t="str">
        <f t="shared" si="54"/>
        <v/>
      </c>
      <c r="ECG23" s="50" t="str">
        <f t="shared" si="54"/>
        <v/>
      </c>
      <c r="ECH23" s="50" t="str">
        <f t="shared" si="54"/>
        <v/>
      </c>
      <c r="ECI23" s="50" t="str">
        <f t="shared" si="54"/>
        <v/>
      </c>
      <c r="ECJ23" s="50" t="str">
        <f t="shared" si="54"/>
        <v/>
      </c>
      <c r="ECK23" s="50" t="str">
        <f t="shared" si="54"/>
        <v/>
      </c>
      <c r="ECL23" s="50" t="str">
        <f t="shared" si="54"/>
        <v/>
      </c>
      <c r="ECM23" s="50" t="str">
        <f t="shared" si="54"/>
        <v/>
      </c>
      <c r="ECN23" s="50" t="str">
        <f t="shared" si="54"/>
        <v/>
      </c>
      <c r="ECO23" s="50" t="str">
        <f t="shared" si="54"/>
        <v/>
      </c>
      <c r="ECP23" s="50" t="str">
        <f t="shared" si="54"/>
        <v/>
      </c>
      <c r="ECQ23" s="50" t="str">
        <f t="shared" si="54"/>
        <v/>
      </c>
      <c r="ECR23" s="50" t="str">
        <f t="shared" si="54"/>
        <v/>
      </c>
      <c r="ECS23" s="50" t="str">
        <f t="shared" si="54"/>
        <v/>
      </c>
      <c r="ECT23" s="50" t="str">
        <f t="shared" si="54"/>
        <v/>
      </c>
      <c r="ECU23" s="50" t="str">
        <f t="shared" si="54"/>
        <v/>
      </c>
      <c r="ECV23" s="50" t="str">
        <f t="shared" si="54"/>
        <v/>
      </c>
      <c r="ECW23" s="50" t="str">
        <f t="shared" si="54"/>
        <v/>
      </c>
      <c r="ECX23" s="50" t="str">
        <f t="shared" si="54"/>
        <v/>
      </c>
      <c r="ECY23" s="50" t="str">
        <f t="shared" si="54"/>
        <v/>
      </c>
      <c r="ECZ23" s="50" t="str">
        <f t="shared" si="54"/>
        <v/>
      </c>
      <c r="EDA23" s="50" t="str">
        <f t="shared" si="54"/>
        <v/>
      </c>
      <c r="EDB23" s="50" t="str">
        <f t="shared" si="54"/>
        <v/>
      </c>
      <c r="EDC23" s="50" t="str">
        <f t="shared" si="54"/>
        <v/>
      </c>
      <c r="EDD23" s="50" t="str">
        <f t="shared" si="54"/>
        <v/>
      </c>
      <c r="EDE23" s="50" t="str">
        <f t="shared" si="54"/>
        <v/>
      </c>
      <c r="EDF23" s="50" t="str">
        <f t="shared" si="54"/>
        <v/>
      </c>
      <c r="EDG23" s="50" t="str">
        <f t="shared" si="54"/>
        <v/>
      </c>
      <c r="EDH23" s="50" t="str">
        <f t="shared" si="54"/>
        <v/>
      </c>
      <c r="EDI23" s="50" t="str">
        <f t="shared" si="54"/>
        <v/>
      </c>
      <c r="EDJ23" s="50" t="str">
        <f t="shared" si="54"/>
        <v/>
      </c>
      <c r="EDK23" s="50" t="str">
        <f t="shared" si="54"/>
        <v/>
      </c>
      <c r="EDL23" s="50" t="str">
        <f t="shared" si="54"/>
        <v/>
      </c>
      <c r="EDM23" s="50" t="str">
        <f t="shared" si="54"/>
        <v/>
      </c>
      <c r="EDN23" s="50" t="str">
        <f t="shared" si="54"/>
        <v/>
      </c>
      <c r="EDO23" s="50" t="str">
        <f t="shared" si="54"/>
        <v/>
      </c>
      <c r="EDP23" s="50" t="str">
        <f t="shared" si="54"/>
        <v/>
      </c>
      <c r="EDQ23" s="50" t="str">
        <f t="shared" si="54"/>
        <v/>
      </c>
      <c r="EDR23" s="50" t="str">
        <f t="shared" si="54"/>
        <v/>
      </c>
      <c r="EDS23" s="50" t="str">
        <f t="shared" si="54"/>
        <v/>
      </c>
      <c r="EDT23" s="50" t="str">
        <f t="shared" si="54"/>
        <v/>
      </c>
      <c r="EDU23" s="50" t="str">
        <f t="shared" ref="EDU23:EGF23" si="55">IFERROR(IF(EDT23+TIME(1,0,0)&lt;=$G$12,EDT23+TIME(1,0,0),""),"")</f>
        <v/>
      </c>
      <c r="EDV23" s="50" t="str">
        <f t="shared" si="55"/>
        <v/>
      </c>
      <c r="EDW23" s="50" t="str">
        <f t="shared" si="55"/>
        <v/>
      </c>
      <c r="EDX23" s="50" t="str">
        <f t="shared" si="55"/>
        <v/>
      </c>
      <c r="EDY23" s="50" t="str">
        <f t="shared" si="55"/>
        <v/>
      </c>
      <c r="EDZ23" s="50" t="str">
        <f t="shared" si="55"/>
        <v/>
      </c>
      <c r="EEA23" s="50" t="str">
        <f t="shared" si="55"/>
        <v/>
      </c>
      <c r="EEB23" s="50" t="str">
        <f t="shared" si="55"/>
        <v/>
      </c>
      <c r="EEC23" s="50" t="str">
        <f t="shared" si="55"/>
        <v/>
      </c>
      <c r="EED23" s="50" t="str">
        <f t="shared" si="55"/>
        <v/>
      </c>
      <c r="EEE23" s="50" t="str">
        <f t="shared" si="55"/>
        <v/>
      </c>
      <c r="EEF23" s="50" t="str">
        <f t="shared" si="55"/>
        <v/>
      </c>
      <c r="EEG23" s="50" t="str">
        <f t="shared" si="55"/>
        <v/>
      </c>
      <c r="EEH23" s="50" t="str">
        <f t="shared" si="55"/>
        <v/>
      </c>
      <c r="EEI23" s="50" t="str">
        <f t="shared" si="55"/>
        <v/>
      </c>
      <c r="EEJ23" s="50" t="str">
        <f t="shared" si="55"/>
        <v/>
      </c>
      <c r="EEK23" s="50" t="str">
        <f t="shared" si="55"/>
        <v/>
      </c>
      <c r="EEL23" s="50" t="str">
        <f t="shared" si="55"/>
        <v/>
      </c>
      <c r="EEM23" s="50" t="str">
        <f t="shared" si="55"/>
        <v/>
      </c>
      <c r="EEN23" s="50" t="str">
        <f t="shared" si="55"/>
        <v/>
      </c>
      <c r="EEO23" s="50" t="str">
        <f t="shared" si="55"/>
        <v/>
      </c>
      <c r="EEP23" s="50" t="str">
        <f t="shared" si="55"/>
        <v/>
      </c>
      <c r="EEQ23" s="50" t="str">
        <f t="shared" si="55"/>
        <v/>
      </c>
      <c r="EER23" s="50" t="str">
        <f t="shared" si="55"/>
        <v/>
      </c>
      <c r="EES23" s="50" t="str">
        <f t="shared" si="55"/>
        <v/>
      </c>
      <c r="EET23" s="50" t="str">
        <f t="shared" si="55"/>
        <v/>
      </c>
      <c r="EEU23" s="50" t="str">
        <f t="shared" si="55"/>
        <v/>
      </c>
      <c r="EEV23" s="50" t="str">
        <f t="shared" si="55"/>
        <v/>
      </c>
      <c r="EEW23" s="50" t="str">
        <f t="shared" si="55"/>
        <v/>
      </c>
      <c r="EEX23" s="50" t="str">
        <f t="shared" si="55"/>
        <v/>
      </c>
      <c r="EEY23" s="50" t="str">
        <f t="shared" si="55"/>
        <v/>
      </c>
      <c r="EEZ23" s="50" t="str">
        <f t="shared" si="55"/>
        <v/>
      </c>
      <c r="EFA23" s="50" t="str">
        <f t="shared" si="55"/>
        <v/>
      </c>
      <c r="EFB23" s="50" t="str">
        <f t="shared" si="55"/>
        <v/>
      </c>
      <c r="EFC23" s="50" t="str">
        <f t="shared" si="55"/>
        <v/>
      </c>
      <c r="EFD23" s="50" t="str">
        <f t="shared" si="55"/>
        <v/>
      </c>
      <c r="EFE23" s="50" t="str">
        <f t="shared" si="55"/>
        <v/>
      </c>
      <c r="EFF23" s="50" t="str">
        <f t="shared" si="55"/>
        <v/>
      </c>
      <c r="EFG23" s="50" t="str">
        <f t="shared" si="55"/>
        <v/>
      </c>
      <c r="EFH23" s="50" t="str">
        <f t="shared" si="55"/>
        <v/>
      </c>
      <c r="EFI23" s="50" t="str">
        <f t="shared" si="55"/>
        <v/>
      </c>
      <c r="EFJ23" s="50" t="str">
        <f t="shared" si="55"/>
        <v/>
      </c>
      <c r="EFK23" s="50" t="str">
        <f t="shared" si="55"/>
        <v/>
      </c>
      <c r="EFL23" s="50" t="str">
        <f t="shared" si="55"/>
        <v/>
      </c>
      <c r="EFM23" s="50" t="str">
        <f t="shared" si="55"/>
        <v/>
      </c>
      <c r="EFN23" s="50" t="str">
        <f t="shared" si="55"/>
        <v/>
      </c>
      <c r="EFO23" s="50" t="str">
        <f t="shared" si="55"/>
        <v/>
      </c>
      <c r="EFP23" s="50" t="str">
        <f t="shared" si="55"/>
        <v/>
      </c>
      <c r="EFQ23" s="50" t="str">
        <f t="shared" si="55"/>
        <v/>
      </c>
      <c r="EFR23" s="50" t="str">
        <f t="shared" si="55"/>
        <v/>
      </c>
      <c r="EFS23" s="50" t="str">
        <f t="shared" si="55"/>
        <v/>
      </c>
      <c r="EFT23" s="50" t="str">
        <f t="shared" si="55"/>
        <v/>
      </c>
      <c r="EFU23" s="50" t="str">
        <f t="shared" si="55"/>
        <v/>
      </c>
      <c r="EFV23" s="50" t="str">
        <f t="shared" si="55"/>
        <v/>
      </c>
      <c r="EFW23" s="50" t="str">
        <f t="shared" si="55"/>
        <v/>
      </c>
      <c r="EFX23" s="50" t="str">
        <f t="shared" si="55"/>
        <v/>
      </c>
      <c r="EFY23" s="50" t="str">
        <f t="shared" si="55"/>
        <v/>
      </c>
      <c r="EFZ23" s="50" t="str">
        <f t="shared" si="55"/>
        <v/>
      </c>
      <c r="EGA23" s="50" t="str">
        <f t="shared" si="55"/>
        <v/>
      </c>
      <c r="EGB23" s="50" t="str">
        <f t="shared" si="55"/>
        <v/>
      </c>
      <c r="EGC23" s="50" t="str">
        <f t="shared" si="55"/>
        <v/>
      </c>
      <c r="EGD23" s="50" t="str">
        <f t="shared" si="55"/>
        <v/>
      </c>
      <c r="EGE23" s="50" t="str">
        <f t="shared" si="55"/>
        <v/>
      </c>
      <c r="EGF23" s="50" t="str">
        <f t="shared" si="55"/>
        <v/>
      </c>
      <c r="EGG23" s="50" t="str">
        <f t="shared" ref="EGG23:EIR23" si="56">IFERROR(IF(EGF23+TIME(1,0,0)&lt;=$G$12,EGF23+TIME(1,0,0),""),"")</f>
        <v/>
      </c>
      <c r="EGH23" s="50" t="str">
        <f t="shared" si="56"/>
        <v/>
      </c>
      <c r="EGI23" s="50" t="str">
        <f t="shared" si="56"/>
        <v/>
      </c>
      <c r="EGJ23" s="50" t="str">
        <f t="shared" si="56"/>
        <v/>
      </c>
      <c r="EGK23" s="50" t="str">
        <f t="shared" si="56"/>
        <v/>
      </c>
      <c r="EGL23" s="50" t="str">
        <f t="shared" si="56"/>
        <v/>
      </c>
      <c r="EGM23" s="50" t="str">
        <f t="shared" si="56"/>
        <v/>
      </c>
      <c r="EGN23" s="50" t="str">
        <f t="shared" si="56"/>
        <v/>
      </c>
      <c r="EGO23" s="50" t="str">
        <f t="shared" si="56"/>
        <v/>
      </c>
      <c r="EGP23" s="50" t="str">
        <f t="shared" si="56"/>
        <v/>
      </c>
      <c r="EGQ23" s="50" t="str">
        <f t="shared" si="56"/>
        <v/>
      </c>
      <c r="EGR23" s="50" t="str">
        <f t="shared" si="56"/>
        <v/>
      </c>
      <c r="EGS23" s="50" t="str">
        <f t="shared" si="56"/>
        <v/>
      </c>
      <c r="EGT23" s="50" t="str">
        <f t="shared" si="56"/>
        <v/>
      </c>
      <c r="EGU23" s="50" t="str">
        <f t="shared" si="56"/>
        <v/>
      </c>
      <c r="EGV23" s="50" t="str">
        <f t="shared" si="56"/>
        <v/>
      </c>
      <c r="EGW23" s="50" t="str">
        <f t="shared" si="56"/>
        <v/>
      </c>
      <c r="EGX23" s="50" t="str">
        <f t="shared" si="56"/>
        <v/>
      </c>
      <c r="EGY23" s="50" t="str">
        <f t="shared" si="56"/>
        <v/>
      </c>
      <c r="EGZ23" s="50" t="str">
        <f t="shared" si="56"/>
        <v/>
      </c>
      <c r="EHA23" s="50" t="str">
        <f t="shared" si="56"/>
        <v/>
      </c>
      <c r="EHB23" s="50" t="str">
        <f t="shared" si="56"/>
        <v/>
      </c>
      <c r="EHC23" s="50" t="str">
        <f t="shared" si="56"/>
        <v/>
      </c>
      <c r="EHD23" s="50" t="str">
        <f t="shared" si="56"/>
        <v/>
      </c>
      <c r="EHE23" s="50" t="str">
        <f t="shared" si="56"/>
        <v/>
      </c>
      <c r="EHF23" s="50" t="str">
        <f t="shared" si="56"/>
        <v/>
      </c>
      <c r="EHG23" s="50" t="str">
        <f t="shared" si="56"/>
        <v/>
      </c>
      <c r="EHH23" s="50" t="str">
        <f t="shared" si="56"/>
        <v/>
      </c>
      <c r="EHI23" s="50" t="str">
        <f t="shared" si="56"/>
        <v/>
      </c>
      <c r="EHJ23" s="50" t="str">
        <f t="shared" si="56"/>
        <v/>
      </c>
      <c r="EHK23" s="50" t="str">
        <f t="shared" si="56"/>
        <v/>
      </c>
      <c r="EHL23" s="50" t="str">
        <f t="shared" si="56"/>
        <v/>
      </c>
      <c r="EHM23" s="50" t="str">
        <f t="shared" si="56"/>
        <v/>
      </c>
      <c r="EHN23" s="50" t="str">
        <f t="shared" si="56"/>
        <v/>
      </c>
      <c r="EHO23" s="50" t="str">
        <f t="shared" si="56"/>
        <v/>
      </c>
      <c r="EHP23" s="50" t="str">
        <f t="shared" si="56"/>
        <v/>
      </c>
      <c r="EHQ23" s="50" t="str">
        <f t="shared" si="56"/>
        <v/>
      </c>
      <c r="EHR23" s="50" t="str">
        <f t="shared" si="56"/>
        <v/>
      </c>
      <c r="EHS23" s="50" t="str">
        <f t="shared" si="56"/>
        <v/>
      </c>
      <c r="EHT23" s="50" t="str">
        <f t="shared" si="56"/>
        <v/>
      </c>
      <c r="EHU23" s="50" t="str">
        <f t="shared" si="56"/>
        <v/>
      </c>
      <c r="EHV23" s="50" t="str">
        <f t="shared" si="56"/>
        <v/>
      </c>
      <c r="EHW23" s="50" t="str">
        <f t="shared" si="56"/>
        <v/>
      </c>
      <c r="EHX23" s="50" t="str">
        <f t="shared" si="56"/>
        <v/>
      </c>
      <c r="EHY23" s="50" t="str">
        <f t="shared" si="56"/>
        <v/>
      </c>
      <c r="EHZ23" s="50" t="str">
        <f t="shared" si="56"/>
        <v/>
      </c>
      <c r="EIA23" s="50" t="str">
        <f t="shared" si="56"/>
        <v/>
      </c>
      <c r="EIB23" s="50" t="str">
        <f t="shared" si="56"/>
        <v/>
      </c>
      <c r="EIC23" s="50" t="str">
        <f t="shared" si="56"/>
        <v/>
      </c>
      <c r="EID23" s="50" t="str">
        <f t="shared" si="56"/>
        <v/>
      </c>
      <c r="EIE23" s="50" t="str">
        <f t="shared" si="56"/>
        <v/>
      </c>
      <c r="EIF23" s="50" t="str">
        <f t="shared" si="56"/>
        <v/>
      </c>
      <c r="EIG23" s="50" t="str">
        <f t="shared" si="56"/>
        <v/>
      </c>
      <c r="EIH23" s="50" t="str">
        <f t="shared" si="56"/>
        <v/>
      </c>
      <c r="EII23" s="50" t="str">
        <f t="shared" si="56"/>
        <v/>
      </c>
      <c r="EIJ23" s="50" t="str">
        <f t="shared" si="56"/>
        <v/>
      </c>
      <c r="EIK23" s="50" t="str">
        <f t="shared" si="56"/>
        <v/>
      </c>
      <c r="EIL23" s="50" t="str">
        <f t="shared" si="56"/>
        <v/>
      </c>
      <c r="EIM23" s="50" t="str">
        <f t="shared" si="56"/>
        <v/>
      </c>
      <c r="EIN23" s="50" t="str">
        <f t="shared" si="56"/>
        <v/>
      </c>
      <c r="EIO23" s="50" t="str">
        <f t="shared" si="56"/>
        <v/>
      </c>
      <c r="EIP23" s="50" t="str">
        <f t="shared" si="56"/>
        <v/>
      </c>
      <c r="EIQ23" s="50" t="str">
        <f t="shared" si="56"/>
        <v/>
      </c>
      <c r="EIR23" s="50" t="str">
        <f t="shared" si="56"/>
        <v/>
      </c>
      <c r="EIS23" s="50" t="str">
        <f t="shared" ref="EIS23:ELD23" si="57">IFERROR(IF(EIR23+TIME(1,0,0)&lt;=$G$12,EIR23+TIME(1,0,0),""),"")</f>
        <v/>
      </c>
      <c r="EIT23" s="50" t="str">
        <f t="shared" si="57"/>
        <v/>
      </c>
      <c r="EIU23" s="50" t="str">
        <f t="shared" si="57"/>
        <v/>
      </c>
      <c r="EIV23" s="50" t="str">
        <f t="shared" si="57"/>
        <v/>
      </c>
      <c r="EIW23" s="50" t="str">
        <f t="shared" si="57"/>
        <v/>
      </c>
      <c r="EIX23" s="50" t="str">
        <f t="shared" si="57"/>
        <v/>
      </c>
      <c r="EIY23" s="50" t="str">
        <f t="shared" si="57"/>
        <v/>
      </c>
      <c r="EIZ23" s="50" t="str">
        <f t="shared" si="57"/>
        <v/>
      </c>
      <c r="EJA23" s="50" t="str">
        <f t="shared" si="57"/>
        <v/>
      </c>
      <c r="EJB23" s="50" t="str">
        <f t="shared" si="57"/>
        <v/>
      </c>
      <c r="EJC23" s="50" t="str">
        <f t="shared" si="57"/>
        <v/>
      </c>
      <c r="EJD23" s="50" t="str">
        <f t="shared" si="57"/>
        <v/>
      </c>
      <c r="EJE23" s="50" t="str">
        <f t="shared" si="57"/>
        <v/>
      </c>
      <c r="EJF23" s="50" t="str">
        <f t="shared" si="57"/>
        <v/>
      </c>
      <c r="EJG23" s="50" t="str">
        <f t="shared" si="57"/>
        <v/>
      </c>
      <c r="EJH23" s="50" t="str">
        <f t="shared" si="57"/>
        <v/>
      </c>
      <c r="EJI23" s="50" t="str">
        <f t="shared" si="57"/>
        <v/>
      </c>
      <c r="EJJ23" s="50" t="str">
        <f t="shared" si="57"/>
        <v/>
      </c>
      <c r="EJK23" s="50" t="str">
        <f t="shared" si="57"/>
        <v/>
      </c>
      <c r="EJL23" s="50" t="str">
        <f t="shared" si="57"/>
        <v/>
      </c>
      <c r="EJM23" s="50" t="str">
        <f t="shared" si="57"/>
        <v/>
      </c>
      <c r="EJN23" s="50" t="str">
        <f t="shared" si="57"/>
        <v/>
      </c>
      <c r="EJO23" s="50" t="str">
        <f t="shared" si="57"/>
        <v/>
      </c>
      <c r="EJP23" s="50" t="str">
        <f t="shared" si="57"/>
        <v/>
      </c>
      <c r="EJQ23" s="50" t="str">
        <f t="shared" si="57"/>
        <v/>
      </c>
      <c r="EJR23" s="50" t="str">
        <f t="shared" si="57"/>
        <v/>
      </c>
      <c r="EJS23" s="50" t="str">
        <f t="shared" si="57"/>
        <v/>
      </c>
      <c r="EJT23" s="50" t="str">
        <f t="shared" si="57"/>
        <v/>
      </c>
      <c r="EJU23" s="50" t="str">
        <f t="shared" si="57"/>
        <v/>
      </c>
      <c r="EJV23" s="50" t="str">
        <f t="shared" si="57"/>
        <v/>
      </c>
      <c r="EJW23" s="50" t="str">
        <f t="shared" si="57"/>
        <v/>
      </c>
      <c r="EJX23" s="50" t="str">
        <f t="shared" si="57"/>
        <v/>
      </c>
      <c r="EJY23" s="50" t="str">
        <f t="shared" si="57"/>
        <v/>
      </c>
      <c r="EJZ23" s="50" t="str">
        <f t="shared" si="57"/>
        <v/>
      </c>
      <c r="EKA23" s="50" t="str">
        <f t="shared" si="57"/>
        <v/>
      </c>
      <c r="EKB23" s="50" t="str">
        <f t="shared" si="57"/>
        <v/>
      </c>
      <c r="EKC23" s="50" t="str">
        <f t="shared" si="57"/>
        <v/>
      </c>
      <c r="EKD23" s="50" t="str">
        <f t="shared" si="57"/>
        <v/>
      </c>
      <c r="EKE23" s="50" t="str">
        <f t="shared" si="57"/>
        <v/>
      </c>
      <c r="EKF23" s="50" t="str">
        <f t="shared" si="57"/>
        <v/>
      </c>
      <c r="EKG23" s="50" t="str">
        <f t="shared" si="57"/>
        <v/>
      </c>
      <c r="EKH23" s="50" t="str">
        <f t="shared" si="57"/>
        <v/>
      </c>
      <c r="EKI23" s="50" t="str">
        <f t="shared" si="57"/>
        <v/>
      </c>
      <c r="EKJ23" s="50" t="str">
        <f t="shared" si="57"/>
        <v/>
      </c>
      <c r="EKK23" s="50" t="str">
        <f t="shared" si="57"/>
        <v/>
      </c>
      <c r="EKL23" s="50" t="str">
        <f t="shared" si="57"/>
        <v/>
      </c>
      <c r="EKM23" s="50" t="str">
        <f t="shared" si="57"/>
        <v/>
      </c>
      <c r="EKN23" s="50" t="str">
        <f t="shared" si="57"/>
        <v/>
      </c>
      <c r="EKO23" s="50" t="str">
        <f t="shared" si="57"/>
        <v/>
      </c>
      <c r="EKP23" s="50" t="str">
        <f t="shared" si="57"/>
        <v/>
      </c>
      <c r="EKQ23" s="50" t="str">
        <f t="shared" si="57"/>
        <v/>
      </c>
      <c r="EKR23" s="50" t="str">
        <f t="shared" si="57"/>
        <v/>
      </c>
      <c r="EKS23" s="50" t="str">
        <f t="shared" si="57"/>
        <v/>
      </c>
      <c r="EKT23" s="50" t="str">
        <f t="shared" si="57"/>
        <v/>
      </c>
      <c r="EKU23" s="50" t="str">
        <f t="shared" si="57"/>
        <v/>
      </c>
      <c r="EKV23" s="50" t="str">
        <f t="shared" si="57"/>
        <v/>
      </c>
      <c r="EKW23" s="50" t="str">
        <f t="shared" si="57"/>
        <v/>
      </c>
      <c r="EKX23" s="50" t="str">
        <f t="shared" si="57"/>
        <v/>
      </c>
      <c r="EKY23" s="50" t="str">
        <f t="shared" si="57"/>
        <v/>
      </c>
      <c r="EKZ23" s="50" t="str">
        <f t="shared" si="57"/>
        <v/>
      </c>
      <c r="ELA23" s="50" t="str">
        <f t="shared" si="57"/>
        <v/>
      </c>
      <c r="ELB23" s="50" t="str">
        <f t="shared" si="57"/>
        <v/>
      </c>
      <c r="ELC23" s="50" t="str">
        <f t="shared" si="57"/>
        <v/>
      </c>
      <c r="ELD23" s="50" t="str">
        <f t="shared" si="57"/>
        <v/>
      </c>
      <c r="ELE23" s="50" t="str">
        <f t="shared" ref="ELE23:ENP23" si="58">IFERROR(IF(ELD23+TIME(1,0,0)&lt;=$G$12,ELD23+TIME(1,0,0),""),"")</f>
        <v/>
      </c>
      <c r="ELF23" s="50" t="str">
        <f t="shared" si="58"/>
        <v/>
      </c>
      <c r="ELG23" s="50" t="str">
        <f t="shared" si="58"/>
        <v/>
      </c>
      <c r="ELH23" s="50" t="str">
        <f t="shared" si="58"/>
        <v/>
      </c>
      <c r="ELI23" s="50" t="str">
        <f t="shared" si="58"/>
        <v/>
      </c>
      <c r="ELJ23" s="50" t="str">
        <f t="shared" si="58"/>
        <v/>
      </c>
      <c r="ELK23" s="50" t="str">
        <f t="shared" si="58"/>
        <v/>
      </c>
      <c r="ELL23" s="50" t="str">
        <f t="shared" si="58"/>
        <v/>
      </c>
      <c r="ELM23" s="50" t="str">
        <f t="shared" si="58"/>
        <v/>
      </c>
      <c r="ELN23" s="50" t="str">
        <f t="shared" si="58"/>
        <v/>
      </c>
      <c r="ELO23" s="50" t="str">
        <f t="shared" si="58"/>
        <v/>
      </c>
      <c r="ELP23" s="50" t="str">
        <f t="shared" si="58"/>
        <v/>
      </c>
      <c r="ELQ23" s="50" t="str">
        <f t="shared" si="58"/>
        <v/>
      </c>
      <c r="ELR23" s="50" t="str">
        <f t="shared" si="58"/>
        <v/>
      </c>
      <c r="ELS23" s="50" t="str">
        <f t="shared" si="58"/>
        <v/>
      </c>
      <c r="ELT23" s="50" t="str">
        <f t="shared" si="58"/>
        <v/>
      </c>
      <c r="ELU23" s="50" t="str">
        <f t="shared" si="58"/>
        <v/>
      </c>
      <c r="ELV23" s="50" t="str">
        <f t="shared" si="58"/>
        <v/>
      </c>
      <c r="ELW23" s="50" t="str">
        <f t="shared" si="58"/>
        <v/>
      </c>
      <c r="ELX23" s="50" t="str">
        <f t="shared" si="58"/>
        <v/>
      </c>
      <c r="ELY23" s="50" t="str">
        <f t="shared" si="58"/>
        <v/>
      </c>
      <c r="ELZ23" s="50" t="str">
        <f t="shared" si="58"/>
        <v/>
      </c>
      <c r="EMA23" s="50" t="str">
        <f t="shared" si="58"/>
        <v/>
      </c>
      <c r="EMB23" s="50" t="str">
        <f t="shared" si="58"/>
        <v/>
      </c>
      <c r="EMC23" s="50" t="str">
        <f t="shared" si="58"/>
        <v/>
      </c>
      <c r="EMD23" s="50" t="str">
        <f t="shared" si="58"/>
        <v/>
      </c>
      <c r="EME23" s="50" t="str">
        <f t="shared" si="58"/>
        <v/>
      </c>
      <c r="EMF23" s="50" t="str">
        <f t="shared" si="58"/>
        <v/>
      </c>
      <c r="EMG23" s="50" t="str">
        <f t="shared" si="58"/>
        <v/>
      </c>
      <c r="EMH23" s="50" t="str">
        <f t="shared" si="58"/>
        <v/>
      </c>
      <c r="EMI23" s="50" t="str">
        <f t="shared" si="58"/>
        <v/>
      </c>
      <c r="EMJ23" s="50" t="str">
        <f t="shared" si="58"/>
        <v/>
      </c>
      <c r="EMK23" s="50" t="str">
        <f t="shared" si="58"/>
        <v/>
      </c>
      <c r="EML23" s="50" t="str">
        <f t="shared" si="58"/>
        <v/>
      </c>
      <c r="EMM23" s="50" t="str">
        <f t="shared" si="58"/>
        <v/>
      </c>
      <c r="EMN23" s="50" t="str">
        <f t="shared" si="58"/>
        <v/>
      </c>
      <c r="EMO23" s="50" t="str">
        <f t="shared" si="58"/>
        <v/>
      </c>
      <c r="EMP23" s="50" t="str">
        <f t="shared" si="58"/>
        <v/>
      </c>
      <c r="EMQ23" s="50" t="str">
        <f t="shared" si="58"/>
        <v/>
      </c>
      <c r="EMR23" s="50" t="str">
        <f t="shared" si="58"/>
        <v/>
      </c>
      <c r="EMS23" s="50" t="str">
        <f t="shared" si="58"/>
        <v/>
      </c>
      <c r="EMT23" s="50" t="str">
        <f t="shared" si="58"/>
        <v/>
      </c>
      <c r="EMU23" s="50" t="str">
        <f t="shared" si="58"/>
        <v/>
      </c>
      <c r="EMV23" s="50" t="str">
        <f t="shared" si="58"/>
        <v/>
      </c>
      <c r="EMW23" s="50" t="str">
        <f t="shared" si="58"/>
        <v/>
      </c>
      <c r="EMX23" s="50" t="str">
        <f t="shared" si="58"/>
        <v/>
      </c>
      <c r="EMY23" s="50" t="str">
        <f t="shared" si="58"/>
        <v/>
      </c>
      <c r="EMZ23" s="50" t="str">
        <f t="shared" si="58"/>
        <v/>
      </c>
      <c r="ENA23" s="50" t="str">
        <f t="shared" si="58"/>
        <v/>
      </c>
      <c r="ENB23" s="50" t="str">
        <f t="shared" si="58"/>
        <v/>
      </c>
      <c r="ENC23" s="50" t="str">
        <f t="shared" si="58"/>
        <v/>
      </c>
      <c r="END23" s="50" t="str">
        <f t="shared" si="58"/>
        <v/>
      </c>
      <c r="ENE23" s="50" t="str">
        <f t="shared" si="58"/>
        <v/>
      </c>
      <c r="ENF23" s="50" t="str">
        <f t="shared" si="58"/>
        <v/>
      </c>
      <c r="ENG23" s="50" t="str">
        <f t="shared" si="58"/>
        <v/>
      </c>
      <c r="ENH23" s="50" t="str">
        <f t="shared" si="58"/>
        <v/>
      </c>
      <c r="ENI23" s="50" t="str">
        <f t="shared" si="58"/>
        <v/>
      </c>
      <c r="ENJ23" s="50" t="str">
        <f t="shared" si="58"/>
        <v/>
      </c>
      <c r="ENK23" s="50" t="str">
        <f t="shared" si="58"/>
        <v/>
      </c>
      <c r="ENL23" s="50" t="str">
        <f t="shared" si="58"/>
        <v/>
      </c>
      <c r="ENM23" s="50" t="str">
        <f t="shared" si="58"/>
        <v/>
      </c>
      <c r="ENN23" s="50" t="str">
        <f t="shared" si="58"/>
        <v/>
      </c>
      <c r="ENO23" s="50" t="str">
        <f t="shared" si="58"/>
        <v/>
      </c>
      <c r="ENP23" s="50" t="str">
        <f t="shared" si="58"/>
        <v/>
      </c>
      <c r="ENQ23" s="50" t="str">
        <f t="shared" ref="ENQ23:EQB23" si="59">IFERROR(IF(ENP23+TIME(1,0,0)&lt;=$G$12,ENP23+TIME(1,0,0),""),"")</f>
        <v/>
      </c>
      <c r="ENR23" s="50" t="str">
        <f t="shared" si="59"/>
        <v/>
      </c>
      <c r="ENS23" s="50" t="str">
        <f t="shared" si="59"/>
        <v/>
      </c>
      <c r="ENT23" s="50" t="str">
        <f t="shared" si="59"/>
        <v/>
      </c>
      <c r="ENU23" s="50" t="str">
        <f t="shared" si="59"/>
        <v/>
      </c>
      <c r="ENV23" s="50" t="str">
        <f t="shared" si="59"/>
        <v/>
      </c>
      <c r="ENW23" s="50" t="str">
        <f t="shared" si="59"/>
        <v/>
      </c>
      <c r="ENX23" s="50" t="str">
        <f t="shared" si="59"/>
        <v/>
      </c>
      <c r="ENY23" s="50" t="str">
        <f t="shared" si="59"/>
        <v/>
      </c>
      <c r="ENZ23" s="50" t="str">
        <f t="shared" si="59"/>
        <v/>
      </c>
      <c r="EOA23" s="50" t="str">
        <f t="shared" si="59"/>
        <v/>
      </c>
      <c r="EOB23" s="50" t="str">
        <f t="shared" si="59"/>
        <v/>
      </c>
      <c r="EOC23" s="50" t="str">
        <f t="shared" si="59"/>
        <v/>
      </c>
      <c r="EOD23" s="50" t="str">
        <f t="shared" si="59"/>
        <v/>
      </c>
      <c r="EOE23" s="50" t="str">
        <f t="shared" si="59"/>
        <v/>
      </c>
      <c r="EOF23" s="50" t="str">
        <f t="shared" si="59"/>
        <v/>
      </c>
      <c r="EOG23" s="50" t="str">
        <f t="shared" si="59"/>
        <v/>
      </c>
      <c r="EOH23" s="50" t="str">
        <f t="shared" si="59"/>
        <v/>
      </c>
      <c r="EOI23" s="50" t="str">
        <f t="shared" si="59"/>
        <v/>
      </c>
      <c r="EOJ23" s="50" t="str">
        <f t="shared" si="59"/>
        <v/>
      </c>
      <c r="EOK23" s="50" t="str">
        <f t="shared" si="59"/>
        <v/>
      </c>
      <c r="EOL23" s="50" t="str">
        <f t="shared" si="59"/>
        <v/>
      </c>
      <c r="EOM23" s="50" t="str">
        <f t="shared" si="59"/>
        <v/>
      </c>
      <c r="EON23" s="50" t="str">
        <f t="shared" si="59"/>
        <v/>
      </c>
      <c r="EOO23" s="50" t="str">
        <f t="shared" si="59"/>
        <v/>
      </c>
      <c r="EOP23" s="50" t="str">
        <f t="shared" si="59"/>
        <v/>
      </c>
      <c r="EOQ23" s="50" t="str">
        <f t="shared" si="59"/>
        <v/>
      </c>
      <c r="EOR23" s="50" t="str">
        <f t="shared" si="59"/>
        <v/>
      </c>
      <c r="EOS23" s="50" t="str">
        <f t="shared" si="59"/>
        <v/>
      </c>
      <c r="EOT23" s="50" t="str">
        <f t="shared" si="59"/>
        <v/>
      </c>
      <c r="EOU23" s="50" t="str">
        <f t="shared" si="59"/>
        <v/>
      </c>
      <c r="EOV23" s="50" t="str">
        <f t="shared" si="59"/>
        <v/>
      </c>
      <c r="EOW23" s="50" t="str">
        <f t="shared" si="59"/>
        <v/>
      </c>
      <c r="EOX23" s="50" t="str">
        <f t="shared" si="59"/>
        <v/>
      </c>
      <c r="EOY23" s="50" t="str">
        <f t="shared" si="59"/>
        <v/>
      </c>
      <c r="EOZ23" s="50" t="str">
        <f t="shared" si="59"/>
        <v/>
      </c>
      <c r="EPA23" s="50" t="str">
        <f t="shared" si="59"/>
        <v/>
      </c>
      <c r="EPB23" s="50" t="str">
        <f t="shared" si="59"/>
        <v/>
      </c>
      <c r="EPC23" s="50" t="str">
        <f t="shared" si="59"/>
        <v/>
      </c>
      <c r="EPD23" s="50" t="str">
        <f t="shared" si="59"/>
        <v/>
      </c>
      <c r="EPE23" s="50" t="str">
        <f t="shared" si="59"/>
        <v/>
      </c>
      <c r="EPF23" s="50" t="str">
        <f t="shared" si="59"/>
        <v/>
      </c>
      <c r="EPG23" s="50" t="str">
        <f t="shared" si="59"/>
        <v/>
      </c>
      <c r="EPH23" s="50" t="str">
        <f t="shared" si="59"/>
        <v/>
      </c>
      <c r="EPI23" s="50" t="str">
        <f t="shared" si="59"/>
        <v/>
      </c>
      <c r="EPJ23" s="50" t="str">
        <f t="shared" si="59"/>
        <v/>
      </c>
      <c r="EPK23" s="50" t="str">
        <f t="shared" si="59"/>
        <v/>
      </c>
      <c r="EPL23" s="50" t="str">
        <f t="shared" si="59"/>
        <v/>
      </c>
      <c r="EPM23" s="50" t="str">
        <f t="shared" si="59"/>
        <v/>
      </c>
      <c r="EPN23" s="50" t="str">
        <f t="shared" si="59"/>
        <v/>
      </c>
      <c r="EPO23" s="50" t="str">
        <f t="shared" si="59"/>
        <v/>
      </c>
      <c r="EPP23" s="50" t="str">
        <f t="shared" si="59"/>
        <v/>
      </c>
      <c r="EPQ23" s="50" t="str">
        <f t="shared" si="59"/>
        <v/>
      </c>
      <c r="EPR23" s="50" t="str">
        <f t="shared" si="59"/>
        <v/>
      </c>
      <c r="EPS23" s="50" t="str">
        <f t="shared" si="59"/>
        <v/>
      </c>
      <c r="EPT23" s="50" t="str">
        <f t="shared" si="59"/>
        <v/>
      </c>
      <c r="EPU23" s="50" t="str">
        <f t="shared" si="59"/>
        <v/>
      </c>
      <c r="EPV23" s="50" t="str">
        <f t="shared" si="59"/>
        <v/>
      </c>
      <c r="EPW23" s="50" t="str">
        <f t="shared" si="59"/>
        <v/>
      </c>
      <c r="EPX23" s="50" t="str">
        <f t="shared" si="59"/>
        <v/>
      </c>
      <c r="EPY23" s="50" t="str">
        <f t="shared" si="59"/>
        <v/>
      </c>
      <c r="EPZ23" s="50" t="str">
        <f t="shared" si="59"/>
        <v/>
      </c>
      <c r="EQA23" s="50" t="str">
        <f t="shared" si="59"/>
        <v/>
      </c>
      <c r="EQB23" s="50" t="str">
        <f t="shared" si="59"/>
        <v/>
      </c>
      <c r="EQC23" s="50" t="str">
        <f t="shared" ref="EQC23:ESN23" si="60">IFERROR(IF(EQB23+TIME(1,0,0)&lt;=$G$12,EQB23+TIME(1,0,0),""),"")</f>
        <v/>
      </c>
      <c r="EQD23" s="50" t="str">
        <f t="shared" si="60"/>
        <v/>
      </c>
      <c r="EQE23" s="50" t="str">
        <f t="shared" si="60"/>
        <v/>
      </c>
      <c r="EQF23" s="50" t="str">
        <f t="shared" si="60"/>
        <v/>
      </c>
      <c r="EQG23" s="50" t="str">
        <f t="shared" si="60"/>
        <v/>
      </c>
      <c r="EQH23" s="50" t="str">
        <f t="shared" si="60"/>
        <v/>
      </c>
      <c r="EQI23" s="50" t="str">
        <f t="shared" si="60"/>
        <v/>
      </c>
      <c r="EQJ23" s="50" t="str">
        <f t="shared" si="60"/>
        <v/>
      </c>
      <c r="EQK23" s="50" t="str">
        <f t="shared" si="60"/>
        <v/>
      </c>
      <c r="EQL23" s="50" t="str">
        <f t="shared" si="60"/>
        <v/>
      </c>
      <c r="EQM23" s="50" t="str">
        <f t="shared" si="60"/>
        <v/>
      </c>
      <c r="EQN23" s="50" t="str">
        <f t="shared" si="60"/>
        <v/>
      </c>
      <c r="EQO23" s="50" t="str">
        <f t="shared" si="60"/>
        <v/>
      </c>
      <c r="EQP23" s="50" t="str">
        <f t="shared" si="60"/>
        <v/>
      </c>
      <c r="EQQ23" s="50" t="str">
        <f t="shared" si="60"/>
        <v/>
      </c>
      <c r="EQR23" s="50" t="str">
        <f t="shared" si="60"/>
        <v/>
      </c>
      <c r="EQS23" s="50" t="str">
        <f t="shared" si="60"/>
        <v/>
      </c>
      <c r="EQT23" s="50" t="str">
        <f t="shared" si="60"/>
        <v/>
      </c>
      <c r="EQU23" s="50" t="str">
        <f t="shared" si="60"/>
        <v/>
      </c>
      <c r="EQV23" s="50" t="str">
        <f t="shared" si="60"/>
        <v/>
      </c>
      <c r="EQW23" s="50" t="str">
        <f t="shared" si="60"/>
        <v/>
      </c>
      <c r="EQX23" s="50" t="str">
        <f t="shared" si="60"/>
        <v/>
      </c>
      <c r="EQY23" s="50" t="str">
        <f t="shared" si="60"/>
        <v/>
      </c>
      <c r="EQZ23" s="50" t="str">
        <f t="shared" si="60"/>
        <v/>
      </c>
      <c r="ERA23" s="50" t="str">
        <f t="shared" si="60"/>
        <v/>
      </c>
      <c r="ERB23" s="50" t="str">
        <f t="shared" si="60"/>
        <v/>
      </c>
      <c r="ERC23" s="50" t="str">
        <f t="shared" si="60"/>
        <v/>
      </c>
      <c r="ERD23" s="50" t="str">
        <f t="shared" si="60"/>
        <v/>
      </c>
      <c r="ERE23" s="50" t="str">
        <f t="shared" si="60"/>
        <v/>
      </c>
      <c r="ERF23" s="50" t="str">
        <f t="shared" si="60"/>
        <v/>
      </c>
      <c r="ERG23" s="50" t="str">
        <f t="shared" si="60"/>
        <v/>
      </c>
      <c r="ERH23" s="50" t="str">
        <f t="shared" si="60"/>
        <v/>
      </c>
      <c r="ERI23" s="50" t="str">
        <f t="shared" si="60"/>
        <v/>
      </c>
      <c r="ERJ23" s="50" t="str">
        <f t="shared" si="60"/>
        <v/>
      </c>
      <c r="ERK23" s="50" t="str">
        <f t="shared" si="60"/>
        <v/>
      </c>
      <c r="ERL23" s="50" t="str">
        <f t="shared" si="60"/>
        <v/>
      </c>
      <c r="ERM23" s="50" t="str">
        <f t="shared" si="60"/>
        <v/>
      </c>
      <c r="ERN23" s="50" t="str">
        <f t="shared" si="60"/>
        <v/>
      </c>
      <c r="ERO23" s="50" t="str">
        <f t="shared" si="60"/>
        <v/>
      </c>
      <c r="ERP23" s="50" t="str">
        <f t="shared" si="60"/>
        <v/>
      </c>
      <c r="ERQ23" s="50" t="str">
        <f t="shared" si="60"/>
        <v/>
      </c>
      <c r="ERR23" s="50" t="str">
        <f t="shared" si="60"/>
        <v/>
      </c>
      <c r="ERS23" s="50" t="str">
        <f t="shared" si="60"/>
        <v/>
      </c>
      <c r="ERT23" s="50" t="str">
        <f t="shared" si="60"/>
        <v/>
      </c>
      <c r="ERU23" s="50" t="str">
        <f t="shared" si="60"/>
        <v/>
      </c>
      <c r="ERV23" s="50" t="str">
        <f t="shared" si="60"/>
        <v/>
      </c>
      <c r="ERW23" s="50" t="str">
        <f t="shared" si="60"/>
        <v/>
      </c>
      <c r="ERX23" s="50" t="str">
        <f t="shared" si="60"/>
        <v/>
      </c>
      <c r="ERY23" s="50" t="str">
        <f t="shared" si="60"/>
        <v/>
      </c>
      <c r="ERZ23" s="50" t="str">
        <f t="shared" si="60"/>
        <v/>
      </c>
      <c r="ESA23" s="50" t="str">
        <f t="shared" si="60"/>
        <v/>
      </c>
      <c r="ESB23" s="50" t="str">
        <f t="shared" si="60"/>
        <v/>
      </c>
      <c r="ESC23" s="50" t="str">
        <f t="shared" si="60"/>
        <v/>
      </c>
      <c r="ESD23" s="50" t="str">
        <f t="shared" si="60"/>
        <v/>
      </c>
      <c r="ESE23" s="50" t="str">
        <f t="shared" si="60"/>
        <v/>
      </c>
      <c r="ESF23" s="50" t="str">
        <f t="shared" si="60"/>
        <v/>
      </c>
      <c r="ESG23" s="50" t="str">
        <f t="shared" si="60"/>
        <v/>
      </c>
      <c r="ESH23" s="50" t="str">
        <f t="shared" si="60"/>
        <v/>
      </c>
      <c r="ESI23" s="50" t="str">
        <f t="shared" si="60"/>
        <v/>
      </c>
      <c r="ESJ23" s="50" t="str">
        <f t="shared" si="60"/>
        <v/>
      </c>
      <c r="ESK23" s="50" t="str">
        <f t="shared" si="60"/>
        <v/>
      </c>
      <c r="ESL23" s="50" t="str">
        <f t="shared" si="60"/>
        <v/>
      </c>
      <c r="ESM23" s="50" t="str">
        <f t="shared" si="60"/>
        <v/>
      </c>
      <c r="ESN23" s="50" t="str">
        <f t="shared" si="60"/>
        <v/>
      </c>
      <c r="ESO23" s="50" t="str">
        <f t="shared" ref="ESO23:EUZ23" si="61">IFERROR(IF(ESN23+TIME(1,0,0)&lt;=$G$12,ESN23+TIME(1,0,0),""),"")</f>
        <v/>
      </c>
      <c r="ESP23" s="50" t="str">
        <f t="shared" si="61"/>
        <v/>
      </c>
      <c r="ESQ23" s="50" t="str">
        <f t="shared" si="61"/>
        <v/>
      </c>
      <c r="ESR23" s="50" t="str">
        <f t="shared" si="61"/>
        <v/>
      </c>
      <c r="ESS23" s="50" t="str">
        <f t="shared" si="61"/>
        <v/>
      </c>
      <c r="EST23" s="50" t="str">
        <f t="shared" si="61"/>
        <v/>
      </c>
      <c r="ESU23" s="50" t="str">
        <f t="shared" si="61"/>
        <v/>
      </c>
      <c r="ESV23" s="50" t="str">
        <f t="shared" si="61"/>
        <v/>
      </c>
      <c r="ESW23" s="50" t="str">
        <f t="shared" si="61"/>
        <v/>
      </c>
      <c r="ESX23" s="50" t="str">
        <f t="shared" si="61"/>
        <v/>
      </c>
      <c r="ESY23" s="50" t="str">
        <f t="shared" si="61"/>
        <v/>
      </c>
      <c r="ESZ23" s="50" t="str">
        <f t="shared" si="61"/>
        <v/>
      </c>
      <c r="ETA23" s="50" t="str">
        <f t="shared" si="61"/>
        <v/>
      </c>
      <c r="ETB23" s="50" t="str">
        <f t="shared" si="61"/>
        <v/>
      </c>
      <c r="ETC23" s="50" t="str">
        <f t="shared" si="61"/>
        <v/>
      </c>
      <c r="ETD23" s="50" t="str">
        <f t="shared" si="61"/>
        <v/>
      </c>
      <c r="ETE23" s="50" t="str">
        <f t="shared" si="61"/>
        <v/>
      </c>
      <c r="ETF23" s="50" t="str">
        <f t="shared" si="61"/>
        <v/>
      </c>
      <c r="ETG23" s="50" t="str">
        <f t="shared" si="61"/>
        <v/>
      </c>
      <c r="ETH23" s="50" t="str">
        <f t="shared" si="61"/>
        <v/>
      </c>
      <c r="ETI23" s="50" t="str">
        <f t="shared" si="61"/>
        <v/>
      </c>
      <c r="ETJ23" s="50" t="str">
        <f t="shared" si="61"/>
        <v/>
      </c>
      <c r="ETK23" s="50" t="str">
        <f t="shared" si="61"/>
        <v/>
      </c>
      <c r="ETL23" s="50" t="str">
        <f t="shared" si="61"/>
        <v/>
      </c>
      <c r="ETM23" s="50" t="str">
        <f t="shared" si="61"/>
        <v/>
      </c>
      <c r="ETN23" s="50" t="str">
        <f t="shared" si="61"/>
        <v/>
      </c>
      <c r="ETO23" s="50" t="str">
        <f t="shared" si="61"/>
        <v/>
      </c>
      <c r="ETP23" s="50" t="str">
        <f t="shared" si="61"/>
        <v/>
      </c>
      <c r="ETQ23" s="50" t="str">
        <f t="shared" si="61"/>
        <v/>
      </c>
      <c r="ETR23" s="50" t="str">
        <f t="shared" si="61"/>
        <v/>
      </c>
      <c r="ETS23" s="50" t="str">
        <f t="shared" si="61"/>
        <v/>
      </c>
      <c r="ETT23" s="50" t="str">
        <f t="shared" si="61"/>
        <v/>
      </c>
      <c r="ETU23" s="50" t="str">
        <f t="shared" si="61"/>
        <v/>
      </c>
      <c r="ETV23" s="50" t="str">
        <f t="shared" si="61"/>
        <v/>
      </c>
      <c r="ETW23" s="50" t="str">
        <f t="shared" si="61"/>
        <v/>
      </c>
      <c r="ETX23" s="50" t="str">
        <f t="shared" si="61"/>
        <v/>
      </c>
      <c r="ETY23" s="50" t="str">
        <f t="shared" si="61"/>
        <v/>
      </c>
      <c r="ETZ23" s="50" t="str">
        <f t="shared" si="61"/>
        <v/>
      </c>
      <c r="EUA23" s="50" t="str">
        <f t="shared" si="61"/>
        <v/>
      </c>
      <c r="EUB23" s="50" t="str">
        <f t="shared" si="61"/>
        <v/>
      </c>
      <c r="EUC23" s="50" t="str">
        <f t="shared" si="61"/>
        <v/>
      </c>
      <c r="EUD23" s="50" t="str">
        <f t="shared" si="61"/>
        <v/>
      </c>
      <c r="EUE23" s="50" t="str">
        <f t="shared" si="61"/>
        <v/>
      </c>
      <c r="EUF23" s="50" t="str">
        <f t="shared" si="61"/>
        <v/>
      </c>
      <c r="EUG23" s="50" t="str">
        <f t="shared" si="61"/>
        <v/>
      </c>
      <c r="EUH23" s="50" t="str">
        <f t="shared" si="61"/>
        <v/>
      </c>
      <c r="EUI23" s="50" t="str">
        <f t="shared" si="61"/>
        <v/>
      </c>
      <c r="EUJ23" s="50" t="str">
        <f t="shared" si="61"/>
        <v/>
      </c>
      <c r="EUK23" s="50" t="str">
        <f t="shared" si="61"/>
        <v/>
      </c>
      <c r="EUL23" s="50" t="str">
        <f t="shared" si="61"/>
        <v/>
      </c>
      <c r="EUM23" s="50" t="str">
        <f t="shared" si="61"/>
        <v/>
      </c>
      <c r="EUN23" s="50" t="str">
        <f t="shared" si="61"/>
        <v/>
      </c>
      <c r="EUO23" s="50" t="str">
        <f t="shared" si="61"/>
        <v/>
      </c>
      <c r="EUP23" s="50" t="str">
        <f t="shared" si="61"/>
        <v/>
      </c>
      <c r="EUQ23" s="50" t="str">
        <f t="shared" si="61"/>
        <v/>
      </c>
      <c r="EUR23" s="50" t="str">
        <f t="shared" si="61"/>
        <v/>
      </c>
      <c r="EUS23" s="50" t="str">
        <f t="shared" si="61"/>
        <v/>
      </c>
      <c r="EUT23" s="50" t="str">
        <f t="shared" si="61"/>
        <v/>
      </c>
      <c r="EUU23" s="50" t="str">
        <f t="shared" si="61"/>
        <v/>
      </c>
      <c r="EUV23" s="50" t="str">
        <f t="shared" si="61"/>
        <v/>
      </c>
      <c r="EUW23" s="50" t="str">
        <f t="shared" si="61"/>
        <v/>
      </c>
      <c r="EUX23" s="50" t="str">
        <f t="shared" si="61"/>
        <v/>
      </c>
      <c r="EUY23" s="50" t="str">
        <f t="shared" si="61"/>
        <v/>
      </c>
      <c r="EUZ23" s="50" t="str">
        <f t="shared" si="61"/>
        <v/>
      </c>
      <c r="EVA23" s="50" t="str">
        <f t="shared" ref="EVA23:EXL23" si="62">IFERROR(IF(EUZ23+TIME(1,0,0)&lt;=$G$12,EUZ23+TIME(1,0,0),""),"")</f>
        <v/>
      </c>
      <c r="EVB23" s="50" t="str">
        <f t="shared" si="62"/>
        <v/>
      </c>
      <c r="EVC23" s="50" t="str">
        <f t="shared" si="62"/>
        <v/>
      </c>
      <c r="EVD23" s="50" t="str">
        <f t="shared" si="62"/>
        <v/>
      </c>
      <c r="EVE23" s="50" t="str">
        <f t="shared" si="62"/>
        <v/>
      </c>
      <c r="EVF23" s="50" t="str">
        <f t="shared" si="62"/>
        <v/>
      </c>
      <c r="EVG23" s="50" t="str">
        <f t="shared" si="62"/>
        <v/>
      </c>
      <c r="EVH23" s="50" t="str">
        <f t="shared" si="62"/>
        <v/>
      </c>
      <c r="EVI23" s="50" t="str">
        <f t="shared" si="62"/>
        <v/>
      </c>
      <c r="EVJ23" s="50" t="str">
        <f t="shared" si="62"/>
        <v/>
      </c>
      <c r="EVK23" s="50" t="str">
        <f t="shared" si="62"/>
        <v/>
      </c>
      <c r="EVL23" s="50" t="str">
        <f t="shared" si="62"/>
        <v/>
      </c>
      <c r="EVM23" s="50" t="str">
        <f t="shared" si="62"/>
        <v/>
      </c>
      <c r="EVN23" s="50" t="str">
        <f t="shared" si="62"/>
        <v/>
      </c>
      <c r="EVO23" s="50" t="str">
        <f t="shared" si="62"/>
        <v/>
      </c>
      <c r="EVP23" s="50" t="str">
        <f t="shared" si="62"/>
        <v/>
      </c>
      <c r="EVQ23" s="50" t="str">
        <f t="shared" si="62"/>
        <v/>
      </c>
      <c r="EVR23" s="50" t="str">
        <f t="shared" si="62"/>
        <v/>
      </c>
      <c r="EVS23" s="50" t="str">
        <f t="shared" si="62"/>
        <v/>
      </c>
      <c r="EVT23" s="50" t="str">
        <f t="shared" si="62"/>
        <v/>
      </c>
      <c r="EVU23" s="50" t="str">
        <f t="shared" si="62"/>
        <v/>
      </c>
      <c r="EVV23" s="50" t="str">
        <f t="shared" si="62"/>
        <v/>
      </c>
      <c r="EVW23" s="50" t="str">
        <f t="shared" si="62"/>
        <v/>
      </c>
      <c r="EVX23" s="50" t="str">
        <f t="shared" si="62"/>
        <v/>
      </c>
      <c r="EVY23" s="50" t="str">
        <f t="shared" si="62"/>
        <v/>
      </c>
      <c r="EVZ23" s="50" t="str">
        <f t="shared" si="62"/>
        <v/>
      </c>
      <c r="EWA23" s="50" t="str">
        <f t="shared" si="62"/>
        <v/>
      </c>
      <c r="EWB23" s="50" t="str">
        <f t="shared" si="62"/>
        <v/>
      </c>
      <c r="EWC23" s="50" t="str">
        <f t="shared" si="62"/>
        <v/>
      </c>
      <c r="EWD23" s="50" t="str">
        <f t="shared" si="62"/>
        <v/>
      </c>
      <c r="EWE23" s="50" t="str">
        <f t="shared" si="62"/>
        <v/>
      </c>
      <c r="EWF23" s="50" t="str">
        <f t="shared" si="62"/>
        <v/>
      </c>
      <c r="EWG23" s="50" t="str">
        <f t="shared" si="62"/>
        <v/>
      </c>
      <c r="EWH23" s="50" t="str">
        <f t="shared" si="62"/>
        <v/>
      </c>
      <c r="EWI23" s="50" t="str">
        <f t="shared" si="62"/>
        <v/>
      </c>
      <c r="EWJ23" s="50" t="str">
        <f t="shared" si="62"/>
        <v/>
      </c>
      <c r="EWK23" s="50" t="str">
        <f t="shared" si="62"/>
        <v/>
      </c>
      <c r="EWL23" s="50" t="str">
        <f t="shared" si="62"/>
        <v/>
      </c>
      <c r="EWM23" s="50" t="str">
        <f t="shared" si="62"/>
        <v/>
      </c>
      <c r="EWN23" s="50" t="str">
        <f t="shared" si="62"/>
        <v/>
      </c>
      <c r="EWO23" s="50" t="str">
        <f t="shared" si="62"/>
        <v/>
      </c>
      <c r="EWP23" s="50" t="str">
        <f t="shared" si="62"/>
        <v/>
      </c>
      <c r="EWQ23" s="50" t="str">
        <f t="shared" si="62"/>
        <v/>
      </c>
      <c r="EWR23" s="50" t="str">
        <f t="shared" si="62"/>
        <v/>
      </c>
      <c r="EWS23" s="50" t="str">
        <f t="shared" si="62"/>
        <v/>
      </c>
      <c r="EWT23" s="50" t="str">
        <f t="shared" si="62"/>
        <v/>
      </c>
      <c r="EWU23" s="50" t="str">
        <f t="shared" si="62"/>
        <v/>
      </c>
      <c r="EWV23" s="50" t="str">
        <f t="shared" si="62"/>
        <v/>
      </c>
      <c r="EWW23" s="50" t="str">
        <f t="shared" si="62"/>
        <v/>
      </c>
      <c r="EWX23" s="50" t="str">
        <f t="shared" si="62"/>
        <v/>
      </c>
      <c r="EWY23" s="50" t="str">
        <f t="shared" si="62"/>
        <v/>
      </c>
      <c r="EWZ23" s="50" t="str">
        <f t="shared" si="62"/>
        <v/>
      </c>
      <c r="EXA23" s="50" t="str">
        <f t="shared" si="62"/>
        <v/>
      </c>
      <c r="EXB23" s="50" t="str">
        <f t="shared" si="62"/>
        <v/>
      </c>
      <c r="EXC23" s="50" t="str">
        <f t="shared" si="62"/>
        <v/>
      </c>
      <c r="EXD23" s="50" t="str">
        <f t="shared" si="62"/>
        <v/>
      </c>
      <c r="EXE23" s="50" t="str">
        <f t="shared" si="62"/>
        <v/>
      </c>
      <c r="EXF23" s="50" t="str">
        <f t="shared" si="62"/>
        <v/>
      </c>
      <c r="EXG23" s="50" t="str">
        <f t="shared" si="62"/>
        <v/>
      </c>
      <c r="EXH23" s="50" t="str">
        <f t="shared" si="62"/>
        <v/>
      </c>
      <c r="EXI23" s="50" t="str">
        <f t="shared" si="62"/>
        <v/>
      </c>
      <c r="EXJ23" s="50" t="str">
        <f t="shared" si="62"/>
        <v/>
      </c>
      <c r="EXK23" s="50" t="str">
        <f t="shared" si="62"/>
        <v/>
      </c>
      <c r="EXL23" s="50" t="str">
        <f t="shared" si="62"/>
        <v/>
      </c>
      <c r="EXM23" s="50" t="str">
        <f t="shared" ref="EXM23:EZX23" si="63">IFERROR(IF(EXL23+TIME(1,0,0)&lt;=$G$12,EXL23+TIME(1,0,0),""),"")</f>
        <v/>
      </c>
      <c r="EXN23" s="50" t="str">
        <f t="shared" si="63"/>
        <v/>
      </c>
      <c r="EXO23" s="50" t="str">
        <f t="shared" si="63"/>
        <v/>
      </c>
      <c r="EXP23" s="50" t="str">
        <f t="shared" si="63"/>
        <v/>
      </c>
      <c r="EXQ23" s="50" t="str">
        <f t="shared" si="63"/>
        <v/>
      </c>
      <c r="EXR23" s="50" t="str">
        <f t="shared" si="63"/>
        <v/>
      </c>
      <c r="EXS23" s="50" t="str">
        <f t="shared" si="63"/>
        <v/>
      </c>
      <c r="EXT23" s="50" t="str">
        <f t="shared" si="63"/>
        <v/>
      </c>
      <c r="EXU23" s="50" t="str">
        <f t="shared" si="63"/>
        <v/>
      </c>
      <c r="EXV23" s="50" t="str">
        <f t="shared" si="63"/>
        <v/>
      </c>
      <c r="EXW23" s="50" t="str">
        <f t="shared" si="63"/>
        <v/>
      </c>
      <c r="EXX23" s="50" t="str">
        <f t="shared" si="63"/>
        <v/>
      </c>
      <c r="EXY23" s="50" t="str">
        <f t="shared" si="63"/>
        <v/>
      </c>
      <c r="EXZ23" s="50" t="str">
        <f t="shared" si="63"/>
        <v/>
      </c>
      <c r="EYA23" s="50" t="str">
        <f t="shared" si="63"/>
        <v/>
      </c>
      <c r="EYB23" s="50" t="str">
        <f t="shared" si="63"/>
        <v/>
      </c>
      <c r="EYC23" s="50" t="str">
        <f t="shared" si="63"/>
        <v/>
      </c>
      <c r="EYD23" s="50" t="str">
        <f t="shared" si="63"/>
        <v/>
      </c>
      <c r="EYE23" s="50" t="str">
        <f t="shared" si="63"/>
        <v/>
      </c>
      <c r="EYF23" s="50" t="str">
        <f t="shared" si="63"/>
        <v/>
      </c>
      <c r="EYG23" s="50" t="str">
        <f t="shared" si="63"/>
        <v/>
      </c>
      <c r="EYH23" s="50" t="str">
        <f t="shared" si="63"/>
        <v/>
      </c>
      <c r="EYI23" s="50" t="str">
        <f t="shared" si="63"/>
        <v/>
      </c>
      <c r="EYJ23" s="50" t="str">
        <f t="shared" si="63"/>
        <v/>
      </c>
      <c r="EYK23" s="50" t="str">
        <f t="shared" si="63"/>
        <v/>
      </c>
      <c r="EYL23" s="50" t="str">
        <f t="shared" si="63"/>
        <v/>
      </c>
      <c r="EYM23" s="50" t="str">
        <f t="shared" si="63"/>
        <v/>
      </c>
      <c r="EYN23" s="50" t="str">
        <f t="shared" si="63"/>
        <v/>
      </c>
      <c r="EYO23" s="50" t="str">
        <f t="shared" si="63"/>
        <v/>
      </c>
      <c r="EYP23" s="50" t="str">
        <f t="shared" si="63"/>
        <v/>
      </c>
      <c r="EYQ23" s="50" t="str">
        <f t="shared" si="63"/>
        <v/>
      </c>
      <c r="EYR23" s="50" t="str">
        <f t="shared" si="63"/>
        <v/>
      </c>
      <c r="EYS23" s="50" t="str">
        <f t="shared" si="63"/>
        <v/>
      </c>
      <c r="EYT23" s="50" t="str">
        <f t="shared" si="63"/>
        <v/>
      </c>
      <c r="EYU23" s="50" t="str">
        <f t="shared" si="63"/>
        <v/>
      </c>
      <c r="EYV23" s="50" t="str">
        <f t="shared" si="63"/>
        <v/>
      </c>
      <c r="EYW23" s="50" t="str">
        <f t="shared" si="63"/>
        <v/>
      </c>
      <c r="EYX23" s="50" t="str">
        <f t="shared" si="63"/>
        <v/>
      </c>
      <c r="EYY23" s="50" t="str">
        <f t="shared" si="63"/>
        <v/>
      </c>
      <c r="EYZ23" s="50" t="str">
        <f t="shared" si="63"/>
        <v/>
      </c>
      <c r="EZA23" s="50" t="str">
        <f t="shared" si="63"/>
        <v/>
      </c>
      <c r="EZB23" s="50" t="str">
        <f t="shared" si="63"/>
        <v/>
      </c>
      <c r="EZC23" s="50" t="str">
        <f t="shared" si="63"/>
        <v/>
      </c>
      <c r="EZD23" s="50" t="str">
        <f t="shared" si="63"/>
        <v/>
      </c>
      <c r="EZE23" s="50" t="str">
        <f t="shared" si="63"/>
        <v/>
      </c>
      <c r="EZF23" s="50" t="str">
        <f t="shared" si="63"/>
        <v/>
      </c>
      <c r="EZG23" s="50" t="str">
        <f t="shared" si="63"/>
        <v/>
      </c>
      <c r="EZH23" s="50" t="str">
        <f t="shared" si="63"/>
        <v/>
      </c>
      <c r="EZI23" s="50" t="str">
        <f t="shared" si="63"/>
        <v/>
      </c>
      <c r="EZJ23" s="50" t="str">
        <f t="shared" si="63"/>
        <v/>
      </c>
      <c r="EZK23" s="50" t="str">
        <f t="shared" si="63"/>
        <v/>
      </c>
      <c r="EZL23" s="50" t="str">
        <f t="shared" si="63"/>
        <v/>
      </c>
      <c r="EZM23" s="50" t="str">
        <f t="shared" si="63"/>
        <v/>
      </c>
      <c r="EZN23" s="50" t="str">
        <f t="shared" si="63"/>
        <v/>
      </c>
      <c r="EZO23" s="50" t="str">
        <f t="shared" si="63"/>
        <v/>
      </c>
      <c r="EZP23" s="50" t="str">
        <f t="shared" si="63"/>
        <v/>
      </c>
      <c r="EZQ23" s="50" t="str">
        <f t="shared" si="63"/>
        <v/>
      </c>
      <c r="EZR23" s="50" t="str">
        <f t="shared" si="63"/>
        <v/>
      </c>
      <c r="EZS23" s="50" t="str">
        <f t="shared" si="63"/>
        <v/>
      </c>
      <c r="EZT23" s="50" t="str">
        <f t="shared" si="63"/>
        <v/>
      </c>
      <c r="EZU23" s="50" t="str">
        <f t="shared" si="63"/>
        <v/>
      </c>
      <c r="EZV23" s="50" t="str">
        <f t="shared" si="63"/>
        <v/>
      </c>
      <c r="EZW23" s="50" t="str">
        <f t="shared" si="63"/>
        <v/>
      </c>
      <c r="EZX23" s="50" t="str">
        <f t="shared" si="63"/>
        <v/>
      </c>
      <c r="EZY23" s="50" t="str">
        <f t="shared" ref="EZY23:FCJ23" si="64">IFERROR(IF(EZX23+TIME(1,0,0)&lt;=$G$12,EZX23+TIME(1,0,0),""),"")</f>
        <v/>
      </c>
      <c r="EZZ23" s="50" t="str">
        <f t="shared" si="64"/>
        <v/>
      </c>
      <c r="FAA23" s="50" t="str">
        <f t="shared" si="64"/>
        <v/>
      </c>
      <c r="FAB23" s="50" t="str">
        <f t="shared" si="64"/>
        <v/>
      </c>
      <c r="FAC23" s="50" t="str">
        <f t="shared" si="64"/>
        <v/>
      </c>
      <c r="FAD23" s="50" t="str">
        <f t="shared" si="64"/>
        <v/>
      </c>
      <c r="FAE23" s="50" t="str">
        <f t="shared" si="64"/>
        <v/>
      </c>
      <c r="FAF23" s="50" t="str">
        <f t="shared" si="64"/>
        <v/>
      </c>
      <c r="FAG23" s="50" t="str">
        <f t="shared" si="64"/>
        <v/>
      </c>
      <c r="FAH23" s="50" t="str">
        <f t="shared" si="64"/>
        <v/>
      </c>
      <c r="FAI23" s="50" t="str">
        <f t="shared" si="64"/>
        <v/>
      </c>
      <c r="FAJ23" s="50" t="str">
        <f t="shared" si="64"/>
        <v/>
      </c>
      <c r="FAK23" s="50" t="str">
        <f t="shared" si="64"/>
        <v/>
      </c>
      <c r="FAL23" s="50" t="str">
        <f t="shared" si="64"/>
        <v/>
      </c>
      <c r="FAM23" s="50" t="str">
        <f t="shared" si="64"/>
        <v/>
      </c>
      <c r="FAN23" s="50" t="str">
        <f t="shared" si="64"/>
        <v/>
      </c>
      <c r="FAO23" s="50" t="str">
        <f t="shared" si="64"/>
        <v/>
      </c>
      <c r="FAP23" s="50" t="str">
        <f t="shared" si="64"/>
        <v/>
      </c>
      <c r="FAQ23" s="50" t="str">
        <f t="shared" si="64"/>
        <v/>
      </c>
      <c r="FAR23" s="50" t="str">
        <f t="shared" si="64"/>
        <v/>
      </c>
      <c r="FAS23" s="50" t="str">
        <f t="shared" si="64"/>
        <v/>
      </c>
      <c r="FAT23" s="50" t="str">
        <f t="shared" si="64"/>
        <v/>
      </c>
      <c r="FAU23" s="50" t="str">
        <f t="shared" si="64"/>
        <v/>
      </c>
      <c r="FAV23" s="50" t="str">
        <f t="shared" si="64"/>
        <v/>
      </c>
      <c r="FAW23" s="50" t="str">
        <f t="shared" si="64"/>
        <v/>
      </c>
      <c r="FAX23" s="50" t="str">
        <f t="shared" si="64"/>
        <v/>
      </c>
      <c r="FAY23" s="50" t="str">
        <f t="shared" si="64"/>
        <v/>
      </c>
      <c r="FAZ23" s="50" t="str">
        <f t="shared" si="64"/>
        <v/>
      </c>
      <c r="FBA23" s="50" t="str">
        <f t="shared" si="64"/>
        <v/>
      </c>
      <c r="FBB23" s="50" t="str">
        <f t="shared" si="64"/>
        <v/>
      </c>
      <c r="FBC23" s="50" t="str">
        <f t="shared" si="64"/>
        <v/>
      </c>
      <c r="FBD23" s="50" t="str">
        <f t="shared" si="64"/>
        <v/>
      </c>
      <c r="FBE23" s="50" t="str">
        <f t="shared" si="64"/>
        <v/>
      </c>
      <c r="FBF23" s="50" t="str">
        <f t="shared" si="64"/>
        <v/>
      </c>
      <c r="FBG23" s="50" t="str">
        <f t="shared" si="64"/>
        <v/>
      </c>
      <c r="FBH23" s="50" t="str">
        <f t="shared" si="64"/>
        <v/>
      </c>
      <c r="FBI23" s="50" t="str">
        <f t="shared" si="64"/>
        <v/>
      </c>
      <c r="FBJ23" s="50" t="str">
        <f t="shared" si="64"/>
        <v/>
      </c>
      <c r="FBK23" s="50" t="str">
        <f t="shared" si="64"/>
        <v/>
      </c>
      <c r="FBL23" s="50" t="str">
        <f t="shared" si="64"/>
        <v/>
      </c>
      <c r="FBM23" s="50" t="str">
        <f t="shared" si="64"/>
        <v/>
      </c>
      <c r="FBN23" s="50" t="str">
        <f t="shared" si="64"/>
        <v/>
      </c>
      <c r="FBO23" s="50" t="str">
        <f t="shared" si="64"/>
        <v/>
      </c>
      <c r="FBP23" s="50" t="str">
        <f t="shared" si="64"/>
        <v/>
      </c>
      <c r="FBQ23" s="50" t="str">
        <f t="shared" si="64"/>
        <v/>
      </c>
      <c r="FBR23" s="50" t="str">
        <f t="shared" si="64"/>
        <v/>
      </c>
      <c r="FBS23" s="50" t="str">
        <f t="shared" si="64"/>
        <v/>
      </c>
      <c r="FBT23" s="50" t="str">
        <f t="shared" si="64"/>
        <v/>
      </c>
      <c r="FBU23" s="50" t="str">
        <f t="shared" si="64"/>
        <v/>
      </c>
      <c r="FBV23" s="50" t="str">
        <f t="shared" si="64"/>
        <v/>
      </c>
      <c r="FBW23" s="50" t="str">
        <f t="shared" si="64"/>
        <v/>
      </c>
      <c r="FBX23" s="50" t="str">
        <f t="shared" si="64"/>
        <v/>
      </c>
      <c r="FBY23" s="50" t="str">
        <f t="shared" si="64"/>
        <v/>
      </c>
      <c r="FBZ23" s="50" t="str">
        <f t="shared" si="64"/>
        <v/>
      </c>
      <c r="FCA23" s="50" t="str">
        <f t="shared" si="64"/>
        <v/>
      </c>
      <c r="FCB23" s="50" t="str">
        <f t="shared" si="64"/>
        <v/>
      </c>
      <c r="FCC23" s="50" t="str">
        <f t="shared" si="64"/>
        <v/>
      </c>
      <c r="FCD23" s="50" t="str">
        <f t="shared" si="64"/>
        <v/>
      </c>
      <c r="FCE23" s="50" t="str">
        <f t="shared" si="64"/>
        <v/>
      </c>
      <c r="FCF23" s="50" t="str">
        <f t="shared" si="64"/>
        <v/>
      </c>
      <c r="FCG23" s="50" t="str">
        <f t="shared" si="64"/>
        <v/>
      </c>
      <c r="FCH23" s="50" t="str">
        <f t="shared" si="64"/>
        <v/>
      </c>
      <c r="FCI23" s="50" t="str">
        <f t="shared" si="64"/>
        <v/>
      </c>
      <c r="FCJ23" s="50" t="str">
        <f t="shared" si="64"/>
        <v/>
      </c>
      <c r="FCK23" s="50" t="str">
        <f t="shared" ref="FCK23:FEV23" si="65">IFERROR(IF(FCJ23+TIME(1,0,0)&lt;=$G$12,FCJ23+TIME(1,0,0),""),"")</f>
        <v/>
      </c>
      <c r="FCL23" s="50" t="str">
        <f t="shared" si="65"/>
        <v/>
      </c>
      <c r="FCM23" s="50" t="str">
        <f t="shared" si="65"/>
        <v/>
      </c>
      <c r="FCN23" s="50" t="str">
        <f t="shared" si="65"/>
        <v/>
      </c>
      <c r="FCO23" s="50" t="str">
        <f t="shared" si="65"/>
        <v/>
      </c>
      <c r="FCP23" s="50" t="str">
        <f t="shared" si="65"/>
        <v/>
      </c>
      <c r="FCQ23" s="50" t="str">
        <f t="shared" si="65"/>
        <v/>
      </c>
      <c r="FCR23" s="50" t="str">
        <f t="shared" si="65"/>
        <v/>
      </c>
      <c r="FCS23" s="50" t="str">
        <f t="shared" si="65"/>
        <v/>
      </c>
      <c r="FCT23" s="50" t="str">
        <f t="shared" si="65"/>
        <v/>
      </c>
      <c r="FCU23" s="50" t="str">
        <f t="shared" si="65"/>
        <v/>
      </c>
      <c r="FCV23" s="50" t="str">
        <f t="shared" si="65"/>
        <v/>
      </c>
      <c r="FCW23" s="50" t="str">
        <f t="shared" si="65"/>
        <v/>
      </c>
      <c r="FCX23" s="50" t="str">
        <f t="shared" si="65"/>
        <v/>
      </c>
      <c r="FCY23" s="50" t="str">
        <f t="shared" si="65"/>
        <v/>
      </c>
      <c r="FCZ23" s="50" t="str">
        <f t="shared" si="65"/>
        <v/>
      </c>
      <c r="FDA23" s="50" t="str">
        <f t="shared" si="65"/>
        <v/>
      </c>
      <c r="FDB23" s="50" t="str">
        <f t="shared" si="65"/>
        <v/>
      </c>
      <c r="FDC23" s="50" t="str">
        <f t="shared" si="65"/>
        <v/>
      </c>
      <c r="FDD23" s="50" t="str">
        <f t="shared" si="65"/>
        <v/>
      </c>
      <c r="FDE23" s="50" t="str">
        <f t="shared" si="65"/>
        <v/>
      </c>
      <c r="FDF23" s="50" t="str">
        <f t="shared" si="65"/>
        <v/>
      </c>
      <c r="FDG23" s="50" t="str">
        <f t="shared" si="65"/>
        <v/>
      </c>
      <c r="FDH23" s="50" t="str">
        <f t="shared" si="65"/>
        <v/>
      </c>
      <c r="FDI23" s="50" t="str">
        <f t="shared" si="65"/>
        <v/>
      </c>
      <c r="FDJ23" s="50" t="str">
        <f t="shared" si="65"/>
        <v/>
      </c>
      <c r="FDK23" s="50" t="str">
        <f t="shared" si="65"/>
        <v/>
      </c>
      <c r="FDL23" s="50" t="str">
        <f t="shared" si="65"/>
        <v/>
      </c>
      <c r="FDM23" s="50" t="str">
        <f t="shared" si="65"/>
        <v/>
      </c>
      <c r="FDN23" s="50" t="str">
        <f t="shared" si="65"/>
        <v/>
      </c>
      <c r="FDO23" s="50" t="str">
        <f t="shared" si="65"/>
        <v/>
      </c>
      <c r="FDP23" s="50" t="str">
        <f t="shared" si="65"/>
        <v/>
      </c>
      <c r="FDQ23" s="50" t="str">
        <f t="shared" si="65"/>
        <v/>
      </c>
      <c r="FDR23" s="50" t="str">
        <f t="shared" si="65"/>
        <v/>
      </c>
      <c r="FDS23" s="50" t="str">
        <f t="shared" si="65"/>
        <v/>
      </c>
      <c r="FDT23" s="50" t="str">
        <f t="shared" si="65"/>
        <v/>
      </c>
      <c r="FDU23" s="50" t="str">
        <f t="shared" si="65"/>
        <v/>
      </c>
      <c r="FDV23" s="50" t="str">
        <f t="shared" si="65"/>
        <v/>
      </c>
      <c r="FDW23" s="50" t="str">
        <f t="shared" si="65"/>
        <v/>
      </c>
      <c r="FDX23" s="50" t="str">
        <f t="shared" si="65"/>
        <v/>
      </c>
      <c r="FDY23" s="50" t="str">
        <f t="shared" si="65"/>
        <v/>
      </c>
      <c r="FDZ23" s="50" t="str">
        <f t="shared" si="65"/>
        <v/>
      </c>
      <c r="FEA23" s="50" t="str">
        <f t="shared" si="65"/>
        <v/>
      </c>
      <c r="FEB23" s="50" t="str">
        <f t="shared" si="65"/>
        <v/>
      </c>
      <c r="FEC23" s="50" t="str">
        <f t="shared" si="65"/>
        <v/>
      </c>
      <c r="FED23" s="50" t="str">
        <f t="shared" si="65"/>
        <v/>
      </c>
      <c r="FEE23" s="50" t="str">
        <f t="shared" si="65"/>
        <v/>
      </c>
      <c r="FEF23" s="50" t="str">
        <f t="shared" si="65"/>
        <v/>
      </c>
      <c r="FEG23" s="50" t="str">
        <f t="shared" si="65"/>
        <v/>
      </c>
      <c r="FEH23" s="50" t="str">
        <f t="shared" si="65"/>
        <v/>
      </c>
      <c r="FEI23" s="50" t="str">
        <f t="shared" si="65"/>
        <v/>
      </c>
      <c r="FEJ23" s="50" t="str">
        <f t="shared" si="65"/>
        <v/>
      </c>
      <c r="FEK23" s="50" t="str">
        <f t="shared" si="65"/>
        <v/>
      </c>
      <c r="FEL23" s="50" t="str">
        <f t="shared" si="65"/>
        <v/>
      </c>
      <c r="FEM23" s="50" t="str">
        <f t="shared" si="65"/>
        <v/>
      </c>
      <c r="FEN23" s="50" t="str">
        <f t="shared" si="65"/>
        <v/>
      </c>
      <c r="FEO23" s="50" t="str">
        <f t="shared" si="65"/>
        <v/>
      </c>
      <c r="FEP23" s="50" t="str">
        <f t="shared" si="65"/>
        <v/>
      </c>
      <c r="FEQ23" s="50" t="str">
        <f t="shared" si="65"/>
        <v/>
      </c>
      <c r="FER23" s="50" t="str">
        <f t="shared" si="65"/>
        <v/>
      </c>
      <c r="FES23" s="50" t="str">
        <f t="shared" si="65"/>
        <v/>
      </c>
      <c r="FET23" s="50" t="str">
        <f t="shared" si="65"/>
        <v/>
      </c>
      <c r="FEU23" s="50" t="str">
        <f t="shared" si="65"/>
        <v/>
      </c>
      <c r="FEV23" s="50" t="str">
        <f t="shared" si="65"/>
        <v/>
      </c>
      <c r="FEW23" s="50" t="str">
        <f t="shared" ref="FEW23:FHH23" si="66">IFERROR(IF(FEV23+TIME(1,0,0)&lt;=$G$12,FEV23+TIME(1,0,0),""),"")</f>
        <v/>
      </c>
      <c r="FEX23" s="50" t="str">
        <f t="shared" si="66"/>
        <v/>
      </c>
      <c r="FEY23" s="50" t="str">
        <f t="shared" si="66"/>
        <v/>
      </c>
      <c r="FEZ23" s="50" t="str">
        <f t="shared" si="66"/>
        <v/>
      </c>
      <c r="FFA23" s="50" t="str">
        <f t="shared" si="66"/>
        <v/>
      </c>
      <c r="FFB23" s="50" t="str">
        <f t="shared" si="66"/>
        <v/>
      </c>
      <c r="FFC23" s="50" t="str">
        <f t="shared" si="66"/>
        <v/>
      </c>
      <c r="FFD23" s="50" t="str">
        <f t="shared" si="66"/>
        <v/>
      </c>
      <c r="FFE23" s="50" t="str">
        <f t="shared" si="66"/>
        <v/>
      </c>
      <c r="FFF23" s="50" t="str">
        <f t="shared" si="66"/>
        <v/>
      </c>
      <c r="FFG23" s="50" t="str">
        <f t="shared" si="66"/>
        <v/>
      </c>
      <c r="FFH23" s="50" t="str">
        <f t="shared" si="66"/>
        <v/>
      </c>
      <c r="FFI23" s="50" t="str">
        <f t="shared" si="66"/>
        <v/>
      </c>
      <c r="FFJ23" s="50" t="str">
        <f t="shared" si="66"/>
        <v/>
      </c>
      <c r="FFK23" s="50" t="str">
        <f t="shared" si="66"/>
        <v/>
      </c>
      <c r="FFL23" s="50" t="str">
        <f t="shared" si="66"/>
        <v/>
      </c>
      <c r="FFM23" s="50" t="str">
        <f t="shared" si="66"/>
        <v/>
      </c>
      <c r="FFN23" s="50" t="str">
        <f t="shared" si="66"/>
        <v/>
      </c>
      <c r="FFO23" s="50" t="str">
        <f t="shared" si="66"/>
        <v/>
      </c>
      <c r="FFP23" s="50" t="str">
        <f t="shared" si="66"/>
        <v/>
      </c>
      <c r="FFQ23" s="50" t="str">
        <f t="shared" si="66"/>
        <v/>
      </c>
      <c r="FFR23" s="50" t="str">
        <f t="shared" si="66"/>
        <v/>
      </c>
      <c r="FFS23" s="50" t="str">
        <f t="shared" si="66"/>
        <v/>
      </c>
      <c r="FFT23" s="50" t="str">
        <f t="shared" si="66"/>
        <v/>
      </c>
      <c r="FFU23" s="50" t="str">
        <f t="shared" si="66"/>
        <v/>
      </c>
      <c r="FFV23" s="50" t="str">
        <f t="shared" si="66"/>
        <v/>
      </c>
      <c r="FFW23" s="50" t="str">
        <f t="shared" si="66"/>
        <v/>
      </c>
      <c r="FFX23" s="50" t="str">
        <f t="shared" si="66"/>
        <v/>
      </c>
      <c r="FFY23" s="50" t="str">
        <f t="shared" si="66"/>
        <v/>
      </c>
      <c r="FFZ23" s="50" t="str">
        <f t="shared" si="66"/>
        <v/>
      </c>
      <c r="FGA23" s="50" t="str">
        <f t="shared" si="66"/>
        <v/>
      </c>
      <c r="FGB23" s="50" t="str">
        <f t="shared" si="66"/>
        <v/>
      </c>
      <c r="FGC23" s="50" t="str">
        <f t="shared" si="66"/>
        <v/>
      </c>
      <c r="FGD23" s="50" t="str">
        <f t="shared" si="66"/>
        <v/>
      </c>
      <c r="FGE23" s="50" t="str">
        <f t="shared" si="66"/>
        <v/>
      </c>
      <c r="FGF23" s="50" t="str">
        <f t="shared" si="66"/>
        <v/>
      </c>
      <c r="FGG23" s="50" t="str">
        <f t="shared" si="66"/>
        <v/>
      </c>
      <c r="FGH23" s="50" t="str">
        <f t="shared" si="66"/>
        <v/>
      </c>
      <c r="FGI23" s="50" t="str">
        <f t="shared" si="66"/>
        <v/>
      </c>
      <c r="FGJ23" s="50" t="str">
        <f t="shared" si="66"/>
        <v/>
      </c>
      <c r="FGK23" s="50" t="str">
        <f t="shared" si="66"/>
        <v/>
      </c>
      <c r="FGL23" s="50" t="str">
        <f t="shared" si="66"/>
        <v/>
      </c>
      <c r="FGM23" s="50" t="str">
        <f t="shared" si="66"/>
        <v/>
      </c>
      <c r="FGN23" s="50" t="str">
        <f t="shared" si="66"/>
        <v/>
      </c>
      <c r="FGO23" s="50" t="str">
        <f t="shared" si="66"/>
        <v/>
      </c>
      <c r="FGP23" s="50" t="str">
        <f t="shared" si="66"/>
        <v/>
      </c>
      <c r="FGQ23" s="50" t="str">
        <f t="shared" si="66"/>
        <v/>
      </c>
      <c r="FGR23" s="50" t="str">
        <f t="shared" si="66"/>
        <v/>
      </c>
      <c r="FGS23" s="50" t="str">
        <f t="shared" si="66"/>
        <v/>
      </c>
      <c r="FGT23" s="50" t="str">
        <f t="shared" si="66"/>
        <v/>
      </c>
      <c r="FGU23" s="50" t="str">
        <f t="shared" si="66"/>
        <v/>
      </c>
      <c r="FGV23" s="50" t="str">
        <f t="shared" si="66"/>
        <v/>
      </c>
      <c r="FGW23" s="50" t="str">
        <f t="shared" si="66"/>
        <v/>
      </c>
      <c r="FGX23" s="50" t="str">
        <f t="shared" si="66"/>
        <v/>
      </c>
      <c r="FGY23" s="50" t="str">
        <f t="shared" si="66"/>
        <v/>
      </c>
      <c r="FGZ23" s="50" t="str">
        <f t="shared" si="66"/>
        <v/>
      </c>
      <c r="FHA23" s="50" t="str">
        <f t="shared" si="66"/>
        <v/>
      </c>
      <c r="FHB23" s="50" t="str">
        <f t="shared" si="66"/>
        <v/>
      </c>
      <c r="FHC23" s="50" t="str">
        <f t="shared" si="66"/>
        <v/>
      </c>
      <c r="FHD23" s="50" t="str">
        <f t="shared" si="66"/>
        <v/>
      </c>
      <c r="FHE23" s="50" t="str">
        <f t="shared" si="66"/>
        <v/>
      </c>
      <c r="FHF23" s="50" t="str">
        <f t="shared" si="66"/>
        <v/>
      </c>
      <c r="FHG23" s="50" t="str">
        <f t="shared" si="66"/>
        <v/>
      </c>
      <c r="FHH23" s="50" t="str">
        <f t="shared" si="66"/>
        <v/>
      </c>
      <c r="FHI23" s="50" t="str">
        <f t="shared" ref="FHI23:FJT23" si="67">IFERROR(IF(FHH23+TIME(1,0,0)&lt;=$G$12,FHH23+TIME(1,0,0),""),"")</f>
        <v/>
      </c>
      <c r="FHJ23" s="50" t="str">
        <f t="shared" si="67"/>
        <v/>
      </c>
      <c r="FHK23" s="50" t="str">
        <f t="shared" si="67"/>
        <v/>
      </c>
      <c r="FHL23" s="50" t="str">
        <f t="shared" si="67"/>
        <v/>
      </c>
      <c r="FHM23" s="50" t="str">
        <f t="shared" si="67"/>
        <v/>
      </c>
      <c r="FHN23" s="50" t="str">
        <f t="shared" si="67"/>
        <v/>
      </c>
      <c r="FHO23" s="50" t="str">
        <f t="shared" si="67"/>
        <v/>
      </c>
      <c r="FHP23" s="50" t="str">
        <f t="shared" si="67"/>
        <v/>
      </c>
      <c r="FHQ23" s="50" t="str">
        <f t="shared" si="67"/>
        <v/>
      </c>
      <c r="FHR23" s="50" t="str">
        <f t="shared" si="67"/>
        <v/>
      </c>
      <c r="FHS23" s="50" t="str">
        <f t="shared" si="67"/>
        <v/>
      </c>
      <c r="FHT23" s="50" t="str">
        <f t="shared" si="67"/>
        <v/>
      </c>
      <c r="FHU23" s="50" t="str">
        <f t="shared" si="67"/>
        <v/>
      </c>
      <c r="FHV23" s="50" t="str">
        <f t="shared" si="67"/>
        <v/>
      </c>
      <c r="FHW23" s="50" t="str">
        <f t="shared" si="67"/>
        <v/>
      </c>
      <c r="FHX23" s="50" t="str">
        <f t="shared" si="67"/>
        <v/>
      </c>
      <c r="FHY23" s="50" t="str">
        <f t="shared" si="67"/>
        <v/>
      </c>
      <c r="FHZ23" s="50" t="str">
        <f t="shared" si="67"/>
        <v/>
      </c>
      <c r="FIA23" s="50" t="str">
        <f t="shared" si="67"/>
        <v/>
      </c>
      <c r="FIB23" s="50" t="str">
        <f t="shared" si="67"/>
        <v/>
      </c>
      <c r="FIC23" s="50" t="str">
        <f t="shared" si="67"/>
        <v/>
      </c>
      <c r="FID23" s="50" t="str">
        <f t="shared" si="67"/>
        <v/>
      </c>
      <c r="FIE23" s="50" t="str">
        <f t="shared" si="67"/>
        <v/>
      </c>
      <c r="FIF23" s="50" t="str">
        <f t="shared" si="67"/>
        <v/>
      </c>
      <c r="FIG23" s="50" t="str">
        <f t="shared" si="67"/>
        <v/>
      </c>
      <c r="FIH23" s="50" t="str">
        <f t="shared" si="67"/>
        <v/>
      </c>
      <c r="FII23" s="50" t="str">
        <f t="shared" si="67"/>
        <v/>
      </c>
      <c r="FIJ23" s="50" t="str">
        <f t="shared" si="67"/>
        <v/>
      </c>
      <c r="FIK23" s="50" t="str">
        <f t="shared" si="67"/>
        <v/>
      </c>
      <c r="FIL23" s="50" t="str">
        <f t="shared" si="67"/>
        <v/>
      </c>
      <c r="FIM23" s="50" t="str">
        <f t="shared" si="67"/>
        <v/>
      </c>
      <c r="FIN23" s="50" t="str">
        <f t="shared" si="67"/>
        <v/>
      </c>
      <c r="FIO23" s="50" t="str">
        <f t="shared" si="67"/>
        <v/>
      </c>
      <c r="FIP23" s="50" t="str">
        <f t="shared" si="67"/>
        <v/>
      </c>
      <c r="FIQ23" s="50" t="str">
        <f t="shared" si="67"/>
        <v/>
      </c>
      <c r="FIR23" s="50" t="str">
        <f t="shared" si="67"/>
        <v/>
      </c>
      <c r="FIS23" s="50" t="str">
        <f t="shared" si="67"/>
        <v/>
      </c>
      <c r="FIT23" s="50" t="str">
        <f t="shared" si="67"/>
        <v/>
      </c>
      <c r="FIU23" s="50" t="str">
        <f t="shared" si="67"/>
        <v/>
      </c>
      <c r="FIV23" s="50" t="str">
        <f t="shared" si="67"/>
        <v/>
      </c>
      <c r="FIW23" s="50" t="str">
        <f t="shared" si="67"/>
        <v/>
      </c>
      <c r="FIX23" s="50" t="str">
        <f t="shared" si="67"/>
        <v/>
      </c>
      <c r="FIY23" s="50" t="str">
        <f t="shared" si="67"/>
        <v/>
      </c>
      <c r="FIZ23" s="50" t="str">
        <f t="shared" si="67"/>
        <v/>
      </c>
      <c r="FJA23" s="50" t="str">
        <f t="shared" si="67"/>
        <v/>
      </c>
      <c r="FJB23" s="50" t="str">
        <f t="shared" si="67"/>
        <v/>
      </c>
      <c r="FJC23" s="50" t="str">
        <f t="shared" si="67"/>
        <v/>
      </c>
      <c r="FJD23" s="50" t="str">
        <f t="shared" si="67"/>
        <v/>
      </c>
      <c r="FJE23" s="50" t="str">
        <f t="shared" si="67"/>
        <v/>
      </c>
      <c r="FJF23" s="50" t="str">
        <f t="shared" si="67"/>
        <v/>
      </c>
      <c r="FJG23" s="50" t="str">
        <f t="shared" si="67"/>
        <v/>
      </c>
      <c r="FJH23" s="50" t="str">
        <f t="shared" si="67"/>
        <v/>
      </c>
      <c r="FJI23" s="50" t="str">
        <f t="shared" si="67"/>
        <v/>
      </c>
      <c r="FJJ23" s="50" t="str">
        <f t="shared" si="67"/>
        <v/>
      </c>
      <c r="FJK23" s="50" t="str">
        <f t="shared" si="67"/>
        <v/>
      </c>
      <c r="FJL23" s="50" t="str">
        <f t="shared" si="67"/>
        <v/>
      </c>
      <c r="FJM23" s="50" t="str">
        <f t="shared" si="67"/>
        <v/>
      </c>
      <c r="FJN23" s="50" t="str">
        <f t="shared" si="67"/>
        <v/>
      </c>
      <c r="FJO23" s="50" t="str">
        <f t="shared" si="67"/>
        <v/>
      </c>
      <c r="FJP23" s="50" t="str">
        <f t="shared" si="67"/>
        <v/>
      </c>
      <c r="FJQ23" s="50" t="str">
        <f t="shared" si="67"/>
        <v/>
      </c>
      <c r="FJR23" s="50" t="str">
        <f t="shared" si="67"/>
        <v/>
      </c>
      <c r="FJS23" s="50" t="str">
        <f t="shared" si="67"/>
        <v/>
      </c>
      <c r="FJT23" s="50" t="str">
        <f t="shared" si="67"/>
        <v/>
      </c>
      <c r="FJU23" s="50" t="str">
        <f t="shared" ref="FJU23:FMF23" si="68">IFERROR(IF(FJT23+TIME(1,0,0)&lt;=$G$12,FJT23+TIME(1,0,0),""),"")</f>
        <v/>
      </c>
      <c r="FJV23" s="50" t="str">
        <f t="shared" si="68"/>
        <v/>
      </c>
      <c r="FJW23" s="50" t="str">
        <f t="shared" si="68"/>
        <v/>
      </c>
      <c r="FJX23" s="50" t="str">
        <f t="shared" si="68"/>
        <v/>
      </c>
      <c r="FJY23" s="50" t="str">
        <f t="shared" si="68"/>
        <v/>
      </c>
      <c r="FJZ23" s="50" t="str">
        <f t="shared" si="68"/>
        <v/>
      </c>
      <c r="FKA23" s="50" t="str">
        <f t="shared" si="68"/>
        <v/>
      </c>
      <c r="FKB23" s="50" t="str">
        <f t="shared" si="68"/>
        <v/>
      </c>
      <c r="FKC23" s="50" t="str">
        <f t="shared" si="68"/>
        <v/>
      </c>
      <c r="FKD23" s="50" t="str">
        <f t="shared" si="68"/>
        <v/>
      </c>
      <c r="FKE23" s="50" t="str">
        <f t="shared" si="68"/>
        <v/>
      </c>
      <c r="FKF23" s="50" t="str">
        <f t="shared" si="68"/>
        <v/>
      </c>
      <c r="FKG23" s="50" t="str">
        <f t="shared" si="68"/>
        <v/>
      </c>
      <c r="FKH23" s="50" t="str">
        <f t="shared" si="68"/>
        <v/>
      </c>
      <c r="FKI23" s="50" t="str">
        <f t="shared" si="68"/>
        <v/>
      </c>
      <c r="FKJ23" s="50" t="str">
        <f t="shared" si="68"/>
        <v/>
      </c>
      <c r="FKK23" s="50" t="str">
        <f t="shared" si="68"/>
        <v/>
      </c>
      <c r="FKL23" s="50" t="str">
        <f t="shared" si="68"/>
        <v/>
      </c>
      <c r="FKM23" s="50" t="str">
        <f t="shared" si="68"/>
        <v/>
      </c>
      <c r="FKN23" s="50" t="str">
        <f t="shared" si="68"/>
        <v/>
      </c>
      <c r="FKO23" s="50" t="str">
        <f t="shared" si="68"/>
        <v/>
      </c>
      <c r="FKP23" s="50" t="str">
        <f t="shared" si="68"/>
        <v/>
      </c>
      <c r="FKQ23" s="50" t="str">
        <f t="shared" si="68"/>
        <v/>
      </c>
      <c r="FKR23" s="50" t="str">
        <f t="shared" si="68"/>
        <v/>
      </c>
      <c r="FKS23" s="50" t="str">
        <f t="shared" si="68"/>
        <v/>
      </c>
      <c r="FKT23" s="50" t="str">
        <f t="shared" si="68"/>
        <v/>
      </c>
      <c r="FKU23" s="50" t="str">
        <f t="shared" si="68"/>
        <v/>
      </c>
      <c r="FKV23" s="50" t="str">
        <f t="shared" si="68"/>
        <v/>
      </c>
      <c r="FKW23" s="50" t="str">
        <f t="shared" si="68"/>
        <v/>
      </c>
      <c r="FKX23" s="50" t="str">
        <f t="shared" si="68"/>
        <v/>
      </c>
      <c r="FKY23" s="50" t="str">
        <f t="shared" si="68"/>
        <v/>
      </c>
      <c r="FKZ23" s="50" t="str">
        <f t="shared" si="68"/>
        <v/>
      </c>
      <c r="FLA23" s="50" t="str">
        <f t="shared" si="68"/>
        <v/>
      </c>
      <c r="FLB23" s="50" t="str">
        <f t="shared" si="68"/>
        <v/>
      </c>
      <c r="FLC23" s="50" t="str">
        <f t="shared" si="68"/>
        <v/>
      </c>
      <c r="FLD23" s="50" t="str">
        <f t="shared" si="68"/>
        <v/>
      </c>
      <c r="FLE23" s="50" t="str">
        <f t="shared" si="68"/>
        <v/>
      </c>
      <c r="FLF23" s="50" t="str">
        <f t="shared" si="68"/>
        <v/>
      </c>
      <c r="FLG23" s="50" t="str">
        <f t="shared" si="68"/>
        <v/>
      </c>
      <c r="FLH23" s="50" t="str">
        <f t="shared" si="68"/>
        <v/>
      </c>
      <c r="FLI23" s="50" t="str">
        <f t="shared" si="68"/>
        <v/>
      </c>
      <c r="FLJ23" s="50" t="str">
        <f t="shared" si="68"/>
        <v/>
      </c>
      <c r="FLK23" s="50" t="str">
        <f t="shared" si="68"/>
        <v/>
      </c>
      <c r="FLL23" s="50" t="str">
        <f t="shared" si="68"/>
        <v/>
      </c>
      <c r="FLM23" s="50" t="str">
        <f t="shared" si="68"/>
        <v/>
      </c>
      <c r="FLN23" s="50" t="str">
        <f t="shared" si="68"/>
        <v/>
      </c>
      <c r="FLO23" s="50" t="str">
        <f t="shared" si="68"/>
        <v/>
      </c>
      <c r="FLP23" s="50" t="str">
        <f t="shared" si="68"/>
        <v/>
      </c>
      <c r="FLQ23" s="50" t="str">
        <f t="shared" si="68"/>
        <v/>
      </c>
      <c r="FLR23" s="50" t="str">
        <f t="shared" si="68"/>
        <v/>
      </c>
      <c r="FLS23" s="50" t="str">
        <f t="shared" si="68"/>
        <v/>
      </c>
      <c r="FLT23" s="50" t="str">
        <f t="shared" si="68"/>
        <v/>
      </c>
      <c r="FLU23" s="50" t="str">
        <f t="shared" si="68"/>
        <v/>
      </c>
      <c r="FLV23" s="50" t="str">
        <f t="shared" si="68"/>
        <v/>
      </c>
      <c r="FLW23" s="50" t="str">
        <f t="shared" si="68"/>
        <v/>
      </c>
      <c r="FLX23" s="50" t="str">
        <f t="shared" si="68"/>
        <v/>
      </c>
      <c r="FLY23" s="50" t="str">
        <f t="shared" si="68"/>
        <v/>
      </c>
      <c r="FLZ23" s="50" t="str">
        <f t="shared" si="68"/>
        <v/>
      </c>
      <c r="FMA23" s="50" t="str">
        <f t="shared" si="68"/>
        <v/>
      </c>
      <c r="FMB23" s="50" t="str">
        <f t="shared" si="68"/>
        <v/>
      </c>
      <c r="FMC23" s="50" t="str">
        <f t="shared" si="68"/>
        <v/>
      </c>
      <c r="FMD23" s="50" t="str">
        <f t="shared" si="68"/>
        <v/>
      </c>
      <c r="FME23" s="50" t="str">
        <f t="shared" si="68"/>
        <v/>
      </c>
      <c r="FMF23" s="50" t="str">
        <f t="shared" si="68"/>
        <v/>
      </c>
      <c r="FMG23" s="50" t="str">
        <f t="shared" ref="FMG23:FOR23" si="69">IFERROR(IF(FMF23+TIME(1,0,0)&lt;=$G$12,FMF23+TIME(1,0,0),""),"")</f>
        <v/>
      </c>
      <c r="FMH23" s="50" t="str">
        <f t="shared" si="69"/>
        <v/>
      </c>
      <c r="FMI23" s="50" t="str">
        <f t="shared" si="69"/>
        <v/>
      </c>
      <c r="FMJ23" s="50" t="str">
        <f t="shared" si="69"/>
        <v/>
      </c>
      <c r="FMK23" s="50" t="str">
        <f t="shared" si="69"/>
        <v/>
      </c>
      <c r="FML23" s="50" t="str">
        <f t="shared" si="69"/>
        <v/>
      </c>
      <c r="FMM23" s="50" t="str">
        <f t="shared" si="69"/>
        <v/>
      </c>
      <c r="FMN23" s="50" t="str">
        <f t="shared" si="69"/>
        <v/>
      </c>
      <c r="FMO23" s="50" t="str">
        <f t="shared" si="69"/>
        <v/>
      </c>
      <c r="FMP23" s="50" t="str">
        <f t="shared" si="69"/>
        <v/>
      </c>
      <c r="FMQ23" s="50" t="str">
        <f t="shared" si="69"/>
        <v/>
      </c>
      <c r="FMR23" s="50" t="str">
        <f t="shared" si="69"/>
        <v/>
      </c>
      <c r="FMS23" s="50" t="str">
        <f t="shared" si="69"/>
        <v/>
      </c>
      <c r="FMT23" s="50" t="str">
        <f t="shared" si="69"/>
        <v/>
      </c>
      <c r="FMU23" s="50" t="str">
        <f t="shared" si="69"/>
        <v/>
      </c>
      <c r="FMV23" s="50" t="str">
        <f t="shared" si="69"/>
        <v/>
      </c>
      <c r="FMW23" s="50" t="str">
        <f t="shared" si="69"/>
        <v/>
      </c>
      <c r="FMX23" s="50" t="str">
        <f t="shared" si="69"/>
        <v/>
      </c>
      <c r="FMY23" s="50" t="str">
        <f t="shared" si="69"/>
        <v/>
      </c>
      <c r="FMZ23" s="50" t="str">
        <f t="shared" si="69"/>
        <v/>
      </c>
      <c r="FNA23" s="50" t="str">
        <f t="shared" si="69"/>
        <v/>
      </c>
      <c r="FNB23" s="50" t="str">
        <f t="shared" si="69"/>
        <v/>
      </c>
      <c r="FNC23" s="50" t="str">
        <f t="shared" si="69"/>
        <v/>
      </c>
      <c r="FND23" s="50" t="str">
        <f t="shared" si="69"/>
        <v/>
      </c>
      <c r="FNE23" s="50" t="str">
        <f t="shared" si="69"/>
        <v/>
      </c>
      <c r="FNF23" s="50" t="str">
        <f t="shared" si="69"/>
        <v/>
      </c>
      <c r="FNG23" s="50" t="str">
        <f t="shared" si="69"/>
        <v/>
      </c>
      <c r="FNH23" s="50" t="str">
        <f t="shared" si="69"/>
        <v/>
      </c>
      <c r="FNI23" s="50" t="str">
        <f t="shared" si="69"/>
        <v/>
      </c>
      <c r="FNJ23" s="50" t="str">
        <f t="shared" si="69"/>
        <v/>
      </c>
      <c r="FNK23" s="50" t="str">
        <f t="shared" si="69"/>
        <v/>
      </c>
      <c r="FNL23" s="50" t="str">
        <f t="shared" si="69"/>
        <v/>
      </c>
      <c r="FNM23" s="50" t="str">
        <f t="shared" si="69"/>
        <v/>
      </c>
      <c r="FNN23" s="50" t="str">
        <f t="shared" si="69"/>
        <v/>
      </c>
      <c r="FNO23" s="50" t="str">
        <f t="shared" si="69"/>
        <v/>
      </c>
      <c r="FNP23" s="50" t="str">
        <f t="shared" si="69"/>
        <v/>
      </c>
      <c r="FNQ23" s="50" t="str">
        <f t="shared" si="69"/>
        <v/>
      </c>
      <c r="FNR23" s="50" t="str">
        <f t="shared" si="69"/>
        <v/>
      </c>
      <c r="FNS23" s="50" t="str">
        <f t="shared" si="69"/>
        <v/>
      </c>
      <c r="FNT23" s="50" t="str">
        <f t="shared" si="69"/>
        <v/>
      </c>
      <c r="FNU23" s="50" t="str">
        <f t="shared" si="69"/>
        <v/>
      </c>
      <c r="FNV23" s="50" t="str">
        <f t="shared" si="69"/>
        <v/>
      </c>
      <c r="FNW23" s="50" t="str">
        <f t="shared" si="69"/>
        <v/>
      </c>
      <c r="FNX23" s="50" t="str">
        <f t="shared" si="69"/>
        <v/>
      </c>
      <c r="FNY23" s="50" t="str">
        <f t="shared" si="69"/>
        <v/>
      </c>
      <c r="FNZ23" s="50" t="str">
        <f t="shared" si="69"/>
        <v/>
      </c>
      <c r="FOA23" s="50" t="str">
        <f t="shared" si="69"/>
        <v/>
      </c>
      <c r="FOB23" s="50" t="str">
        <f t="shared" si="69"/>
        <v/>
      </c>
      <c r="FOC23" s="50" t="str">
        <f t="shared" si="69"/>
        <v/>
      </c>
      <c r="FOD23" s="50" t="str">
        <f t="shared" si="69"/>
        <v/>
      </c>
      <c r="FOE23" s="50" t="str">
        <f t="shared" si="69"/>
        <v/>
      </c>
      <c r="FOF23" s="50" t="str">
        <f t="shared" si="69"/>
        <v/>
      </c>
      <c r="FOG23" s="50" t="str">
        <f t="shared" si="69"/>
        <v/>
      </c>
      <c r="FOH23" s="50" t="str">
        <f t="shared" si="69"/>
        <v/>
      </c>
      <c r="FOI23" s="50" t="str">
        <f t="shared" si="69"/>
        <v/>
      </c>
      <c r="FOJ23" s="50" t="str">
        <f t="shared" si="69"/>
        <v/>
      </c>
      <c r="FOK23" s="50" t="str">
        <f t="shared" si="69"/>
        <v/>
      </c>
      <c r="FOL23" s="50" t="str">
        <f t="shared" si="69"/>
        <v/>
      </c>
      <c r="FOM23" s="50" t="str">
        <f t="shared" si="69"/>
        <v/>
      </c>
      <c r="FON23" s="50" t="str">
        <f t="shared" si="69"/>
        <v/>
      </c>
      <c r="FOO23" s="50" t="str">
        <f t="shared" si="69"/>
        <v/>
      </c>
      <c r="FOP23" s="50" t="str">
        <f t="shared" si="69"/>
        <v/>
      </c>
      <c r="FOQ23" s="50" t="str">
        <f t="shared" si="69"/>
        <v/>
      </c>
      <c r="FOR23" s="50" t="str">
        <f t="shared" si="69"/>
        <v/>
      </c>
      <c r="FOS23" s="50" t="str">
        <f t="shared" ref="FOS23:FRD23" si="70">IFERROR(IF(FOR23+TIME(1,0,0)&lt;=$G$12,FOR23+TIME(1,0,0),""),"")</f>
        <v/>
      </c>
      <c r="FOT23" s="50" t="str">
        <f t="shared" si="70"/>
        <v/>
      </c>
      <c r="FOU23" s="50" t="str">
        <f t="shared" si="70"/>
        <v/>
      </c>
      <c r="FOV23" s="50" t="str">
        <f t="shared" si="70"/>
        <v/>
      </c>
      <c r="FOW23" s="50" t="str">
        <f t="shared" si="70"/>
        <v/>
      </c>
      <c r="FOX23" s="50" t="str">
        <f t="shared" si="70"/>
        <v/>
      </c>
      <c r="FOY23" s="50" t="str">
        <f t="shared" si="70"/>
        <v/>
      </c>
      <c r="FOZ23" s="50" t="str">
        <f t="shared" si="70"/>
        <v/>
      </c>
      <c r="FPA23" s="50" t="str">
        <f t="shared" si="70"/>
        <v/>
      </c>
      <c r="FPB23" s="50" t="str">
        <f t="shared" si="70"/>
        <v/>
      </c>
      <c r="FPC23" s="50" t="str">
        <f t="shared" si="70"/>
        <v/>
      </c>
      <c r="FPD23" s="50" t="str">
        <f t="shared" si="70"/>
        <v/>
      </c>
      <c r="FPE23" s="50" t="str">
        <f t="shared" si="70"/>
        <v/>
      </c>
      <c r="FPF23" s="50" t="str">
        <f t="shared" si="70"/>
        <v/>
      </c>
      <c r="FPG23" s="50" t="str">
        <f t="shared" si="70"/>
        <v/>
      </c>
      <c r="FPH23" s="50" t="str">
        <f t="shared" si="70"/>
        <v/>
      </c>
      <c r="FPI23" s="50" t="str">
        <f t="shared" si="70"/>
        <v/>
      </c>
      <c r="FPJ23" s="50" t="str">
        <f t="shared" si="70"/>
        <v/>
      </c>
      <c r="FPK23" s="50" t="str">
        <f t="shared" si="70"/>
        <v/>
      </c>
      <c r="FPL23" s="50" t="str">
        <f t="shared" si="70"/>
        <v/>
      </c>
      <c r="FPM23" s="50" t="str">
        <f t="shared" si="70"/>
        <v/>
      </c>
      <c r="FPN23" s="50" t="str">
        <f t="shared" si="70"/>
        <v/>
      </c>
      <c r="FPO23" s="50" t="str">
        <f t="shared" si="70"/>
        <v/>
      </c>
      <c r="FPP23" s="50" t="str">
        <f t="shared" si="70"/>
        <v/>
      </c>
      <c r="FPQ23" s="50" t="str">
        <f t="shared" si="70"/>
        <v/>
      </c>
      <c r="FPR23" s="50" t="str">
        <f t="shared" si="70"/>
        <v/>
      </c>
      <c r="FPS23" s="50" t="str">
        <f t="shared" si="70"/>
        <v/>
      </c>
      <c r="FPT23" s="50" t="str">
        <f t="shared" si="70"/>
        <v/>
      </c>
      <c r="FPU23" s="50" t="str">
        <f t="shared" si="70"/>
        <v/>
      </c>
      <c r="FPV23" s="50" t="str">
        <f t="shared" si="70"/>
        <v/>
      </c>
      <c r="FPW23" s="50" t="str">
        <f t="shared" si="70"/>
        <v/>
      </c>
      <c r="FPX23" s="50" t="str">
        <f t="shared" si="70"/>
        <v/>
      </c>
      <c r="FPY23" s="50" t="str">
        <f t="shared" si="70"/>
        <v/>
      </c>
      <c r="FPZ23" s="50" t="str">
        <f t="shared" si="70"/>
        <v/>
      </c>
      <c r="FQA23" s="50" t="str">
        <f t="shared" si="70"/>
        <v/>
      </c>
      <c r="FQB23" s="50" t="str">
        <f t="shared" si="70"/>
        <v/>
      </c>
      <c r="FQC23" s="50" t="str">
        <f t="shared" si="70"/>
        <v/>
      </c>
      <c r="FQD23" s="50" t="str">
        <f t="shared" si="70"/>
        <v/>
      </c>
      <c r="FQE23" s="50" t="str">
        <f t="shared" si="70"/>
        <v/>
      </c>
      <c r="FQF23" s="50" t="str">
        <f t="shared" si="70"/>
        <v/>
      </c>
      <c r="FQG23" s="50" t="str">
        <f t="shared" si="70"/>
        <v/>
      </c>
      <c r="FQH23" s="50" t="str">
        <f t="shared" si="70"/>
        <v/>
      </c>
      <c r="FQI23" s="50" t="str">
        <f t="shared" si="70"/>
        <v/>
      </c>
      <c r="FQJ23" s="50" t="str">
        <f t="shared" si="70"/>
        <v/>
      </c>
      <c r="FQK23" s="50" t="str">
        <f t="shared" si="70"/>
        <v/>
      </c>
      <c r="FQL23" s="50" t="str">
        <f t="shared" si="70"/>
        <v/>
      </c>
      <c r="FQM23" s="50" t="str">
        <f t="shared" si="70"/>
        <v/>
      </c>
      <c r="FQN23" s="50" t="str">
        <f t="shared" si="70"/>
        <v/>
      </c>
      <c r="FQO23" s="50" t="str">
        <f t="shared" si="70"/>
        <v/>
      </c>
      <c r="FQP23" s="50" t="str">
        <f t="shared" si="70"/>
        <v/>
      </c>
      <c r="FQQ23" s="50" t="str">
        <f t="shared" si="70"/>
        <v/>
      </c>
      <c r="FQR23" s="50" t="str">
        <f t="shared" si="70"/>
        <v/>
      </c>
      <c r="FQS23" s="50" t="str">
        <f t="shared" si="70"/>
        <v/>
      </c>
      <c r="FQT23" s="50" t="str">
        <f t="shared" si="70"/>
        <v/>
      </c>
      <c r="FQU23" s="50" t="str">
        <f t="shared" si="70"/>
        <v/>
      </c>
      <c r="FQV23" s="50" t="str">
        <f t="shared" si="70"/>
        <v/>
      </c>
      <c r="FQW23" s="50" t="str">
        <f t="shared" si="70"/>
        <v/>
      </c>
      <c r="FQX23" s="50" t="str">
        <f t="shared" si="70"/>
        <v/>
      </c>
      <c r="FQY23" s="50" t="str">
        <f t="shared" si="70"/>
        <v/>
      </c>
      <c r="FQZ23" s="50" t="str">
        <f t="shared" si="70"/>
        <v/>
      </c>
      <c r="FRA23" s="50" t="str">
        <f t="shared" si="70"/>
        <v/>
      </c>
      <c r="FRB23" s="50" t="str">
        <f t="shared" si="70"/>
        <v/>
      </c>
      <c r="FRC23" s="50" t="str">
        <f t="shared" si="70"/>
        <v/>
      </c>
      <c r="FRD23" s="50" t="str">
        <f t="shared" si="70"/>
        <v/>
      </c>
      <c r="FRE23" s="50" t="str">
        <f t="shared" ref="FRE23:FTP23" si="71">IFERROR(IF(FRD23+TIME(1,0,0)&lt;=$G$12,FRD23+TIME(1,0,0),""),"")</f>
        <v/>
      </c>
      <c r="FRF23" s="50" t="str">
        <f t="shared" si="71"/>
        <v/>
      </c>
      <c r="FRG23" s="50" t="str">
        <f t="shared" si="71"/>
        <v/>
      </c>
      <c r="FRH23" s="50" t="str">
        <f t="shared" si="71"/>
        <v/>
      </c>
      <c r="FRI23" s="50" t="str">
        <f t="shared" si="71"/>
        <v/>
      </c>
      <c r="FRJ23" s="50" t="str">
        <f t="shared" si="71"/>
        <v/>
      </c>
      <c r="FRK23" s="50" t="str">
        <f t="shared" si="71"/>
        <v/>
      </c>
      <c r="FRL23" s="50" t="str">
        <f t="shared" si="71"/>
        <v/>
      </c>
      <c r="FRM23" s="50" t="str">
        <f t="shared" si="71"/>
        <v/>
      </c>
      <c r="FRN23" s="50" t="str">
        <f t="shared" si="71"/>
        <v/>
      </c>
      <c r="FRO23" s="50" t="str">
        <f t="shared" si="71"/>
        <v/>
      </c>
      <c r="FRP23" s="50" t="str">
        <f t="shared" si="71"/>
        <v/>
      </c>
      <c r="FRQ23" s="50" t="str">
        <f t="shared" si="71"/>
        <v/>
      </c>
      <c r="FRR23" s="50" t="str">
        <f t="shared" si="71"/>
        <v/>
      </c>
      <c r="FRS23" s="50" t="str">
        <f t="shared" si="71"/>
        <v/>
      </c>
      <c r="FRT23" s="50" t="str">
        <f t="shared" si="71"/>
        <v/>
      </c>
      <c r="FRU23" s="50" t="str">
        <f t="shared" si="71"/>
        <v/>
      </c>
      <c r="FRV23" s="50" t="str">
        <f t="shared" si="71"/>
        <v/>
      </c>
      <c r="FRW23" s="50" t="str">
        <f t="shared" si="71"/>
        <v/>
      </c>
      <c r="FRX23" s="50" t="str">
        <f t="shared" si="71"/>
        <v/>
      </c>
      <c r="FRY23" s="50" t="str">
        <f t="shared" si="71"/>
        <v/>
      </c>
      <c r="FRZ23" s="50" t="str">
        <f t="shared" si="71"/>
        <v/>
      </c>
      <c r="FSA23" s="50" t="str">
        <f t="shared" si="71"/>
        <v/>
      </c>
      <c r="FSB23" s="50" t="str">
        <f t="shared" si="71"/>
        <v/>
      </c>
      <c r="FSC23" s="50" t="str">
        <f t="shared" si="71"/>
        <v/>
      </c>
      <c r="FSD23" s="50" t="str">
        <f t="shared" si="71"/>
        <v/>
      </c>
      <c r="FSE23" s="50" t="str">
        <f t="shared" si="71"/>
        <v/>
      </c>
      <c r="FSF23" s="50" t="str">
        <f t="shared" si="71"/>
        <v/>
      </c>
      <c r="FSG23" s="50" t="str">
        <f t="shared" si="71"/>
        <v/>
      </c>
      <c r="FSH23" s="50" t="str">
        <f t="shared" si="71"/>
        <v/>
      </c>
      <c r="FSI23" s="50" t="str">
        <f t="shared" si="71"/>
        <v/>
      </c>
      <c r="FSJ23" s="50" t="str">
        <f t="shared" si="71"/>
        <v/>
      </c>
      <c r="FSK23" s="50" t="str">
        <f t="shared" si="71"/>
        <v/>
      </c>
      <c r="FSL23" s="50" t="str">
        <f t="shared" si="71"/>
        <v/>
      </c>
      <c r="FSM23" s="50" t="str">
        <f t="shared" si="71"/>
        <v/>
      </c>
      <c r="FSN23" s="50" t="str">
        <f t="shared" si="71"/>
        <v/>
      </c>
      <c r="FSO23" s="50" t="str">
        <f t="shared" si="71"/>
        <v/>
      </c>
      <c r="FSP23" s="50" t="str">
        <f t="shared" si="71"/>
        <v/>
      </c>
      <c r="FSQ23" s="50" t="str">
        <f t="shared" si="71"/>
        <v/>
      </c>
      <c r="FSR23" s="50" t="str">
        <f t="shared" si="71"/>
        <v/>
      </c>
      <c r="FSS23" s="50" t="str">
        <f t="shared" si="71"/>
        <v/>
      </c>
      <c r="FST23" s="50" t="str">
        <f t="shared" si="71"/>
        <v/>
      </c>
      <c r="FSU23" s="50" t="str">
        <f t="shared" si="71"/>
        <v/>
      </c>
      <c r="FSV23" s="50" t="str">
        <f t="shared" si="71"/>
        <v/>
      </c>
      <c r="FSW23" s="50" t="str">
        <f t="shared" si="71"/>
        <v/>
      </c>
      <c r="FSX23" s="50" t="str">
        <f t="shared" si="71"/>
        <v/>
      </c>
      <c r="FSY23" s="50" t="str">
        <f t="shared" si="71"/>
        <v/>
      </c>
      <c r="FSZ23" s="50" t="str">
        <f t="shared" si="71"/>
        <v/>
      </c>
      <c r="FTA23" s="50" t="str">
        <f t="shared" si="71"/>
        <v/>
      </c>
      <c r="FTB23" s="50" t="str">
        <f t="shared" si="71"/>
        <v/>
      </c>
      <c r="FTC23" s="50" t="str">
        <f t="shared" si="71"/>
        <v/>
      </c>
      <c r="FTD23" s="50" t="str">
        <f t="shared" si="71"/>
        <v/>
      </c>
      <c r="FTE23" s="50" t="str">
        <f t="shared" si="71"/>
        <v/>
      </c>
      <c r="FTF23" s="50" t="str">
        <f t="shared" si="71"/>
        <v/>
      </c>
      <c r="FTG23" s="50" t="str">
        <f t="shared" si="71"/>
        <v/>
      </c>
      <c r="FTH23" s="50" t="str">
        <f t="shared" si="71"/>
        <v/>
      </c>
      <c r="FTI23" s="50" t="str">
        <f t="shared" si="71"/>
        <v/>
      </c>
      <c r="FTJ23" s="50" t="str">
        <f t="shared" si="71"/>
        <v/>
      </c>
      <c r="FTK23" s="50" t="str">
        <f t="shared" si="71"/>
        <v/>
      </c>
      <c r="FTL23" s="50" t="str">
        <f t="shared" si="71"/>
        <v/>
      </c>
      <c r="FTM23" s="50" t="str">
        <f t="shared" si="71"/>
        <v/>
      </c>
      <c r="FTN23" s="50" t="str">
        <f t="shared" si="71"/>
        <v/>
      </c>
      <c r="FTO23" s="50" t="str">
        <f t="shared" si="71"/>
        <v/>
      </c>
      <c r="FTP23" s="50" t="str">
        <f t="shared" si="71"/>
        <v/>
      </c>
      <c r="FTQ23" s="50" t="str">
        <f t="shared" ref="FTQ23:FWB23" si="72">IFERROR(IF(FTP23+TIME(1,0,0)&lt;=$G$12,FTP23+TIME(1,0,0),""),"")</f>
        <v/>
      </c>
      <c r="FTR23" s="50" t="str">
        <f t="shared" si="72"/>
        <v/>
      </c>
      <c r="FTS23" s="50" t="str">
        <f t="shared" si="72"/>
        <v/>
      </c>
      <c r="FTT23" s="50" t="str">
        <f t="shared" si="72"/>
        <v/>
      </c>
      <c r="FTU23" s="50" t="str">
        <f t="shared" si="72"/>
        <v/>
      </c>
      <c r="FTV23" s="50" t="str">
        <f t="shared" si="72"/>
        <v/>
      </c>
      <c r="FTW23" s="50" t="str">
        <f t="shared" si="72"/>
        <v/>
      </c>
      <c r="FTX23" s="50" t="str">
        <f t="shared" si="72"/>
        <v/>
      </c>
      <c r="FTY23" s="50" t="str">
        <f t="shared" si="72"/>
        <v/>
      </c>
      <c r="FTZ23" s="50" t="str">
        <f t="shared" si="72"/>
        <v/>
      </c>
      <c r="FUA23" s="50" t="str">
        <f t="shared" si="72"/>
        <v/>
      </c>
      <c r="FUB23" s="50" t="str">
        <f t="shared" si="72"/>
        <v/>
      </c>
      <c r="FUC23" s="50" t="str">
        <f t="shared" si="72"/>
        <v/>
      </c>
      <c r="FUD23" s="50" t="str">
        <f t="shared" si="72"/>
        <v/>
      </c>
      <c r="FUE23" s="50" t="str">
        <f t="shared" si="72"/>
        <v/>
      </c>
      <c r="FUF23" s="50" t="str">
        <f t="shared" si="72"/>
        <v/>
      </c>
      <c r="FUG23" s="50" t="str">
        <f t="shared" si="72"/>
        <v/>
      </c>
      <c r="FUH23" s="50" t="str">
        <f t="shared" si="72"/>
        <v/>
      </c>
      <c r="FUI23" s="50" t="str">
        <f t="shared" si="72"/>
        <v/>
      </c>
      <c r="FUJ23" s="50" t="str">
        <f t="shared" si="72"/>
        <v/>
      </c>
      <c r="FUK23" s="50" t="str">
        <f t="shared" si="72"/>
        <v/>
      </c>
      <c r="FUL23" s="50" t="str">
        <f t="shared" si="72"/>
        <v/>
      </c>
      <c r="FUM23" s="50" t="str">
        <f t="shared" si="72"/>
        <v/>
      </c>
      <c r="FUN23" s="50" t="str">
        <f t="shared" si="72"/>
        <v/>
      </c>
      <c r="FUO23" s="50" t="str">
        <f t="shared" si="72"/>
        <v/>
      </c>
      <c r="FUP23" s="50" t="str">
        <f t="shared" si="72"/>
        <v/>
      </c>
      <c r="FUQ23" s="50" t="str">
        <f t="shared" si="72"/>
        <v/>
      </c>
      <c r="FUR23" s="50" t="str">
        <f t="shared" si="72"/>
        <v/>
      </c>
      <c r="FUS23" s="50" t="str">
        <f t="shared" si="72"/>
        <v/>
      </c>
      <c r="FUT23" s="50" t="str">
        <f t="shared" si="72"/>
        <v/>
      </c>
      <c r="FUU23" s="50" t="str">
        <f t="shared" si="72"/>
        <v/>
      </c>
      <c r="FUV23" s="50" t="str">
        <f t="shared" si="72"/>
        <v/>
      </c>
      <c r="FUW23" s="50" t="str">
        <f t="shared" si="72"/>
        <v/>
      </c>
      <c r="FUX23" s="50" t="str">
        <f t="shared" si="72"/>
        <v/>
      </c>
      <c r="FUY23" s="50" t="str">
        <f t="shared" si="72"/>
        <v/>
      </c>
      <c r="FUZ23" s="50" t="str">
        <f t="shared" si="72"/>
        <v/>
      </c>
      <c r="FVA23" s="50" t="str">
        <f t="shared" si="72"/>
        <v/>
      </c>
      <c r="FVB23" s="50" t="str">
        <f t="shared" si="72"/>
        <v/>
      </c>
      <c r="FVC23" s="50" t="str">
        <f t="shared" si="72"/>
        <v/>
      </c>
      <c r="FVD23" s="50" t="str">
        <f t="shared" si="72"/>
        <v/>
      </c>
      <c r="FVE23" s="50" t="str">
        <f t="shared" si="72"/>
        <v/>
      </c>
      <c r="FVF23" s="50" t="str">
        <f t="shared" si="72"/>
        <v/>
      </c>
      <c r="FVG23" s="50" t="str">
        <f t="shared" si="72"/>
        <v/>
      </c>
      <c r="FVH23" s="50" t="str">
        <f t="shared" si="72"/>
        <v/>
      </c>
      <c r="FVI23" s="50" t="str">
        <f t="shared" si="72"/>
        <v/>
      </c>
      <c r="FVJ23" s="50" t="str">
        <f t="shared" si="72"/>
        <v/>
      </c>
      <c r="FVK23" s="50" t="str">
        <f t="shared" si="72"/>
        <v/>
      </c>
      <c r="FVL23" s="50" t="str">
        <f t="shared" si="72"/>
        <v/>
      </c>
      <c r="FVM23" s="50" t="str">
        <f t="shared" si="72"/>
        <v/>
      </c>
      <c r="FVN23" s="50" t="str">
        <f t="shared" si="72"/>
        <v/>
      </c>
      <c r="FVO23" s="50" t="str">
        <f t="shared" si="72"/>
        <v/>
      </c>
      <c r="FVP23" s="50" t="str">
        <f t="shared" si="72"/>
        <v/>
      </c>
      <c r="FVQ23" s="50" t="str">
        <f t="shared" si="72"/>
        <v/>
      </c>
      <c r="FVR23" s="50" t="str">
        <f t="shared" si="72"/>
        <v/>
      </c>
      <c r="FVS23" s="50" t="str">
        <f t="shared" si="72"/>
        <v/>
      </c>
      <c r="FVT23" s="50" t="str">
        <f t="shared" si="72"/>
        <v/>
      </c>
      <c r="FVU23" s="50" t="str">
        <f t="shared" si="72"/>
        <v/>
      </c>
      <c r="FVV23" s="50" t="str">
        <f t="shared" si="72"/>
        <v/>
      </c>
      <c r="FVW23" s="50" t="str">
        <f t="shared" si="72"/>
        <v/>
      </c>
      <c r="FVX23" s="50" t="str">
        <f t="shared" si="72"/>
        <v/>
      </c>
      <c r="FVY23" s="50" t="str">
        <f t="shared" si="72"/>
        <v/>
      </c>
      <c r="FVZ23" s="50" t="str">
        <f t="shared" si="72"/>
        <v/>
      </c>
      <c r="FWA23" s="50" t="str">
        <f t="shared" si="72"/>
        <v/>
      </c>
      <c r="FWB23" s="50" t="str">
        <f t="shared" si="72"/>
        <v/>
      </c>
      <c r="FWC23" s="50" t="str">
        <f t="shared" ref="FWC23:FYN23" si="73">IFERROR(IF(FWB23+TIME(1,0,0)&lt;=$G$12,FWB23+TIME(1,0,0),""),"")</f>
        <v/>
      </c>
      <c r="FWD23" s="50" t="str">
        <f t="shared" si="73"/>
        <v/>
      </c>
      <c r="FWE23" s="50" t="str">
        <f t="shared" si="73"/>
        <v/>
      </c>
      <c r="FWF23" s="50" t="str">
        <f t="shared" si="73"/>
        <v/>
      </c>
      <c r="FWG23" s="50" t="str">
        <f t="shared" si="73"/>
        <v/>
      </c>
      <c r="FWH23" s="50" t="str">
        <f t="shared" si="73"/>
        <v/>
      </c>
      <c r="FWI23" s="50" t="str">
        <f t="shared" si="73"/>
        <v/>
      </c>
      <c r="FWJ23" s="50" t="str">
        <f t="shared" si="73"/>
        <v/>
      </c>
      <c r="FWK23" s="50" t="str">
        <f t="shared" si="73"/>
        <v/>
      </c>
      <c r="FWL23" s="50" t="str">
        <f t="shared" si="73"/>
        <v/>
      </c>
      <c r="FWM23" s="50" t="str">
        <f t="shared" si="73"/>
        <v/>
      </c>
      <c r="FWN23" s="50" t="str">
        <f t="shared" si="73"/>
        <v/>
      </c>
      <c r="FWO23" s="50" t="str">
        <f t="shared" si="73"/>
        <v/>
      </c>
      <c r="FWP23" s="50" t="str">
        <f t="shared" si="73"/>
        <v/>
      </c>
      <c r="FWQ23" s="50" t="str">
        <f t="shared" si="73"/>
        <v/>
      </c>
      <c r="FWR23" s="50" t="str">
        <f t="shared" si="73"/>
        <v/>
      </c>
      <c r="FWS23" s="50" t="str">
        <f t="shared" si="73"/>
        <v/>
      </c>
      <c r="FWT23" s="50" t="str">
        <f t="shared" si="73"/>
        <v/>
      </c>
      <c r="FWU23" s="50" t="str">
        <f t="shared" si="73"/>
        <v/>
      </c>
      <c r="FWV23" s="50" t="str">
        <f t="shared" si="73"/>
        <v/>
      </c>
      <c r="FWW23" s="50" t="str">
        <f t="shared" si="73"/>
        <v/>
      </c>
      <c r="FWX23" s="50" t="str">
        <f t="shared" si="73"/>
        <v/>
      </c>
      <c r="FWY23" s="50" t="str">
        <f t="shared" si="73"/>
        <v/>
      </c>
      <c r="FWZ23" s="50" t="str">
        <f t="shared" si="73"/>
        <v/>
      </c>
      <c r="FXA23" s="50" t="str">
        <f t="shared" si="73"/>
        <v/>
      </c>
      <c r="FXB23" s="50" t="str">
        <f t="shared" si="73"/>
        <v/>
      </c>
      <c r="FXC23" s="50" t="str">
        <f t="shared" si="73"/>
        <v/>
      </c>
      <c r="FXD23" s="50" t="str">
        <f t="shared" si="73"/>
        <v/>
      </c>
      <c r="FXE23" s="50" t="str">
        <f t="shared" si="73"/>
        <v/>
      </c>
      <c r="FXF23" s="50" t="str">
        <f t="shared" si="73"/>
        <v/>
      </c>
      <c r="FXG23" s="50" t="str">
        <f t="shared" si="73"/>
        <v/>
      </c>
      <c r="FXH23" s="50" t="str">
        <f t="shared" si="73"/>
        <v/>
      </c>
      <c r="FXI23" s="50" t="str">
        <f t="shared" si="73"/>
        <v/>
      </c>
      <c r="FXJ23" s="50" t="str">
        <f t="shared" si="73"/>
        <v/>
      </c>
      <c r="FXK23" s="50" t="str">
        <f t="shared" si="73"/>
        <v/>
      </c>
      <c r="FXL23" s="50" t="str">
        <f t="shared" si="73"/>
        <v/>
      </c>
      <c r="FXM23" s="50" t="str">
        <f t="shared" si="73"/>
        <v/>
      </c>
      <c r="FXN23" s="50" t="str">
        <f t="shared" si="73"/>
        <v/>
      </c>
      <c r="FXO23" s="50" t="str">
        <f t="shared" si="73"/>
        <v/>
      </c>
      <c r="FXP23" s="50" t="str">
        <f t="shared" si="73"/>
        <v/>
      </c>
      <c r="FXQ23" s="50" t="str">
        <f t="shared" si="73"/>
        <v/>
      </c>
      <c r="FXR23" s="50" t="str">
        <f t="shared" si="73"/>
        <v/>
      </c>
      <c r="FXS23" s="50" t="str">
        <f t="shared" si="73"/>
        <v/>
      </c>
      <c r="FXT23" s="50" t="str">
        <f t="shared" si="73"/>
        <v/>
      </c>
      <c r="FXU23" s="50" t="str">
        <f t="shared" si="73"/>
        <v/>
      </c>
      <c r="FXV23" s="50" t="str">
        <f t="shared" si="73"/>
        <v/>
      </c>
      <c r="FXW23" s="50" t="str">
        <f t="shared" si="73"/>
        <v/>
      </c>
      <c r="FXX23" s="50" t="str">
        <f t="shared" si="73"/>
        <v/>
      </c>
      <c r="FXY23" s="50" t="str">
        <f t="shared" si="73"/>
        <v/>
      </c>
      <c r="FXZ23" s="50" t="str">
        <f t="shared" si="73"/>
        <v/>
      </c>
      <c r="FYA23" s="50" t="str">
        <f t="shared" si="73"/>
        <v/>
      </c>
      <c r="FYB23" s="50" t="str">
        <f t="shared" si="73"/>
        <v/>
      </c>
      <c r="FYC23" s="50" t="str">
        <f t="shared" si="73"/>
        <v/>
      </c>
      <c r="FYD23" s="50" t="str">
        <f t="shared" si="73"/>
        <v/>
      </c>
      <c r="FYE23" s="50" t="str">
        <f t="shared" si="73"/>
        <v/>
      </c>
      <c r="FYF23" s="50" t="str">
        <f t="shared" si="73"/>
        <v/>
      </c>
      <c r="FYG23" s="50" t="str">
        <f t="shared" si="73"/>
        <v/>
      </c>
      <c r="FYH23" s="50" t="str">
        <f t="shared" si="73"/>
        <v/>
      </c>
      <c r="FYI23" s="50" t="str">
        <f t="shared" si="73"/>
        <v/>
      </c>
      <c r="FYJ23" s="50" t="str">
        <f t="shared" si="73"/>
        <v/>
      </c>
      <c r="FYK23" s="50" t="str">
        <f t="shared" si="73"/>
        <v/>
      </c>
      <c r="FYL23" s="50" t="str">
        <f t="shared" si="73"/>
        <v/>
      </c>
      <c r="FYM23" s="50" t="str">
        <f t="shared" si="73"/>
        <v/>
      </c>
      <c r="FYN23" s="50" t="str">
        <f t="shared" si="73"/>
        <v/>
      </c>
      <c r="FYO23" s="50" t="str">
        <f t="shared" ref="FYO23:GAZ23" si="74">IFERROR(IF(FYN23+TIME(1,0,0)&lt;=$G$12,FYN23+TIME(1,0,0),""),"")</f>
        <v/>
      </c>
      <c r="FYP23" s="50" t="str">
        <f t="shared" si="74"/>
        <v/>
      </c>
      <c r="FYQ23" s="50" t="str">
        <f t="shared" si="74"/>
        <v/>
      </c>
      <c r="FYR23" s="50" t="str">
        <f t="shared" si="74"/>
        <v/>
      </c>
      <c r="FYS23" s="50" t="str">
        <f t="shared" si="74"/>
        <v/>
      </c>
      <c r="FYT23" s="50" t="str">
        <f t="shared" si="74"/>
        <v/>
      </c>
      <c r="FYU23" s="50" t="str">
        <f t="shared" si="74"/>
        <v/>
      </c>
      <c r="FYV23" s="50" t="str">
        <f t="shared" si="74"/>
        <v/>
      </c>
      <c r="FYW23" s="50" t="str">
        <f t="shared" si="74"/>
        <v/>
      </c>
      <c r="FYX23" s="50" t="str">
        <f t="shared" si="74"/>
        <v/>
      </c>
      <c r="FYY23" s="50" t="str">
        <f t="shared" si="74"/>
        <v/>
      </c>
      <c r="FYZ23" s="50" t="str">
        <f t="shared" si="74"/>
        <v/>
      </c>
      <c r="FZA23" s="50" t="str">
        <f t="shared" si="74"/>
        <v/>
      </c>
      <c r="FZB23" s="50" t="str">
        <f t="shared" si="74"/>
        <v/>
      </c>
      <c r="FZC23" s="50" t="str">
        <f t="shared" si="74"/>
        <v/>
      </c>
      <c r="FZD23" s="50" t="str">
        <f t="shared" si="74"/>
        <v/>
      </c>
      <c r="FZE23" s="50" t="str">
        <f t="shared" si="74"/>
        <v/>
      </c>
      <c r="FZF23" s="50" t="str">
        <f t="shared" si="74"/>
        <v/>
      </c>
      <c r="FZG23" s="50" t="str">
        <f t="shared" si="74"/>
        <v/>
      </c>
      <c r="FZH23" s="50" t="str">
        <f t="shared" si="74"/>
        <v/>
      </c>
      <c r="FZI23" s="50" t="str">
        <f t="shared" si="74"/>
        <v/>
      </c>
      <c r="FZJ23" s="50" t="str">
        <f t="shared" si="74"/>
        <v/>
      </c>
      <c r="FZK23" s="50" t="str">
        <f t="shared" si="74"/>
        <v/>
      </c>
      <c r="FZL23" s="50" t="str">
        <f t="shared" si="74"/>
        <v/>
      </c>
      <c r="FZM23" s="50" t="str">
        <f t="shared" si="74"/>
        <v/>
      </c>
      <c r="FZN23" s="50" t="str">
        <f t="shared" si="74"/>
        <v/>
      </c>
      <c r="FZO23" s="50" t="str">
        <f t="shared" si="74"/>
        <v/>
      </c>
      <c r="FZP23" s="50" t="str">
        <f t="shared" si="74"/>
        <v/>
      </c>
      <c r="FZQ23" s="50" t="str">
        <f t="shared" si="74"/>
        <v/>
      </c>
      <c r="FZR23" s="50" t="str">
        <f t="shared" si="74"/>
        <v/>
      </c>
      <c r="FZS23" s="50" t="str">
        <f t="shared" si="74"/>
        <v/>
      </c>
      <c r="FZT23" s="50" t="str">
        <f t="shared" si="74"/>
        <v/>
      </c>
      <c r="FZU23" s="50" t="str">
        <f t="shared" si="74"/>
        <v/>
      </c>
      <c r="FZV23" s="50" t="str">
        <f t="shared" si="74"/>
        <v/>
      </c>
      <c r="FZW23" s="50" t="str">
        <f t="shared" si="74"/>
        <v/>
      </c>
      <c r="FZX23" s="50" t="str">
        <f t="shared" si="74"/>
        <v/>
      </c>
      <c r="FZY23" s="50" t="str">
        <f t="shared" si="74"/>
        <v/>
      </c>
      <c r="FZZ23" s="50" t="str">
        <f t="shared" si="74"/>
        <v/>
      </c>
      <c r="GAA23" s="50" t="str">
        <f t="shared" si="74"/>
        <v/>
      </c>
      <c r="GAB23" s="50" t="str">
        <f t="shared" si="74"/>
        <v/>
      </c>
      <c r="GAC23" s="50" t="str">
        <f t="shared" si="74"/>
        <v/>
      </c>
      <c r="GAD23" s="50" t="str">
        <f t="shared" si="74"/>
        <v/>
      </c>
      <c r="GAE23" s="50" t="str">
        <f t="shared" si="74"/>
        <v/>
      </c>
      <c r="GAF23" s="50" t="str">
        <f t="shared" si="74"/>
        <v/>
      </c>
      <c r="GAG23" s="50" t="str">
        <f t="shared" si="74"/>
        <v/>
      </c>
      <c r="GAH23" s="50" t="str">
        <f t="shared" si="74"/>
        <v/>
      </c>
      <c r="GAI23" s="50" t="str">
        <f t="shared" si="74"/>
        <v/>
      </c>
      <c r="GAJ23" s="50" t="str">
        <f t="shared" si="74"/>
        <v/>
      </c>
      <c r="GAK23" s="50" t="str">
        <f t="shared" si="74"/>
        <v/>
      </c>
      <c r="GAL23" s="50" t="str">
        <f t="shared" si="74"/>
        <v/>
      </c>
      <c r="GAM23" s="50" t="str">
        <f t="shared" si="74"/>
        <v/>
      </c>
      <c r="GAN23" s="50" t="str">
        <f t="shared" si="74"/>
        <v/>
      </c>
      <c r="GAO23" s="50" t="str">
        <f t="shared" si="74"/>
        <v/>
      </c>
      <c r="GAP23" s="50" t="str">
        <f t="shared" si="74"/>
        <v/>
      </c>
      <c r="GAQ23" s="50" t="str">
        <f t="shared" si="74"/>
        <v/>
      </c>
      <c r="GAR23" s="50" t="str">
        <f t="shared" si="74"/>
        <v/>
      </c>
      <c r="GAS23" s="50" t="str">
        <f t="shared" si="74"/>
        <v/>
      </c>
      <c r="GAT23" s="50" t="str">
        <f t="shared" si="74"/>
        <v/>
      </c>
      <c r="GAU23" s="50" t="str">
        <f t="shared" si="74"/>
        <v/>
      </c>
      <c r="GAV23" s="50" t="str">
        <f t="shared" si="74"/>
        <v/>
      </c>
      <c r="GAW23" s="50" t="str">
        <f t="shared" si="74"/>
        <v/>
      </c>
      <c r="GAX23" s="50" t="str">
        <f t="shared" si="74"/>
        <v/>
      </c>
      <c r="GAY23" s="50" t="str">
        <f t="shared" si="74"/>
        <v/>
      </c>
      <c r="GAZ23" s="50" t="str">
        <f t="shared" si="74"/>
        <v/>
      </c>
      <c r="GBA23" s="50" t="str">
        <f t="shared" ref="GBA23:GDL23" si="75">IFERROR(IF(GAZ23+TIME(1,0,0)&lt;=$G$12,GAZ23+TIME(1,0,0),""),"")</f>
        <v/>
      </c>
      <c r="GBB23" s="50" t="str">
        <f t="shared" si="75"/>
        <v/>
      </c>
      <c r="GBC23" s="50" t="str">
        <f t="shared" si="75"/>
        <v/>
      </c>
      <c r="GBD23" s="50" t="str">
        <f t="shared" si="75"/>
        <v/>
      </c>
      <c r="GBE23" s="50" t="str">
        <f t="shared" si="75"/>
        <v/>
      </c>
      <c r="GBF23" s="50" t="str">
        <f t="shared" si="75"/>
        <v/>
      </c>
      <c r="GBG23" s="50" t="str">
        <f t="shared" si="75"/>
        <v/>
      </c>
      <c r="GBH23" s="50" t="str">
        <f t="shared" si="75"/>
        <v/>
      </c>
      <c r="GBI23" s="50" t="str">
        <f t="shared" si="75"/>
        <v/>
      </c>
      <c r="GBJ23" s="50" t="str">
        <f t="shared" si="75"/>
        <v/>
      </c>
      <c r="GBK23" s="50" t="str">
        <f t="shared" si="75"/>
        <v/>
      </c>
      <c r="GBL23" s="50" t="str">
        <f t="shared" si="75"/>
        <v/>
      </c>
      <c r="GBM23" s="50" t="str">
        <f t="shared" si="75"/>
        <v/>
      </c>
      <c r="GBN23" s="50" t="str">
        <f t="shared" si="75"/>
        <v/>
      </c>
      <c r="GBO23" s="50" t="str">
        <f t="shared" si="75"/>
        <v/>
      </c>
      <c r="GBP23" s="50" t="str">
        <f t="shared" si="75"/>
        <v/>
      </c>
      <c r="GBQ23" s="50" t="str">
        <f t="shared" si="75"/>
        <v/>
      </c>
      <c r="GBR23" s="50" t="str">
        <f t="shared" si="75"/>
        <v/>
      </c>
      <c r="GBS23" s="50" t="str">
        <f t="shared" si="75"/>
        <v/>
      </c>
      <c r="GBT23" s="50" t="str">
        <f t="shared" si="75"/>
        <v/>
      </c>
      <c r="GBU23" s="50" t="str">
        <f t="shared" si="75"/>
        <v/>
      </c>
      <c r="GBV23" s="50" t="str">
        <f t="shared" si="75"/>
        <v/>
      </c>
      <c r="GBW23" s="50" t="str">
        <f t="shared" si="75"/>
        <v/>
      </c>
      <c r="GBX23" s="50" t="str">
        <f t="shared" si="75"/>
        <v/>
      </c>
      <c r="GBY23" s="50" t="str">
        <f t="shared" si="75"/>
        <v/>
      </c>
      <c r="GBZ23" s="50" t="str">
        <f t="shared" si="75"/>
        <v/>
      </c>
      <c r="GCA23" s="50" t="str">
        <f t="shared" si="75"/>
        <v/>
      </c>
      <c r="GCB23" s="50" t="str">
        <f t="shared" si="75"/>
        <v/>
      </c>
      <c r="GCC23" s="50" t="str">
        <f t="shared" si="75"/>
        <v/>
      </c>
      <c r="GCD23" s="50" t="str">
        <f t="shared" si="75"/>
        <v/>
      </c>
      <c r="GCE23" s="50" t="str">
        <f t="shared" si="75"/>
        <v/>
      </c>
      <c r="GCF23" s="50" t="str">
        <f t="shared" si="75"/>
        <v/>
      </c>
      <c r="GCG23" s="50" t="str">
        <f t="shared" si="75"/>
        <v/>
      </c>
      <c r="GCH23" s="50" t="str">
        <f t="shared" si="75"/>
        <v/>
      </c>
      <c r="GCI23" s="50" t="str">
        <f t="shared" si="75"/>
        <v/>
      </c>
      <c r="GCJ23" s="50" t="str">
        <f t="shared" si="75"/>
        <v/>
      </c>
      <c r="GCK23" s="50" t="str">
        <f t="shared" si="75"/>
        <v/>
      </c>
      <c r="GCL23" s="50" t="str">
        <f t="shared" si="75"/>
        <v/>
      </c>
      <c r="GCM23" s="50" t="str">
        <f t="shared" si="75"/>
        <v/>
      </c>
      <c r="GCN23" s="50" t="str">
        <f t="shared" si="75"/>
        <v/>
      </c>
      <c r="GCO23" s="50" t="str">
        <f t="shared" si="75"/>
        <v/>
      </c>
      <c r="GCP23" s="50" t="str">
        <f t="shared" si="75"/>
        <v/>
      </c>
      <c r="GCQ23" s="50" t="str">
        <f t="shared" si="75"/>
        <v/>
      </c>
      <c r="GCR23" s="50" t="str">
        <f t="shared" si="75"/>
        <v/>
      </c>
      <c r="GCS23" s="50" t="str">
        <f t="shared" si="75"/>
        <v/>
      </c>
      <c r="GCT23" s="50" t="str">
        <f t="shared" si="75"/>
        <v/>
      </c>
      <c r="GCU23" s="50" t="str">
        <f t="shared" si="75"/>
        <v/>
      </c>
      <c r="GCV23" s="50" t="str">
        <f t="shared" si="75"/>
        <v/>
      </c>
      <c r="GCW23" s="50" t="str">
        <f t="shared" si="75"/>
        <v/>
      </c>
      <c r="GCX23" s="50" t="str">
        <f t="shared" si="75"/>
        <v/>
      </c>
      <c r="GCY23" s="50" t="str">
        <f t="shared" si="75"/>
        <v/>
      </c>
      <c r="GCZ23" s="50" t="str">
        <f t="shared" si="75"/>
        <v/>
      </c>
      <c r="GDA23" s="50" t="str">
        <f t="shared" si="75"/>
        <v/>
      </c>
      <c r="GDB23" s="50" t="str">
        <f t="shared" si="75"/>
        <v/>
      </c>
      <c r="GDC23" s="50" t="str">
        <f t="shared" si="75"/>
        <v/>
      </c>
      <c r="GDD23" s="50" t="str">
        <f t="shared" si="75"/>
        <v/>
      </c>
      <c r="GDE23" s="50" t="str">
        <f t="shared" si="75"/>
        <v/>
      </c>
      <c r="GDF23" s="50" t="str">
        <f t="shared" si="75"/>
        <v/>
      </c>
      <c r="GDG23" s="50" t="str">
        <f t="shared" si="75"/>
        <v/>
      </c>
      <c r="GDH23" s="50" t="str">
        <f t="shared" si="75"/>
        <v/>
      </c>
      <c r="GDI23" s="50" t="str">
        <f t="shared" si="75"/>
        <v/>
      </c>
      <c r="GDJ23" s="50" t="str">
        <f t="shared" si="75"/>
        <v/>
      </c>
      <c r="GDK23" s="50" t="str">
        <f t="shared" si="75"/>
        <v/>
      </c>
      <c r="GDL23" s="50" t="str">
        <f t="shared" si="75"/>
        <v/>
      </c>
      <c r="GDM23" s="50" t="str">
        <f t="shared" ref="GDM23:GFX23" si="76">IFERROR(IF(GDL23+TIME(1,0,0)&lt;=$G$12,GDL23+TIME(1,0,0),""),"")</f>
        <v/>
      </c>
      <c r="GDN23" s="50" t="str">
        <f t="shared" si="76"/>
        <v/>
      </c>
      <c r="GDO23" s="50" t="str">
        <f t="shared" si="76"/>
        <v/>
      </c>
      <c r="GDP23" s="50" t="str">
        <f t="shared" si="76"/>
        <v/>
      </c>
      <c r="GDQ23" s="50" t="str">
        <f t="shared" si="76"/>
        <v/>
      </c>
      <c r="GDR23" s="50" t="str">
        <f t="shared" si="76"/>
        <v/>
      </c>
      <c r="GDS23" s="50" t="str">
        <f t="shared" si="76"/>
        <v/>
      </c>
      <c r="GDT23" s="50" t="str">
        <f t="shared" si="76"/>
        <v/>
      </c>
      <c r="GDU23" s="50" t="str">
        <f t="shared" si="76"/>
        <v/>
      </c>
      <c r="GDV23" s="50" t="str">
        <f t="shared" si="76"/>
        <v/>
      </c>
      <c r="GDW23" s="50" t="str">
        <f t="shared" si="76"/>
        <v/>
      </c>
      <c r="GDX23" s="50" t="str">
        <f t="shared" si="76"/>
        <v/>
      </c>
      <c r="GDY23" s="50" t="str">
        <f t="shared" si="76"/>
        <v/>
      </c>
      <c r="GDZ23" s="50" t="str">
        <f t="shared" si="76"/>
        <v/>
      </c>
      <c r="GEA23" s="50" t="str">
        <f t="shared" si="76"/>
        <v/>
      </c>
      <c r="GEB23" s="50" t="str">
        <f t="shared" si="76"/>
        <v/>
      </c>
      <c r="GEC23" s="50" t="str">
        <f t="shared" si="76"/>
        <v/>
      </c>
      <c r="GED23" s="50" t="str">
        <f t="shared" si="76"/>
        <v/>
      </c>
      <c r="GEE23" s="50" t="str">
        <f t="shared" si="76"/>
        <v/>
      </c>
      <c r="GEF23" s="50" t="str">
        <f t="shared" si="76"/>
        <v/>
      </c>
      <c r="GEG23" s="50" t="str">
        <f t="shared" si="76"/>
        <v/>
      </c>
      <c r="GEH23" s="50" t="str">
        <f t="shared" si="76"/>
        <v/>
      </c>
      <c r="GEI23" s="50" t="str">
        <f t="shared" si="76"/>
        <v/>
      </c>
      <c r="GEJ23" s="50" t="str">
        <f t="shared" si="76"/>
        <v/>
      </c>
      <c r="GEK23" s="50" t="str">
        <f t="shared" si="76"/>
        <v/>
      </c>
      <c r="GEL23" s="50" t="str">
        <f t="shared" si="76"/>
        <v/>
      </c>
      <c r="GEM23" s="50" t="str">
        <f t="shared" si="76"/>
        <v/>
      </c>
      <c r="GEN23" s="50" t="str">
        <f t="shared" si="76"/>
        <v/>
      </c>
      <c r="GEO23" s="50" t="str">
        <f t="shared" si="76"/>
        <v/>
      </c>
      <c r="GEP23" s="50" t="str">
        <f t="shared" si="76"/>
        <v/>
      </c>
      <c r="GEQ23" s="50" t="str">
        <f t="shared" si="76"/>
        <v/>
      </c>
      <c r="GER23" s="50" t="str">
        <f t="shared" si="76"/>
        <v/>
      </c>
      <c r="GES23" s="50" t="str">
        <f t="shared" si="76"/>
        <v/>
      </c>
      <c r="GET23" s="50" t="str">
        <f t="shared" si="76"/>
        <v/>
      </c>
      <c r="GEU23" s="50" t="str">
        <f t="shared" si="76"/>
        <v/>
      </c>
      <c r="GEV23" s="50" t="str">
        <f t="shared" si="76"/>
        <v/>
      </c>
      <c r="GEW23" s="50" t="str">
        <f t="shared" si="76"/>
        <v/>
      </c>
      <c r="GEX23" s="50" t="str">
        <f t="shared" si="76"/>
        <v/>
      </c>
      <c r="GEY23" s="50" t="str">
        <f t="shared" si="76"/>
        <v/>
      </c>
      <c r="GEZ23" s="50" t="str">
        <f t="shared" si="76"/>
        <v/>
      </c>
      <c r="GFA23" s="50" t="str">
        <f t="shared" si="76"/>
        <v/>
      </c>
      <c r="GFB23" s="50" t="str">
        <f t="shared" si="76"/>
        <v/>
      </c>
      <c r="GFC23" s="50" t="str">
        <f t="shared" si="76"/>
        <v/>
      </c>
      <c r="GFD23" s="50" t="str">
        <f t="shared" si="76"/>
        <v/>
      </c>
      <c r="GFE23" s="50" t="str">
        <f t="shared" si="76"/>
        <v/>
      </c>
      <c r="GFF23" s="50" t="str">
        <f t="shared" si="76"/>
        <v/>
      </c>
      <c r="GFG23" s="50" t="str">
        <f t="shared" si="76"/>
        <v/>
      </c>
      <c r="GFH23" s="50" t="str">
        <f t="shared" si="76"/>
        <v/>
      </c>
      <c r="GFI23" s="50" t="str">
        <f t="shared" si="76"/>
        <v/>
      </c>
      <c r="GFJ23" s="50" t="str">
        <f t="shared" si="76"/>
        <v/>
      </c>
      <c r="GFK23" s="50" t="str">
        <f t="shared" si="76"/>
        <v/>
      </c>
      <c r="GFL23" s="50" t="str">
        <f t="shared" si="76"/>
        <v/>
      </c>
      <c r="GFM23" s="50" t="str">
        <f t="shared" si="76"/>
        <v/>
      </c>
      <c r="GFN23" s="50" t="str">
        <f t="shared" si="76"/>
        <v/>
      </c>
      <c r="GFO23" s="50" t="str">
        <f t="shared" si="76"/>
        <v/>
      </c>
      <c r="GFP23" s="50" t="str">
        <f t="shared" si="76"/>
        <v/>
      </c>
      <c r="GFQ23" s="50" t="str">
        <f t="shared" si="76"/>
        <v/>
      </c>
      <c r="GFR23" s="50" t="str">
        <f t="shared" si="76"/>
        <v/>
      </c>
      <c r="GFS23" s="50" t="str">
        <f t="shared" si="76"/>
        <v/>
      </c>
      <c r="GFT23" s="50" t="str">
        <f t="shared" si="76"/>
        <v/>
      </c>
      <c r="GFU23" s="50" t="str">
        <f t="shared" si="76"/>
        <v/>
      </c>
      <c r="GFV23" s="50" t="str">
        <f t="shared" si="76"/>
        <v/>
      </c>
      <c r="GFW23" s="50" t="str">
        <f t="shared" si="76"/>
        <v/>
      </c>
      <c r="GFX23" s="50" t="str">
        <f t="shared" si="76"/>
        <v/>
      </c>
      <c r="GFY23" s="50" t="str">
        <f t="shared" ref="GFY23:GIJ23" si="77">IFERROR(IF(GFX23+TIME(1,0,0)&lt;=$G$12,GFX23+TIME(1,0,0),""),"")</f>
        <v/>
      </c>
      <c r="GFZ23" s="50" t="str">
        <f t="shared" si="77"/>
        <v/>
      </c>
      <c r="GGA23" s="50" t="str">
        <f t="shared" si="77"/>
        <v/>
      </c>
      <c r="GGB23" s="50" t="str">
        <f t="shared" si="77"/>
        <v/>
      </c>
      <c r="GGC23" s="50" t="str">
        <f t="shared" si="77"/>
        <v/>
      </c>
      <c r="GGD23" s="50" t="str">
        <f t="shared" si="77"/>
        <v/>
      </c>
      <c r="GGE23" s="50" t="str">
        <f t="shared" si="77"/>
        <v/>
      </c>
      <c r="GGF23" s="50" t="str">
        <f t="shared" si="77"/>
        <v/>
      </c>
      <c r="GGG23" s="50" t="str">
        <f t="shared" si="77"/>
        <v/>
      </c>
      <c r="GGH23" s="50" t="str">
        <f t="shared" si="77"/>
        <v/>
      </c>
      <c r="GGI23" s="50" t="str">
        <f t="shared" si="77"/>
        <v/>
      </c>
      <c r="GGJ23" s="50" t="str">
        <f t="shared" si="77"/>
        <v/>
      </c>
      <c r="GGK23" s="50" t="str">
        <f t="shared" si="77"/>
        <v/>
      </c>
      <c r="GGL23" s="50" t="str">
        <f t="shared" si="77"/>
        <v/>
      </c>
      <c r="GGM23" s="50" t="str">
        <f t="shared" si="77"/>
        <v/>
      </c>
      <c r="GGN23" s="50" t="str">
        <f t="shared" si="77"/>
        <v/>
      </c>
      <c r="GGO23" s="50" t="str">
        <f t="shared" si="77"/>
        <v/>
      </c>
      <c r="GGP23" s="50" t="str">
        <f t="shared" si="77"/>
        <v/>
      </c>
      <c r="GGQ23" s="50" t="str">
        <f t="shared" si="77"/>
        <v/>
      </c>
      <c r="GGR23" s="50" t="str">
        <f t="shared" si="77"/>
        <v/>
      </c>
      <c r="GGS23" s="50" t="str">
        <f t="shared" si="77"/>
        <v/>
      </c>
      <c r="GGT23" s="50" t="str">
        <f t="shared" si="77"/>
        <v/>
      </c>
      <c r="GGU23" s="50" t="str">
        <f t="shared" si="77"/>
        <v/>
      </c>
      <c r="GGV23" s="50" t="str">
        <f t="shared" si="77"/>
        <v/>
      </c>
      <c r="GGW23" s="50" t="str">
        <f t="shared" si="77"/>
        <v/>
      </c>
      <c r="GGX23" s="50" t="str">
        <f t="shared" si="77"/>
        <v/>
      </c>
      <c r="GGY23" s="50" t="str">
        <f t="shared" si="77"/>
        <v/>
      </c>
      <c r="GGZ23" s="50" t="str">
        <f t="shared" si="77"/>
        <v/>
      </c>
      <c r="GHA23" s="50" t="str">
        <f t="shared" si="77"/>
        <v/>
      </c>
      <c r="GHB23" s="50" t="str">
        <f t="shared" si="77"/>
        <v/>
      </c>
      <c r="GHC23" s="50" t="str">
        <f t="shared" si="77"/>
        <v/>
      </c>
      <c r="GHD23" s="50" t="str">
        <f t="shared" si="77"/>
        <v/>
      </c>
      <c r="GHE23" s="50" t="str">
        <f t="shared" si="77"/>
        <v/>
      </c>
      <c r="GHF23" s="50" t="str">
        <f t="shared" si="77"/>
        <v/>
      </c>
      <c r="GHG23" s="50" t="str">
        <f t="shared" si="77"/>
        <v/>
      </c>
      <c r="GHH23" s="50" t="str">
        <f t="shared" si="77"/>
        <v/>
      </c>
      <c r="GHI23" s="50" t="str">
        <f t="shared" si="77"/>
        <v/>
      </c>
      <c r="GHJ23" s="50" t="str">
        <f t="shared" si="77"/>
        <v/>
      </c>
      <c r="GHK23" s="50" t="str">
        <f t="shared" si="77"/>
        <v/>
      </c>
      <c r="GHL23" s="50" t="str">
        <f t="shared" si="77"/>
        <v/>
      </c>
      <c r="GHM23" s="50" t="str">
        <f t="shared" si="77"/>
        <v/>
      </c>
      <c r="GHN23" s="50" t="str">
        <f t="shared" si="77"/>
        <v/>
      </c>
      <c r="GHO23" s="50" t="str">
        <f t="shared" si="77"/>
        <v/>
      </c>
      <c r="GHP23" s="50" t="str">
        <f t="shared" si="77"/>
        <v/>
      </c>
      <c r="GHQ23" s="50" t="str">
        <f t="shared" si="77"/>
        <v/>
      </c>
      <c r="GHR23" s="50" t="str">
        <f t="shared" si="77"/>
        <v/>
      </c>
      <c r="GHS23" s="50" t="str">
        <f t="shared" si="77"/>
        <v/>
      </c>
      <c r="GHT23" s="50" t="str">
        <f t="shared" si="77"/>
        <v/>
      </c>
      <c r="GHU23" s="50" t="str">
        <f t="shared" si="77"/>
        <v/>
      </c>
      <c r="GHV23" s="50" t="str">
        <f t="shared" si="77"/>
        <v/>
      </c>
      <c r="GHW23" s="50" t="str">
        <f t="shared" si="77"/>
        <v/>
      </c>
      <c r="GHX23" s="50" t="str">
        <f t="shared" si="77"/>
        <v/>
      </c>
      <c r="GHY23" s="50" t="str">
        <f t="shared" si="77"/>
        <v/>
      </c>
      <c r="GHZ23" s="50" t="str">
        <f t="shared" si="77"/>
        <v/>
      </c>
      <c r="GIA23" s="50" t="str">
        <f t="shared" si="77"/>
        <v/>
      </c>
      <c r="GIB23" s="50" t="str">
        <f t="shared" si="77"/>
        <v/>
      </c>
      <c r="GIC23" s="50" t="str">
        <f t="shared" si="77"/>
        <v/>
      </c>
      <c r="GID23" s="50" t="str">
        <f t="shared" si="77"/>
        <v/>
      </c>
      <c r="GIE23" s="50" t="str">
        <f t="shared" si="77"/>
        <v/>
      </c>
      <c r="GIF23" s="50" t="str">
        <f t="shared" si="77"/>
        <v/>
      </c>
      <c r="GIG23" s="50" t="str">
        <f t="shared" si="77"/>
        <v/>
      </c>
      <c r="GIH23" s="50" t="str">
        <f t="shared" si="77"/>
        <v/>
      </c>
      <c r="GII23" s="50" t="str">
        <f t="shared" si="77"/>
        <v/>
      </c>
      <c r="GIJ23" s="50" t="str">
        <f t="shared" si="77"/>
        <v/>
      </c>
      <c r="GIK23" s="50" t="str">
        <f t="shared" ref="GIK23:GKV23" si="78">IFERROR(IF(GIJ23+TIME(1,0,0)&lt;=$G$12,GIJ23+TIME(1,0,0),""),"")</f>
        <v/>
      </c>
      <c r="GIL23" s="50" t="str">
        <f t="shared" si="78"/>
        <v/>
      </c>
      <c r="GIM23" s="50" t="str">
        <f t="shared" si="78"/>
        <v/>
      </c>
      <c r="GIN23" s="50" t="str">
        <f t="shared" si="78"/>
        <v/>
      </c>
      <c r="GIO23" s="50" t="str">
        <f t="shared" si="78"/>
        <v/>
      </c>
      <c r="GIP23" s="50" t="str">
        <f t="shared" si="78"/>
        <v/>
      </c>
      <c r="GIQ23" s="50" t="str">
        <f t="shared" si="78"/>
        <v/>
      </c>
      <c r="GIR23" s="50" t="str">
        <f t="shared" si="78"/>
        <v/>
      </c>
      <c r="GIS23" s="50" t="str">
        <f t="shared" si="78"/>
        <v/>
      </c>
      <c r="GIT23" s="50" t="str">
        <f t="shared" si="78"/>
        <v/>
      </c>
      <c r="GIU23" s="50" t="str">
        <f t="shared" si="78"/>
        <v/>
      </c>
      <c r="GIV23" s="50" t="str">
        <f t="shared" si="78"/>
        <v/>
      </c>
      <c r="GIW23" s="50" t="str">
        <f t="shared" si="78"/>
        <v/>
      </c>
      <c r="GIX23" s="50" t="str">
        <f t="shared" si="78"/>
        <v/>
      </c>
      <c r="GIY23" s="50" t="str">
        <f t="shared" si="78"/>
        <v/>
      </c>
      <c r="GIZ23" s="50" t="str">
        <f t="shared" si="78"/>
        <v/>
      </c>
      <c r="GJA23" s="50" t="str">
        <f t="shared" si="78"/>
        <v/>
      </c>
      <c r="GJB23" s="50" t="str">
        <f t="shared" si="78"/>
        <v/>
      </c>
      <c r="GJC23" s="50" t="str">
        <f t="shared" si="78"/>
        <v/>
      </c>
      <c r="GJD23" s="50" t="str">
        <f t="shared" si="78"/>
        <v/>
      </c>
      <c r="GJE23" s="50" t="str">
        <f t="shared" si="78"/>
        <v/>
      </c>
      <c r="GJF23" s="50" t="str">
        <f t="shared" si="78"/>
        <v/>
      </c>
      <c r="GJG23" s="50" t="str">
        <f t="shared" si="78"/>
        <v/>
      </c>
      <c r="GJH23" s="50" t="str">
        <f t="shared" si="78"/>
        <v/>
      </c>
      <c r="GJI23" s="50" t="str">
        <f t="shared" si="78"/>
        <v/>
      </c>
      <c r="GJJ23" s="50" t="str">
        <f t="shared" si="78"/>
        <v/>
      </c>
      <c r="GJK23" s="50" t="str">
        <f t="shared" si="78"/>
        <v/>
      </c>
      <c r="GJL23" s="50" t="str">
        <f t="shared" si="78"/>
        <v/>
      </c>
      <c r="GJM23" s="50" t="str">
        <f t="shared" si="78"/>
        <v/>
      </c>
      <c r="GJN23" s="50" t="str">
        <f t="shared" si="78"/>
        <v/>
      </c>
      <c r="GJO23" s="50" t="str">
        <f t="shared" si="78"/>
        <v/>
      </c>
      <c r="GJP23" s="50" t="str">
        <f t="shared" si="78"/>
        <v/>
      </c>
      <c r="GJQ23" s="50" t="str">
        <f t="shared" si="78"/>
        <v/>
      </c>
      <c r="GJR23" s="50" t="str">
        <f t="shared" si="78"/>
        <v/>
      </c>
      <c r="GJS23" s="50" t="str">
        <f t="shared" si="78"/>
        <v/>
      </c>
      <c r="GJT23" s="50" t="str">
        <f t="shared" si="78"/>
        <v/>
      </c>
      <c r="GJU23" s="50" t="str">
        <f t="shared" si="78"/>
        <v/>
      </c>
      <c r="GJV23" s="50" t="str">
        <f t="shared" si="78"/>
        <v/>
      </c>
      <c r="GJW23" s="50" t="str">
        <f t="shared" si="78"/>
        <v/>
      </c>
      <c r="GJX23" s="50" t="str">
        <f t="shared" si="78"/>
        <v/>
      </c>
      <c r="GJY23" s="50" t="str">
        <f t="shared" si="78"/>
        <v/>
      </c>
      <c r="GJZ23" s="50" t="str">
        <f t="shared" si="78"/>
        <v/>
      </c>
      <c r="GKA23" s="50" t="str">
        <f t="shared" si="78"/>
        <v/>
      </c>
      <c r="GKB23" s="50" t="str">
        <f t="shared" si="78"/>
        <v/>
      </c>
      <c r="GKC23" s="50" t="str">
        <f t="shared" si="78"/>
        <v/>
      </c>
      <c r="GKD23" s="50" t="str">
        <f t="shared" si="78"/>
        <v/>
      </c>
      <c r="GKE23" s="50" t="str">
        <f t="shared" si="78"/>
        <v/>
      </c>
      <c r="GKF23" s="50" t="str">
        <f t="shared" si="78"/>
        <v/>
      </c>
      <c r="GKG23" s="50" t="str">
        <f t="shared" si="78"/>
        <v/>
      </c>
      <c r="GKH23" s="50" t="str">
        <f t="shared" si="78"/>
        <v/>
      </c>
      <c r="GKI23" s="50" t="str">
        <f t="shared" si="78"/>
        <v/>
      </c>
      <c r="GKJ23" s="50" t="str">
        <f t="shared" si="78"/>
        <v/>
      </c>
      <c r="GKK23" s="50" t="str">
        <f t="shared" si="78"/>
        <v/>
      </c>
      <c r="GKL23" s="50" t="str">
        <f t="shared" si="78"/>
        <v/>
      </c>
      <c r="GKM23" s="50" t="str">
        <f t="shared" si="78"/>
        <v/>
      </c>
      <c r="GKN23" s="50" t="str">
        <f t="shared" si="78"/>
        <v/>
      </c>
      <c r="GKO23" s="50" t="str">
        <f t="shared" si="78"/>
        <v/>
      </c>
      <c r="GKP23" s="50" t="str">
        <f t="shared" si="78"/>
        <v/>
      </c>
      <c r="GKQ23" s="50" t="str">
        <f t="shared" si="78"/>
        <v/>
      </c>
      <c r="GKR23" s="50" t="str">
        <f t="shared" si="78"/>
        <v/>
      </c>
      <c r="GKS23" s="50" t="str">
        <f t="shared" si="78"/>
        <v/>
      </c>
      <c r="GKT23" s="50" t="str">
        <f t="shared" si="78"/>
        <v/>
      </c>
      <c r="GKU23" s="50" t="str">
        <f t="shared" si="78"/>
        <v/>
      </c>
      <c r="GKV23" s="50" t="str">
        <f t="shared" si="78"/>
        <v/>
      </c>
      <c r="GKW23" s="50" t="str">
        <f t="shared" ref="GKW23:GNH23" si="79">IFERROR(IF(GKV23+TIME(1,0,0)&lt;=$G$12,GKV23+TIME(1,0,0),""),"")</f>
        <v/>
      </c>
      <c r="GKX23" s="50" t="str">
        <f t="shared" si="79"/>
        <v/>
      </c>
      <c r="GKY23" s="50" t="str">
        <f t="shared" si="79"/>
        <v/>
      </c>
      <c r="GKZ23" s="50" t="str">
        <f t="shared" si="79"/>
        <v/>
      </c>
      <c r="GLA23" s="50" t="str">
        <f t="shared" si="79"/>
        <v/>
      </c>
      <c r="GLB23" s="50" t="str">
        <f t="shared" si="79"/>
        <v/>
      </c>
      <c r="GLC23" s="50" t="str">
        <f t="shared" si="79"/>
        <v/>
      </c>
      <c r="GLD23" s="50" t="str">
        <f t="shared" si="79"/>
        <v/>
      </c>
      <c r="GLE23" s="50" t="str">
        <f t="shared" si="79"/>
        <v/>
      </c>
      <c r="GLF23" s="50" t="str">
        <f t="shared" si="79"/>
        <v/>
      </c>
      <c r="GLG23" s="50" t="str">
        <f t="shared" si="79"/>
        <v/>
      </c>
      <c r="GLH23" s="50" t="str">
        <f t="shared" si="79"/>
        <v/>
      </c>
      <c r="GLI23" s="50" t="str">
        <f t="shared" si="79"/>
        <v/>
      </c>
      <c r="GLJ23" s="50" t="str">
        <f t="shared" si="79"/>
        <v/>
      </c>
      <c r="GLK23" s="50" t="str">
        <f t="shared" si="79"/>
        <v/>
      </c>
      <c r="GLL23" s="50" t="str">
        <f t="shared" si="79"/>
        <v/>
      </c>
      <c r="GLM23" s="50" t="str">
        <f t="shared" si="79"/>
        <v/>
      </c>
      <c r="GLN23" s="50" t="str">
        <f t="shared" si="79"/>
        <v/>
      </c>
      <c r="GLO23" s="50" t="str">
        <f t="shared" si="79"/>
        <v/>
      </c>
      <c r="GLP23" s="50" t="str">
        <f t="shared" si="79"/>
        <v/>
      </c>
      <c r="GLQ23" s="50" t="str">
        <f t="shared" si="79"/>
        <v/>
      </c>
      <c r="GLR23" s="50" t="str">
        <f t="shared" si="79"/>
        <v/>
      </c>
      <c r="GLS23" s="50" t="str">
        <f t="shared" si="79"/>
        <v/>
      </c>
      <c r="GLT23" s="50" t="str">
        <f t="shared" si="79"/>
        <v/>
      </c>
      <c r="GLU23" s="50" t="str">
        <f t="shared" si="79"/>
        <v/>
      </c>
      <c r="GLV23" s="50" t="str">
        <f t="shared" si="79"/>
        <v/>
      </c>
      <c r="GLW23" s="50" t="str">
        <f t="shared" si="79"/>
        <v/>
      </c>
      <c r="GLX23" s="50" t="str">
        <f t="shared" si="79"/>
        <v/>
      </c>
      <c r="GLY23" s="50" t="str">
        <f t="shared" si="79"/>
        <v/>
      </c>
      <c r="GLZ23" s="50" t="str">
        <f t="shared" si="79"/>
        <v/>
      </c>
      <c r="GMA23" s="50" t="str">
        <f t="shared" si="79"/>
        <v/>
      </c>
      <c r="GMB23" s="50" t="str">
        <f t="shared" si="79"/>
        <v/>
      </c>
      <c r="GMC23" s="50" t="str">
        <f t="shared" si="79"/>
        <v/>
      </c>
      <c r="GMD23" s="50" t="str">
        <f t="shared" si="79"/>
        <v/>
      </c>
      <c r="GME23" s="50" t="str">
        <f t="shared" si="79"/>
        <v/>
      </c>
      <c r="GMF23" s="50" t="str">
        <f t="shared" si="79"/>
        <v/>
      </c>
      <c r="GMG23" s="50" t="str">
        <f t="shared" si="79"/>
        <v/>
      </c>
      <c r="GMH23" s="50" t="str">
        <f t="shared" si="79"/>
        <v/>
      </c>
      <c r="GMI23" s="50" t="str">
        <f t="shared" si="79"/>
        <v/>
      </c>
      <c r="GMJ23" s="50" t="str">
        <f t="shared" si="79"/>
        <v/>
      </c>
      <c r="GMK23" s="50" t="str">
        <f t="shared" si="79"/>
        <v/>
      </c>
      <c r="GML23" s="50" t="str">
        <f t="shared" si="79"/>
        <v/>
      </c>
      <c r="GMM23" s="50" t="str">
        <f t="shared" si="79"/>
        <v/>
      </c>
      <c r="GMN23" s="50" t="str">
        <f t="shared" si="79"/>
        <v/>
      </c>
      <c r="GMO23" s="50" t="str">
        <f t="shared" si="79"/>
        <v/>
      </c>
      <c r="GMP23" s="50" t="str">
        <f t="shared" si="79"/>
        <v/>
      </c>
      <c r="GMQ23" s="50" t="str">
        <f t="shared" si="79"/>
        <v/>
      </c>
      <c r="GMR23" s="50" t="str">
        <f t="shared" si="79"/>
        <v/>
      </c>
      <c r="GMS23" s="50" t="str">
        <f t="shared" si="79"/>
        <v/>
      </c>
      <c r="GMT23" s="50" t="str">
        <f t="shared" si="79"/>
        <v/>
      </c>
      <c r="GMU23" s="50" t="str">
        <f t="shared" si="79"/>
        <v/>
      </c>
      <c r="GMV23" s="50" t="str">
        <f t="shared" si="79"/>
        <v/>
      </c>
      <c r="GMW23" s="50" t="str">
        <f t="shared" si="79"/>
        <v/>
      </c>
      <c r="GMX23" s="50" t="str">
        <f t="shared" si="79"/>
        <v/>
      </c>
      <c r="GMY23" s="50" t="str">
        <f t="shared" si="79"/>
        <v/>
      </c>
      <c r="GMZ23" s="50" t="str">
        <f t="shared" si="79"/>
        <v/>
      </c>
      <c r="GNA23" s="50" t="str">
        <f t="shared" si="79"/>
        <v/>
      </c>
      <c r="GNB23" s="50" t="str">
        <f t="shared" si="79"/>
        <v/>
      </c>
      <c r="GNC23" s="50" t="str">
        <f t="shared" si="79"/>
        <v/>
      </c>
      <c r="GND23" s="50" t="str">
        <f t="shared" si="79"/>
        <v/>
      </c>
      <c r="GNE23" s="50" t="str">
        <f t="shared" si="79"/>
        <v/>
      </c>
      <c r="GNF23" s="50" t="str">
        <f t="shared" si="79"/>
        <v/>
      </c>
      <c r="GNG23" s="50" t="str">
        <f t="shared" si="79"/>
        <v/>
      </c>
      <c r="GNH23" s="50" t="str">
        <f t="shared" si="79"/>
        <v/>
      </c>
      <c r="GNI23" s="50" t="str">
        <f t="shared" ref="GNI23:GPT23" si="80">IFERROR(IF(GNH23+TIME(1,0,0)&lt;=$G$12,GNH23+TIME(1,0,0),""),"")</f>
        <v/>
      </c>
      <c r="GNJ23" s="50" t="str">
        <f t="shared" si="80"/>
        <v/>
      </c>
      <c r="GNK23" s="50" t="str">
        <f t="shared" si="80"/>
        <v/>
      </c>
      <c r="GNL23" s="50" t="str">
        <f t="shared" si="80"/>
        <v/>
      </c>
      <c r="GNM23" s="50" t="str">
        <f t="shared" si="80"/>
        <v/>
      </c>
      <c r="GNN23" s="50" t="str">
        <f t="shared" si="80"/>
        <v/>
      </c>
      <c r="GNO23" s="50" t="str">
        <f t="shared" si="80"/>
        <v/>
      </c>
      <c r="GNP23" s="50" t="str">
        <f t="shared" si="80"/>
        <v/>
      </c>
      <c r="GNQ23" s="50" t="str">
        <f t="shared" si="80"/>
        <v/>
      </c>
      <c r="GNR23" s="50" t="str">
        <f t="shared" si="80"/>
        <v/>
      </c>
      <c r="GNS23" s="50" t="str">
        <f t="shared" si="80"/>
        <v/>
      </c>
      <c r="GNT23" s="50" t="str">
        <f t="shared" si="80"/>
        <v/>
      </c>
      <c r="GNU23" s="50" t="str">
        <f t="shared" si="80"/>
        <v/>
      </c>
      <c r="GNV23" s="50" t="str">
        <f t="shared" si="80"/>
        <v/>
      </c>
      <c r="GNW23" s="50" t="str">
        <f t="shared" si="80"/>
        <v/>
      </c>
      <c r="GNX23" s="50" t="str">
        <f t="shared" si="80"/>
        <v/>
      </c>
      <c r="GNY23" s="50" t="str">
        <f t="shared" si="80"/>
        <v/>
      </c>
      <c r="GNZ23" s="50" t="str">
        <f t="shared" si="80"/>
        <v/>
      </c>
      <c r="GOA23" s="50" t="str">
        <f t="shared" si="80"/>
        <v/>
      </c>
      <c r="GOB23" s="50" t="str">
        <f t="shared" si="80"/>
        <v/>
      </c>
      <c r="GOC23" s="50" t="str">
        <f t="shared" si="80"/>
        <v/>
      </c>
      <c r="GOD23" s="50" t="str">
        <f t="shared" si="80"/>
        <v/>
      </c>
      <c r="GOE23" s="50" t="str">
        <f t="shared" si="80"/>
        <v/>
      </c>
      <c r="GOF23" s="50" t="str">
        <f t="shared" si="80"/>
        <v/>
      </c>
      <c r="GOG23" s="50" t="str">
        <f t="shared" si="80"/>
        <v/>
      </c>
      <c r="GOH23" s="50" t="str">
        <f t="shared" si="80"/>
        <v/>
      </c>
      <c r="GOI23" s="50" t="str">
        <f t="shared" si="80"/>
        <v/>
      </c>
      <c r="GOJ23" s="50" t="str">
        <f t="shared" si="80"/>
        <v/>
      </c>
      <c r="GOK23" s="50" t="str">
        <f t="shared" si="80"/>
        <v/>
      </c>
      <c r="GOL23" s="50" t="str">
        <f t="shared" si="80"/>
        <v/>
      </c>
      <c r="GOM23" s="50" t="str">
        <f t="shared" si="80"/>
        <v/>
      </c>
      <c r="GON23" s="50" t="str">
        <f t="shared" si="80"/>
        <v/>
      </c>
      <c r="GOO23" s="50" t="str">
        <f t="shared" si="80"/>
        <v/>
      </c>
      <c r="GOP23" s="50" t="str">
        <f t="shared" si="80"/>
        <v/>
      </c>
      <c r="GOQ23" s="50" t="str">
        <f t="shared" si="80"/>
        <v/>
      </c>
      <c r="GOR23" s="50" t="str">
        <f t="shared" si="80"/>
        <v/>
      </c>
      <c r="GOS23" s="50" t="str">
        <f t="shared" si="80"/>
        <v/>
      </c>
      <c r="GOT23" s="50" t="str">
        <f t="shared" si="80"/>
        <v/>
      </c>
      <c r="GOU23" s="50" t="str">
        <f t="shared" si="80"/>
        <v/>
      </c>
      <c r="GOV23" s="50" t="str">
        <f t="shared" si="80"/>
        <v/>
      </c>
      <c r="GOW23" s="50" t="str">
        <f t="shared" si="80"/>
        <v/>
      </c>
      <c r="GOX23" s="50" t="str">
        <f t="shared" si="80"/>
        <v/>
      </c>
      <c r="GOY23" s="50" t="str">
        <f t="shared" si="80"/>
        <v/>
      </c>
      <c r="GOZ23" s="50" t="str">
        <f t="shared" si="80"/>
        <v/>
      </c>
      <c r="GPA23" s="50" t="str">
        <f t="shared" si="80"/>
        <v/>
      </c>
      <c r="GPB23" s="50" t="str">
        <f t="shared" si="80"/>
        <v/>
      </c>
      <c r="GPC23" s="50" t="str">
        <f t="shared" si="80"/>
        <v/>
      </c>
      <c r="GPD23" s="50" t="str">
        <f t="shared" si="80"/>
        <v/>
      </c>
      <c r="GPE23" s="50" t="str">
        <f t="shared" si="80"/>
        <v/>
      </c>
      <c r="GPF23" s="50" t="str">
        <f t="shared" si="80"/>
        <v/>
      </c>
      <c r="GPG23" s="50" t="str">
        <f t="shared" si="80"/>
        <v/>
      </c>
      <c r="GPH23" s="50" t="str">
        <f t="shared" si="80"/>
        <v/>
      </c>
      <c r="GPI23" s="50" t="str">
        <f t="shared" si="80"/>
        <v/>
      </c>
      <c r="GPJ23" s="50" t="str">
        <f t="shared" si="80"/>
        <v/>
      </c>
      <c r="GPK23" s="50" t="str">
        <f t="shared" si="80"/>
        <v/>
      </c>
      <c r="GPL23" s="50" t="str">
        <f t="shared" si="80"/>
        <v/>
      </c>
      <c r="GPM23" s="50" t="str">
        <f t="shared" si="80"/>
        <v/>
      </c>
      <c r="GPN23" s="50" t="str">
        <f t="shared" si="80"/>
        <v/>
      </c>
      <c r="GPO23" s="50" t="str">
        <f t="shared" si="80"/>
        <v/>
      </c>
      <c r="GPP23" s="50" t="str">
        <f t="shared" si="80"/>
        <v/>
      </c>
      <c r="GPQ23" s="50" t="str">
        <f t="shared" si="80"/>
        <v/>
      </c>
      <c r="GPR23" s="50" t="str">
        <f t="shared" si="80"/>
        <v/>
      </c>
      <c r="GPS23" s="50" t="str">
        <f t="shared" si="80"/>
        <v/>
      </c>
      <c r="GPT23" s="50" t="str">
        <f t="shared" si="80"/>
        <v/>
      </c>
      <c r="GPU23" s="50" t="str">
        <f t="shared" ref="GPU23:GSF23" si="81">IFERROR(IF(GPT23+TIME(1,0,0)&lt;=$G$12,GPT23+TIME(1,0,0),""),"")</f>
        <v/>
      </c>
      <c r="GPV23" s="50" t="str">
        <f t="shared" si="81"/>
        <v/>
      </c>
      <c r="GPW23" s="50" t="str">
        <f t="shared" si="81"/>
        <v/>
      </c>
      <c r="GPX23" s="50" t="str">
        <f t="shared" si="81"/>
        <v/>
      </c>
      <c r="GPY23" s="50" t="str">
        <f t="shared" si="81"/>
        <v/>
      </c>
      <c r="GPZ23" s="50" t="str">
        <f t="shared" si="81"/>
        <v/>
      </c>
      <c r="GQA23" s="50" t="str">
        <f t="shared" si="81"/>
        <v/>
      </c>
      <c r="GQB23" s="50" t="str">
        <f t="shared" si="81"/>
        <v/>
      </c>
      <c r="GQC23" s="50" t="str">
        <f t="shared" si="81"/>
        <v/>
      </c>
      <c r="GQD23" s="50" t="str">
        <f t="shared" si="81"/>
        <v/>
      </c>
      <c r="GQE23" s="50" t="str">
        <f t="shared" si="81"/>
        <v/>
      </c>
      <c r="GQF23" s="50" t="str">
        <f t="shared" si="81"/>
        <v/>
      </c>
      <c r="GQG23" s="50" t="str">
        <f t="shared" si="81"/>
        <v/>
      </c>
      <c r="GQH23" s="50" t="str">
        <f t="shared" si="81"/>
        <v/>
      </c>
      <c r="GQI23" s="50" t="str">
        <f t="shared" si="81"/>
        <v/>
      </c>
      <c r="GQJ23" s="50" t="str">
        <f t="shared" si="81"/>
        <v/>
      </c>
      <c r="GQK23" s="50" t="str">
        <f t="shared" si="81"/>
        <v/>
      </c>
      <c r="GQL23" s="50" t="str">
        <f t="shared" si="81"/>
        <v/>
      </c>
      <c r="GQM23" s="50" t="str">
        <f t="shared" si="81"/>
        <v/>
      </c>
      <c r="GQN23" s="50" t="str">
        <f t="shared" si="81"/>
        <v/>
      </c>
      <c r="GQO23" s="50" t="str">
        <f t="shared" si="81"/>
        <v/>
      </c>
      <c r="GQP23" s="50" t="str">
        <f t="shared" si="81"/>
        <v/>
      </c>
      <c r="GQQ23" s="50" t="str">
        <f t="shared" si="81"/>
        <v/>
      </c>
      <c r="GQR23" s="50" t="str">
        <f t="shared" si="81"/>
        <v/>
      </c>
      <c r="GQS23" s="50" t="str">
        <f t="shared" si="81"/>
        <v/>
      </c>
      <c r="GQT23" s="50" t="str">
        <f t="shared" si="81"/>
        <v/>
      </c>
      <c r="GQU23" s="50" t="str">
        <f t="shared" si="81"/>
        <v/>
      </c>
      <c r="GQV23" s="50" t="str">
        <f t="shared" si="81"/>
        <v/>
      </c>
      <c r="GQW23" s="50" t="str">
        <f t="shared" si="81"/>
        <v/>
      </c>
      <c r="GQX23" s="50" t="str">
        <f t="shared" si="81"/>
        <v/>
      </c>
      <c r="GQY23" s="50" t="str">
        <f t="shared" si="81"/>
        <v/>
      </c>
      <c r="GQZ23" s="50" t="str">
        <f t="shared" si="81"/>
        <v/>
      </c>
      <c r="GRA23" s="50" t="str">
        <f t="shared" si="81"/>
        <v/>
      </c>
      <c r="GRB23" s="50" t="str">
        <f t="shared" si="81"/>
        <v/>
      </c>
      <c r="GRC23" s="50" t="str">
        <f t="shared" si="81"/>
        <v/>
      </c>
      <c r="GRD23" s="50" t="str">
        <f t="shared" si="81"/>
        <v/>
      </c>
      <c r="GRE23" s="50" t="str">
        <f t="shared" si="81"/>
        <v/>
      </c>
      <c r="GRF23" s="50" t="str">
        <f t="shared" si="81"/>
        <v/>
      </c>
      <c r="GRG23" s="50" t="str">
        <f t="shared" si="81"/>
        <v/>
      </c>
      <c r="GRH23" s="50" t="str">
        <f t="shared" si="81"/>
        <v/>
      </c>
      <c r="GRI23" s="50" t="str">
        <f t="shared" si="81"/>
        <v/>
      </c>
      <c r="GRJ23" s="50" t="str">
        <f t="shared" si="81"/>
        <v/>
      </c>
      <c r="GRK23" s="50" t="str">
        <f t="shared" si="81"/>
        <v/>
      </c>
      <c r="GRL23" s="50" t="str">
        <f t="shared" si="81"/>
        <v/>
      </c>
      <c r="GRM23" s="50" t="str">
        <f t="shared" si="81"/>
        <v/>
      </c>
      <c r="GRN23" s="50" t="str">
        <f t="shared" si="81"/>
        <v/>
      </c>
      <c r="GRO23" s="50" t="str">
        <f t="shared" si="81"/>
        <v/>
      </c>
      <c r="GRP23" s="50" t="str">
        <f t="shared" si="81"/>
        <v/>
      </c>
      <c r="GRQ23" s="50" t="str">
        <f t="shared" si="81"/>
        <v/>
      </c>
      <c r="GRR23" s="50" t="str">
        <f t="shared" si="81"/>
        <v/>
      </c>
      <c r="GRS23" s="50" t="str">
        <f t="shared" si="81"/>
        <v/>
      </c>
      <c r="GRT23" s="50" t="str">
        <f t="shared" si="81"/>
        <v/>
      </c>
      <c r="GRU23" s="50" t="str">
        <f t="shared" si="81"/>
        <v/>
      </c>
      <c r="GRV23" s="50" t="str">
        <f t="shared" si="81"/>
        <v/>
      </c>
      <c r="GRW23" s="50" t="str">
        <f t="shared" si="81"/>
        <v/>
      </c>
      <c r="GRX23" s="50" t="str">
        <f t="shared" si="81"/>
        <v/>
      </c>
      <c r="GRY23" s="50" t="str">
        <f t="shared" si="81"/>
        <v/>
      </c>
      <c r="GRZ23" s="50" t="str">
        <f t="shared" si="81"/>
        <v/>
      </c>
      <c r="GSA23" s="50" t="str">
        <f t="shared" si="81"/>
        <v/>
      </c>
      <c r="GSB23" s="50" t="str">
        <f t="shared" si="81"/>
        <v/>
      </c>
      <c r="GSC23" s="50" t="str">
        <f t="shared" si="81"/>
        <v/>
      </c>
      <c r="GSD23" s="50" t="str">
        <f t="shared" si="81"/>
        <v/>
      </c>
      <c r="GSE23" s="50" t="str">
        <f t="shared" si="81"/>
        <v/>
      </c>
      <c r="GSF23" s="50" t="str">
        <f t="shared" si="81"/>
        <v/>
      </c>
      <c r="GSG23" s="50" t="str">
        <f t="shared" ref="GSG23:GUR23" si="82">IFERROR(IF(GSF23+TIME(1,0,0)&lt;=$G$12,GSF23+TIME(1,0,0),""),"")</f>
        <v/>
      </c>
      <c r="GSH23" s="50" t="str">
        <f t="shared" si="82"/>
        <v/>
      </c>
      <c r="GSI23" s="50" t="str">
        <f t="shared" si="82"/>
        <v/>
      </c>
      <c r="GSJ23" s="50" t="str">
        <f t="shared" si="82"/>
        <v/>
      </c>
      <c r="GSK23" s="50" t="str">
        <f t="shared" si="82"/>
        <v/>
      </c>
      <c r="GSL23" s="50" t="str">
        <f t="shared" si="82"/>
        <v/>
      </c>
      <c r="GSM23" s="50" t="str">
        <f t="shared" si="82"/>
        <v/>
      </c>
      <c r="GSN23" s="50" t="str">
        <f t="shared" si="82"/>
        <v/>
      </c>
      <c r="GSO23" s="50" t="str">
        <f t="shared" si="82"/>
        <v/>
      </c>
      <c r="GSP23" s="50" t="str">
        <f t="shared" si="82"/>
        <v/>
      </c>
      <c r="GSQ23" s="50" t="str">
        <f t="shared" si="82"/>
        <v/>
      </c>
      <c r="GSR23" s="50" t="str">
        <f t="shared" si="82"/>
        <v/>
      </c>
      <c r="GSS23" s="50" t="str">
        <f t="shared" si="82"/>
        <v/>
      </c>
      <c r="GST23" s="50" t="str">
        <f t="shared" si="82"/>
        <v/>
      </c>
      <c r="GSU23" s="50" t="str">
        <f t="shared" si="82"/>
        <v/>
      </c>
      <c r="GSV23" s="50" t="str">
        <f t="shared" si="82"/>
        <v/>
      </c>
      <c r="GSW23" s="50" t="str">
        <f t="shared" si="82"/>
        <v/>
      </c>
      <c r="GSX23" s="50" t="str">
        <f t="shared" si="82"/>
        <v/>
      </c>
      <c r="GSY23" s="50" t="str">
        <f t="shared" si="82"/>
        <v/>
      </c>
      <c r="GSZ23" s="50" t="str">
        <f t="shared" si="82"/>
        <v/>
      </c>
      <c r="GTA23" s="50" t="str">
        <f t="shared" si="82"/>
        <v/>
      </c>
      <c r="GTB23" s="50" t="str">
        <f t="shared" si="82"/>
        <v/>
      </c>
      <c r="GTC23" s="50" t="str">
        <f t="shared" si="82"/>
        <v/>
      </c>
      <c r="GTD23" s="50" t="str">
        <f t="shared" si="82"/>
        <v/>
      </c>
      <c r="GTE23" s="50" t="str">
        <f t="shared" si="82"/>
        <v/>
      </c>
      <c r="GTF23" s="50" t="str">
        <f t="shared" si="82"/>
        <v/>
      </c>
      <c r="GTG23" s="50" t="str">
        <f t="shared" si="82"/>
        <v/>
      </c>
      <c r="GTH23" s="50" t="str">
        <f t="shared" si="82"/>
        <v/>
      </c>
      <c r="GTI23" s="50" t="str">
        <f t="shared" si="82"/>
        <v/>
      </c>
      <c r="GTJ23" s="50" t="str">
        <f t="shared" si="82"/>
        <v/>
      </c>
      <c r="GTK23" s="50" t="str">
        <f t="shared" si="82"/>
        <v/>
      </c>
      <c r="GTL23" s="50" t="str">
        <f t="shared" si="82"/>
        <v/>
      </c>
      <c r="GTM23" s="50" t="str">
        <f t="shared" si="82"/>
        <v/>
      </c>
      <c r="GTN23" s="50" t="str">
        <f t="shared" si="82"/>
        <v/>
      </c>
      <c r="GTO23" s="50" t="str">
        <f t="shared" si="82"/>
        <v/>
      </c>
      <c r="GTP23" s="50" t="str">
        <f t="shared" si="82"/>
        <v/>
      </c>
      <c r="GTQ23" s="50" t="str">
        <f t="shared" si="82"/>
        <v/>
      </c>
      <c r="GTR23" s="50" t="str">
        <f t="shared" si="82"/>
        <v/>
      </c>
      <c r="GTS23" s="50" t="str">
        <f t="shared" si="82"/>
        <v/>
      </c>
      <c r="GTT23" s="50" t="str">
        <f t="shared" si="82"/>
        <v/>
      </c>
      <c r="GTU23" s="50" t="str">
        <f t="shared" si="82"/>
        <v/>
      </c>
      <c r="GTV23" s="50" t="str">
        <f t="shared" si="82"/>
        <v/>
      </c>
      <c r="GTW23" s="50" t="str">
        <f t="shared" si="82"/>
        <v/>
      </c>
      <c r="GTX23" s="50" t="str">
        <f t="shared" si="82"/>
        <v/>
      </c>
      <c r="GTY23" s="50" t="str">
        <f t="shared" si="82"/>
        <v/>
      </c>
      <c r="GTZ23" s="50" t="str">
        <f t="shared" si="82"/>
        <v/>
      </c>
      <c r="GUA23" s="50" t="str">
        <f t="shared" si="82"/>
        <v/>
      </c>
      <c r="GUB23" s="50" t="str">
        <f t="shared" si="82"/>
        <v/>
      </c>
      <c r="GUC23" s="50" t="str">
        <f t="shared" si="82"/>
        <v/>
      </c>
      <c r="GUD23" s="50" t="str">
        <f t="shared" si="82"/>
        <v/>
      </c>
      <c r="GUE23" s="50" t="str">
        <f t="shared" si="82"/>
        <v/>
      </c>
      <c r="GUF23" s="50" t="str">
        <f t="shared" si="82"/>
        <v/>
      </c>
      <c r="GUG23" s="50" t="str">
        <f t="shared" si="82"/>
        <v/>
      </c>
      <c r="GUH23" s="50" t="str">
        <f t="shared" si="82"/>
        <v/>
      </c>
      <c r="GUI23" s="50" t="str">
        <f t="shared" si="82"/>
        <v/>
      </c>
      <c r="GUJ23" s="50" t="str">
        <f t="shared" si="82"/>
        <v/>
      </c>
      <c r="GUK23" s="50" t="str">
        <f t="shared" si="82"/>
        <v/>
      </c>
      <c r="GUL23" s="50" t="str">
        <f t="shared" si="82"/>
        <v/>
      </c>
      <c r="GUM23" s="50" t="str">
        <f t="shared" si="82"/>
        <v/>
      </c>
      <c r="GUN23" s="50" t="str">
        <f t="shared" si="82"/>
        <v/>
      </c>
      <c r="GUO23" s="50" t="str">
        <f t="shared" si="82"/>
        <v/>
      </c>
      <c r="GUP23" s="50" t="str">
        <f t="shared" si="82"/>
        <v/>
      </c>
      <c r="GUQ23" s="50" t="str">
        <f t="shared" si="82"/>
        <v/>
      </c>
      <c r="GUR23" s="50" t="str">
        <f t="shared" si="82"/>
        <v/>
      </c>
      <c r="GUS23" s="50" t="str">
        <f t="shared" ref="GUS23:GXD23" si="83">IFERROR(IF(GUR23+TIME(1,0,0)&lt;=$G$12,GUR23+TIME(1,0,0),""),"")</f>
        <v/>
      </c>
      <c r="GUT23" s="50" t="str">
        <f t="shared" si="83"/>
        <v/>
      </c>
      <c r="GUU23" s="50" t="str">
        <f t="shared" si="83"/>
        <v/>
      </c>
      <c r="GUV23" s="50" t="str">
        <f t="shared" si="83"/>
        <v/>
      </c>
      <c r="GUW23" s="50" t="str">
        <f t="shared" si="83"/>
        <v/>
      </c>
      <c r="GUX23" s="50" t="str">
        <f t="shared" si="83"/>
        <v/>
      </c>
      <c r="GUY23" s="50" t="str">
        <f t="shared" si="83"/>
        <v/>
      </c>
      <c r="GUZ23" s="50" t="str">
        <f t="shared" si="83"/>
        <v/>
      </c>
      <c r="GVA23" s="50" t="str">
        <f t="shared" si="83"/>
        <v/>
      </c>
      <c r="GVB23" s="50" t="str">
        <f t="shared" si="83"/>
        <v/>
      </c>
      <c r="GVC23" s="50" t="str">
        <f t="shared" si="83"/>
        <v/>
      </c>
      <c r="GVD23" s="50" t="str">
        <f t="shared" si="83"/>
        <v/>
      </c>
      <c r="GVE23" s="50" t="str">
        <f t="shared" si="83"/>
        <v/>
      </c>
      <c r="GVF23" s="50" t="str">
        <f t="shared" si="83"/>
        <v/>
      </c>
      <c r="GVG23" s="50" t="str">
        <f t="shared" si="83"/>
        <v/>
      </c>
      <c r="GVH23" s="50" t="str">
        <f t="shared" si="83"/>
        <v/>
      </c>
      <c r="GVI23" s="50" t="str">
        <f t="shared" si="83"/>
        <v/>
      </c>
      <c r="GVJ23" s="50" t="str">
        <f t="shared" si="83"/>
        <v/>
      </c>
      <c r="GVK23" s="50" t="str">
        <f t="shared" si="83"/>
        <v/>
      </c>
      <c r="GVL23" s="50" t="str">
        <f t="shared" si="83"/>
        <v/>
      </c>
      <c r="GVM23" s="50" t="str">
        <f t="shared" si="83"/>
        <v/>
      </c>
      <c r="GVN23" s="50" t="str">
        <f t="shared" si="83"/>
        <v/>
      </c>
      <c r="GVO23" s="50" t="str">
        <f t="shared" si="83"/>
        <v/>
      </c>
      <c r="GVP23" s="50" t="str">
        <f t="shared" si="83"/>
        <v/>
      </c>
      <c r="GVQ23" s="50" t="str">
        <f t="shared" si="83"/>
        <v/>
      </c>
      <c r="GVR23" s="50" t="str">
        <f t="shared" si="83"/>
        <v/>
      </c>
      <c r="GVS23" s="50" t="str">
        <f t="shared" si="83"/>
        <v/>
      </c>
      <c r="GVT23" s="50" t="str">
        <f t="shared" si="83"/>
        <v/>
      </c>
      <c r="GVU23" s="50" t="str">
        <f t="shared" si="83"/>
        <v/>
      </c>
      <c r="GVV23" s="50" t="str">
        <f t="shared" si="83"/>
        <v/>
      </c>
      <c r="GVW23" s="50" t="str">
        <f t="shared" si="83"/>
        <v/>
      </c>
      <c r="GVX23" s="50" t="str">
        <f t="shared" si="83"/>
        <v/>
      </c>
      <c r="GVY23" s="50" t="str">
        <f t="shared" si="83"/>
        <v/>
      </c>
      <c r="GVZ23" s="50" t="str">
        <f t="shared" si="83"/>
        <v/>
      </c>
      <c r="GWA23" s="50" t="str">
        <f t="shared" si="83"/>
        <v/>
      </c>
      <c r="GWB23" s="50" t="str">
        <f t="shared" si="83"/>
        <v/>
      </c>
      <c r="GWC23" s="50" t="str">
        <f t="shared" si="83"/>
        <v/>
      </c>
      <c r="GWD23" s="50" t="str">
        <f t="shared" si="83"/>
        <v/>
      </c>
      <c r="GWE23" s="50" t="str">
        <f t="shared" si="83"/>
        <v/>
      </c>
      <c r="GWF23" s="50" t="str">
        <f t="shared" si="83"/>
        <v/>
      </c>
      <c r="GWG23" s="50" t="str">
        <f t="shared" si="83"/>
        <v/>
      </c>
      <c r="GWH23" s="50" t="str">
        <f t="shared" si="83"/>
        <v/>
      </c>
      <c r="GWI23" s="50" t="str">
        <f t="shared" si="83"/>
        <v/>
      </c>
      <c r="GWJ23" s="50" t="str">
        <f t="shared" si="83"/>
        <v/>
      </c>
      <c r="GWK23" s="50" t="str">
        <f t="shared" si="83"/>
        <v/>
      </c>
      <c r="GWL23" s="50" t="str">
        <f t="shared" si="83"/>
        <v/>
      </c>
      <c r="GWM23" s="50" t="str">
        <f t="shared" si="83"/>
        <v/>
      </c>
      <c r="GWN23" s="50" t="str">
        <f t="shared" si="83"/>
        <v/>
      </c>
      <c r="GWO23" s="50" t="str">
        <f t="shared" si="83"/>
        <v/>
      </c>
      <c r="GWP23" s="50" t="str">
        <f t="shared" si="83"/>
        <v/>
      </c>
      <c r="GWQ23" s="50" t="str">
        <f t="shared" si="83"/>
        <v/>
      </c>
      <c r="GWR23" s="50" t="str">
        <f t="shared" si="83"/>
        <v/>
      </c>
      <c r="GWS23" s="50" t="str">
        <f t="shared" si="83"/>
        <v/>
      </c>
      <c r="GWT23" s="50" t="str">
        <f t="shared" si="83"/>
        <v/>
      </c>
      <c r="GWU23" s="50" t="str">
        <f t="shared" si="83"/>
        <v/>
      </c>
      <c r="GWV23" s="50" t="str">
        <f t="shared" si="83"/>
        <v/>
      </c>
      <c r="GWW23" s="50" t="str">
        <f t="shared" si="83"/>
        <v/>
      </c>
      <c r="GWX23" s="50" t="str">
        <f t="shared" si="83"/>
        <v/>
      </c>
      <c r="GWY23" s="50" t="str">
        <f t="shared" si="83"/>
        <v/>
      </c>
      <c r="GWZ23" s="50" t="str">
        <f t="shared" si="83"/>
        <v/>
      </c>
      <c r="GXA23" s="50" t="str">
        <f t="shared" si="83"/>
        <v/>
      </c>
      <c r="GXB23" s="50" t="str">
        <f t="shared" si="83"/>
        <v/>
      </c>
      <c r="GXC23" s="50" t="str">
        <f t="shared" si="83"/>
        <v/>
      </c>
      <c r="GXD23" s="50" t="str">
        <f t="shared" si="83"/>
        <v/>
      </c>
      <c r="GXE23" s="50" t="str">
        <f t="shared" ref="GXE23:GZP23" si="84">IFERROR(IF(GXD23+TIME(1,0,0)&lt;=$G$12,GXD23+TIME(1,0,0),""),"")</f>
        <v/>
      </c>
      <c r="GXF23" s="50" t="str">
        <f t="shared" si="84"/>
        <v/>
      </c>
      <c r="GXG23" s="50" t="str">
        <f t="shared" si="84"/>
        <v/>
      </c>
      <c r="GXH23" s="50" t="str">
        <f t="shared" si="84"/>
        <v/>
      </c>
      <c r="GXI23" s="50" t="str">
        <f t="shared" si="84"/>
        <v/>
      </c>
      <c r="GXJ23" s="50" t="str">
        <f t="shared" si="84"/>
        <v/>
      </c>
      <c r="GXK23" s="50" t="str">
        <f t="shared" si="84"/>
        <v/>
      </c>
      <c r="GXL23" s="50" t="str">
        <f t="shared" si="84"/>
        <v/>
      </c>
      <c r="GXM23" s="50" t="str">
        <f t="shared" si="84"/>
        <v/>
      </c>
      <c r="GXN23" s="50" t="str">
        <f t="shared" si="84"/>
        <v/>
      </c>
      <c r="GXO23" s="50" t="str">
        <f t="shared" si="84"/>
        <v/>
      </c>
      <c r="GXP23" s="50" t="str">
        <f t="shared" si="84"/>
        <v/>
      </c>
      <c r="GXQ23" s="50" t="str">
        <f t="shared" si="84"/>
        <v/>
      </c>
      <c r="GXR23" s="50" t="str">
        <f t="shared" si="84"/>
        <v/>
      </c>
      <c r="GXS23" s="50" t="str">
        <f t="shared" si="84"/>
        <v/>
      </c>
      <c r="GXT23" s="50" t="str">
        <f t="shared" si="84"/>
        <v/>
      </c>
      <c r="GXU23" s="50" t="str">
        <f t="shared" si="84"/>
        <v/>
      </c>
      <c r="GXV23" s="50" t="str">
        <f t="shared" si="84"/>
        <v/>
      </c>
      <c r="GXW23" s="50" t="str">
        <f t="shared" si="84"/>
        <v/>
      </c>
      <c r="GXX23" s="50" t="str">
        <f t="shared" si="84"/>
        <v/>
      </c>
      <c r="GXY23" s="50" t="str">
        <f t="shared" si="84"/>
        <v/>
      </c>
      <c r="GXZ23" s="50" t="str">
        <f t="shared" si="84"/>
        <v/>
      </c>
      <c r="GYA23" s="50" t="str">
        <f t="shared" si="84"/>
        <v/>
      </c>
      <c r="GYB23" s="50" t="str">
        <f t="shared" si="84"/>
        <v/>
      </c>
      <c r="GYC23" s="50" t="str">
        <f t="shared" si="84"/>
        <v/>
      </c>
      <c r="GYD23" s="50" t="str">
        <f t="shared" si="84"/>
        <v/>
      </c>
      <c r="GYE23" s="50" t="str">
        <f t="shared" si="84"/>
        <v/>
      </c>
      <c r="GYF23" s="50" t="str">
        <f t="shared" si="84"/>
        <v/>
      </c>
      <c r="GYG23" s="50" t="str">
        <f t="shared" si="84"/>
        <v/>
      </c>
      <c r="GYH23" s="50" t="str">
        <f t="shared" si="84"/>
        <v/>
      </c>
      <c r="GYI23" s="50" t="str">
        <f t="shared" si="84"/>
        <v/>
      </c>
      <c r="GYJ23" s="50" t="str">
        <f t="shared" si="84"/>
        <v/>
      </c>
      <c r="GYK23" s="50" t="str">
        <f t="shared" si="84"/>
        <v/>
      </c>
      <c r="GYL23" s="50" t="str">
        <f t="shared" si="84"/>
        <v/>
      </c>
      <c r="GYM23" s="50" t="str">
        <f t="shared" si="84"/>
        <v/>
      </c>
      <c r="GYN23" s="50" t="str">
        <f t="shared" si="84"/>
        <v/>
      </c>
      <c r="GYO23" s="50" t="str">
        <f t="shared" si="84"/>
        <v/>
      </c>
      <c r="GYP23" s="50" t="str">
        <f t="shared" si="84"/>
        <v/>
      </c>
      <c r="GYQ23" s="50" t="str">
        <f t="shared" si="84"/>
        <v/>
      </c>
      <c r="GYR23" s="50" t="str">
        <f t="shared" si="84"/>
        <v/>
      </c>
      <c r="GYS23" s="50" t="str">
        <f t="shared" si="84"/>
        <v/>
      </c>
      <c r="GYT23" s="50" t="str">
        <f t="shared" si="84"/>
        <v/>
      </c>
      <c r="GYU23" s="50" t="str">
        <f t="shared" si="84"/>
        <v/>
      </c>
      <c r="GYV23" s="50" t="str">
        <f t="shared" si="84"/>
        <v/>
      </c>
      <c r="GYW23" s="50" t="str">
        <f t="shared" si="84"/>
        <v/>
      </c>
      <c r="GYX23" s="50" t="str">
        <f t="shared" si="84"/>
        <v/>
      </c>
      <c r="GYY23" s="50" t="str">
        <f t="shared" si="84"/>
        <v/>
      </c>
      <c r="GYZ23" s="50" t="str">
        <f t="shared" si="84"/>
        <v/>
      </c>
      <c r="GZA23" s="50" t="str">
        <f t="shared" si="84"/>
        <v/>
      </c>
      <c r="GZB23" s="50" t="str">
        <f t="shared" si="84"/>
        <v/>
      </c>
      <c r="GZC23" s="50" t="str">
        <f t="shared" si="84"/>
        <v/>
      </c>
      <c r="GZD23" s="50" t="str">
        <f t="shared" si="84"/>
        <v/>
      </c>
      <c r="GZE23" s="50" t="str">
        <f t="shared" si="84"/>
        <v/>
      </c>
      <c r="GZF23" s="50" t="str">
        <f t="shared" si="84"/>
        <v/>
      </c>
      <c r="GZG23" s="50" t="str">
        <f t="shared" si="84"/>
        <v/>
      </c>
      <c r="GZH23" s="50" t="str">
        <f t="shared" si="84"/>
        <v/>
      </c>
      <c r="GZI23" s="50" t="str">
        <f t="shared" si="84"/>
        <v/>
      </c>
      <c r="GZJ23" s="50" t="str">
        <f t="shared" si="84"/>
        <v/>
      </c>
      <c r="GZK23" s="50" t="str">
        <f t="shared" si="84"/>
        <v/>
      </c>
      <c r="GZL23" s="50" t="str">
        <f t="shared" si="84"/>
        <v/>
      </c>
      <c r="GZM23" s="50" t="str">
        <f t="shared" si="84"/>
        <v/>
      </c>
      <c r="GZN23" s="50" t="str">
        <f t="shared" si="84"/>
        <v/>
      </c>
      <c r="GZO23" s="50" t="str">
        <f t="shared" si="84"/>
        <v/>
      </c>
      <c r="GZP23" s="50" t="str">
        <f t="shared" si="84"/>
        <v/>
      </c>
      <c r="GZQ23" s="50" t="str">
        <f t="shared" ref="GZQ23:HCB23" si="85">IFERROR(IF(GZP23+TIME(1,0,0)&lt;=$G$12,GZP23+TIME(1,0,0),""),"")</f>
        <v/>
      </c>
      <c r="GZR23" s="50" t="str">
        <f t="shared" si="85"/>
        <v/>
      </c>
      <c r="GZS23" s="50" t="str">
        <f t="shared" si="85"/>
        <v/>
      </c>
      <c r="GZT23" s="50" t="str">
        <f t="shared" si="85"/>
        <v/>
      </c>
      <c r="GZU23" s="50" t="str">
        <f t="shared" si="85"/>
        <v/>
      </c>
      <c r="GZV23" s="50" t="str">
        <f t="shared" si="85"/>
        <v/>
      </c>
      <c r="GZW23" s="50" t="str">
        <f t="shared" si="85"/>
        <v/>
      </c>
      <c r="GZX23" s="50" t="str">
        <f t="shared" si="85"/>
        <v/>
      </c>
      <c r="GZY23" s="50" t="str">
        <f t="shared" si="85"/>
        <v/>
      </c>
      <c r="GZZ23" s="50" t="str">
        <f t="shared" si="85"/>
        <v/>
      </c>
      <c r="HAA23" s="50" t="str">
        <f t="shared" si="85"/>
        <v/>
      </c>
      <c r="HAB23" s="50" t="str">
        <f t="shared" si="85"/>
        <v/>
      </c>
      <c r="HAC23" s="50" t="str">
        <f t="shared" si="85"/>
        <v/>
      </c>
      <c r="HAD23" s="50" t="str">
        <f t="shared" si="85"/>
        <v/>
      </c>
      <c r="HAE23" s="50" t="str">
        <f t="shared" si="85"/>
        <v/>
      </c>
      <c r="HAF23" s="50" t="str">
        <f t="shared" si="85"/>
        <v/>
      </c>
      <c r="HAG23" s="50" t="str">
        <f t="shared" si="85"/>
        <v/>
      </c>
      <c r="HAH23" s="50" t="str">
        <f t="shared" si="85"/>
        <v/>
      </c>
      <c r="HAI23" s="50" t="str">
        <f t="shared" si="85"/>
        <v/>
      </c>
      <c r="HAJ23" s="50" t="str">
        <f t="shared" si="85"/>
        <v/>
      </c>
      <c r="HAK23" s="50" t="str">
        <f t="shared" si="85"/>
        <v/>
      </c>
      <c r="HAL23" s="50" t="str">
        <f t="shared" si="85"/>
        <v/>
      </c>
      <c r="HAM23" s="50" t="str">
        <f t="shared" si="85"/>
        <v/>
      </c>
      <c r="HAN23" s="50" t="str">
        <f t="shared" si="85"/>
        <v/>
      </c>
      <c r="HAO23" s="50" t="str">
        <f t="shared" si="85"/>
        <v/>
      </c>
      <c r="HAP23" s="50" t="str">
        <f t="shared" si="85"/>
        <v/>
      </c>
      <c r="HAQ23" s="50" t="str">
        <f t="shared" si="85"/>
        <v/>
      </c>
      <c r="HAR23" s="50" t="str">
        <f t="shared" si="85"/>
        <v/>
      </c>
      <c r="HAS23" s="50" t="str">
        <f t="shared" si="85"/>
        <v/>
      </c>
      <c r="HAT23" s="50" t="str">
        <f t="shared" si="85"/>
        <v/>
      </c>
      <c r="HAU23" s="50" t="str">
        <f t="shared" si="85"/>
        <v/>
      </c>
      <c r="HAV23" s="50" t="str">
        <f t="shared" si="85"/>
        <v/>
      </c>
      <c r="HAW23" s="50" t="str">
        <f t="shared" si="85"/>
        <v/>
      </c>
      <c r="HAX23" s="50" t="str">
        <f t="shared" si="85"/>
        <v/>
      </c>
      <c r="HAY23" s="50" t="str">
        <f t="shared" si="85"/>
        <v/>
      </c>
      <c r="HAZ23" s="50" t="str">
        <f t="shared" si="85"/>
        <v/>
      </c>
      <c r="HBA23" s="50" t="str">
        <f t="shared" si="85"/>
        <v/>
      </c>
      <c r="HBB23" s="50" t="str">
        <f t="shared" si="85"/>
        <v/>
      </c>
      <c r="HBC23" s="50" t="str">
        <f t="shared" si="85"/>
        <v/>
      </c>
      <c r="HBD23" s="50" t="str">
        <f t="shared" si="85"/>
        <v/>
      </c>
      <c r="HBE23" s="50" t="str">
        <f t="shared" si="85"/>
        <v/>
      </c>
      <c r="HBF23" s="50" t="str">
        <f t="shared" si="85"/>
        <v/>
      </c>
      <c r="HBG23" s="50" t="str">
        <f t="shared" si="85"/>
        <v/>
      </c>
      <c r="HBH23" s="50" t="str">
        <f t="shared" si="85"/>
        <v/>
      </c>
      <c r="HBI23" s="50" t="str">
        <f t="shared" si="85"/>
        <v/>
      </c>
      <c r="HBJ23" s="50" t="str">
        <f t="shared" si="85"/>
        <v/>
      </c>
      <c r="HBK23" s="50" t="str">
        <f t="shared" si="85"/>
        <v/>
      </c>
      <c r="HBL23" s="50" t="str">
        <f t="shared" si="85"/>
        <v/>
      </c>
      <c r="HBM23" s="50" t="str">
        <f t="shared" si="85"/>
        <v/>
      </c>
      <c r="HBN23" s="50" t="str">
        <f t="shared" si="85"/>
        <v/>
      </c>
      <c r="HBO23" s="50" t="str">
        <f t="shared" si="85"/>
        <v/>
      </c>
      <c r="HBP23" s="50" t="str">
        <f t="shared" si="85"/>
        <v/>
      </c>
      <c r="HBQ23" s="50" t="str">
        <f t="shared" si="85"/>
        <v/>
      </c>
      <c r="HBR23" s="50" t="str">
        <f t="shared" si="85"/>
        <v/>
      </c>
      <c r="HBS23" s="50" t="str">
        <f t="shared" si="85"/>
        <v/>
      </c>
      <c r="HBT23" s="50" t="str">
        <f t="shared" si="85"/>
        <v/>
      </c>
      <c r="HBU23" s="50" t="str">
        <f t="shared" si="85"/>
        <v/>
      </c>
      <c r="HBV23" s="50" t="str">
        <f t="shared" si="85"/>
        <v/>
      </c>
      <c r="HBW23" s="50" t="str">
        <f t="shared" si="85"/>
        <v/>
      </c>
      <c r="HBX23" s="50" t="str">
        <f t="shared" si="85"/>
        <v/>
      </c>
      <c r="HBY23" s="50" t="str">
        <f t="shared" si="85"/>
        <v/>
      </c>
      <c r="HBZ23" s="50" t="str">
        <f t="shared" si="85"/>
        <v/>
      </c>
      <c r="HCA23" s="50" t="str">
        <f t="shared" si="85"/>
        <v/>
      </c>
      <c r="HCB23" s="50" t="str">
        <f t="shared" si="85"/>
        <v/>
      </c>
      <c r="HCC23" s="50" t="str">
        <f t="shared" ref="HCC23:HEN23" si="86">IFERROR(IF(HCB23+TIME(1,0,0)&lt;=$G$12,HCB23+TIME(1,0,0),""),"")</f>
        <v/>
      </c>
      <c r="HCD23" s="50" t="str">
        <f t="shared" si="86"/>
        <v/>
      </c>
      <c r="HCE23" s="50" t="str">
        <f t="shared" si="86"/>
        <v/>
      </c>
      <c r="HCF23" s="50" t="str">
        <f t="shared" si="86"/>
        <v/>
      </c>
      <c r="HCG23" s="50" t="str">
        <f t="shared" si="86"/>
        <v/>
      </c>
      <c r="HCH23" s="50" t="str">
        <f t="shared" si="86"/>
        <v/>
      </c>
      <c r="HCI23" s="50" t="str">
        <f t="shared" si="86"/>
        <v/>
      </c>
      <c r="HCJ23" s="50" t="str">
        <f t="shared" si="86"/>
        <v/>
      </c>
      <c r="HCK23" s="50" t="str">
        <f t="shared" si="86"/>
        <v/>
      </c>
      <c r="HCL23" s="50" t="str">
        <f t="shared" si="86"/>
        <v/>
      </c>
      <c r="HCM23" s="50" t="str">
        <f t="shared" si="86"/>
        <v/>
      </c>
      <c r="HCN23" s="50" t="str">
        <f t="shared" si="86"/>
        <v/>
      </c>
      <c r="HCO23" s="50" t="str">
        <f t="shared" si="86"/>
        <v/>
      </c>
      <c r="HCP23" s="50" t="str">
        <f t="shared" si="86"/>
        <v/>
      </c>
      <c r="HCQ23" s="50" t="str">
        <f t="shared" si="86"/>
        <v/>
      </c>
      <c r="HCR23" s="50" t="str">
        <f t="shared" si="86"/>
        <v/>
      </c>
      <c r="HCS23" s="50" t="str">
        <f t="shared" si="86"/>
        <v/>
      </c>
      <c r="HCT23" s="50" t="str">
        <f t="shared" si="86"/>
        <v/>
      </c>
      <c r="HCU23" s="50" t="str">
        <f t="shared" si="86"/>
        <v/>
      </c>
      <c r="HCV23" s="50" t="str">
        <f t="shared" si="86"/>
        <v/>
      </c>
      <c r="HCW23" s="50" t="str">
        <f t="shared" si="86"/>
        <v/>
      </c>
      <c r="HCX23" s="50" t="str">
        <f t="shared" si="86"/>
        <v/>
      </c>
      <c r="HCY23" s="50" t="str">
        <f t="shared" si="86"/>
        <v/>
      </c>
      <c r="HCZ23" s="50" t="str">
        <f t="shared" si="86"/>
        <v/>
      </c>
      <c r="HDA23" s="50" t="str">
        <f t="shared" si="86"/>
        <v/>
      </c>
      <c r="HDB23" s="50" t="str">
        <f t="shared" si="86"/>
        <v/>
      </c>
      <c r="HDC23" s="50" t="str">
        <f t="shared" si="86"/>
        <v/>
      </c>
      <c r="HDD23" s="50" t="str">
        <f t="shared" si="86"/>
        <v/>
      </c>
      <c r="HDE23" s="50" t="str">
        <f t="shared" si="86"/>
        <v/>
      </c>
      <c r="HDF23" s="50" t="str">
        <f t="shared" si="86"/>
        <v/>
      </c>
      <c r="HDG23" s="50" t="str">
        <f t="shared" si="86"/>
        <v/>
      </c>
      <c r="HDH23" s="50" t="str">
        <f t="shared" si="86"/>
        <v/>
      </c>
      <c r="HDI23" s="50" t="str">
        <f t="shared" si="86"/>
        <v/>
      </c>
      <c r="HDJ23" s="50" t="str">
        <f t="shared" si="86"/>
        <v/>
      </c>
      <c r="HDK23" s="50" t="str">
        <f t="shared" si="86"/>
        <v/>
      </c>
      <c r="HDL23" s="50" t="str">
        <f t="shared" si="86"/>
        <v/>
      </c>
      <c r="HDM23" s="50" t="str">
        <f t="shared" si="86"/>
        <v/>
      </c>
      <c r="HDN23" s="50" t="str">
        <f t="shared" si="86"/>
        <v/>
      </c>
      <c r="HDO23" s="50" t="str">
        <f t="shared" si="86"/>
        <v/>
      </c>
      <c r="HDP23" s="50" t="str">
        <f t="shared" si="86"/>
        <v/>
      </c>
      <c r="HDQ23" s="50" t="str">
        <f t="shared" si="86"/>
        <v/>
      </c>
      <c r="HDR23" s="50" t="str">
        <f t="shared" si="86"/>
        <v/>
      </c>
      <c r="HDS23" s="50" t="str">
        <f t="shared" si="86"/>
        <v/>
      </c>
      <c r="HDT23" s="50" t="str">
        <f t="shared" si="86"/>
        <v/>
      </c>
      <c r="HDU23" s="50" t="str">
        <f t="shared" si="86"/>
        <v/>
      </c>
      <c r="HDV23" s="50" t="str">
        <f t="shared" si="86"/>
        <v/>
      </c>
      <c r="HDW23" s="50" t="str">
        <f t="shared" si="86"/>
        <v/>
      </c>
      <c r="HDX23" s="50" t="str">
        <f t="shared" si="86"/>
        <v/>
      </c>
      <c r="HDY23" s="50" t="str">
        <f t="shared" si="86"/>
        <v/>
      </c>
      <c r="HDZ23" s="50" t="str">
        <f t="shared" si="86"/>
        <v/>
      </c>
      <c r="HEA23" s="50" t="str">
        <f t="shared" si="86"/>
        <v/>
      </c>
      <c r="HEB23" s="50" t="str">
        <f t="shared" si="86"/>
        <v/>
      </c>
      <c r="HEC23" s="50" t="str">
        <f t="shared" si="86"/>
        <v/>
      </c>
      <c r="HED23" s="50" t="str">
        <f t="shared" si="86"/>
        <v/>
      </c>
      <c r="HEE23" s="50" t="str">
        <f t="shared" si="86"/>
        <v/>
      </c>
      <c r="HEF23" s="50" t="str">
        <f t="shared" si="86"/>
        <v/>
      </c>
      <c r="HEG23" s="50" t="str">
        <f t="shared" si="86"/>
        <v/>
      </c>
      <c r="HEH23" s="50" t="str">
        <f t="shared" si="86"/>
        <v/>
      </c>
      <c r="HEI23" s="50" t="str">
        <f t="shared" si="86"/>
        <v/>
      </c>
      <c r="HEJ23" s="50" t="str">
        <f t="shared" si="86"/>
        <v/>
      </c>
      <c r="HEK23" s="50" t="str">
        <f t="shared" si="86"/>
        <v/>
      </c>
      <c r="HEL23" s="50" t="str">
        <f t="shared" si="86"/>
        <v/>
      </c>
      <c r="HEM23" s="50" t="str">
        <f t="shared" si="86"/>
        <v/>
      </c>
      <c r="HEN23" s="50" t="str">
        <f t="shared" si="86"/>
        <v/>
      </c>
      <c r="HEO23" s="50" t="str">
        <f t="shared" ref="HEO23:HGZ23" si="87">IFERROR(IF(HEN23+TIME(1,0,0)&lt;=$G$12,HEN23+TIME(1,0,0),""),"")</f>
        <v/>
      </c>
      <c r="HEP23" s="50" t="str">
        <f t="shared" si="87"/>
        <v/>
      </c>
      <c r="HEQ23" s="50" t="str">
        <f t="shared" si="87"/>
        <v/>
      </c>
      <c r="HER23" s="50" t="str">
        <f t="shared" si="87"/>
        <v/>
      </c>
      <c r="HES23" s="50" t="str">
        <f t="shared" si="87"/>
        <v/>
      </c>
      <c r="HET23" s="50" t="str">
        <f t="shared" si="87"/>
        <v/>
      </c>
      <c r="HEU23" s="50" t="str">
        <f t="shared" si="87"/>
        <v/>
      </c>
      <c r="HEV23" s="50" t="str">
        <f t="shared" si="87"/>
        <v/>
      </c>
      <c r="HEW23" s="50" t="str">
        <f t="shared" si="87"/>
        <v/>
      </c>
      <c r="HEX23" s="50" t="str">
        <f t="shared" si="87"/>
        <v/>
      </c>
      <c r="HEY23" s="50" t="str">
        <f t="shared" si="87"/>
        <v/>
      </c>
      <c r="HEZ23" s="50" t="str">
        <f t="shared" si="87"/>
        <v/>
      </c>
      <c r="HFA23" s="50" t="str">
        <f t="shared" si="87"/>
        <v/>
      </c>
      <c r="HFB23" s="50" t="str">
        <f t="shared" si="87"/>
        <v/>
      </c>
      <c r="HFC23" s="50" t="str">
        <f t="shared" si="87"/>
        <v/>
      </c>
      <c r="HFD23" s="50" t="str">
        <f t="shared" si="87"/>
        <v/>
      </c>
      <c r="HFE23" s="50" t="str">
        <f t="shared" si="87"/>
        <v/>
      </c>
      <c r="HFF23" s="50" t="str">
        <f t="shared" si="87"/>
        <v/>
      </c>
      <c r="HFG23" s="50" t="str">
        <f t="shared" si="87"/>
        <v/>
      </c>
      <c r="HFH23" s="50" t="str">
        <f t="shared" si="87"/>
        <v/>
      </c>
      <c r="HFI23" s="50" t="str">
        <f t="shared" si="87"/>
        <v/>
      </c>
      <c r="HFJ23" s="50" t="str">
        <f t="shared" si="87"/>
        <v/>
      </c>
      <c r="HFK23" s="50" t="str">
        <f t="shared" si="87"/>
        <v/>
      </c>
      <c r="HFL23" s="50" t="str">
        <f t="shared" si="87"/>
        <v/>
      </c>
      <c r="HFM23" s="50" t="str">
        <f t="shared" si="87"/>
        <v/>
      </c>
      <c r="HFN23" s="50" t="str">
        <f t="shared" si="87"/>
        <v/>
      </c>
      <c r="HFO23" s="50" t="str">
        <f t="shared" si="87"/>
        <v/>
      </c>
      <c r="HFP23" s="50" t="str">
        <f t="shared" si="87"/>
        <v/>
      </c>
      <c r="HFQ23" s="50" t="str">
        <f t="shared" si="87"/>
        <v/>
      </c>
      <c r="HFR23" s="50" t="str">
        <f t="shared" si="87"/>
        <v/>
      </c>
      <c r="HFS23" s="50" t="str">
        <f t="shared" si="87"/>
        <v/>
      </c>
      <c r="HFT23" s="50" t="str">
        <f t="shared" si="87"/>
        <v/>
      </c>
      <c r="HFU23" s="50" t="str">
        <f t="shared" si="87"/>
        <v/>
      </c>
      <c r="HFV23" s="50" t="str">
        <f t="shared" si="87"/>
        <v/>
      </c>
      <c r="HFW23" s="50" t="str">
        <f t="shared" si="87"/>
        <v/>
      </c>
      <c r="HFX23" s="50" t="str">
        <f t="shared" si="87"/>
        <v/>
      </c>
      <c r="HFY23" s="50" t="str">
        <f t="shared" si="87"/>
        <v/>
      </c>
      <c r="HFZ23" s="50" t="str">
        <f t="shared" si="87"/>
        <v/>
      </c>
      <c r="HGA23" s="50" t="str">
        <f t="shared" si="87"/>
        <v/>
      </c>
      <c r="HGB23" s="50" t="str">
        <f t="shared" si="87"/>
        <v/>
      </c>
      <c r="HGC23" s="50" t="str">
        <f t="shared" si="87"/>
        <v/>
      </c>
      <c r="HGD23" s="50" t="str">
        <f t="shared" si="87"/>
        <v/>
      </c>
      <c r="HGE23" s="50" t="str">
        <f t="shared" si="87"/>
        <v/>
      </c>
      <c r="HGF23" s="50" t="str">
        <f t="shared" si="87"/>
        <v/>
      </c>
      <c r="HGG23" s="50" t="str">
        <f t="shared" si="87"/>
        <v/>
      </c>
      <c r="HGH23" s="50" t="str">
        <f t="shared" si="87"/>
        <v/>
      </c>
      <c r="HGI23" s="50" t="str">
        <f t="shared" si="87"/>
        <v/>
      </c>
      <c r="HGJ23" s="50" t="str">
        <f t="shared" si="87"/>
        <v/>
      </c>
      <c r="HGK23" s="50" t="str">
        <f t="shared" si="87"/>
        <v/>
      </c>
      <c r="HGL23" s="50" t="str">
        <f t="shared" si="87"/>
        <v/>
      </c>
      <c r="HGM23" s="50" t="str">
        <f t="shared" si="87"/>
        <v/>
      </c>
      <c r="HGN23" s="50" t="str">
        <f t="shared" si="87"/>
        <v/>
      </c>
      <c r="HGO23" s="50" t="str">
        <f t="shared" si="87"/>
        <v/>
      </c>
      <c r="HGP23" s="50" t="str">
        <f t="shared" si="87"/>
        <v/>
      </c>
      <c r="HGQ23" s="50" t="str">
        <f t="shared" si="87"/>
        <v/>
      </c>
      <c r="HGR23" s="50" t="str">
        <f t="shared" si="87"/>
        <v/>
      </c>
      <c r="HGS23" s="50" t="str">
        <f t="shared" si="87"/>
        <v/>
      </c>
      <c r="HGT23" s="50" t="str">
        <f t="shared" si="87"/>
        <v/>
      </c>
      <c r="HGU23" s="50" t="str">
        <f t="shared" si="87"/>
        <v/>
      </c>
      <c r="HGV23" s="50" t="str">
        <f t="shared" si="87"/>
        <v/>
      </c>
      <c r="HGW23" s="50" t="str">
        <f t="shared" si="87"/>
        <v/>
      </c>
      <c r="HGX23" s="50" t="str">
        <f t="shared" si="87"/>
        <v/>
      </c>
      <c r="HGY23" s="50" t="str">
        <f t="shared" si="87"/>
        <v/>
      </c>
      <c r="HGZ23" s="50" t="str">
        <f t="shared" si="87"/>
        <v/>
      </c>
      <c r="HHA23" s="50" t="str">
        <f t="shared" ref="HHA23:HJL23" si="88">IFERROR(IF(HGZ23+TIME(1,0,0)&lt;=$G$12,HGZ23+TIME(1,0,0),""),"")</f>
        <v/>
      </c>
      <c r="HHB23" s="50" t="str">
        <f t="shared" si="88"/>
        <v/>
      </c>
      <c r="HHC23" s="50" t="str">
        <f t="shared" si="88"/>
        <v/>
      </c>
      <c r="HHD23" s="50" t="str">
        <f t="shared" si="88"/>
        <v/>
      </c>
      <c r="HHE23" s="50" t="str">
        <f t="shared" si="88"/>
        <v/>
      </c>
      <c r="HHF23" s="50" t="str">
        <f t="shared" si="88"/>
        <v/>
      </c>
      <c r="HHG23" s="50" t="str">
        <f t="shared" si="88"/>
        <v/>
      </c>
      <c r="HHH23" s="50" t="str">
        <f t="shared" si="88"/>
        <v/>
      </c>
      <c r="HHI23" s="50" t="str">
        <f t="shared" si="88"/>
        <v/>
      </c>
      <c r="HHJ23" s="50" t="str">
        <f t="shared" si="88"/>
        <v/>
      </c>
      <c r="HHK23" s="50" t="str">
        <f t="shared" si="88"/>
        <v/>
      </c>
      <c r="HHL23" s="50" t="str">
        <f t="shared" si="88"/>
        <v/>
      </c>
      <c r="HHM23" s="50" t="str">
        <f t="shared" si="88"/>
        <v/>
      </c>
      <c r="HHN23" s="50" t="str">
        <f t="shared" si="88"/>
        <v/>
      </c>
      <c r="HHO23" s="50" t="str">
        <f t="shared" si="88"/>
        <v/>
      </c>
      <c r="HHP23" s="50" t="str">
        <f t="shared" si="88"/>
        <v/>
      </c>
      <c r="HHQ23" s="50" t="str">
        <f t="shared" si="88"/>
        <v/>
      </c>
      <c r="HHR23" s="50" t="str">
        <f t="shared" si="88"/>
        <v/>
      </c>
      <c r="HHS23" s="50" t="str">
        <f t="shared" si="88"/>
        <v/>
      </c>
      <c r="HHT23" s="50" t="str">
        <f t="shared" si="88"/>
        <v/>
      </c>
      <c r="HHU23" s="50" t="str">
        <f t="shared" si="88"/>
        <v/>
      </c>
      <c r="HHV23" s="50" t="str">
        <f t="shared" si="88"/>
        <v/>
      </c>
      <c r="HHW23" s="50" t="str">
        <f t="shared" si="88"/>
        <v/>
      </c>
      <c r="HHX23" s="50" t="str">
        <f t="shared" si="88"/>
        <v/>
      </c>
      <c r="HHY23" s="50" t="str">
        <f t="shared" si="88"/>
        <v/>
      </c>
      <c r="HHZ23" s="50" t="str">
        <f t="shared" si="88"/>
        <v/>
      </c>
      <c r="HIA23" s="50" t="str">
        <f t="shared" si="88"/>
        <v/>
      </c>
      <c r="HIB23" s="50" t="str">
        <f t="shared" si="88"/>
        <v/>
      </c>
      <c r="HIC23" s="50" t="str">
        <f t="shared" si="88"/>
        <v/>
      </c>
      <c r="HID23" s="50" t="str">
        <f t="shared" si="88"/>
        <v/>
      </c>
      <c r="HIE23" s="50" t="str">
        <f t="shared" si="88"/>
        <v/>
      </c>
      <c r="HIF23" s="50" t="str">
        <f t="shared" si="88"/>
        <v/>
      </c>
      <c r="HIG23" s="50" t="str">
        <f t="shared" si="88"/>
        <v/>
      </c>
      <c r="HIH23" s="50" t="str">
        <f t="shared" si="88"/>
        <v/>
      </c>
      <c r="HII23" s="50" t="str">
        <f t="shared" si="88"/>
        <v/>
      </c>
      <c r="HIJ23" s="50" t="str">
        <f t="shared" si="88"/>
        <v/>
      </c>
      <c r="HIK23" s="50" t="str">
        <f t="shared" si="88"/>
        <v/>
      </c>
      <c r="HIL23" s="50" t="str">
        <f t="shared" si="88"/>
        <v/>
      </c>
      <c r="HIM23" s="50" t="str">
        <f t="shared" si="88"/>
        <v/>
      </c>
      <c r="HIN23" s="50" t="str">
        <f t="shared" si="88"/>
        <v/>
      </c>
      <c r="HIO23" s="50" t="str">
        <f t="shared" si="88"/>
        <v/>
      </c>
      <c r="HIP23" s="50" t="str">
        <f t="shared" si="88"/>
        <v/>
      </c>
      <c r="HIQ23" s="50" t="str">
        <f t="shared" si="88"/>
        <v/>
      </c>
      <c r="HIR23" s="50" t="str">
        <f t="shared" si="88"/>
        <v/>
      </c>
      <c r="HIS23" s="50" t="str">
        <f t="shared" si="88"/>
        <v/>
      </c>
      <c r="HIT23" s="50" t="str">
        <f t="shared" si="88"/>
        <v/>
      </c>
      <c r="HIU23" s="50" t="str">
        <f t="shared" si="88"/>
        <v/>
      </c>
      <c r="HIV23" s="50" t="str">
        <f t="shared" si="88"/>
        <v/>
      </c>
      <c r="HIW23" s="50" t="str">
        <f t="shared" si="88"/>
        <v/>
      </c>
      <c r="HIX23" s="50" t="str">
        <f t="shared" si="88"/>
        <v/>
      </c>
      <c r="HIY23" s="50" t="str">
        <f t="shared" si="88"/>
        <v/>
      </c>
      <c r="HIZ23" s="50" t="str">
        <f t="shared" si="88"/>
        <v/>
      </c>
      <c r="HJA23" s="50" t="str">
        <f t="shared" si="88"/>
        <v/>
      </c>
      <c r="HJB23" s="50" t="str">
        <f t="shared" si="88"/>
        <v/>
      </c>
      <c r="HJC23" s="50" t="str">
        <f t="shared" si="88"/>
        <v/>
      </c>
      <c r="HJD23" s="50" t="str">
        <f t="shared" si="88"/>
        <v/>
      </c>
      <c r="HJE23" s="50" t="str">
        <f t="shared" si="88"/>
        <v/>
      </c>
      <c r="HJF23" s="50" t="str">
        <f t="shared" si="88"/>
        <v/>
      </c>
      <c r="HJG23" s="50" t="str">
        <f t="shared" si="88"/>
        <v/>
      </c>
      <c r="HJH23" s="50" t="str">
        <f t="shared" si="88"/>
        <v/>
      </c>
      <c r="HJI23" s="50" t="str">
        <f t="shared" si="88"/>
        <v/>
      </c>
      <c r="HJJ23" s="50" t="str">
        <f t="shared" si="88"/>
        <v/>
      </c>
      <c r="HJK23" s="50" t="str">
        <f t="shared" si="88"/>
        <v/>
      </c>
      <c r="HJL23" s="50" t="str">
        <f t="shared" si="88"/>
        <v/>
      </c>
      <c r="HJM23" s="50" t="str">
        <f t="shared" ref="HJM23:HLX23" si="89">IFERROR(IF(HJL23+TIME(1,0,0)&lt;=$G$12,HJL23+TIME(1,0,0),""),"")</f>
        <v/>
      </c>
      <c r="HJN23" s="50" t="str">
        <f t="shared" si="89"/>
        <v/>
      </c>
      <c r="HJO23" s="50" t="str">
        <f t="shared" si="89"/>
        <v/>
      </c>
      <c r="HJP23" s="50" t="str">
        <f t="shared" si="89"/>
        <v/>
      </c>
      <c r="HJQ23" s="50" t="str">
        <f t="shared" si="89"/>
        <v/>
      </c>
      <c r="HJR23" s="50" t="str">
        <f t="shared" si="89"/>
        <v/>
      </c>
      <c r="HJS23" s="50" t="str">
        <f t="shared" si="89"/>
        <v/>
      </c>
      <c r="HJT23" s="50" t="str">
        <f t="shared" si="89"/>
        <v/>
      </c>
      <c r="HJU23" s="50" t="str">
        <f t="shared" si="89"/>
        <v/>
      </c>
      <c r="HJV23" s="50" t="str">
        <f t="shared" si="89"/>
        <v/>
      </c>
      <c r="HJW23" s="50" t="str">
        <f t="shared" si="89"/>
        <v/>
      </c>
      <c r="HJX23" s="50" t="str">
        <f t="shared" si="89"/>
        <v/>
      </c>
      <c r="HJY23" s="50" t="str">
        <f t="shared" si="89"/>
        <v/>
      </c>
      <c r="HJZ23" s="50" t="str">
        <f t="shared" si="89"/>
        <v/>
      </c>
      <c r="HKA23" s="50" t="str">
        <f t="shared" si="89"/>
        <v/>
      </c>
      <c r="HKB23" s="50" t="str">
        <f t="shared" si="89"/>
        <v/>
      </c>
      <c r="HKC23" s="50" t="str">
        <f t="shared" si="89"/>
        <v/>
      </c>
      <c r="HKD23" s="50" t="str">
        <f t="shared" si="89"/>
        <v/>
      </c>
      <c r="HKE23" s="50" t="str">
        <f t="shared" si="89"/>
        <v/>
      </c>
      <c r="HKF23" s="50" t="str">
        <f t="shared" si="89"/>
        <v/>
      </c>
      <c r="HKG23" s="50" t="str">
        <f t="shared" si="89"/>
        <v/>
      </c>
      <c r="HKH23" s="50" t="str">
        <f t="shared" si="89"/>
        <v/>
      </c>
      <c r="HKI23" s="50" t="str">
        <f t="shared" si="89"/>
        <v/>
      </c>
      <c r="HKJ23" s="50" t="str">
        <f t="shared" si="89"/>
        <v/>
      </c>
      <c r="HKK23" s="50" t="str">
        <f t="shared" si="89"/>
        <v/>
      </c>
      <c r="HKL23" s="50" t="str">
        <f t="shared" si="89"/>
        <v/>
      </c>
      <c r="HKM23" s="50" t="str">
        <f t="shared" si="89"/>
        <v/>
      </c>
      <c r="HKN23" s="50" t="str">
        <f t="shared" si="89"/>
        <v/>
      </c>
      <c r="HKO23" s="50" t="str">
        <f t="shared" si="89"/>
        <v/>
      </c>
      <c r="HKP23" s="50" t="str">
        <f t="shared" si="89"/>
        <v/>
      </c>
      <c r="HKQ23" s="50" t="str">
        <f t="shared" si="89"/>
        <v/>
      </c>
      <c r="HKR23" s="50" t="str">
        <f t="shared" si="89"/>
        <v/>
      </c>
      <c r="HKS23" s="50" t="str">
        <f t="shared" si="89"/>
        <v/>
      </c>
      <c r="HKT23" s="50" t="str">
        <f t="shared" si="89"/>
        <v/>
      </c>
      <c r="HKU23" s="50" t="str">
        <f t="shared" si="89"/>
        <v/>
      </c>
      <c r="HKV23" s="50" t="str">
        <f t="shared" si="89"/>
        <v/>
      </c>
      <c r="HKW23" s="50" t="str">
        <f t="shared" si="89"/>
        <v/>
      </c>
      <c r="HKX23" s="50" t="str">
        <f t="shared" si="89"/>
        <v/>
      </c>
      <c r="HKY23" s="50" t="str">
        <f t="shared" si="89"/>
        <v/>
      </c>
      <c r="HKZ23" s="50" t="str">
        <f t="shared" si="89"/>
        <v/>
      </c>
      <c r="HLA23" s="50" t="str">
        <f t="shared" si="89"/>
        <v/>
      </c>
      <c r="HLB23" s="50" t="str">
        <f t="shared" si="89"/>
        <v/>
      </c>
      <c r="HLC23" s="50" t="str">
        <f t="shared" si="89"/>
        <v/>
      </c>
      <c r="HLD23" s="50" t="str">
        <f t="shared" si="89"/>
        <v/>
      </c>
      <c r="HLE23" s="50" t="str">
        <f t="shared" si="89"/>
        <v/>
      </c>
      <c r="HLF23" s="50" t="str">
        <f t="shared" si="89"/>
        <v/>
      </c>
      <c r="HLG23" s="50" t="str">
        <f t="shared" si="89"/>
        <v/>
      </c>
      <c r="HLH23" s="50" t="str">
        <f t="shared" si="89"/>
        <v/>
      </c>
      <c r="HLI23" s="50" t="str">
        <f t="shared" si="89"/>
        <v/>
      </c>
      <c r="HLJ23" s="50" t="str">
        <f t="shared" si="89"/>
        <v/>
      </c>
      <c r="HLK23" s="50" t="str">
        <f t="shared" si="89"/>
        <v/>
      </c>
      <c r="HLL23" s="50" t="str">
        <f t="shared" si="89"/>
        <v/>
      </c>
      <c r="HLM23" s="50" t="str">
        <f t="shared" si="89"/>
        <v/>
      </c>
      <c r="HLN23" s="50" t="str">
        <f t="shared" si="89"/>
        <v/>
      </c>
      <c r="HLO23" s="50" t="str">
        <f t="shared" si="89"/>
        <v/>
      </c>
      <c r="HLP23" s="50" t="str">
        <f t="shared" si="89"/>
        <v/>
      </c>
      <c r="HLQ23" s="50" t="str">
        <f t="shared" si="89"/>
        <v/>
      </c>
      <c r="HLR23" s="50" t="str">
        <f t="shared" si="89"/>
        <v/>
      </c>
      <c r="HLS23" s="50" t="str">
        <f t="shared" si="89"/>
        <v/>
      </c>
      <c r="HLT23" s="50" t="str">
        <f t="shared" si="89"/>
        <v/>
      </c>
      <c r="HLU23" s="50" t="str">
        <f t="shared" si="89"/>
        <v/>
      </c>
      <c r="HLV23" s="50" t="str">
        <f t="shared" si="89"/>
        <v/>
      </c>
      <c r="HLW23" s="50" t="str">
        <f t="shared" si="89"/>
        <v/>
      </c>
      <c r="HLX23" s="50" t="str">
        <f t="shared" si="89"/>
        <v/>
      </c>
      <c r="HLY23" s="50" t="str">
        <f t="shared" ref="HLY23:HOJ23" si="90">IFERROR(IF(HLX23+TIME(1,0,0)&lt;=$G$12,HLX23+TIME(1,0,0),""),"")</f>
        <v/>
      </c>
      <c r="HLZ23" s="50" t="str">
        <f t="shared" si="90"/>
        <v/>
      </c>
      <c r="HMA23" s="50" t="str">
        <f t="shared" si="90"/>
        <v/>
      </c>
      <c r="HMB23" s="50" t="str">
        <f t="shared" si="90"/>
        <v/>
      </c>
      <c r="HMC23" s="50" t="str">
        <f t="shared" si="90"/>
        <v/>
      </c>
      <c r="HMD23" s="50" t="str">
        <f t="shared" si="90"/>
        <v/>
      </c>
      <c r="HME23" s="50" t="str">
        <f t="shared" si="90"/>
        <v/>
      </c>
      <c r="HMF23" s="50" t="str">
        <f t="shared" si="90"/>
        <v/>
      </c>
      <c r="HMG23" s="50" t="str">
        <f t="shared" si="90"/>
        <v/>
      </c>
      <c r="HMH23" s="50" t="str">
        <f t="shared" si="90"/>
        <v/>
      </c>
      <c r="HMI23" s="50" t="str">
        <f t="shared" si="90"/>
        <v/>
      </c>
      <c r="HMJ23" s="50" t="str">
        <f t="shared" si="90"/>
        <v/>
      </c>
      <c r="HMK23" s="50" t="str">
        <f t="shared" si="90"/>
        <v/>
      </c>
      <c r="HML23" s="50" t="str">
        <f t="shared" si="90"/>
        <v/>
      </c>
      <c r="HMM23" s="50" t="str">
        <f t="shared" si="90"/>
        <v/>
      </c>
      <c r="HMN23" s="50" t="str">
        <f t="shared" si="90"/>
        <v/>
      </c>
      <c r="HMO23" s="50" t="str">
        <f t="shared" si="90"/>
        <v/>
      </c>
      <c r="HMP23" s="50" t="str">
        <f t="shared" si="90"/>
        <v/>
      </c>
      <c r="HMQ23" s="50" t="str">
        <f t="shared" si="90"/>
        <v/>
      </c>
      <c r="HMR23" s="50" t="str">
        <f t="shared" si="90"/>
        <v/>
      </c>
      <c r="HMS23" s="50" t="str">
        <f t="shared" si="90"/>
        <v/>
      </c>
      <c r="HMT23" s="50" t="str">
        <f t="shared" si="90"/>
        <v/>
      </c>
      <c r="HMU23" s="50" t="str">
        <f t="shared" si="90"/>
        <v/>
      </c>
      <c r="HMV23" s="50" t="str">
        <f t="shared" si="90"/>
        <v/>
      </c>
      <c r="HMW23" s="50" t="str">
        <f t="shared" si="90"/>
        <v/>
      </c>
      <c r="HMX23" s="50" t="str">
        <f t="shared" si="90"/>
        <v/>
      </c>
      <c r="HMY23" s="50" t="str">
        <f t="shared" si="90"/>
        <v/>
      </c>
      <c r="HMZ23" s="50" t="str">
        <f t="shared" si="90"/>
        <v/>
      </c>
      <c r="HNA23" s="50" t="str">
        <f t="shared" si="90"/>
        <v/>
      </c>
      <c r="HNB23" s="50" t="str">
        <f t="shared" si="90"/>
        <v/>
      </c>
      <c r="HNC23" s="50" t="str">
        <f t="shared" si="90"/>
        <v/>
      </c>
      <c r="HND23" s="50" t="str">
        <f t="shared" si="90"/>
        <v/>
      </c>
      <c r="HNE23" s="50" t="str">
        <f t="shared" si="90"/>
        <v/>
      </c>
      <c r="HNF23" s="50" t="str">
        <f t="shared" si="90"/>
        <v/>
      </c>
      <c r="HNG23" s="50" t="str">
        <f t="shared" si="90"/>
        <v/>
      </c>
      <c r="HNH23" s="50" t="str">
        <f t="shared" si="90"/>
        <v/>
      </c>
      <c r="HNI23" s="50" t="str">
        <f t="shared" si="90"/>
        <v/>
      </c>
      <c r="HNJ23" s="50" t="str">
        <f t="shared" si="90"/>
        <v/>
      </c>
      <c r="HNK23" s="50" t="str">
        <f t="shared" si="90"/>
        <v/>
      </c>
      <c r="HNL23" s="50" t="str">
        <f t="shared" si="90"/>
        <v/>
      </c>
      <c r="HNM23" s="50" t="str">
        <f t="shared" si="90"/>
        <v/>
      </c>
      <c r="HNN23" s="50" t="str">
        <f t="shared" si="90"/>
        <v/>
      </c>
      <c r="HNO23" s="50" t="str">
        <f t="shared" si="90"/>
        <v/>
      </c>
      <c r="HNP23" s="50" t="str">
        <f t="shared" si="90"/>
        <v/>
      </c>
      <c r="HNQ23" s="50" t="str">
        <f t="shared" si="90"/>
        <v/>
      </c>
      <c r="HNR23" s="50" t="str">
        <f t="shared" si="90"/>
        <v/>
      </c>
      <c r="HNS23" s="50" t="str">
        <f t="shared" si="90"/>
        <v/>
      </c>
      <c r="HNT23" s="50" t="str">
        <f t="shared" si="90"/>
        <v/>
      </c>
      <c r="HNU23" s="50" t="str">
        <f t="shared" si="90"/>
        <v/>
      </c>
      <c r="HNV23" s="50" t="str">
        <f t="shared" si="90"/>
        <v/>
      </c>
      <c r="HNW23" s="50" t="str">
        <f t="shared" si="90"/>
        <v/>
      </c>
      <c r="HNX23" s="50" t="str">
        <f t="shared" si="90"/>
        <v/>
      </c>
      <c r="HNY23" s="50" t="str">
        <f t="shared" si="90"/>
        <v/>
      </c>
      <c r="HNZ23" s="50" t="str">
        <f t="shared" si="90"/>
        <v/>
      </c>
      <c r="HOA23" s="50" t="str">
        <f t="shared" si="90"/>
        <v/>
      </c>
      <c r="HOB23" s="50" t="str">
        <f t="shared" si="90"/>
        <v/>
      </c>
      <c r="HOC23" s="50" t="str">
        <f t="shared" si="90"/>
        <v/>
      </c>
      <c r="HOD23" s="50" t="str">
        <f t="shared" si="90"/>
        <v/>
      </c>
      <c r="HOE23" s="50" t="str">
        <f t="shared" si="90"/>
        <v/>
      </c>
      <c r="HOF23" s="50" t="str">
        <f t="shared" si="90"/>
        <v/>
      </c>
      <c r="HOG23" s="50" t="str">
        <f t="shared" si="90"/>
        <v/>
      </c>
      <c r="HOH23" s="50" t="str">
        <f t="shared" si="90"/>
        <v/>
      </c>
      <c r="HOI23" s="50" t="str">
        <f t="shared" si="90"/>
        <v/>
      </c>
      <c r="HOJ23" s="50" t="str">
        <f t="shared" si="90"/>
        <v/>
      </c>
      <c r="HOK23" s="50" t="str">
        <f t="shared" ref="HOK23:HQV23" si="91">IFERROR(IF(HOJ23+TIME(1,0,0)&lt;=$G$12,HOJ23+TIME(1,0,0),""),"")</f>
        <v/>
      </c>
      <c r="HOL23" s="50" t="str">
        <f t="shared" si="91"/>
        <v/>
      </c>
      <c r="HOM23" s="50" t="str">
        <f t="shared" si="91"/>
        <v/>
      </c>
      <c r="HON23" s="50" t="str">
        <f t="shared" si="91"/>
        <v/>
      </c>
      <c r="HOO23" s="50" t="str">
        <f t="shared" si="91"/>
        <v/>
      </c>
      <c r="HOP23" s="50" t="str">
        <f t="shared" si="91"/>
        <v/>
      </c>
      <c r="HOQ23" s="50" t="str">
        <f t="shared" si="91"/>
        <v/>
      </c>
      <c r="HOR23" s="50" t="str">
        <f t="shared" si="91"/>
        <v/>
      </c>
      <c r="HOS23" s="50" t="str">
        <f t="shared" si="91"/>
        <v/>
      </c>
      <c r="HOT23" s="50" t="str">
        <f t="shared" si="91"/>
        <v/>
      </c>
      <c r="HOU23" s="50" t="str">
        <f t="shared" si="91"/>
        <v/>
      </c>
      <c r="HOV23" s="50" t="str">
        <f t="shared" si="91"/>
        <v/>
      </c>
      <c r="HOW23" s="50" t="str">
        <f t="shared" si="91"/>
        <v/>
      </c>
      <c r="HOX23" s="50" t="str">
        <f t="shared" si="91"/>
        <v/>
      </c>
      <c r="HOY23" s="50" t="str">
        <f t="shared" si="91"/>
        <v/>
      </c>
      <c r="HOZ23" s="50" t="str">
        <f t="shared" si="91"/>
        <v/>
      </c>
      <c r="HPA23" s="50" t="str">
        <f t="shared" si="91"/>
        <v/>
      </c>
      <c r="HPB23" s="50" t="str">
        <f t="shared" si="91"/>
        <v/>
      </c>
      <c r="HPC23" s="50" t="str">
        <f t="shared" si="91"/>
        <v/>
      </c>
      <c r="HPD23" s="50" t="str">
        <f t="shared" si="91"/>
        <v/>
      </c>
      <c r="HPE23" s="50" t="str">
        <f t="shared" si="91"/>
        <v/>
      </c>
      <c r="HPF23" s="50" t="str">
        <f t="shared" si="91"/>
        <v/>
      </c>
      <c r="HPG23" s="50" t="str">
        <f t="shared" si="91"/>
        <v/>
      </c>
      <c r="HPH23" s="50" t="str">
        <f t="shared" si="91"/>
        <v/>
      </c>
      <c r="HPI23" s="50" t="str">
        <f t="shared" si="91"/>
        <v/>
      </c>
      <c r="HPJ23" s="50" t="str">
        <f t="shared" si="91"/>
        <v/>
      </c>
      <c r="HPK23" s="50" t="str">
        <f t="shared" si="91"/>
        <v/>
      </c>
      <c r="HPL23" s="50" t="str">
        <f t="shared" si="91"/>
        <v/>
      </c>
      <c r="HPM23" s="50" t="str">
        <f t="shared" si="91"/>
        <v/>
      </c>
      <c r="HPN23" s="50" t="str">
        <f t="shared" si="91"/>
        <v/>
      </c>
      <c r="HPO23" s="50" t="str">
        <f t="shared" si="91"/>
        <v/>
      </c>
      <c r="HPP23" s="50" t="str">
        <f t="shared" si="91"/>
        <v/>
      </c>
      <c r="HPQ23" s="50" t="str">
        <f t="shared" si="91"/>
        <v/>
      </c>
      <c r="HPR23" s="50" t="str">
        <f t="shared" si="91"/>
        <v/>
      </c>
      <c r="HPS23" s="50" t="str">
        <f t="shared" si="91"/>
        <v/>
      </c>
      <c r="HPT23" s="50" t="str">
        <f t="shared" si="91"/>
        <v/>
      </c>
      <c r="HPU23" s="50" t="str">
        <f t="shared" si="91"/>
        <v/>
      </c>
      <c r="HPV23" s="50" t="str">
        <f t="shared" si="91"/>
        <v/>
      </c>
      <c r="HPW23" s="50" t="str">
        <f t="shared" si="91"/>
        <v/>
      </c>
      <c r="HPX23" s="50" t="str">
        <f t="shared" si="91"/>
        <v/>
      </c>
      <c r="HPY23" s="50" t="str">
        <f t="shared" si="91"/>
        <v/>
      </c>
      <c r="HPZ23" s="50" t="str">
        <f t="shared" si="91"/>
        <v/>
      </c>
      <c r="HQA23" s="50" t="str">
        <f t="shared" si="91"/>
        <v/>
      </c>
      <c r="HQB23" s="50" t="str">
        <f t="shared" si="91"/>
        <v/>
      </c>
      <c r="HQC23" s="50" t="str">
        <f t="shared" si="91"/>
        <v/>
      </c>
      <c r="HQD23" s="50" t="str">
        <f t="shared" si="91"/>
        <v/>
      </c>
      <c r="HQE23" s="50" t="str">
        <f t="shared" si="91"/>
        <v/>
      </c>
      <c r="HQF23" s="50" t="str">
        <f t="shared" si="91"/>
        <v/>
      </c>
      <c r="HQG23" s="50" t="str">
        <f t="shared" si="91"/>
        <v/>
      </c>
      <c r="HQH23" s="50" t="str">
        <f t="shared" si="91"/>
        <v/>
      </c>
      <c r="HQI23" s="50" t="str">
        <f t="shared" si="91"/>
        <v/>
      </c>
      <c r="HQJ23" s="50" t="str">
        <f t="shared" si="91"/>
        <v/>
      </c>
      <c r="HQK23" s="50" t="str">
        <f t="shared" si="91"/>
        <v/>
      </c>
      <c r="HQL23" s="50" t="str">
        <f t="shared" si="91"/>
        <v/>
      </c>
      <c r="HQM23" s="50" t="str">
        <f t="shared" si="91"/>
        <v/>
      </c>
      <c r="HQN23" s="50" t="str">
        <f t="shared" si="91"/>
        <v/>
      </c>
      <c r="HQO23" s="50" t="str">
        <f t="shared" si="91"/>
        <v/>
      </c>
      <c r="HQP23" s="50" t="str">
        <f t="shared" si="91"/>
        <v/>
      </c>
      <c r="HQQ23" s="50" t="str">
        <f t="shared" si="91"/>
        <v/>
      </c>
      <c r="HQR23" s="50" t="str">
        <f t="shared" si="91"/>
        <v/>
      </c>
      <c r="HQS23" s="50" t="str">
        <f t="shared" si="91"/>
        <v/>
      </c>
      <c r="HQT23" s="50" t="str">
        <f t="shared" si="91"/>
        <v/>
      </c>
      <c r="HQU23" s="50" t="str">
        <f t="shared" si="91"/>
        <v/>
      </c>
      <c r="HQV23" s="50" t="str">
        <f t="shared" si="91"/>
        <v/>
      </c>
      <c r="HQW23" s="50" t="str">
        <f t="shared" ref="HQW23:HTH23" si="92">IFERROR(IF(HQV23+TIME(1,0,0)&lt;=$G$12,HQV23+TIME(1,0,0),""),"")</f>
        <v/>
      </c>
      <c r="HQX23" s="50" t="str">
        <f t="shared" si="92"/>
        <v/>
      </c>
      <c r="HQY23" s="50" t="str">
        <f t="shared" si="92"/>
        <v/>
      </c>
      <c r="HQZ23" s="50" t="str">
        <f t="shared" si="92"/>
        <v/>
      </c>
      <c r="HRA23" s="50" t="str">
        <f t="shared" si="92"/>
        <v/>
      </c>
      <c r="HRB23" s="50" t="str">
        <f t="shared" si="92"/>
        <v/>
      </c>
      <c r="HRC23" s="50" t="str">
        <f t="shared" si="92"/>
        <v/>
      </c>
      <c r="HRD23" s="50" t="str">
        <f t="shared" si="92"/>
        <v/>
      </c>
      <c r="HRE23" s="50" t="str">
        <f t="shared" si="92"/>
        <v/>
      </c>
      <c r="HRF23" s="50" t="str">
        <f t="shared" si="92"/>
        <v/>
      </c>
      <c r="HRG23" s="50" t="str">
        <f t="shared" si="92"/>
        <v/>
      </c>
      <c r="HRH23" s="50" t="str">
        <f t="shared" si="92"/>
        <v/>
      </c>
      <c r="HRI23" s="50" t="str">
        <f t="shared" si="92"/>
        <v/>
      </c>
      <c r="HRJ23" s="50" t="str">
        <f t="shared" si="92"/>
        <v/>
      </c>
      <c r="HRK23" s="50" t="str">
        <f t="shared" si="92"/>
        <v/>
      </c>
      <c r="HRL23" s="50" t="str">
        <f t="shared" si="92"/>
        <v/>
      </c>
      <c r="HRM23" s="50" t="str">
        <f t="shared" si="92"/>
        <v/>
      </c>
      <c r="HRN23" s="50" t="str">
        <f t="shared" si="92"/>
        <v/>
      </c>
      <c r="HRO23" s="50" t="str">
        <f t="shared" si="92"/>
        <v/>
      </c>
      <c r="HRP23" s="50" t="str">
        <f t="shared" si="92"/>
        <v/>
      </c>
      <c r="HRQ23" s="50" t="str">
        <f t="shared" si="92"/>
        <v/>
      </c>
      <c r="HRR23" s="50" t="str">
        <f t="shared" si="92"/>
        <v/>
      </c>
      <c r="HRS23" s="50" t="str">
        <f t="shared" si="92"/>
        <v/>
      </c>
      <c r="HRT23" s="50" t="str">
        <f t="shared" si="92"/>
        <v/>
      </c>
      <c r="HRU23" s="50" t="str">
        <f t="shared" si="92"/>
        <v/>
      </c>
      <c r="HRV23" s="50" t="str">
        <f t="shared" si="92"/>
        <v/>
      </c>
      <c r="HRW23" s="50" t="str">
        <f t="shared" si="92"/>
        <v/>
      </c>
      <c r="HRX23" s="50" t="str">
        <f t="shared" si="92"/>
        <v/>
      </c>
      <c r="HRY23" s="50" t="str">
        <f t="shared" si="92"/>
        <v/>
      </c>
      <c r="HRZ23" s="50" t="str">
        <f t="shared" si="92"/>
        <v/>
      </c>
      <c r="HSA23" s="50" t="str">
        <f t="shared" si="92"/>
        <v/>
      </c>
      <c r="HSB23" s="50" t="str">
        <f t="shared" si="92"/>
        <v/>
      </c>
      <c r="HSC23" s="50" t="str">
        <f t="shared" si="92"/>
        <v/>
      </c>
      <c r="HSD23" s="50" t="str">
        <f t="shared" si="92"/>
        <v/>
      </c>
      <c r="HSE23" s="50" t="str">
        <f t="shared" si="92"/>
        <v/>
      </c>
      <c r="HSF23" s="50" t="str">
        <f t="shared" si="92"/>
        <v/>
      </c>
      <c r="HSG23" s="50" t="str">
        <f t="shared" si="92"/>
        <v/>
      </c>
      <c r="HSH23" s="50" t="str">
        <f t="shared" si="92"/>
        <v/>
      </c>
      <c r="HSI23" s="50" t="str">
        <f t="shared" si="92"/>
        <v/>
      </c>
      <c r="HSJ23" s="50" t="str">
        <f t="shared" si="92"/>
        <v/>
      </c>
      <c r="HSK23" s="50" t="str">
        <f t="shared" si="92"/>
        <v/>
      </c>
      <c r="HSL23" s="50" t="str">
        <f t="shared" si="92"/>
        <v/>
      </c>
      <c r="HSM23" s="50" t="str">
        <f t="shared" si="92"/>
        <v/>
      </c>
      <c r="HSN23" s="50" t="str">
        <f t="shared" si="92"/>
        <v/>
      </c>
      <c r="HSO23" s="50" t="str">
        <f t="shared" si="92"/>
        <v/>
      </c>
      <c r="HSP23" s="50" t="str">
        <f t="shared" si="92"/>
        <v/>
      </c>
      <c r="HSQ23" s="50" t="str">
        <f t="shared" si="92"/>
        <v/>
      </c>
      <c r="HSR23" s="50" t="str">
        <f t="shared" si="92"/>
        <v/>
      </c>
      <c r="HSS23" s="50" t="str">
        <f t="shared" si="92"/>
        <v/>
      </c>
      <c r="HST23" s="50" t="str">
        <f t="shared" si="92"/>
        <v/>
      </c>
      <c r="HSU23" s="50" t="str">
        <f t="shared" si="92"/>
        <v/>
      </c>
      <c r="HSV23" s="50" t="str">
        <f t="shared" si="92"/>
        <v/>
      </c>
      <c r="HSW23" s="50" t="str">
        <f t="shared" si="92"/>
        <v/>
      </c>
      <c r="HSX23" s="50" t="str">
        <f t="shared" si="92"/>
        <v/>
      </c>
      <c r="HSY23" s="50" t="str">
        <f t="shared" si="92"/>
        <v/>
      </c>
      <c r="HSZ23" s="50" t="str">
        <f t="shared" si="92"/>
        <v/>
      </c>
      <c r="HTA23" s="50" t="str">
        <f t="shared" si="92"/>
        <v/>
      </c>
      <c r="HTB23" s="50" t="str">
        <f t="shared" si="92"/>
        <v/>
      </c>
      <c r="HTC23" s="50" t="str">
        <f t="shared" si="92"/>
        <v/>
      </c>
      <c r="HTD23" s="50" t="str">
        <f t="shared" si="92"/>
        <v/>
      </c>
      <c r="HTE23" s="50" t="str">
        <f t="shared" si="92"/>
        <v/>
      </c>
      <c r="HTF23" s="50" t="str">
        <f t="shared" si="92"/>
        <v/>
      </c>
      <c r="HTG23" s="50" t="str">
        <f t="shared" si="92"/>
        <v/>
      </c>
      <c r="HTH23" s="50" t="str">
        <f t="shared" si="92"/>
        <v/>
      </c>
      <c r="HTI23" s="50" t="str">
        <f t="shared" ref="HTI23:HVT23" si="93">IFERROR(IF(HTH23+TIME(1,0,0)&lt;=$G$12,HTH23+TIME(1,0,0),""),"")</f>
        <v/>
      </c>
      <c r="HTJ23" s="50" t="str">
        <f t="shared" si="93"/>
        <v/>
      </c>
      <c r="HTK23" s="50" t="str">
        <f t="shared" si="93"/>
        <v/>
      </c>
      <c r="HTL23" s="50" t="str">
        <f t="shared" si="93"/>
        <v/>
      </c>
      <c r="HTM23" s="50" t="str">
        <f t="shared" si="93"/>
        <v/>
      </c>
      <c r="HTN23" s="50" t="str">
        <f t="shared" si="93"/>
        <v/>
      </c>
      <c r="HTO23" s="50" t="str">
        <f t="shared" si="93"/>
        <v/>
      </c>
      <c r="HTP23" s="50" t="str">
        <f t="shared" si="93"/>
        <v/>
      </c>
      <c r="HTQ23" s="50" t="str">
        <f t="shared" si="93"/>
        <v/>
      </c>
      <c r="HTR23" s="50" t="str">
        <f t="shared" si="93"/>
        <v/>
      </c>
      <c r="HTS23" s="50" t="str">
        <f t="shared" si="93"/>
        <v/>
      </c>
      <c r="HTT23" s="50" t="str">
        <f t="shared" si="93"/>
        <v/>
      </c>
      <c r="HTU23" s="50" t="str">
        <f t="shared" si="93"/>
        <v/>
      </c>
      <c r="HTV23" s="50" t="str">
        <f t="shared" si="93"/>
        <v/>
      </c>
      <c r="HTW23" s="50" t="str">
        <f t="shared" si="93"/>
        <v/>
      </c>
      <c r="HTX23" s="50" t="str">
        <f t="shared" si="93"/>
        <v/>
      </c>
      <c r="HTY23" s="50" t="str">
        <f t="shared" si="93"/>
        <v/>
      </c>
      <c r="HTZ23" s="50" t="str">
        <f t="shared" si="93"/>
        <v/>
      </c>
      <c r="HUA23" s="50" t="str">
        <f t="shared" si="93"/>
        <v/>
      </c>
      <c r="HUB23" s="50" t="str">
        <f t="shared" si="93"/>
        <v/>
      </c>
      <c r="HUC23" s="50" t="str">
        <f t="shared" si="93"/>
        <v/>
      </c>
      <c r="HUD23" s="50" t="str">
        <f t="shared" si="93"/>
        <v/>
      </c>
      <c r="HUE23" s="50" t="str">
        <f t="shared" si="93"/>
        <v/>
      </c>
      <c r="HUF23" s="50" t="str">
        <f t="shared" si="93"/>
        <v/>
      </c>
      <c r="HUG23" s="50" t="str">
        <f t="shared" si="93"/>
        <v/>
      </c>
      <c r="HUH23" s="50" t="str">
        <f t="shared" si="93"/>
        <v/>
      </c>
      <c r="HUI23" s="50" t="str">
        <f t="shared" si="93"/>
        <v/>
      </c>
      <c r="HUJ23" s="50" t="str">
        <f t="shared" si="93"/>
        <v/>
      </c>
      <c r="HUK23" s="50" t="str">
        <f t="shared" si="93"/>
        <v/>
      </c>
      <c r="HUL23" s="50" t="str">
        <f t="shared" si="93"/>
        <v/>
      </c>
      <c r="HUM23" s="50" t="str">
        <f t="shared" si="93"/>
        <v/>
      </c>
      <c r="HUN23" s="50" t="str">
        <f t="shared" si="93"/>
        <v/>
      </c>
      <c r="HUO23" s="50" t="str">
        <f t="shared" si="93"/>
        <v/>
      </c>
      <c r="HUP23" s="50" t="str">
        <f t="shared" si="93"/>
        <v/>
      </c>
      <c r="HUQ23" s="50" t="str">
        <f t="shared" si="93"/>
        <v/>
      </c>
      <c r="HUR23" s="50" t="str">
        <f t="shared" si="93"/>
        <v/>
      </c>
      <c r="HUS23" s="50" t="str">
        <f t="shared" si="93"/>
        <v/>
      </c>
      <c r="HUT23" s="50" t="str">
        <f t="shared" si="93"/>
        <v/>
      </c>
      <c r="HUU23" s="50" t="str">
        <f t="shared" si="93"/>
        <v/>
      </c>
      <c r="HUV23" s="50" t="str">
        <f t="shared" si="93"/>
        <v/>
      </c>
      <c r="HUW23" s="50" t="str">
        <f t="shared" si="93"/>
        <v/>
      </c>
      <c r="HUX23" s="50" t="str">
        <f t="shared" si="93"/>
        <v/>
      </c>
      <c r="HUY23" s="50" t="str">
        <f t="shared" si="93"/>
        <v/>
      </c>
      <c r="HUZ23" s="50" t="str">
        <f t="shared" si="93"/>
        <v/>
      </c>
      <c r="HVA23" s="50" t="str">
        <f t="shared" si="93"/>
        <v/>
      </c>
      <c r="HVB23" s="50" t="str">
        <f t="shared" si="93"/>
        <v/>
      </c>
      <c r="HVC23" s="50" t="str">
        <f t="shared" si="93"/>
        <v/>
      </c>
      <c r="HVD23" s="50" t="str">
        <f t="shared" si="93"/>
        <v/>
      </c>
      <c r="HVE23" s="50" t="str">
        <f t="shared" si="93"/>
        <v/>
      </c>
      <c r="HVF23" s="50" t="str">
        <f t="shared" si="93"/>
        <v/>
      </c>
      <c r="HVG23" s="50" t="str">
        <f t="shared" si="93"/>
        <v/>
      </c>
      <c r="HVH23" s="50" t="str">
        <f t="shared" si="93"/>
        <v/>
      </c>
      <c r="HVI23" s="50" t="str">
        <f t="shared" si="93"/>
        <v/>
      </c>
      <c r="HVJ23" s="50" t="str">
        <f t="shared" si="93"/>
        <v/>
      </c>
      <c r="HVK23" s="50" t="str">
        <f t="shared" si="93"/>
        <v/>
      </c>
      <c r="HVL23" s="50" t="str">
        <f t="shared" si="93"/>
        <v/>
      </c>
      <c r="HVM23" s="50" t="str">
        <f t="shared" si="93"/>
        <v/>
      </c>
      <c r="HVN23" s="50" t="str">
        <f t="shared" si="93"/>
        <v/>
      </c>
      <c r="HVO23" s="50" t="str">
        <f t="shared" si="93"/>
        <v/>
      </c>
      <c r="HVP23" s="50" t="str">
        <f t="shared" si="93"/>
        <v/>
      </c>
      <c r="HVQ23" s="50" t="str">
        <f t="shared" si="93"/>
        <v/>
      </c>
      <c r="HVR23" s="50" t="str">
        <f t="shared" si="93"/>
        <v/>
      </c>
      <c r="HVS23" s="50" t="str">
        <f t="shared" si="93"/>
        <v/>
      </c>
      <c r="HVT23" s="50" t="str">
        <f t="shared" si="93"/>
        <v/>
      </c>
      <c r="HVU23" s="50" t="str">
        <f t="shared" ref="HVU23:HYF23" si="94">IFERROR(IF(HVT23+TIME(1,0,0)&lt;=$G$12,HVT23+TIME(1,0,0),""),"")</f>
        <v/>
      </c>
      <c r="HVV23" s="50" t="str">
        <f t="shared" si="94"/>
        <v/>
      </c>
      <c r="HVW23" s="50" t="str">
        <f t="shared" si="94"/>
        <v/>
      </c>
      <c r="HVX23" s="50" t="str">
        <f t="shared" si="94"/>
        <v/>
      </c>
      <c r="HVY23" s="50" t="str">
        <f t="shared" si="94"/>
        <v/>
      </c>
      <c r="HVZ23" s="50" t="str">
        <f t="shared" si="94"/>
        <v/>
      </c>
      <c r="HWA23" s="50" t="str">
        <f t="shared" si="94"/>
        <v/>
      </c>
      <c r="HWB23" s="50" t="str">
        <f t="shared" si="94"/>
        <v/>
      </c>
      <c r="HWC23" s="50" t="str">
        <f t="shared" si="94"/>
        <v/>
      </c>
      <c r="HWD23" s="50" t="str">
        <f t="shared" si="94"/>
        <v/>
      </c>
      <c r="HWE23" s="50" t="str">
        <f t="shared" si="94"/>
        <v/>
      </c>
      <c r="HWF23" s="50" t="str">
        <f t="shared" si="94"/>
        <v/>
      </c>
      <c r="HWG23" s="50" t="str">
        <f t="shared" si="94"/>
        <v/>
      </c>
      <c r="HWH23" s="50" t="str">
        <f t="shared" si="94"/>
        <v/>
      </c>
      <c r="HWI23" s="50" t="str">
        <f t="shared" si="94"/>
        <v/>
      </c>
      <c r="HWJ23" s="50" t="str">
        <f t="shared" si="94"/>
        <v/>
      </c>
      <c r="HWK23" s="50" t="str">
        <f t="shared" si="94"/>
        <v/>
      </c>
      <c r="HWL23" s="50" t="str">
        <f t="shared" si="94"/>
        <v/>
      </c>
      <c r="HWM23" s="50" t="str">
        <f t="shared" si="94"/>
        <v/>
      </c>
      <c r="HWN23" s="50" t="str">
        <f t="shared" si="94"/>
        <v/>
      </c>
      <c r="HWO23" s="50" t="str">
        <f t="shared" si="94"/>
        <v/>
      </c>
      <c r="HWP23" s="50" t="str">
        <f t="shared" si="94"/>
        <v/>
      </c>
      <c r="HWQ23" s="50" t="str">
        <f t="shared" si="94"/>
        <v/>
      </c>
      <c r="HWR23" s="50" t="str">
        <f t="shared" si="94"/>
        <v/>
      </c>
      <c r="HWS23" s="50" t="str">
        <f t="shared" si="94"/>
        <v/>
      </c>
      <c r="HWT23" s="50" t="str">
        <f t="shared" si="94"/>
        <v/>
      </c>
      <c r="HWU23" s="50" t="str">
        <f t="shared" si="94"/>
        <v/>
      </c>
      <c r="HWV23" s="50" t="str">
        <f t="shared" si="94"/>
        <v/>
      </c>
      <c r="HWW23" s="50" t="str">
        <f t="shared" si="94"/>
        <v/>
      </c>
      <c r="HWX23" s="50" t="str">
        <f t="shared" si="94"/>
        <v/>
      </c>
      <c r="HWY23" s="50" t="str">
        <f t="shared" si="94"/>
        <v/>
      </c>
      <c r="HWZ23" s="50" t="str">
        <f t="shared" si="94"/>
        <v/>
      </c>
      <c r="HXA23" s="50" t="str">
        <f t="shared" si="94"/>
        <v/>
      </c>
      <c r="HXB23" s="50" t="str">
        <f t="shared" si="94"/>
        <v/>
      </c>
      <c r="HXC23" s="50" t="str">
        <f t="shared" si="94"/>
        <v/>
      </c>
      <c r="HXD23" s="50" t="str">
        <f t="shared" si="94"/>
        <v/>
      </c>
      <c r="HXE23" s="50" t="str">
        <f t="shared" si="94"/>
        <v/>
      </c>
      <c r="HXF23" s="50" t="str">
        <f t="shared" si="94"/>
        <v/>
      </c>
      <c r="HXG23" s="50" t="str">
        <f t="shared" si="94"/>
        <v/>
      </c>
      <c r="HXH23" s="50" t="str">
        <f t="shared" si="94"/>
        <v/>
      </c>
      <c r="HXI23" s="50" t="str">
        <f t="shared" si="94"/>
        <v/>
      </c>
      <c r="HXJ23" s="50" t="str">
        <f t="shared" si="94"/>
        <v/>
      </c>
      <c r="HXK23" s="50" t="str">
        <f t="shared" si="94"/>
        <v/>
      </c>
      <c r="HXL23" s="50" t="str">
        <f t="shared" si="94"/>
        <v/>
      </c>
      <c r="HXM23" s="50" t="str">
        <f t="shared" si="94"/>
        <v/>
      </c>
      <c r="HXN23" s="50" t="str">
        <f t="shared" si="94"/>
        <v/>
      </c>
      <c r="HXO23" s="50" t="str">
        <f t="shared" si="94"/>
        <v/>
      </c>
      <c r="HXP23" s="50" t="str">
        <f t="shared" si="94"/>
        <v/>
      </c>
      <c r="HXQ23" s="50" t="str">
        <f t="shared" si="94"/>
        <v/>
      </c>
      <c r="HXR23" s="50" t="str">
        <f t="shared" si="94"/>
        <v/>
      </c>
      <c r="HXS23" s="50" t="str">
        <f t="shared" si="94"/>
        <v/>
      </c>
      <c r="HXT23" s="50" t="str">
        <f t="shared" si="94"/>
        <v/>
      </c>
      <c r="HXU23" s="50" t="str">
        <f t="shared" si="94"/>
        <v/>
      </c>
      <c r="HXV23" s="50" t="str">
        <f t="shared" si="94"/>
        <v/>
      </c>
      <c r="HXW23" s="50" t="str">
        <f t="shared" si="94"/>
        <v/>
      </c>
      <c r="HXX23" s="50" t="str">
        <f t="shared" si="94"/>
        <v/>
      </c>
      <c r="HXY23" s="50" t="str">
        <f t="shared" si="94"/>
        <v/>
      </c>
      <c r="HXZ23" s="50" t="str">
        <f t="shared" si="94"/>
        <v/>
      </c>
      <c r="HYA23" s="50" t="str">
        <f t="shared" si="94"/>
        <v/>
      </c>
      <c r="HYB23" s="50" t="str">
        <f t="shared" si="94"/>
        <v/>
      </c>
      <c r="HYC23" s="50" t="str">
        <f t="shared" si="94"/>
        <v/>
      </c>
      <c r="HYD23" s="50" t="str">
        <f t="shared" si="94"/>
        <v/>
      </c>
      <c r="HYE23" s="50" t="str">
        <f t="shared" si="94"/>
        <v/>
      </c>
      <c r="HYF23" s="50" t="str">
        <f t="shared" si="94"/>
        <v/>
      </c>
      <c r="HYG23" s="50" t="str">
        <f t="shared" ref="HYG23:IAR23" si="95">IFERROR(IF(HYF23+TIME(1,0,0)&lt;=$G$12,HYF23+TIME(1,0,0),""),"")</f>
        <v/>
      </c>
      <c r="HYH23" s="50" t="str">
        <f t="shared" si="95"/>
        <v/>
      </c>
      <c r="HYI23" s="50" t="str">
        <f t="shared" si="95"/>
        <v/>
      </c>
      <c r="HYJ23" s="50" t="str">
        <f t="shared" si="95"/>
        <v/>
      </c>
      <c r="HYK23" s="50" t="str">
        <f t="shared" si="95"/>
        <v/>
      </c>
      <c r="HYL23" s="50" t="str">
        <f t="shared" si="95"/>
        <v/>
      </c>
      <c r="HYM23" s="50" t="str">
        <f t="shared" si="95"/>
        <v/>
      </c>
      <c r="HYN23" s="50" t="str">
        <f t="shared" si="95"/>
        <v/>
      </c>
      <c r="HYO23" s="50" t="str">
        <f t="shared" si="95"/>
        <v/>
      </c>
      <c r="HYP23" s="50" t="str">
        <f t="shared" si="95"/>
        <v/>
      </c>
      <c r="HYQ23" s="50" t="str">
        <f t="shared" si="95"/>
        <v/>
      </c>
      <c r="HYR23" s="50" t="str">
        <f t="shared" si="95"/>
        <v/>
      </c>
      <c r="HYS23" s="50" t="str">
        <f t="shared" si="95"/>
        <v/>
      </c>
      <c r="HYT23" s="50" t="str">
        <f t="shared" si="95"/>
        <v/>
      </c>
      <c r="HYU23" s="50" t="str">
        <f t="shared" si="95"/>
        <v/>
      </c>
      <c r="HYV23" s="50" t="str">
        <f t="shared" si="95"/>
        <v/>
      </c>
      <c r="HYW23" s="50" t="str">
        <f t="shared" si="95"/>
        <v/>
      </c>
      <c r="HYX23" s="50" t="str">
        <f t="shared" si="95"/>
        <v/>
      </c>
      <c r="HYY23" s="50" t="str">
        <f t="shared" si="95"/>
        <v/>
      </c>
      <c r="HYZ23" s="50" t="str">
        <f t="shared" si="95"/>
        <v/>
      </c>
      <c r="HZA23" s="50" t="str">
        <f t="shared" si="95"/>
        <v/>
      </c>
      <c r="HZB23" s="50" t="str">
        <f t="shared" si="95"/>
        <v/>
      </c>
      <c r="HZC23" s="50" t="str">
        <f t="shared" si="95"/>
        <v/>
      </c>
      <c r="HZD23" s="50" t="str">
        <f t="shared" si="95"/>
        <v/>
      </c>
      <c r="HZE23" s="50" t="str">
        <f t="shared" si="95"/>
        <v/>
      </c>
      <c r="HZF23" s="50" t="str">
        <f t="shared" si="95"/>
        <v/>
      </c>
      <c r="HZG23" s="50" t="str">
        <f t="shared" si="95"/>
        <v/>
      </c>
      <c r="HZH23" s="50" t="str">
        <f t="shared" si="95"/>
        <v/>
      </c>
      <c r="HZI23" s="50" t="str">
        <f t="shared" si="95"/>
        <v/>
      </c>
      <c r="HZJ23" s="50" t="str">
        <f t="shared" si="95"/>
        <v/>
      </c>
      <c r="HZK23" s="50" t="str">
        <f t="shared" si="95"/>
        <v/>
      </c>
      <c r="HZL23" s="50" t="str">
        <f t="shared" si="95"/>
        <v/>
      </c>
      <c r="HZM23" s="50" t="str">
        <f t="shared" si="95"/>
        <v/>
      </c>
      <c r="HZN23" s="50" t="str">
        <f t="shared" si="95"/>
        <v/>
      </c>
      <c r="HZO23" s="50" t="str">
        <f t="shared" si="95"/>
        <v/>
      </c>
      <c r="HZP23" s="50" t="str">
        <f t="shared" si="95"/>
        <v/>
      </c>
      <c r="HZQ23" s="50" t="str">
        <f t="shared" si="95"/>
        <v/>
      </c>
      <c r="HZR23" s="50" t="str">
        <f t="shared" si="95"/>
        <v/>
      </c>
      <c r="HZS23" s="50" t="str">
        <f t="shared" si="95"/>
        <v/>
      </c>
      <c r="HZT23" s="50" t="str">
        <f t="shared" si="95"/>
        <v/>
      </c>
      <c r="HZU23" s="50" t="str">
        <f t="shared" si="95"/>
        <v/>
      </c>
      <c r="HZV23" s="50" t="str">
        <f t="shared" si="95"/>
        <v/>
      </c>
      <c r="HZW23" s="50" t="str">
        <f t="shared" si="95"/>
        <v/>
      </c>
      <c r="HZX23" s="50" t="str">
        <f t="shared" si="95"/>
        <v/>
      </c>
      <c r="HZY23" s="50" t="str">
        <f t="shared" si="95"/>
        <v/>
      </c>
      <c r="HZZ23" s="50" t="str">
        <f t="shared" si="95"/>
        <v/>
      </c>
      <c r="IAA23" s="50" t="str">
        <f t="shared" si="95"/>
        <v/>
      </c>
      <c r="IAB23" s="50" t="str">
        <f t="shared" si="95"/>
        <v/>
      </c>
      <c r="IAC23" s="50" t="str">
        <f t="shared" si="95"/>
        <v/>
      </c>
      <c r="IAD23" s="50" t="str">
        <f t="shared" si="95"/>
        <v/>
      </c>
      <c r="IAE23" s="50" t="str">
        <f t="shared" si="95"/>
        <v/>
      </c>
      <c r="IAF23" s="50" t="str">
        <f t="shared" si="95"/>
        <v/>
      </c>
      <c r="IAG23" s="50" t="str">
        <f t="shared" si="95"/>
        <v/>
      </c>
      <c r="IAH23" s="50" t="str">
        <f t="shared" si="95"/>
        <v/>
      </c>
      <c r="IAI23" s="50" t="str">
        <f t="shared" si="95"/>
        <v/>
      </c>
      <c r="IAJ23" s="50" t="str">
        <f t="shared" si="95"/>
        <v/>
      </c>
      <c r="IAK23" s="50" t="str">
        <f t="shared" si="95"/>
        <v/>
      </c>
      <c r="IAL23" s="50" t="str">
        <f t="shared" si="95"/>
        <v/>
      </c>
      <c r="IAM23" s="50" t="str">
        <f t="shared" si="95"/>
        <v/>
      </c>
      <c r="IAN23" s="50" t="str">
        <f t="shared" si="95"/>
        <v/>
      </c>
      <c r="IAO23" s="50" t="str">
        <f t="shared" si="95"/>
        <v/>
      </c>
      <c r="IAP23" s="50" t="str">
        <f t="shared" si="95"/>
        <v/>
      </c>
      <c r="IAQ23" s="50" t="str">
        <f t="shared" si="95"/>
        <v/>
      </c>
      <c r="IAR23" s="50" t="str">
        <f t="shared" si="95"/>
        <v/>
      </c>
      <c r="IAS23" s="50" t="str">
        <f t="shared" ref="IAS23:IDD23" si="96">IFERROR(IF(IAR23+TIME(1,0,0)&lt;=$G$12,IAR23+TIME(1,0,0),""),"")</f>
        <v/>
      </c>
      <c r="IAT23" s="50" t="str">
        <f t="shared" si="96"/>
        <v/>
      </c>
      <c r="IAU23" s="50" t="str">
        <f t="shared" si="96"/>
        <v/>
      </c>
      <c r="IAV23" s="50" t="str">
        <f t="shared" si="96"/>
        <v/>
      </c>
      <c r="IAW23" s="50" t="str">
        <f t="shared" si="96"/>
        <v/>
      </c>
      <c r="IAX23" s="50" t="str">
        <f t="shared" si="96"/>
        <v/>
      </c>
      <c r="IAY23" s="50" t="str">
        <f t="shared" si="96"/>
        <v/>
      </c>
      <c r="IAZ23" s="50" t="str">
        <f t="shared" si="96"/>
        <v/>
      </c>
      <c r="IBA23" s="50" t="str">
        <f t="shared" si="96"/>
        <v/>
      </c>
      <c r="IBB23" s="50" t="str">
        <f t="shared" si="96"/>
        <v/>
      </c>
      <c r="IBC23" s="50" t="str">
        <f t="shared" si="96"/>
        <v/>
      </c>
      <c r="IBD23" s="50" t="str">
        <f t="shared" si="96"/>
        <v/>
      </c>
      <c r="IBE23" s="50" t="str">
        <f t="shared" si="96"/>
        <v/>
      </c>
      <c r="IBF23" s="50" t="str">
        <f t="shared" si="96"/>
        <v/>
      </c>
      <c r="IBG23" s="50" t="str">
        <f t="shared" si="96"/>
        <v/>
      </c>
      <c r="IBH23" s="50" t="str">
        <f t="shared" si="96"/>
        <v/>
      </c>
      <c r="IBI23" s="50" t="str">
        <f t="shared" si="96"/>
        <v/>
      </c>
      <c r="IBJ23" s="50" t="str">
        <f t="shared" si="96"/>
        <v/>
      </c>
      <c r="IBK23" s="50" t="str">
        <f t="shared" si="96"/>
        <v/>
      </c>
      <c r="IBL23" s="50" t="str">
        <f t="shared" si="96"/>
        <v/>
      </c>
      <c r="IBM23" s="50" t="str">
        <f t="shared" si="96"/>
        <v/>
      </c>
      <c r="IBN23" s="50" t="str">
        <f t="shared" si="96"/>
        <v/>
      </c>
      <c r="IBO23" s="50" t="str">
        <f t="shared" si="96"/>
        <v/>
      </c>
      <c r="IBP23" s="50" t="str">
        <f t="shared" si="96"/>
        <v/>
      </c>
      <c r="IBQ23" s="50" t="str">
        <f t="shared" si="96"/>
        <v/>
      </c>
      <c r="IBR23" s="50" t="str">
        <f t="shared" si="96"/>
        <v/>
      </c>
      <c r="IBS23" s="50" t="str">
        <f t="shared" si="96"/>
        <v/>
      </c>
      <c r="IBT23" s="50" t="str">
        <f t="shared" si="96"/>
        <v/>
      </c>
      <c r="IBU23" s="50" t="str">
        <f t="shared" si="96"/>
        <v/>
      </c>
      <c r="IBV23" s="50" t="str">
        <f t="shared" si="96"/>
        <v/>
      </c>
      <c r="IBW23" s="50" t="str">
        <f t="shared" si="96"/>
        <v/>
      </c>
      <c r="IBX23" s="50" t="str">
        <f t="shared" si="96"/>
        <v/>
      </c>
      <c r="IBY23" s="50" t="str">
        <f t="shared" si="96"/>
        <v/>
      </c>
      <c r="IBZ23" s="50" t="str">
        <f t="shared" si="96"/>
        <v/>
      </c>
      <c r="ICA23" s="50" t="str">
        <f t="shared" si="96"/>
        <v/>
      </c>
      <c r="ICB23" s="50" t="str">
        <f t="shared" si="96"/>
        <v/>
      </c>
      <c r="ICC23" s="50" t="str">
        <f t="shared" si="96"/>
        <v/>
      </c>
      <c r="ICD23" s="50" t="str">
        <f t="shared" si="96"/>
        <v/>
      </c>
      <c r="ICE23" s="50" t="str">
        <f t="shared" si="96"/>
        <v/>
      </c>
      <c r="ICF23" s="50" t="str">
        <f t="shared" si="96"/>
        <v/>
      </c>
      <c r="ICG23" s="50" t="str">
        <f t="shared" si="96"/>
        <v/>
      </c>
      <c r="ICH23" s="50" t="str">
        <f t="shared" si="96"/>
        <v/>
      </c>
      <c r="ICI23" s="50" t="str">
        <f t="shared" si="96"/>
        <v/>
      </c>
      <c r="ICJ23" s="50" t="str">
        <f t="shared" si="96"/>
        <v/>
      </c>
      <c r="ICK23" s="50" t="str">
        <f t="shared" si="96"/>
        <v/>
      </c>
      <c r="ICL23" s="50" t="str">
        <f t="shared" si="96"/>
        <v/>
      </c>
      <c r="ICM23" s="50" t="str">
        <f t="shared" si="96"/>
        <v/>
      </c>
      <c r="ICN23" s="50" t="str">
        <f t="shared" si="96"/>
        <v/>
      </c>
      <c r="ICO23" s="50" t="str">
        <f t="shared" si="96"/>
        <v/>
      </c>
      <c r="ICP23" s="50" t="str">
        <f t="shared" si="96"/>
        <v/>
      </c>
      <c r="ICQ23" s="50" t="str">
        <f t="shared" si="96"/>
        <v/>
      </c>
      <c r="ICR23" s="50" t="str">
        <f t="shared" si="96"/>
        <v/>
      </c>
      <c r="ICS23" s="50" t="str">
        <f t="shared" si="96"/>
        <v/>
      </c>
      <c r="ICT23" s="50" t="str">
        <f t="shared" si="96"/>
        <v/>
      </c>
      <c r="ICU23" s="50" t="str">
        <f t="shared" si="96"/>
        <v/>
      </c>
      <c r="ICV23" s="50" t="str">
        <f t="shared" si="96"/>
        <v/>
      </c>
      <c r="ICW23" s="50" t="str">
        <f t="shared" si="96"/>
        <v/>
      </c>
      <c r="ICX23" s="50" t="str">
        <f t="shared" si="96"/>
        <v/>
      </c>
      <c r="ICY23" s="50" t="str">
        <f t="shared" si="96"/>
        <v/>
      </c>
      <c r="ICZ23" s="50" t="str">
        <f t="shared" si="96"/>
        <v/>
      </c>
      <c r="IDA23" s="50" t="str">
        <f t="shared" si="96"/>
        <v/>
      </c>
      <c r="IDB23" s="50" t="str">
        <f t="shared" si="96"/>
        <v/>
      </c>
      <c r="IDC23" s="50" t="str">
        <f t="shared" si="96"/>
        <v/>
      </c>
      <c r="IDD23" s="50" t="str">
        <f t="shared" si="96"/>
        <v/>
      </c>
      <c r="IDE23" s="50" t="str">
        <f t="shared" ref="IDE23:IFP23" si="97">IFERROR(IF(IDD23+TIME(1,0,0)&lt;=$G$12,IDD23+TIME(1,0,0),""),"")</f>
        <v/>
      </c>
      <c r="IDF23" s="50" t="str">
        <f t="shared" si="97"/>
        <v/>
      </c>
      <c r="IDG23" s="50" t="str">
        <f t="shared" si="97"/>
        <v/>
      </c>
      <c r="IDH23" s="50" t="str">
        <f t="shared" si="97"/>
        <v/>
      </c>
      <c r="IDI23" s="50" t="str">
        <f t="shared" si="97"/>
        <v/>
      </c>
      <c r="IDJ23" s="50" t="str">
        <f t="shared" si="97"/>
        <v/>
      </c>
      <c r="IDK23" s="50" t="str">
        <f t="shared" si="97"/>
        <v/>
      </c>
      <c r="IDL23" s="50" t="str">
        <f t="shared" si="97"/>
        <v/>
      </c>
      <c r="IDM23" s="50" t="str">
        <f t="shared" si="97"/>
        <v/>
      </c>
      <c r="IDN23" s="50" t="str">
        <f t="shared" si="97"/>
        <v/>
      </c>
      <c r="IDO23" s="50" t="str">
        <f t="shared" si="97"/>
        <v/>
      </c>
      <c r="IDP23" s="50" t="str">
        <f t="shared" si="97"/>
        <v/>
      </c>
      <c r="IDQ23" s="50" t="str">
        <f t="shared" si="97"/>
        <v/>
      </c>
      <c r="IDR23" s="50" t="str">
        <f t="shared" si="97"/>
        <v/>
      </c>
      <c r="IDS23" s="50" t="str">
        <f t="shared" si="97"/>
        <v/>
      </c>
      <c r="IDT23" s="50" t="str">
        <f t="shared" si="97"/>
        <v/>
      </c>
      <c r="IDU23" s="50" t="str">
        <f t="shared" si="97"/>
        <v/>
      </c>
      <c r="IDV23" s="50" t="str">
        <f t="shared" si="97"/>
        <v/>
      </c>
      <c r="IDW23" s="50" t="str">
        <f t="shared" si="97"/>
        <v/>
      </c>
      <c r="IDX23" s="50" t="str">
        <f t="shared" si="97"/>
        <v/>
      </c>
      <c r="IDY23" s="50" t="str">
        <f t="shared" si="97"/>
        <v/>
      </c>
      <c r="IDZ23" s="50" t="str">
        <f t="shared" si="97"/>
        <v/>
      </c>
      <c r="IEA23" s="50" t="str">
        <f t="shared" si="97"/>
        <v/>
      </c>
      <c r="IEB23" s="50" t="str">
        <f t="shared" si="97"/>
        <v/>
      </c>
      <c r="IEC23" s="50" t="str">
        <f t="shared" si="97"/>
        <v/>
      </c>
      <c r="IED23" s="50" t="str">
        <f t="shared" si="97"/>
        <v/>
      </c>
      <c r="IEE23" s="50" t="str">
        <f t="shared" si="97"/>
        <v/>
      </c>
      <c r="IEF23" s="50" t="str">
        <f t="shared" si="97"/>
        <v/>
      </c>
      <c r="IEG23" s="50" t="str">
        <f t="shared" si="97"/>
        <v/>
      </c>
      <c r="IEH23" s="50" t="str">
        <f t="shared" si="97"/>
        <v/>
      </c>
      <c r="IEI23" s="50" t="str">
        <f t="shared" si="97"/>
        <v/>
      </c>
      <c r="IEJ23" s="50" t="str">
        <f t="shared" si="97"/>
        <v/>
      </c>
      <c r="IEK23" s="50" t="str">
        <f t="shared" si="97"/>
        <v/>
      </c>
      <c r="IEL23" s="50" t="str">
        <f t="shared" si="97"/>
        <v/>
      </c>
      <c r="IEM23" s="50" t="str">
        <f t="shared" si="97"/>
        <v/>
      </c>
      <c r="IEN23" s="50" t="str">
        <f t="shared" si="97"/>
        <v/>
      </c>
      <c r="IEO23" s="50" t="str">
        <f t="shared" si="97"/>
        <v/>
      </c>
      <c r="IEP23" s="50" t="str">
        <f t="shared" si="97"/>
        <v/>
      </c>
      <c r="IEQ23" s="50" t="str">
        <f t="shared" si="97"/>
        <v/>
      </c>
      <c r="IER23" s="50" t="str">
        <f t="shared" si="97"/>
        <v/>
      </c>
      <c r="IES23" s="50" t="str">
        <f t="shared" si="97"/>
        <v/>
      </c>
      <c r="IET23" s="50" t="str">
        <f t="shared" si="97"/>
        <v/>
      </c>
      <c r="IEU23" s="50" t="str">
        <f t="shared" si="97"/>
        <v/>
      </c>
      <c r="IEV23" s="50" t="str">
        <f t="shared" si="97"/>
        <v/>
      </c>
      <c r="IEW23" s="50" t="str">
        <f t="shared" si="97"/>
        <v/>
      </c>
      <c r="IEX23" s="50" t="str">
        <f t="shared" si="97"/>
        <v/>
      </c>
      <c r="IEY23" s="50" t="str">
        <f t="shared" si="97"/>
        <v/>
      </c>
      <c r="IEZ23" s="50" t="str">
        <f t="shared" si="97"/>
        <v/>
      </c>
      <c r="IFA23" s="50" t="str">
        <f t="shared" si="97"/>
        <v/>
      </c>
      <c r="IFB23" s="50" t="str">
        <f t="shared" si="97"/>
        <v/>
      </c>
      <c r="IFC23" s="50" t="str">
        <f t="shared" si="97"/>
        <v/>
      </c>
      <c r="IFD23" s="50" t="str">
        <f t="shared" si="97"/>
        <v/>
      </c>
      <c r="IFE23" s="50" t="str">
        <f t="shared" si="97"/>
        <v/>
      </c>
      <c r="IFF23" s="50" t="str">
        <f t="shared" si="97"/>
        <v/>
      </c>
      <c r="IFG23" s="50" t="str">
        <f t="shared" si="97"/>
        <v/>
      </c>
      <c r="IFH23" s="50" t="str">
        <f t="shared" si="97"/>
        <v/>
      </c>
      <c r="IFI23" s="50" t="str">
        <f t="shared" si="97"/>
        <v/>
      </c>
      <c r="IFJ23" s="50" t="str">
        <f t="shared" si="97"/>
        <v/>
      </c>
      <c r="IFK23" s="50" t="str">
        <f t="shared" si="97"/>
        <v/>
      </c>
      <c r="IFL23" s="50" t="str">
        <f t="shared" si="97"/>
        <v/>
      </c>
      <c r="IFM23" s="50" t="str">
        <f t="shared" si="97"/>
        <v/>
      </c>
      <c r="IFN23" s="50" t="str">
        <f t="shared" si="97"/>
        <v/>
      </c>
      <c r="IFO23" s="50" t="str">
        <f t="shared" si="97"/>
        <v/>
      </c>
      <c r="IFP23" s="50" t="str">
        <f t="shared" si="97"/>
        <v/>
      </c>
      <c r="IFQ23" s="50" t="str">
        <f t="shared" ref="IFQ23:IIB23" si="98">IFERROR(IF(IFP23+TIME(1,0,0)&lt;=$G$12,IFP23+TIME(1,0,0),""),"")</f>
        <v/>
      </c>
      <c r="IFR23" s="50" t="str">
        <f t="shared" si="98"/>
        <v/>
      </c>
      <c r="IFS23" s="50" t="str">
        <f t="shared" si="98"/>
        <v/>
      </c>
      <c r="IFT23" s="50" t="str">
        <f t="shared" si="98"/>
        <v/>
      </c>
      <c r="IFU23" s="50" t="str">
        <f t="shared" si="98"/>
        <v/>
      </c>
      <c r="IFV23" s="50" t="str">
        <f t="shared" si="98"/>
        <v/>
      </c>
      <c r="IFW23" s="50" t="str">
        <f t="shared" si="98"/>
        <v/>
      </c>
      <c r="IFX23" s="50" t="str">
        <f t="shared" si="98"/>
        <v/>
      </c>
      <c r="IFY23" s="50" t="str">
        <f t="shared" si="98"/>
        <v/>
      </c>
      <c r="IFZ23" s="50" t="str">
        <f t="shared" si="98"/>
        <v/>
      </c>
      <c r="IGA23" s="50" t="str">
        <f t="shared" si="98"/>
        <v/>
      </c>
      <c r="IGB23" s="50" t="str">
        <f t="shared" si="98"/>
        <v/>
      </c>
      <c r="IGC23" s="50" t="str">
        <f t="shared" si="98"/>
        <v/>
      </c>
      <c r="IGD23" s="50" t="str">
        <f t="shared" si="98"/>
        <v/>
      </c>
      <c r="IGE23" s="50" t="str">
        <f t="shared" si="98"/>
        <v/>
      </c>
      <c r="IGF23" s="50" t="str">
        <f t="shared" si="98"/>
        <v/>
      </c>
      <c r="IGG23" s="50" t="str">
        <f t="shared" si="98"/>
        <v/>
      </c>
      <c r="IGH23" s="50" t="str">
        <f t="shared" si="98"/>
        <v/>
      </c>
      <c r="IGI23" s="50" t="str">
        <f t="shared" si="98"/>
        <v/>
      </c>
      <c r="IGJ23" s="50" t="str">
        <f t="shared" si="98"/>
        <v/>
      </c>
      <c r="IGK23" s="50" t="str">
        <f t="shared" si="98"/>
        <v/>
      </c>
      <c r="IGL23" s="50" t="str">
        <f t="shared" si="98"/>
        <v/>
      </c>
      <c r="IGM23" s="50" t="str">
        <f t="shared" si="98"/>
        <v/>
      </c>
      <c r="IGN23" s="50" t="str">
        <f t="shared" si="98"/>
        <v/>
      </c>
      <c r="IGO23" s="50" t="str">
        <f t="shared" si="98"/>
        <v/>
      </c>
      <c r="IGP23" s="50" t="str">
        <f t="shared" si="98"/>
        <v/>
      </c>
      <c r="IGQ23" s="50" t="str">
        <f t="shared" si="98"/>
        <v/>
      </c>
      <c r="IGR23" s="50" t="str">
        <f t="shared" si="98"/>
        <v/>
      </c>
      <c r="IGS23" s="50" t="str">
        <f t="shared" si="98"/>
        <v/>
      </c>
      <c r="IGT23" s="50" t="str">
        <f t="shared" si="98"/>
        <v/>
      </c>
      <c r="IGU23" s="50" t="str">
        <f t="shared" si="98"/>
        <v/>
      </c>
      <c r="IGV23" s="50" t="str">
        <f t="shared" si="98"/>
        <v/>
      </c>
      <c r="IGW23" s="50" t="str">
        <f t="shared" si="98"/>
        <v/>
      </c>
      <c r="IGX23" s="50" t="str">
        <f t="shared" si="98"/>
        <v/>
      </c>
      <c r="IGY23" s="50" t="str">
        <f t="shared" si="98"/>
        <v/>
      </c>
      <c r="IGZ23" s="50" t="str">
        <f t="shared" si="98"/>
        <v/>
      </c>
      <c r="IHA23" s="50" t="str">
        <f t="shared" si="98"/>
        <v/>
      </c>
      <c r="IHB23" s="50" t="str">
        <f t="shared" si="98"/>
        <v/>
      </c>
      <c r="IHC23" s="50" t="str">
        <f t="shared" si="98"/>
        <v/>
      </c>
      <c r="IHD23" s="50" t="str">
        <f t="shared" si="98"/>
        <v/>
      </c>
      <c r="IHE23" s="50" t="str">
        <f t="shared" si="98"/>
        <v/>
      </c>
      <c r="IHF23" s="50" t="str">
        <f t="shared" si="98"/>
        <v/>
      </c>
      <c r="IHG23" s="50" t="str">
        <f t="shared" si="98"/>
        <v/>
      </c>
      <c r="IHH23" s="50" t="str">
        <f t="shared" si="98"/>
        <v/>
      </c>
      <c r="IHI23" s="50" t="str">
        <f t="shared" si="98"/>
        <v/>
      </c>
      <c r="IHJ23" s="50" t="str">
        <f t="shared" si="98"/>
        <v/>
      </c>
      <c r="IHK23" s="50" t="str">
        <f t="shared" si="98"/>
        <v/>
      </c>
      <c r="IHL23" s="50" t="str">
        <f t="shared" si="98"/>
        <v/>
      </c>
      <c r="IHM23" s="50" t="str">
        <f t="shared" si="98"/>
        <v/>
      </c>
      <c r="IHN23" s="50" t="str">
        <f t="shared" si="98"/>
        <v/>
      </c>
      <c r="IHO23" s="50" t="str">
        <f t="shared" si="98"/>
        <v/>
      </c>
      <c r="IHP23" s="50" t="str">
        <f t="shared" si="98"/>
        <v/>
      </c>
      <c r="IHQ23" s="50" t="str">
        <f t="shared" si="98"/>
        <v/>
      </c>
      <c r="IHR23" s="50" t="str">
        <f t="shared" si="98"/>
        <v/>
      </c>
      <c r="IHS23" s="50" t="str">
        <f t="shared" si="98"/>
        <v/>
      </c>
      <c r="IHT23" s="50" t="str">
        <f t="shared" si="98"/>
        <v/>
      </c>
      <c r="IHU23" s="50" t="str">
        <f t="shared" si="98"/>
        <v/>
      </c>
      <c r="IHV23" s="50" t="str">
        <f t="shared" si="98"/>
        <v/>
      </c>
      <c r="IHW23" s="50" t="str">
        <f t="shared" si="98"/>
        <v/>
      </c>
      <c r="IHX23" s="50" t="str">
        <f t="shared" si="98"/>
        <v/>
      </c>
      <c r="IHY23" s="50" t="str">
        <f t="shared" si="98"/>
        <v/>
      </c>
      <c r="IHZ23" s="50" t="str">
        <f t="shared" si="98"/>
        <v/>
      </c>
      <c r="IIA23" s="50" t="str">
        <f t="shared" si="98"/>
        <v/>
      </c>
      <c r="IIB23" s="50" t="str">
        <f t="shared" si="98"/>
        <v/>
      </c>
      <c r="IIC23" s="50" t="str">
        <f t="shared" ref="IIC23:IKN23" si="99">IFERROR(IF(IIB23+TIME(1,0,0)&lt;=$G$12,IIB23+TIME(1,0,0),""),"")</f>
        <v/>
      </c>
      <c r="IID23" s="50" t="str">
        <f t="shared" si="99"/>
        <v/>
      </c>
      <c r="IIE23" s="50" t="str">
        <f t="shared" si="99"/>
        <v/>
      </c>
      <c r="IIF23" s="50" t="str">
        <f t="shared" si="99"/>
        <v/>
      </c>
      <c r="IIG23" s="50" t="str">
        <f t="shared" si="99"/>
        <v/>
      </c>
      <c r="IIH23" s="50" t="str">
        <f t="shared" si="99"/>
        <v/>
      </c>
      <c r="III23" s="50" t="str">
        <f t="shared" si="99"/>
        <v/>
      </c>
      <c r="IIJ23" s="50" t="str">
        <f t="shared" si="99"/>
        <v/>
      </c>
      <c r="IIK23" s="50" t="str">
        <f t="shared" si="99"/>
        <v/>
      </c>
      <c r="IIL23" s="50" t="str">
        <f t="shared" si="99"/>
        <v/>
      </c>
      <c r="IIM23" s="50" t="str">
        <f t="shared" si="99"/>
        <v/>
      </c>
      <c r="IIN23" s="50" t="str">
        <f t="shared" si="99"/>
        <v/>
      </c>
      <c r="IIO23" s="50" t="str">
        <f t="shared" si="99"/>
        <v/>
      </c>
      <c r="IIP23" s="50" t="str">
        <f t="shared" si="99"/>
        <v/>
      </c>
      <c r="IIQ23" s="50" t="str">
        <f t="shared" si="99"/>
        <v/>
      </c>
      <c r="IIR23" s="50" t="str">
        <f t="shared" si="99"/>
        <v/>
      </c>
      <c r="IIS23" s="50" t="str">
        <f t="shared" si="99"/>
        <v/>
      </c>
      <c r="IIT23" s="50" t="str">
        <f t="shared" si="99"/>
        <v/>
      </c>
      <c r="IIU23" s="50" t="str">
        <f t="shared" si="99"/>
        <v/>
      </c>
      <c r="IIV23" s="50" t="str">
        <f t="shared" si="99"/>
        <v/>
      </c>
      <c r="IIW23" s="50" t="str">
        <f t="shared" si="99"/>
        <v/>
      </c>
      <c r="IIX23" s="50" t="str">
        <f t="shared" si="99"/>
        <v/>
      </c>
      <c r="IIY23" s="50" t="str">
        <f t="shared" si="99"/>
        <v/>
      </c>
      <c r="IIZ23" s="50" t="str">
        <f t="shared" si="99"/>
        <v/>
      </c>
      <c r="IJA23" s="50" t="str">
        <f t="shared" si="99"/>
        <v/>
      </c>
      <c r="IJB23" s="50" t="str">
        <f t="shared" si="99"/>
        <v/>
      </c>
      <c r="IJC23" s="50" t="str">
        <f t="shared" si="99"/>
        <v/>
      </c>
      <c r="IJD23" s="50" t="str">
        <f t="shared" si="99"/>
        <v/>
      </c>
      <c r="IJE23" s="50" t="str">
        <f t="shared" si="99"/>
        <v/>
      </c>
      <c r="IJF23" s="50" t="str">
        <f t="shared" si="99"/>
        <v/>
      </c>
      <c r="IJG23" s="50" t="str">
        <f t="shared" si="99"/>
        <v/>
      </c>
      <c r="IJH23" s="50" t="str">
        <f t="shared" si="99"/>
        <v/>
      </c>
      <c r="IJI23" s="50" t="str">
        <f t="shared" si="99"/>
        <v/>
      </c>
      <c r="IJJ23" s="50" t="str">
        <f t="shared" si="99"/>
        <v/>
      </c>
      <c r="IJK23" s="50" t="str">
        <f t="shared" si="99"/>
        <v/>
      </c>
      <c r="IJL23" s="50" t="str">
        <f t="shared" si="99"/>
        <v/>
      </c>
      <c r="IJM23" s="50" t="str">
        <f t="shared" si="99"/>
        <v/>
      </c>
      <c r="IJN23" s="50" t="str">
        <f t="shared" si="99"/>
        <v/>
      </c>
      <c r="IJO23" s="50" t="str">
        <f t="shared" si="99"/>
        <v/>
      </c>
      <c r="IJP23" s="50" t="str">
        <f t="shared" si="99"/>
        <v/>
      </c>
      <c r="IJQ23" s="50" t="str">
        <f t="shared" si="99"/>
        <v/>
      </c>
      <c r="IJR23" s="50" t="str">
        <f t="shared" si="99"/>
        <v/>
      </c>
      <c r="IJS23" s="50" t="str">
        <f t="shared" si="99"/>
        <v/>
      </c>
      <c r="IJT23" s="50" t="str">
        <f t="shared" si="99"/>
        <v/>
      </c>
      <c r="IJU23" s="50" t="str">
        <f t="shared" si="99"/>
        <v/>
      </c>
      <c r="IJV23" s="50" t="str">
        <f t="shared" si="99"/>
        <v/>
      </c>
      <c r="IJW23" s="50" t="str">
        <f t="shared" si="99"/>
        <v/>
      </c>
      <c r="IJX23" s="50" t="str">
        <f t="shared" si="99"/>
        <v/>
      </c>
      <c r="IJY23" s="50" t="str">
        <f t="shared" si="99"/>
        <v/>
      </c>
      <c r="IJZ23" s="50" t="str">
        <f t="shared" si="99"/>
        <v/>
      </c>
      <c r="IKA23" s="50" t="str">
        <f t="shared" si="99"/>
        <v/>
      </c>
      <c r="IKB23" s="50" t="str">
        <f t="shared" si="99"/>
        <v/>
      </c>
      <c r="IKC23" s="50" t="str">
        <f t="shared" si="99"/>
        <v/>
      </c>
      <c r="IKD23" s="50" t="str">
        <f t="shared" si="99"/>
        <v/>
      </c>
      <c r="IKE23" s="50" t="str">
        <f t="shared" si="99"/>
        <v/>
      </c>
      <c r="IKF23" s="50" t="str">
        <f t="shared" si="99"/>
        <v/>
      </c>
      <c r="IKG23" s="50" t="str">
        <f t="shared" si="99"/>
        <v/>
      </c>
      <c r="IKH23" s="50" t="str">
        <f t="shared" si="99"/>
        <v/>
      </c>
      <c r="IKI23" s="50" t="str">
        <f t="shared" si="99"/>
        <v/>
      </c>
      <c r="IKJ23" s="50" t="str">
        <f t="shared" si="99"/>
        <v/>
      </c>
      <c r="IKK23" s="50" t="str">
        <f t="shared" si="99"/>
        <v/>
      </c>
      <c r="IKL23" s="50" t="str">
        <f t="shared" si="99"/>
        <v/>
      </c>
      <c r="IKM23" s="50" t="str">
        <f t="shared" si="99"/>
        <v/>
      </c>
      <c r="IKN23" s="50" t="str">
        <f t="shared" si="99"/>
        <v/>
      </c>
      <c r="IKO23" s="50" t="str">
        <f t="shared" ref="IKO23:IMZ23" si="100">IFERROR(IF(IKN23+TIME(1,0,0)&lt;=$G$12,IKN23+TIME(1,0,0),""),"")</f>
        <v/>
      </c>
      <c r="IKP23" s="50" t="str">
        <f t="shared" si="100"/>
        <v/>
      </c>
      <c r="IKQ23" s="50" t="str">
        <f t="shared" si="100"/>
        <v/>
      </c>
      <c r="IKR23" s="50" t="str">
        <f t="shared" si="100"/>
        <v/>
      </c>
      <c r="IKS23" s="50" t="str">
        <f t="shared" si="100"/>
        <v/>
      </c>
      <c r="IKT23" s="50" t="str">
        <f t="shared" si="100"/>
        <v/>
      </c>
      <c r="IKU23" s="50" t="str">
        <f t="shared" si="100"/>
        <v/>
      </c>
      <c r="IKV23" s="50" t="str">
        <f t="shared" si="100"/>
        <v/>
      </c>
      <c r="IKW23" s="50" t="str">
        <f t="shared" si="100"/>
        <v/>
      </c>
      <c r="IKX23" s="50" t="str">
        <f t="shared" si="100"/>
        <v/>
      </c>
      <c r="IKY23" s="50" t="str">
        <f t="shared" si="100"/>
        <v/>
      </c>
      <c r="IKZ23" s="50" t="str">
        <f t="shared" si="100"/>
        <v/>
      </c>
      <c r="ILA23" s="50" t="str">
        <f t="shared" si="100"/>
        <v/>
      </c>
      <c r="ILB23" s="50" t="str">
        <f t="shared" si="100"/>
        <v/>
      </c>
      <c r="ILC23" s="50" t="str">
        <f t="shared" si="100"/>
        <v/>
      </c>
      <c r="ILD23" s="50" t="str">
        <f t="shared" si="100"/>
        <v/>
      </c>
      <c r="ILE23" s="50" t="str">
        <f t="shared" si="100"/>
        <v/>
      </c>
      <c r="ILF23" s="50" t="str">
        <f t="shared" si="100"/>
        <v/>
      </c>
      <c r="ILG23" s="50" t="str">
        <f t="shared" si="100"/>
        <v/>
      </c>
      <c r="ILH23" s="50" t="str">
        <f t="shared" si="100"/>
        <v/>
      </c>
      <c r="ILI23" s="50" t="str">
        <f t="shared" si="100"/>
        <v/>
      </c>
      <c r="ILJ23" s="50" t="str">
        <f t="shared" si="100"/>
        <v/>
      </c>
      <c r="ILK23" s="50" t="str">
        <f t="shared" si="100"/>
        <v/>
      </c>
      <c r="ILL23" s="50" t="str">
        <f t="shared" si="100"/>
        <v/>
      </c>
      <c r="ILM23" s="50" t="str">
        <f t="shared" si="100"/>
        <v/>
      </c>
      <c r="ILN23" s="50" t="str">
        <f t="shared" si="100"/>
        <v/>
      </c>
      <c r="ILO23" s="50" t="str">
        <f t="shared" si="100"/>
        <v/>
      </c>
      <c r="ILP23" s="50" t="str">
        <f t="shared" si="100"/>
        <v/>
      </c>
      <c r="ILQ23" s="50" t="str">
        <f t="shared" si="100"/>
        <v/>
      </c>
      <c r="ILR23" s="50" t="str">
        <f t="shared" si="100"/>
        <v/>
      </c>
      <c r="ILS23" s="50" t="str">
        <f t="shared" si="100"/>
        <v/>
      </c>
      <c r="ILT23" s="50" t="str">
        <f t="shared" si="100"/>
        <v/>
      </c>
      <c r="ILU23" s="50" t="str">
        <f t="shared" si="100"/>
        <v/>
      </c>
      <c r="ILV23" s="50" t="str">
        <f t="shared" si="100"/>
        <v/>
      </c>
      <c r="ILW23" s="50" t="str">
        <f t="shared" si="100"/>
        <v/>
      </c>
      <c r="ILX23" s="50" t="str">
        <f t="shared" si="100"/>
        <v/>
      </c>
      <c r="ILY23" s="50" t="str">
        <f t="shared" si="100"/>
        <v/>
      </c>
      <c r="ILZ23" s="50" t="str">
        <f t="shared" si="100"/>
        <v/>
      </c>
      <c r="IMA23" s="50" t="str">
        <f t="shared" si="100"/>
        <v/>
      </c>
      <c r="IMB23" s="50" t="str">
        <f t="shared" si="100"/>
        <v/>
      </c>
      <c r="IMC23" s="50" t="str">
        <f t="shared" si="100"/>
        <v/>
      </c>
      <c r="IMD23" s="50" t="str">
        <f t="shared" si="100"/>
        <v/>
      </c>
      <c r="IME23" s="50" t="str">
        <f t="shared" si="100"/>
        <v/>
      </c>
      <c r="IMF23" s="50" t="str">
        <f t="shared" si="100"/>
        <v/>
      </c>
      <c r="IMG23" s="50" t="str">
        <f t="shared" si="100"/>
        <v/>
      </c>
      <c r="IMH23" s="50" t="str">
        <f t="shared" si="100"/>
        <v/>
      </c>
      <c r="IMI23" s="50" t="str">
        <f t="shared" si="100"/>
        <v/>
      </c>
      <c r="IMJ23" s="50" t="str">
        <f t="shared" si="100"/>
        <v/>
      </c>
      <c r="IMK23" s="50" t="str">
        <f t="shared" si="100"/>
        <v/>
      </c>
      <c r="IML23" s="50" t="str">
        <f t="shared" si="100"/>
        <v/>
      </c>
      <c r="IMM23" s="50" t="str">
        <f t="shared" si="100"/>
        <v/>
      </c>
      <c r="IMN23" s="50" t="str">
        <f t="shared" si="100"/>
        <v/>
      </c>
      <c r="IMO23" s="50" t="str">
        <f t="shared" si="100"/>
        <v/>
      </c>
      <c r="IMP23" s="50" t="str">
        <f t="shared" si="100"/>
        <v/>
      </c>
      <c r="IMQ23" s="50" t="str">
        <f t="shared" si="100"/>
        <v/>
      </c>
      <c r="IMR23" s="50" t="str">
        <f t="shared" si="100"/>
        <v/>
      </c>
      <c r="IMS23" s="50" t="str">
        <f t="shared" si="100"/>
        <v/>
      </c>
      <c r="IMT23" s="50" t="str">
        <f t="shared" si="100"/>
        <v/>
      </c>
      <c r="IMU23" s="50" t="str">
        <f t="shared" si="100"/>
        <v/>
      </c>
      <c r="IMV23" s="50" t="str">
        <f t="shared" si="100"/>
        <v/>
      </c>
      <c r="IMW23" s="50" t="str">
        <f t="shared" si="100"/>
        <v/>
      </c>
      <c r="IMX23" s="50" t="str">
        <f t="shared" si="100"/>
        <v/>
      </c>
      <c r="IMY23" s="50" t="str">
        <f t="shared" si="100"/>
        <v/>
      </c>
      <c r="IMZ23" s="50" t="str">
        <f t="shared" si="100"/>
        <v/>
      </c>
      <c r="INA23" s="50" t="str">
        <f t="shared" ref="INA23:IPL23" si="101">IFERROR(IF(IMZ23+TIME(1,0,0)&lt;=$G$12,IMZ23+TIME(1,0,0),""),"")</f>
        <v/>
      </c>
      <c r="INB23" s="50" t="str">
        <f t="shared" si="101"/>
        <v/>
      </c>
      <c r="INC23" s="50" t="str">
        <f t="shared" si="101"/>
        <v/>
      </c>
      <c r="IND23" s="50" t="str">
        <f t="shared" si="101"/>
        <v/>
      </c>
      <c r="INE23" s="50" t="str">
        <f t="shared" si="101"/>
        <v/>
      </c>
      <c r="INF23" s="50" t="str">
        <f t="shared" si="101"/>
        <v/>
      </c>
      <c r="ING23" s="50" t="str">
        <f t="shared" si="101"/>
        <v/>
      </c>
      <c r="INH23" s="50" t="str">
        <f t="shared" si="101"/>
        <v/>
      </c>
      <c r="INI23" s="50" t="str">
        <f t="shared" si="101"/>
        <v/>
      </c>
      <c r="INJ23" s="50" t="str">
        <f t="shared" si="101"/>
        <v/>
      </c>
      <c r="INK23" s="50" t="str">
        <f t="shared" si="101"/>
        <v/>
      </c>
      <c r="INL23" s="50" t="str">
        <f t="shared" si="101"/>
        <v/>
      </c>
      <c r="INM23" s="50" t="str">
        <f t="shared" si="101"/>
        <v/>
      </c>
      <c r="INN23" s="50" t="str">
        <f t="shared" si="101"/>
        <v/>
      </c>
      <c r="INO23" s="50" t="str">
        <f t="shared" si="101"/>
        <v/>
      </c>
      <c r="INP23" s="50" t="str">
        <f t="shared" si="101"/>
        <v/>
      </c>
      <c r="INQ23" s="50" t="str">
        <f t="shared" si="101"/>
        <v/>
      </c>
      <c r="INR23" s="50" t="str">
        <f t="shared" si="101"/>
        <v/>
      </c>
      <c r="INS23" s="50" t="str">
        <f t="shared" si="101"/>
        <v/>
      </c>
      <c r="INT23" s="50" t="str">
        <f t="shared" si="101"/>
        <v/>
      </c>
      <c r="INU23" s="50" t="str">
        <f t="shared" si="101"/>
        <v/>
      </c>
      <c r="INV23" s="50" t="str">
        <f t="shared" si="101"/>
        <v/>
      </c>
      <c r="INW23" s="50" t="str">
        <f t="shared" si="101"/>
        <v/>
      </c>
      <c r="INX23" s="50" t="str">
        <f t="shared" si="101"/>
        <v/>
      </c>
      <c r="INY23" s="50" t="str">
        <f t="shared" si="101"/>
        <v/>
      </c>
      <c r="INZ23" s="50" t="str">
        <f t="shared" si="101"/>
        <v/>
      </c>
      <c r="IOA23" s="50" t="str">
        <f t="shared" si="101"/>
        <v/>
      </c>
      <c r="IOB23" s="50" t="str">
        <f t="shared" si="101"/>
        <v/>
      </c>
      <c r="IOC23" s="50" t="str">
        <f t="shared" si="101"/>
        <v/>
      </c>
      <c r="IOD23" s="50" t="str">
        <f t="shared" si="101"/>
        <v/>
      </c>
      <c r="IOE23" s="50" t="str">
        <f t="shared" si="101"/>
        <v/>
      </c>
      <c r="IOF23" s="50" t="str">
        <f t="shared" si="101"/>
        <v/>
      </c>
      <c r="IOG23" s="50" t="str">
        <f t="shared" si="101"/>
        <v/>
      </c>
      <c r="IOH23" s="50" t="str">
        <f t="shared" si="101"/>
        <v/>
      </c>
      <c r="IOI23" s="50" t="str">
        <f t="shared" si="101"/>
        <v/>
      </c>
      <c r="IOJ23" s="50" t="str">
        <f t="shared" si="101"/>
        <v/>
      </c>
      <c r="IOK23" s="50" t="str">
        <f t="shared" si="101"/>
        <v/>
      </c>
      <c r="IOL23" s="50" t="str">
        <f t="shared" si="101"/>
        <v/>
      </c>
      <c r="IOM23" s="50" t="str">
        <f t="shared" si="101"/>
        <v/>
      </c>
      <c r="ION23" s="50" t="str">
        <f t="shared" si="101"/>
        <v/>
      </c>
      <c r="IOO23" s="50" t="str">
        <f t="shared" si="101"/>
        <v/>
      </c>
      <c r="IOP23" s="50" t="str">
        <f t="shared" si="101"/>
        <v/>
      </c>
      <c r="IOQ23" s="50" t="str">
        <f t="shared" si="101"/>
        <v/>
      </c>
      <c r="IOR23" s="50" t="str">
        <f t="shared" si="101"/>
        <v/>
      </c>
      <c r="IOS23" s="50" t="str">
        <f t="shared" si="101"/>
        <v/>
      </c>
      <c r="IOT23" s="50" t="str">
        <f t="shared" si="101"/>
        <v/>
      </c>
      <c r="IOU23" s="50" t="str">
        <f t="shared" si="101"/>
        <v/>
      </c>
      <c r="IOV23" s="50" t="str">
        <f t="shared" si="101"/>
        <v/>
      </c>
      <c r="IOW23" s="50" t="str">
        <f t="shared" si="101"/>
        <v/>
      </c>
      <c r="IOX23" s="50" t="str">
        <f t="shared" si="101"/>
        <v/>
      </c>
      <c r="IOY23" s="50" t="str">
        <f t="shared" si="101"/>
        <v/>
      </c>
      <c r="IOZ23" s="50" t="str">
        <f t="shared" si="101"/>
        <v/>
      </c>
      <c r="IPA23" s="50" t="str">
        <f t="shared" si="101"/>
        <v/>
      </c>
      <c r="IPB23" s="50" t="str">
        <f t="shared" si="101"/>
        <v/>
      </c>
      <c r="IPC23" s="50" t="str">
        <f t="shared" si="101"/>
        <v/>
      </c>
      <c r="IPD23" s="50" t="str">
        <f t="shared" si="101"/>
        <v/>
      </c>
      <c r="IPE23" s="50" t="str">
        <f t="shared" si="101"/>
        <v/>
      </c>
      <c r="IPF23" s="50" t="str">
        <f t="shared" si="101"/>
        <v/>
      </c>
      <c r="IPG23" s="50" t="str">
        <f t="shared" si="101"/>
        <v/>
      </c>
      <c r="IPH23" s="50" t="str">
        <f t="shared" si="101"/>
        <v/>
      </c>
      <c r="IPI23" s="50" t="str">
        <f t="shared" si="101"/>
        <v/>
      </c>
      <c r="IPJ23" s="50" t="str">
        <f t="shared" si="101"/>
        <v/>
      </c>
      <c r="IPK23" s="50" t="str">
        <f t="shared" si="101"/>
        <v/>
      </c>
      <c r="IPL23" s="50" t="str">
        <f t="shared" si="101"/>
        <v/>
      </c>
      <c r="IPM23" s="50" t="str">
        <f t="shared" ref="IPM23:IRX23" si="102">IFERROR(IF(IPL23+TIME(1,0,0)&lt;=$G$12,IPL23+TIME(1,0,0),""),"")</f>
        <v/>
      </c>
      <c r="IPN23" s="50" t="str">
        <f t="shared" si="102"/>
        <v/>
      </c>
      <c r="IPO23" s="50" t="str">
        <f t="shared" si="102"/>
        <v/>
      </c>
      <c r="IPP23" s="50" t="str">
        <f t="shared" si="102"/>
        <v/>
      </c>
      <c r="IPQ23" s="50" t="str">
        <f t="shared" si="102"/>
        <v/>
      </c>
      <c r="IPR23" s="50" t="str">
        <f t="shared" si="102"/>
        <v/>
      </c>
      <c r="IPS23" s="50" t="str">
        <f t="shared" si="102"/>
        <v/>
      </c>
      <c r="IPT23" s="50" t="str">
        <f t="shared" si="102"/>
        <v/>
      </c>
      <c r="IPU23" s="50" t="str">
        <f t="shared" si="102"/>
        <v/>
      </c>
      <c r="IPV23" s="50" t="str">
        <f t="shared" si="102"/>
        <v/>
      </c>
      <c r="IPW23" s="50" t="str">
        <f t="shared" si="102"/>
        <v/>
      </c>
      <c r="IPX23" s="50" t="str">
        <f t="shared" si="102"/>
        <v/>
      </c>
      <c r="IPY23" s="50" t="str">
        <f t="shared" si="102"/>
        <v/>
      </c>
      <c r="IPZ23" s="50" t="str">
        <f t="shared" si="102"/>
        <v/>
      </c>
      <c r="IQA23" s="50" t="str">
        <f t="shared" si="102"/>
        <v/>
      </c>
      <c r="IQB23" s="50" t="str">
        <f t="shared" si="102"/>
        <v/>
      </c>
      <c r="IQC23" s="50" t="str">
        <f t="shared" si="102"/>
        <v/>
      </c>
      <c r="IQD23" s="50" t="str">
        <f t="shared" si="102"/>
        <v/>
      </c>
      <c r="IQE23" s="50" t="str">
        <f t="shared" si="102"/>
        <v/>
      </c>
      <c r="IQF23" s="50" t="str">
        <f t="shared" si="102"/>
        <v/>
      </c>
      <c r="IQG23" s="50" t="str">
        <f t="shared" si="102"/>
        <v/>
      </c>
      <c r="IQH23" s="50" t="str">
        <f t="shared" si="102"/>
        <v/>
      </c>
      <c r="IQI23" s="50" t="str">
        <f t="shared" si="102"/>
        <v/>
      </c>
      <c r="IQJ23" s="50" t="str">
        <f t="shared" si="102"/>
        <v/>
      </c>
      <c r="IQK23" s="50" t="str">
        <f t="shared" si="102"/>
        <v/>
      </c>
      <c r="IQL23" s="50" t="str">
        <f t="shared" si="102"/>
        <v/>
      </c>
      <c r="IQM23" s="50" t="str">
        <f t="shared" si="102"/>
        <v/>
      </c>
      <c r="IQN23" s="50" t="str">
        <f t="shared" si="102"/>
        <v/>
      </c>
      <c r="IQO23" s="50" t="str">
        <f t="shared" si="102"/>
        <v/>
      </c>
      <c r="IQP23" s="50" t="str">
        <f t="shared" si="102"/>
        <v/>
      </c>
      <c r="IQQ23" s="50" t="str">
        <f t="shared" si="102"/>
        <v/>
      </c>
      <c r="IQR23" s="50" t="str">
        <f t="shared" si="102"/>
        <v/>
      </c>
      <c r="IQS23" s="50" t="str">
        <f t="shared" si="102"/>
        <v/>
      </c>
      <c r="IQT23" s="50" t="str">
        <f t="shared" si="102"/>
        <v/>
      </c>
      <c r="IQU23" s="50" t="str">
        <f t="shared" si="102"/>
        <v/>
      </c>
      <c r="IQV23" s="50" t="str">
        <f t="shared" si="102"/>
        <v/>
      </c>
      <c r="IQW23" s="50" t="str">
        <f t="shared" si="102"/>
        <v/>
      </c>
      <c r="IQX23" s="50" t="str">
        <f t="shared" si="102"/>
        <v/>
      </c>
      <c r="IQY23" s="50" t="str">
        <f t="shared" si="102"/>
        <v/>
      </c>
      <c r="IQZ23" s="50" t="str">
        <f t="shared" si="102"/>
        <v/>
      </c>
      <c r="IRA23" s="50" t="str">
        <f t="shared" si="102"/>
        <v/>
      </c>
      <c r="IRB23" s="50" t="str">
        <f t="shared" si="102"/>
        <v/>
      </c>
      <c r="IRC23" s="50" t="str">
        <f t="shared" si="102"/>
        <v/>
      </c>
      <c r="IRD23" s="50" t="str">
        <f t="shared" si="102"/>
        <v/>
      </c>
      <c r="IRE23" s="50" t="str">
        <f t="shared" si="102"/>
        <v/>
      </c>
      <c r="IRF23" s="50" t="str">
        <f t="shared" si="102"/>
        <v/>
      </c>
      <c r="IRG23" s="50" t="str">
        <f t="shared" si="102"/>
        <v/>
      </c>
      <c r="IRH23" s="50" t="str">
        <f t="shared" si="102"/>
        <v/>
      </c>
      <c r="IRI23" s="50" t="str">
        <f t="shared" si="102"/>
        <v/>
      </c>
      <c r="IRJ23" s="50" t="str">
        <f t="shared" si="102"/>
        <v/>
      </c>
      <c r="IRK23" s="50" t="str">
        <f t="shared" si="102"/>
        <v/>
      </c>
      <c r="IRL23" s="50" t="str">
        <f t="shared" si="102"/>
        <v/>
      </c>
      <c r="IRM23" s="50" t="str">
        <f t="shared" si="102"/>
        <v/>
      </c>
      <c r="IRN23" s="50" t="str">
        <f t="shared" si="102"/>
        <v/>
      </c>
      <c r="IRO23" s="50" t="str">
        <f t="shared" si="102"/>
        <v/>
      </c>
      <c r="IRP23" s="50" t="str">
        <f t="shared" si="102"/>
        <v/>
      </c>
      <c r="IRQ23" s="50" t="str">
        <f t="shared" si="102"/>
        <v/>
      </c>
      <c r="IRR23" s="50" t="str">
        <f t="shared" si="102"/>
        <v/>
      </c>
      <c r="IRS23" s="50" t="str">
        <f t="shared" si="102"/>
        <v/>
      </c>
      <c r="IRT23" s="50" t="str">
        <f t="shared" si="102"/>
        <v/>
      </c>
      <c r="IRU23" s="50" t="str">
        <f t="shared" si="102"/>
        <v/>
      </c>
      <c r="IRV23" s="50" t="str">
        <f t="shared" si="102"/>
        <v/>
      </c>
      <c r="IRW23" s="50" t="str">
        <f t="shared" si="102"/>
        <v/>
      </c>
      <c r="IRX23" s="50" t="str">
        <f t="shared" si="102"/>
        <v/>
      </c>
      <c r="IRY23" s="50" t="str">
        <f t="shared" ref="IRY23:IUJ23" si="103">IFERROR(IF(IRX23+TIME(1,0,0)&lt;=$G$12,IRX23+TIME(1,0,0),""),"")</f>
        <v/>
      </c>
      <c r="IRZ23" s="50" t="str">
        <f t="shared" si="103"/>
        <v/>
      </c>
      <c r="ISA23" s="50" t="str">
        <f t="shared" si="103"/>
        <v/>
      </c>
      <c r="ISB23" s="50" t="str">
        <f t="shared" si="103"/>
        <v/>
      </c>
      <c r="ISC23" s="50" t="str">
        <f t="shared" si="103"/>
        <v/>
      </c>
      <c r="ISD23" s="50" t="str">
        <f t="shared" si="103"/>
        <v/>
      </c>
      <c r="ISE23" s="50" t="str">
        <f t="shared" si="103"/>
        <v/>
      </c>
      <c r="ISF23" s="50" t="str">
        <f t="shared" si="103"/>
        <v/>
      </c>
      <c r="ISG23" s="50" t="str">
        <f t="shared" si="103"/>
        <v/>
      </c>
      <c r="ISH23" s="50" t="str">
        <f t="shared" si="103"/>
        <v/>
      </c>
      <c r="ISI23" s="50" t="str">
        <f t="shared" si="103"/>
        <v/>
      </c>
      <c r="ISJ23" s="50" t="str">
        <f t="shared" si="103"/>
        <v/>
      </c>
      <c r="ISK23" s="50" t="str">
        <f t="shared" si="103"/>
        <v/>
      </c>
      <c r="ISL23" s="50" t="str">
        <f t="shared" si="103"/>
        <v/>
      </c>
      <c r="ISM23" s="50" t="str">
        <f t="shared" si="103"/>
        <v/>
      </c>
      <c r="ISN23" s="50" t="str">
        <f t="shared" si="103"/>
        <v/>
      </c>
      <c r="ISO23" s="50" t="str">
        <f t="shared" si="103"/>
        <v/>
      </c>
      <c r="ISP23" s="50" t="str">
        <f t="shared" si="103"/>
        <v/>
      </c>
      <c r="ISQ23" s="50" t="str">
        <f t="shared" si="103"/>
        <v/>
      </c>
      <c r="ISR23" s="50" t="str">
        <f t="shared" si="103"/>
        <v/>
      </c>
      <c r="ISS23" s="50" t="str">
        <f t="shared" si="103"/>
        <v/>
      </c>
      <c r="IST23" s="50" t="str">
        <f t="shared" si="103"/>
        <v/>
      </c>
      <c r="ISU23" s="50" t="str">
        <f t="shared" si="103"/>
        <v/>
      </c>
      <c r="ISV23" s="50" t="str">
        <f t="shared" si="103"/>
        <v/>
      </c>
      <c r="ISW23" s="50" t="str">
        <f t="shared" si="103"/>
        <v/>
      </c>
      <c r="ISX23" s="50" t="str">
        <f t="shared" si="103"/>
        <v/>
      </c>
      <c r="ISY23" s="50" t="str">
        <f t="shared" si="103"/>
        <v/>
      </c>
      <c r="ISZ23" s="50" t="str">
        <f t="shared" si="103"/>
        <v/>
      </c>
      <c r="ITA23" s="50" t="str">
        <f t="shared" si="103"/>
        <v/>
      </c>
      <c r="ITB23" s="50" t="str">
        <f t="shared" si="103"/>
        <v/>
      </c>
      <c r="ITC23" s="50" t="str">
        <f t="shared" si="103"/>
        <v/>
      </c>
      <c r="ITD23" s="50" t="str">
        <f t="shared" si="103"/>
        <v/>
      </c>
      <c r="ITE23" s="50" t="str">
        <f t="shared" si="103"/>
        <v/>
      </c>
      <c r="ITF23" s="50" t="str">
        <f t="shared" si="103"/>
        <v/>
      </c>
      <c r="ITG23" s="50" t="str">
        <f t="shared" si="103"/>
        <v/>
      </c>
      <c r="ITH23" s="50" t="str">
        <f t="shared" si="103"/>
        <v/>
      </c>
      <c r="ITI23" s="50" t="str">
        <f t="shared" si="103"/>
        <v/>
      </c>
      <c r="ITJ23" s="50" t="str">
        <f t="shared" si="103"/>
        <v/>
      </c>
      <c r="ITK23" s="50" t="str">
        <f t="shared" si="103"/>
        <v/>
      </c>
      <c r="ITL23" s="50" t="str">
        <f t="shared" si="103"/>
        <v/>
      </c>
      <c r="ITM23" s="50" t="str">
        <f t="shared" si="103"/>
        <v/>
      </c>
      <c r="ITN23" s="50" t="str">
        <f t="shared" si="103"/>
        <v/>
      </c>
      <c r="ITO23" s="50" t="str">
        <f t="shared" si="103"/>
        <v/>
      </c>
      <c r="ITP23" s="50" t="str">
        <f t="shared" si="103"/>
        <v/>
      </c>
      <c r="ITQ23" s="50" t="str">
        <f t="shared" si="103"/>
        <v/>
      </c>
      <c r="ITR23" s="50" t="str">
        <f t="shared" si="103"/>
        <v/>
      </c>
      <c r="ITS23" s="50" t="str">
        <f t="shared" si="103"/>
        <v/>
      </c>
      <c r="ITT23" s="50" t="str">
        <f t="shared" si="103"/>
        <v/>
      </c>
      <c r="ITU23" s="50" t="str">
        <f t="shared" si="103"/>
        <v/>
      </c>
      <c r="ITV23" s="50" t="str">
        <f t="shared" si="103"/>
        <v/>
      </c>
      <c r="ITW23" s="50" t="str">
        <f t="shared" si="103"/>
        <v/>
      </c>
      <c r="ITX23" s="50" t="str">
        <f t="shared" si="103"/>
        <v/>
      </c>
      <c r="ITY23" s="50" t="str">
        <f t="shared" si="103"/>
        <v/>
      </c>
      <c r="ITZ23" s="50" t="str">
        <f t="shared" si="103"/>
        <v/>
      </c>
      <c r="IUA23" s="50" t="str">
        <f t="shared" si="103"/>
        <v/>
      </c>
      <c r="IUB23" s="50" t="str">
        <f t="shared" si="103"/>
        <v/>
      </c>
      <c r="IUC23" s="50" t="str">
        <f t="shared" si="103"/>
        <v/>
      </c>
      <c r="IUD23" s="50" t="str">
        <f t="shared" si="103"/>
        <v/>
      </c>
      <c r="IUE23" s="50" t="str">
        <f t="shared" si="103"/>
        <v/>
      </c>
      <c r="IUF23" s="50" t="str">
        <f t="shared" si="103"/>
        <v/>
      </c>
      <c r="IUG23" s="50" t="str">
        <f t="shared" si="103"/>
        <v/>
      </c>
      <c r="IUH23" s="50" t="str">
        <f t="shared" si="103"/>
        <v/>
      </c>
      <c r="IUI23" s="50" t="str">
        <f t="shared" si="103"/>
        <v/>
      </c>
      <c r="IUJ23" s="50" t="str">
        <f t="shared" si="103"/>
        <v/>
      </c>
      <c r="IUK23" s="50" t="str">
        <f t="shared" ref="IUK23:IWV23" si="104">IFERROR(IF(IUJ23+TIME(1,0,0)&lt;=$G$12,IUJ23+TIME(1,0,0),""),"")</f>
        <v/>
      </c>
      <c r="IUL23" s="50" t="str">
        <f t="shared" si="104"/>
        <v/>
      </c>
      <c r="IUM23" s="50" t="str">
        <f t="shared" si="104"/>
        <v/>
      </c>
      <c r="IUN23" s="50" t="str">
        <f t="shared" si="104"/>
        <v/>
      </c>
      <c r="IUO23" s="50" t="str">
        <f t="shared" si="104"/>
        <v/>
      </c>
      <c r="IUP23" s="50" t="str">
        <f t="shared" si="104"/>
        <v/>
      </c>
      <c r="IUQ23" s="50" t="str">
        <f t="shared" si="104"/>
        <v/>
      </c>
      <c r="IUR23" s="50" t="str">
        <f t="shared" si="104"/>
        <v/>
      </c>
      <c r="IUS23" s="50" t="str">
        <f t="shared" si="104"/>
        <v/>
      </c>
      <c r="IUT23" s="50" t="str">
        <f t="shared" si="104"/>
        <v/>
      </c>
      <c r="IUU23" s="50" t="str">
        <f t="shared" si="104"/>
        <v/>
      </c>
      <c r="IUV23" s="50" t="str">
        <f t="shared" si="104"/>
        <v/>
      </c>
      <c r="IUW23" s="50" t="str">
        <f t="shared" si="104"/>
        <v/>
      </c>
      <c r="IUX23" s="50" t="str">
        <f t="shared" si="104"/>
        <v/>
      </c>
      <c r="IUY23" s="50" t="str">
        <f t="shared" si="104"/>
        <v/>
      </c>
      <c r="IUZ23" s="50" t="str">
        <f t="shared" si="104"/>
        <v/>
      </c>
      <c r="IVA23" s="50" t="str">
        <f t="shared" si="104"/>
        <v/>
      </c>
      <c r="IVB23" s="50" t="str">
        <f t="shared" si="104"/>
        <v/>
      </c>
      <c r="IVC23" s="50" t="str">
        <f t="shared" si="104"/>
        <v/>
      </c>
      <c r="IVD23" s="50" t="str">
        <f t="shared" si="104"/>
        <v/>
      </c>
      <c r="IVE23" s="50" t="str">
        <f t="shared" si="104"/>
        <v/>
      </c>
      <c r="IVF23" s="50" t="str">
        <f t="shared" si="104"/>
        <v/>
      </c>
      <c r="IVG23" s="50" t="str">
        <f t="shared" si="104"/>
        <v/>
      </c>
      <c r="IVH23" s="50" t="str">
        <f t="shared" si="104"/>
        <v/>
      </c>
      <c r="IVI23" s="50" t="str">
        <f t="shared" si="104"/>
        <v/>
      </c>
      <c r="IVJ23" s="50" t="str">
        <f t="shared" si="104"/>
        <v/>
      </c>
      <c r="IVK23" s="50" t="str">
        <f t="shared" si="104"/>
        <v/>
      </c>
      <c r="IVL23" s="50" t="str">
        <f t="shared" si="104"/>
        <v/>
      </c>
      <c r="IVM23" s="50" t="str">
        <f t="shared" si="104"/>
        <v/>
      </c>
      <c r="IVN23" s="50" t="str">
        <f t="shared" si="104"/>
        <v/>
      </c>
      <c r="IVO23" s="50" t="str">
        <f t="shared" si="104"/>
        <v/>
      </c>
      <c r="IVP23" s="50" t="str">
        <f t="shared" si="104"/>
        <v/>
      </c>
      <c r="IVQ23" s="50" t="str">
        <f t="shared" si="104"/>
        <v/>
      </c>
      <c r="IVR23" s="50" t="str">
        <f t="shared" si="104"/>
        <v/>
      </c>
      <c r="IVS23" s="50" t="str">
        <f t="shared" si="104"/>
        <v/>
      </c>
      <c r="IVT23" s="50" t="str">
        <f t="shared" si="104"/>
        <v/>
      </c>
      <c r="IVU23" s="50" t="str">
        <f t="shared" si="104"/>
        <v/>
      </c>
      <c r="IVV23" s="50" t="str">
        <f t="shared" si="104"/>
        <v/>
      </c>
      <c r="IVW23" s="50" t="str">
        <f t="shared" si="104"/>
        <v/>
      </c>
      <c r="IVX23" s="50" t="str">
        <f t="shared" si="104"/>
        <v/>
      </c>
      <c r="IVY23" s="50" t="str">
        <f t="shared" si="104"/>
        <v/>
      </c>
      <c r="IVZ23" s="50" t="str">
        <f t="shared" si="104"/>
        <v/>
      </c>
      <c r="IWA23" s="50" t="str">
        <f t="shared" si="104"/>
        <v/>
      </c>
      <c r="IWB23" s="50" t="str">
        <f t="shared" si="104"/>
        <v/>
      </c>
      <c r="IWC23" s="50" t="str">
        <f t="shared" si="104"/>
        <v/>
      </c>
      <c r="IWD23" s="50" t="str">
        <f t="shared" si="104"/>
        <v/>
      </c>
      <c r="IWE23" s="50" t="str">
        <f t="shared" si="104"/>
        <v/>
      </c>
      <c r="IWF23" s="50" t="str">
        <f t="shared" si="104"/>
        <v/>
      </c>
      <c r="IWG23" s="50" t="str">
        <f t="shared" si="104"/>
        <v/>
      </c>
      <c r="IWH23" s="50" t="str">
        <f t="shared" si="104"/>
        <v/>
      </c>
      <c r="IWI23" s="50" t="str">
        <f t="shared" si="104"/>
        <v/>
      </c>
      <c r="IWJ23" s="50" t="str">
        <f t="shared" si="104"/>
        <v/>
      </c>
      <c r="IWK23" s="50" t="str">
        <f t="shared" si="104"/>
        <v/>
      </c>
      <c r="IWL23" s="50" t="str">
        <f t="shared" si="104"/>
        <v/>
      </c>
      <c r="IWM23" s="50" t="str">
        <f t="shared" si="104"/>
        <v/>
      </c>
      <c r="IWN23" s="50" t="str">
        <f t="shared" si="104"/>
        <v/>
      </c>
      <c r="IWO23" s="50" t="str">
        <f t="shared" si="104"/>
        <v/>
      </c>
      <c r="IWP23" s="50" t="str">
        <f t="shared" si="104"/>
        <v/>
      </c>
      <c r="IWQ23" s="50" t="str">
        <f t="shared" si="104"/>
        <v/>
      </c>
      <c r="IWR23" s="50" t="str">
        <f t="shared" si="104"/>
        <v/>
      </c>
      <c r="IWS23" s="50" t="str">
        <f t="shared" si="104"/>
        <v/>
      </c>
      <c r="IWT23" s="50" t="str">
        <f t="shared" si="104"/>
        <v/>
      </c>
      <c r="IWU23" s="50" t="str">
        <f t="shared" si="104"/>
        <v/>
      </c>
      <c r="IWV23" s="50" t="str">
        <f t="shared" si="104"/>
        <v/>
      </c>
      <c r="IWW23" s="50" t="str">
        <f t="shared" ref="IWW23:IZH23" si="105">IFERROR(IF(IWV23+TIME(1,0,0)&lt;=$G$12,IWV23+TIME(1,0,0),""),"")</f>
        <v/>
      </c>
      <c r="IWX23" s="50" t="str">
        <f t="shared" si="105"/>
        <v/>
      </c>
      <c r="IWY23" s="50" t="str">
        <f t="shared" si="105"/>
        <v/>
      </c>
      <c r="IWZ23" s="50" t="str">
        <f t="shared" si="105"/>
        <v/>
      </c>
      <c r="IXA23" s="50" t="str">
        <f t="shared" si="105"/>
        <v/>
      </c>
      <c r="IXB23" s="50" t="str">
        <f t="shared" si="105"/>
        <v/>
      </c>
      <c r="IXC23" s="50" t="str">
        <f t="shared" si="105"/>
        <v/>
      </c>
      <c r="IXD23" s="50" t="str">
        <f t="shared" si="105"/>
        <v/>
      </c>
      <c r="IXE23" s="50" t="str">
        <f t="shared" si="105"/>
        <v/>
      </c>
      <c r="IXF23" s="50" t="str">
        <f t="shared" si="105"/>
        <v/>
      </c>
      <c r="IXG23" s="50" t="str">
        <f t="shared" si="105"/>
        <v/>
      </c>
      <c r="IXH23" s="50" t="str">
        <f t="shared" si="105"/>
        <v/>
      </c>
      <c r="IXI23" s="50" t="str">
        <f t="shared" si="105"/>
        <v/>
      </c>
      <c r="IXJ23" s="50" t="str">
        <f t="shared" si="105"/>
        <v/>
      </c>
      <c r="IXK23" s="50" t="str">
        <f t="shared" si="105"/>
        <v/>
      </c>
      <c r="IXL23" s="50" t="str">
        <f t="shared" si="105"/>
        <v/>
      </c>
      <c r="IXM23" s="50" t="str">
        <f t="shared" si="105"/>
        <v/>
      </c>
      <c r="IXN23" s="50" t="str">
        <f t="shared" si="105"/>
        <v/>
      </c>
      <c r="IXO23" s="50" t="str">
        <f t="shared" si="105"/>
        <v/>
      </c>
      <c r="IXP23" s="50" t="str">
        <f t="shared" si="105"/>
        <v/>
      </c>
      <c r="IXQ23" s="50" t="str">
        <f t="shared" si="105"/>
        <v/>
      </c>
      <c r="IXR23" s="50" t="str">
        <f t="shared" si="105"/>
        <v/>
      </c>
      <c r="IXS23" s="50" t="str">
        <f t="shared" si="105"/>
        <v/>
      </c>
      <c r="IXT23" s="50" t="str">
        <f t="shared" si="105"/>
        <v/>
      </c>
      <c r="IXU23" s="50" t="str">
        <f t="shared" si="105"/>
        <v/>
      </c>
      <c r="IXV23" s="50" t="str">
        <f t="shared" si="105"/>
        <v/>
      </c>
      <c r="IXW23" s="50" t="str">
        <f t="shared" si="105"/>
        <v/>
      </c>
      <c r="IXX23" s="50" t="str">
        <f t="shared" si="105"/>
        <v/>
      </c>
      <c r="IXY23" s="50" t="str">
        <f t="shared" si="105"/>
        <v/>
      </c>
      <c r="IXZ23" s="50" t="str">
        <f t="shared" si="105"/>
        <v/>
      </c>
      <c r="IYA23" s="50" t="str">
        <f t="shared" si="105"/>
        <v/>
      </c>
      <c r="IYB23" s="50" t="str">
        <f t="shared" si="105"/>
        <v/>
      </c>
      <c r="IYC23" s="50" t="str">
        <f t="shared" si="105"/>
        <v/>
      </c>
      <c r="IYD23" s="50" t="str">
        <f t="shared" si="105"/>
        <v/>
      </c>
      <c r="IYE23" s="50" t="str">
        <f t="shared" si="105"/>
        <v/>
      </c>
      <c r="IYF23" s="50" t="str">
        <f t="shared" si="105"/>
        <v/>
      </c>
      <c r="IYG23" s="50" t="str">
        <f t="shared" si="105"/>
        <v/>
      </c>
      <c r="IYH23" s="50" t="str">
        <f t="shared" si="105"/>
        <v/>
      </c>
      <c r="IYI23" s="50" t="str">
        <f t="shared" si="105"/>
        <v/>
      </c>
      <c r="IYJ23" s="50" t="str">
        <f t="shared" si="105"/>
        <v/>
      </c>
      <c r="IYK23" s="50" t="str">
        <f t="shared" si="105"/>
        <v/>
      </c>
      <c r="IYL23" s="50" t="str">
        <f t="shared" si="105"/>
        <v/>
      </c>
      <c r="IYM23" s="50" t="str">
        <f t="shared" si="105"/>
        <v/>
      </c>
      <c r="IYN23" s="50" t="str">
        <f t="shared" si="105"/>
        <v/>
      </c>
      <c r="IYO23" s="50" t="str">
        <f t="shared" si="105"/>
        <v/>
      </c>
      <c r="IYP23" s="50" t="str">
        <f t="shared" si="105"/>
        <v/>
      </c>
      <c r="IYQ23" s="50" t="str">
        <f t="shared" si="105"/>
        <v/>
      </c>
      <c r="IYR23" s="50" t="str">
        <f t="shared" si="105"/>
        <v/>
      </c>
      <c r="IYS23" s="50" t="str">
        <f t="shared" si="105"/>
        <v/>
      </c>
      <c r="IYT23" s="50" t="str">
        <f t="shared" si="105"/>
        <v/>
      </c>
      <c r="IYU23" s="50" t="str">
        <f t="shared" si="105"/>
        <v/>
      </c>
      <c r="IYV23" s="50" t="str">
        <f t="shared" si="105"/>
        <v/>
      </c>
      <c r="IYW23" s="50" t="str">
        <f t="shared" si="105"/>
        <v/>
      </c>
      <c r="IYX23" s="50" t="str">
        <f t="shared" si="105"/>
        <v/>
      </c>
      <c r="IYY23" s="50" t="str">
        <f t="shared" si="105"/>
        <v/>
      </c>
      <c r="IYZ23" s="50" t="str">
        <f t="shared" si="105"/>
        <v/>
      </c>
      <c r="IZA23" s="50" t="str">
        <f t="shared" si="105"/>
        <v/>
      </c>
      <c r="IZB23" s="50" t="str">
        <f t="shared" si="105"/>
        <v/>
      </c>
      <c r="IZC23" s="50" t="str">
        <f t="shared" si="105"/>
        <v/>
      </c>
      <c r="IZD23" s="50" t="str">
        <f t="shared" si="105"/>
        <v/>
      </c>
      <c r="IZE23" s="50" t="str">
        <f t="shared" si="105"/>
        <v/>
      </c>
      <c r="IZF23" s="50" t="str">
        <f t="shared" si="105"/>
        <v/>
      </c>
      <c r="IZG23" s="50" t="str">
        <f t="shared" si="105"/>
        <v/>
      </c>
      <c r="IZH23" s="50" t="str">
        <f t="shared" si="105"/>
        <v/>
      </c>
      <c r="IZI23" s="50" t="str">
        <f t="shared" ref="IZI23:JBT23" si="106">IFERROR(IF(IZH23+TIME(1,0,0)&lt;=$G$12,IZH23+TIME(1,0,0),""),"")</f>
        <v/>
      </c>
      <c r="IZJ23" s="50" t="str">
        <f t="shared" si="106"/>
        <v/>
      </c>
      <c r="IZK23" s="50" t="str">
        <f t="shared" si="106"/>
        <v/>
      </c>
      <c r="IZL23" s="50" t="str">
        <f t="shared" si="106"/>
        <v/>
      </c>
      <c r="IZM23" s="50" t="str">
        <f t="shared" si="106"/>
        <v/>
      </c>
      <c r="IZN23" s="50" t="str">
        <f t="shared" si="106"/>
        <v/>
      </c>
      <c r="IZO23" s="50" t="str">
        <f t="shared" si="106"/>
        <v/>
      </c>
      <c r="IZP23" s="50" t="str">
        <f t="shared" si="106"/>
        <v/>
      </c>
      <c r="IZQ23" s="50" t="str">
        <f t="shared" si="106"/>
        <v/>
      </c>
      <c r="IZR23" s="50" t="str">
        <f t="shared" si="106"/>
        <v/>
      </c>
      <c r="IZS23" s="50" t="str">
        <f t="shared" si="106"/>
        <v/>
      </c>
      <c r="IZT23" s="50" t="str">
        <f t="shared" si="106"/>
        <v/>
      </c>
      <c r="IZU23" s="50" t="str">
        <f t="shared" si="106"/>
        <v/>
      </c>
      <c r="IZV23" s="50" t="str">
        <f t="shared" si="106"/>
        <v/>
      </c>
      <c r="IZW23" s="50" t="str">
        <f t="shared" si="106"/>
        <v/>
      </c>
      <c r="IZX23" s="50" t="str">
        <f t="shared" si="106"/>
        <v/>
      </c>
      <c r="IZY23" s="50" t="str">
        <f t="shared" si="106"/>
        <v/>
      </c>
      <c r="IZZ23" s="50" t="str">
        <f t="shared" si="106"/>
        <v/>
      </c>
      <c r="JAA23" s="50" t="str">
        <f t="shared" si="106"/>
        <v/>
      </c>
      <c r="JAB23" s="50" t="str">
        <f t="shared" si="106"/>
        <v/>
      </c>
      <c r="JAC23" s="50" t="str">
        <f t="shared" si="106"/>
        <v/>
      </c>
      <c r="JAD23" s="50" t="str">
        <f t="shared" si="106"/>
        <v/>
      </c>
      <c r="JAE23" s="50" t="str">
        <f t="shared" si="106"/>
        <v/>
      </c>
      <c r="JAF23" s="50" t="str">
        <f t="shared" si="106"/>
        <v/>
      </c>
      <c r="JAG23" s="50" t="str">
        <f t="shared" si="106"/>
        <v/>
      </c>
      <c r="JAH23" s="50" t="str">
        <f t="shared" si="106"/>
        <v/>
      </c>
      <c r="JAI23" s="50" t="str">
        <f t="shared" si="106"/>
        <v/>
      </c>
      <c r="JAJ23" s="50" t="str">
        <f t="shared" si="106"/>
        <v/>
      </c>
      <c r="JAK23" s="50" t="str">
        <f t="shared" si="106"/>
        <v/>
      </c>
      <c r="JAL23" s="50" t="str">
        <f t="shared" si="106"/>
        <v/>
      </c>
      <c r="JAM23" s="50" t="str">
        <f t="shared" si="106"/>
        <v/>
      </c>
      <c r="JAN23" s="50" t="str">
        <f t="shared" si="106"/>
        <v/>
      </c>
      <c r="JAO23" s="50" t="str">
        <f t="shared" si="106"/>
        <v/>
      </c>
      <c r="JAP23" s="50" t="str">
        <f t="shared" si="106"/>
        <v/>
      </c>
      <c r="JAQ23" s="50" t="str">
        <f t="shared" si="106"/>
        <v/>
      </c>
      <c r="JAR23" s="50" t="str">
        <f t="shared" si="106"/>
        <v/>
      </c>
      <c r="JAS23" s="50" t="str">
        <f t="shared" si="106"/>
        <v/>
      </c>
      <c r="JAT23" s="50" t="str">
        <f t="shared" si="106"/>
        <v/>
      </c>
      <c r="JAU23" s="50" t="str">
        <f t="shared" si="106"/>
        <v/>
      </c>
      <c r="JAV23" s="50" t="str">
        <f t="shared" si="106"/>
        <v/>
      </c>
      <c r="JAW23" s="50" t="str">
        <f t="shared" si="106"/>
        <v/>
      </c>
      <c r="JAX23" s="50" t="str">
        <f t="shared" si="106"/>
        <v/>
      </c>
      <c r="JAY23" s="50" t="str">
        <f t="shared" si="106"/>
        <v/>
      </c>
      <c r="JAZ23" s="50" t="str">
        <f t="shared" si="106"/>
        <v/>
      </c>
      <c r="JBA23" s="50" t="str">
        <f t="shared" si="106"/>
        <v/>
      </c>
      <c r="JBB23" s="50" t="str">
        <f t="shared" si="106"/>
        <v/>
      </c>
      <c r="JBC23" s="50" t="str">
        <f t="shared" si="106"/>
        <v/>
      </c>
      <c r="JBD23" s="50" t="str">
        <f t="shared" si="106"/>
        <v/>
      </c>
      <c r="JBE23" s="50" t="str">
        <f t="shared" si="106"/>
        <v/>
      </c>
      <c r="JBF23" s="50" t="str">
        <f t="shared" si="106"/>
        <v/>
      </c>
      <c r="JBG23" s="50" t="str">
        <f t="shared" si="106"/>
        <v/>
      </c>
      <c r="JBH23" s="50" t="str">
        <f t="shared" si="106"/>
        <v/>
      </c>
      <c r="JBI23" s="50" t="str">
        <f t="shared" si="106"/>
        <v/>
      </c>
      <c r="JBJ23" s="50" t="str">
        <f t="shared" si="106"/>
        <v/>
      </c>
      <c r="JBK23" s="50" t="str">
        <f t="shared" si="106"/>
        <v/>
      </c>
      <c r="JBL23" s="50" t="str">
        <f t="shared" si="106"/>
        <v/>
      </c>
      <c r="JBM23" s="50" t="str">
        <f t="shared" si="106"/>
        <v/>
      </c>
      <c r="JBN23" s="50" t="str">
        <f t="shared" si="106"/>
        <v/>
      </c>
      <c r="JBO23" s="50" t="str">
        <f t="shared" si="106"/>
        <v/>
      </c>
      <c r="JBP23" s="50" t="str">
        <f t="shared" si="106"/>
        <v/>
      </c>
      <c r="JBQ23" s="50" t="str">
        <f t="shared" si="106"/>
        <v/>
      </c>
      <c r="JBR23" s="50" t="str">
        <f t="shared" si="106"/>
        <v/>
      </c>
      <c r="JBS23" s="50" t="str">
        <f t="shared" si="106"/>
        <v/>
      </c>
      <c r="JBT23" s="50" t="str">
        <f t="shared" si="106"/>
        <v/>
      </c>
      <c r="JBU23" s="50" t="str">
        <f t="shared" ref="JBU23:JEF23" si="107">IFERROR(IF(JBT23+TIME(1,0,0)&lt;=$G$12,JBT23+TIME(1,0,0),""),"")</f>
        <v/>
      </c>
      <c r="JBV23" s="50" t="str">
        <f t="shared" si="107"/>
        <v/>
      </c>
      <c r="JBW23" s="50" t="str">
        <f t="shared" si="107"/>
        <v/>
      </c>
      <c r="JBX23" s="50" t="str">
        <f t="shared" si="107"/>
        <v/>
      </c>
      <c r="JBY23" s="50" t="str">
        <f t="shared" si="107"/>
        <v/>
      </c>
      <c r="JBZ23" s="50" t="str">
        <f t="shared" si="107"/>
        <v/>
      </c>
      <c r="JCA23" s="50" t="str">
        <f t="shared" si="107"/>
        <v/>
      </c>
      <c r="JCB23" s="50" t="str">
        <f t="shared" si="107"/>
        <v/>
      </c>
      <c r="JCC23" s="50" t="str">
        <f t="shared" si="107"/>
        <v/>
      </c>
      <c r="JCD23" s="50" t="str">
        <f t="shared" si="107"/>
        <v/>
      </c>
      <c r="JCE23" s="50" t="str">
        <f t="shared" si="107"/>
        <v/>
      </c>
      <c r="JCF23" s="50" t="str">
        <f t="shared" si="107"/>
        <v/>
      </c>
      <c r="JCG23" s="50" t="str">
        <f t="shared" si="107"/>
        <v/>
      </c>
      <c r="JCH23" s="50" t="str">
        <f t="shared" si="107"/>
        <v/>
      </c>
      <c r="JCI23" s="50" t="str">
        <f t="shared" si="107"/>
        <v/>
      </c>
      <c r="JCJ23" s="50" t="str">
        <f t="shared" si="107"/>
        <v/>
      </c>
      <c r="JCK23" s="50" t="str">
        <f t="shared" si="107"/>
        <v/>
      </c>
      <c r="JCL23" s="50" t="str">
        <f t="shared" si="107"/>
        <v/>
      </c>
      <c r="JCM23" s="50" t="str">
        <f t="shared" si="107"/>
        <v/>
      </c>
      <c r="JCN23" s="50" t="str">
        <f t="shared" si="107"/>
        <v/>
      </c>
      <c r="JCO23" s="50" t="str">
        <f t="shared" si="107"/>
        <v/>
      </c>
      <c r="JCP23" s="50" t="str">
        <f t="shared" si="107"/>
        <v/>
      </c>
      <c r="JCQ23" s="50" t="str">
        <f t="shared" si="107"/>
        <v/>
      </c>
      <c r="JCR23" s="50" t="str">
        <f t="shared" si="107"/>
        <v/>
      </c>
      <c r="JCS23" s="50" t="str">
        <f t="shared" si="107"/>
        <v/>
      </c>
      <c r="JCT23" s="50" t="str">
        <f t="shared" si="107"/>
        <v/>
      </c>
      <c r="JCU23" s="50" t="str">
        <f t="shared" si="107"/>
        <v/>
      </c>
      <c r="JCV23" s="50" t="str">
        <f t="shared" si="107"/>
        <v/>
      </c>
      <c r="JCW23" s="50" t="str">
        <f t="shared" si="107"/>
        <v/>
      </c>
      <c r="JCX23" s="50" t="str">
        <f t="shared" si="107"/>
        <v/>
      </c>
      <c r="JCY23" s="50" t="str">
        <f t="shared" si="107"/>
        <v/>
      </c>
      <c r="JCZ23" s="50" t="str">
        <f t="shared" si="107"/>
        <v/>
      </c>
      <c r="JDA23" s="50" t="str">
        <f t="shared" si="107"/>
        <v/>
      </c>
      <c r="JDB23" s="50" t="str">
        <f t="shared" si="107"/>
        <v/>
      </c>
      <c r="JDC23" s="50" t="str">
        <f t="shared" si="107"/>
        <v/>
      </c>
      <c r="JDD23" s="50" t="str">
        <f t="shared" si="107"/>
        <v/>
      </c>
      <c r="JDE23" s="50" t="str">
        <f t="shared" si="107"/>
        <v/>
      </c>
      <c r="JDF23" s="50" t="str">
        <f t="shared" si="107"/>
        <v/>
      </c>
      <c r="JDG23" s="50" t="str">
        <f t="shared" si="107"/>
        <v/>
      </c>
      <c r="JDH23" s="50" t="str">
        <f t="shared" si="107"/>
        <v/>
      </c>
      <c r="JDI23" s="50" t="str">
        <f t="shared" si="107"/>
        <v/>
      </c>
      <c r="JDJ23" s="50" t="str">
        <f t="shared" si="107"/>
        <v/>
      </c>
      <c r="JDK23" s="50" t="str">
        <f t="shared" si="107"/>
        <v/>
      </c>
      <c r="JDL23" s="50" t="str">
        <f t="shared" si="107"/>
        <v/>
      </c>
      <c r="JDM23" s="50" t="str">
        <f t="shared" si="107"/>
        <v/>
      </c>
      <c r="JDN23" s="50" t="str">
        <f t="shared" si="107"/>
        <v/>
      </c>
      <c r="JDO23" s="50" t="str">
        <f t="shared" si="107"/>
        <v/>
      </c>
      <c r="JDP23" s="50" t="str">
        <f t="shared" si="107"/>
        <v/>
      </c>
      <c r="JDQ23" s="50" t="str">
        <f t="shared" si="107"/>
        <v/>
      </c>
      <c r="JDR23" s="50" t="str">
        <f t="shared" si="107"/>
        <v/>
      </c>
      <c r="JDS23" s="50" t="str">
        <f t="shared" si="107"/>
        <v/>
      </c>
      <c r="JDT23" s="50" t="str">
        <f t="shared" si="107"/>
        <v/>
      </c>
      <c r="JDU23" s="50" t="str">
        <f t="shared" si="107"/>
        <v/>
      </c>
      <c r="JDV23" s="50" t="str">
        <f t="shared" si="107"/>
        <v/>
      </c>
      <c r="JDW23" s="50" t="str">
        <f t="shared" si="107"/>
        <v/>
      </c>
      <c r="JDX23" s="50" t="str">
        <f t="shared" si="107"/>
        <v/>
      </c>
      <c r="JDY23" s="50" t="str">
        <f t="shared" si="107"/>
        <v/>
      </c>
      <c r="JDZ23" s="50" t="str">
        <f t="shared" si="107"/>
        <v/>
      </c>
      <c r="JEA23" s="50" t="str">
        <f t="shared" si="107"/>
        <v/>
      </c>
      <c r="JEB23" s="50" t="str">
        <f t="shared" si="107"/>
        <v/>
      </c>
      <c r="JEC23" s="50" t="str">
        <f t="shared" si="107"/>
        <v/>
      </c>
      <c r="JED23" s="50" t="str">
        <f t="shared" si="107"/>
        <v/>
      </c>
      <c r="JEE23" s="50" t="str">
        <f t="shared" si="107"/>
        <v/>
      </c>
      <c r="JEF23" s="50" t="str">
        <f t="shared" si="107"/>
        <v/>
      </c>
      <c r="JEG23" s="50" t="str">
        <f t="shared" ref="JEG23:JGR23" si="108">IFERROR(IF(JEF23+TIME(1,0,0)&lt;=$G$12,JEF23+TIME(1,0,0),""),"")</f>
        <v/>
      </c>
      <c r="JEH23" s="50" t="str">
        <f t="shared" si="108"/>
        <v/>
      </c>
      <c r="JEI23" s="50" t="str">
        <f t="shared" si="108"/>
        <v/>
      </c>
      <c r="JEJ23" s="50" t="str">
        <f t="shared" si="108"/>
        <v/>
      </c>
      <c r="JEK23" s="50" t="str">
        <f t="shared" si="108"/>
        <v/>
      </c>
      <c r="JEL23" s="50" t="str">
        <f t="shared" si="108"/>
        <v/>
      </c>
      <c r="JEM23" s="50" t="str">
        <f t="shared" si="108"/>
        <v/>
      </c>
      <c r="JEN23" s="50" t="str">
        <f t="shared" si="108"/>
        <v/>
      </c>
      <c r="JEO23" s="50" t="str">
        <f t="shared" si="108"/>
        <v/>
      </c>
      <c r="JEP23" s="50" t="str">
        <f t="shared" si="108"/>
        <v/>
      </c>
      <c r="JEQ23" s="50" t="str">
        <f t="shared" si="108"/>
        <v/>
      </c>
      <c r="JER23" s="50" t="str">
        <f t="shared" si="108"/>
        <v/>
      </c>
      <c r="JES23" s="50" t="str">
        <f t="shared" si="108"/>
        <v/>
      </c>
      <c r="JET23" s="50" t="str">
        <f t="shared" si="108"/>
        <v/>
      </c>
      <c r="JEU23" s="50" t="str">
        <f t="shared" si="108"/>
        <v/>
      </c>
      <c r="JEV23" s="50" t="str">
        <f t="shared" si="108"/>
        <v/>
      </c>
      <c r="JEW23" s="50" t="str">
        <f t="shared" si="108"/>
        <v/>
      </c>
      <c r="JEX23" s="50" t="str">
        <f t="shared" si="108"/>
        <v/>
      </c>
      <c r="JEY23" s="50" t="str">
        <f t="shared" si="108"/>
        <v/>
      </c>
      <c r="JEZ23" s="50" t="str">
        <f t="shared" si="108"/>
        <v/>
      </c>
      <c r="JFA23" s="50" t="str">
        <f t="shared" si="108"/>
        <v/>
      </c>
      <c r="JFB23" s="50" t="str">
        <f t="shared" si="108"/>
        <v/>
      </c>
      <c r="JFC23" s="50" t="str">
        <f t="shared" si="108"/>
        <v/>
      </c>
      <c r="JFD23" s="50" t="str">
        <f t="shared" si="108"/>
        <v/>
      </c>
      <c r="JFE23" s="50" t="str">
        <f t="shared" si="108"/>
        <v/>
      </c>
      <c r="JFF23" s="50" t="str">
        <f t="shared" si="108"/>
        <v/>
      </c>
      <c r="JFG23" s="50" t="str">
        <f t="shared" si="108"/>
        <v/>
      </c>
      <c r="JFH23" s="50" t="str">
        <f t="shared" si="108"/>
        <v/>
      </c>
      <c r="JFI23" s="50" t="str">
        <f t="shared" si="108"/>
        <v/>
      </c>
      <c r="JFJ23" s="50" t="str">
        <f t="shared" si="108"/>
        <v/>
      </c>
      <c r="JFK23" s="50" t="str">
        <f t="shared" si="108"/>
        <v/>
      </c>
      <c r="JFL23" s="50" t="str">
        <f t="shared" si="108"/>
        <v/>
      </c>
      <c r="JFM23" s="50" t="str">
        <f t="shared" si="108"/>
        <v/>
      </c>
      <c r="JFN23" s="50" t="str">
        <f t="shared" si="108"/>
        <v/>
      </c>
      <c r="JFO23" s="50" t="str">
        <f t="shared" si="108"/>
        <v/>
      </c>
      <c r="JFP23" s="50" t="str">
        <f t="shared" si="108"/>
        <v/>
      </c>
      <c r="JFQ23" s="50" t="str">
        <f t="shared" si="108"/>
        <v/>
      </c>
      <c r="JFR23" s="50" t="str">
        <f t="shared" si="108"/>
        <v/>
      </c>
      <c r="JFS23" s="50" t="str">
        <f t="shared" si="108"/>
        <v/>
      </c>
      <c r="JFT23" s="50" t="str">
        <f t="shared" si="108"/>
        <v/>
      </c>
      <c r="JFU23" s="50" t="str">
        <f t="shared" si="108"/>
        <v/>
      </c>
      <c r="JFV23" s="50" t="str">
        <f t="shared" si="108"/>
        <v/>
      </c>
      <c r="JFW23" s="50" t="str">
        <f t="shared" si="108"/>
        <v/>
      </c>
      <c r="JFX23" s="50" t="str">
        <f t="shared" si="108"/>
        <v/>
      </c>
      <c r="JFY23" s="50" t="str">
        <f t="shared" si="108"/>
        <v/>
      </c>
      <c r="JFZ23" s="50" t="str">
        <f t="shared" si="108"/>
        <v/>
      </c>
      <c r="JGA23" s="50" t="str">
        <f t="shared" si="108"/>
        <v/>
      </c>
      <c r="JGB23" s="50" t="str">
        <f t="shared" si="108"/>
        <v/>
      </c>
      <c r="JGC23" s="50" t="str">
        <f t="shared" si="108"/>
        <v/>
      </c>
      <c r="JGD23" s="50" t="str">
        <f t="shared" si="108"/>
        <v/>
      </c>
      <c r="JGE23" s="50" t="str">
        <f t="shared" si="108"/>
        <v/>
      </c>
      <c r="JGF23" s="50" t="str">
        <f t="shared" si="108"/>
        <v/>
      </c>
      <c r="JGG23" s="50" t="str">
        <f t="shared" si="108"/>
        <v/>
      </c>
      <c r="JGH23" s="50" t="str">
        <f t="shared" si="108"/>
        <v/>
      </c>
      <c r="JGI23" s="50" t="str">
        <f t="shared" si="108"/>
        <v/>
      </c>
      <c r="JGJ23" s="50" t="str">
        <f t="shared" si="108"/>
        <v/>
      </c>
      <c r="JGK23" s="50" t="str">
        <f t="shared" si="108"/>
        <v/>
      </c>
      <c r="JGL23" s="50" t="str">
        <f t="shared" si="108"/>
        <v/>
      </c>
      <c r="JGM23" s="50" t="str">
        <f t="shared" si="108"/>
        <v/>
      </c>
      <c r="JGN23" s="50" t="str">
        <f t="shared" si="108"/>
        <v/>
      </c>
      <c r="JGO23" s="50" t="str">
        <f t="shared" si="108"/>
        <v/>
      </c>
      <c r="JGP23" s="50" t="str">
        <f t="shared" si="108"/>
        <v/>
      </c>
      <c r="JGQ23" s="50" t="str">
        <f t="shared" si="108"/>
        <v/>
      </c>
      <c r="JGR23" s="50" t="str">
        <f t="shared" si="108"/>
        <v/>
      </c>
      <c r="JGS23" s="50" t="str">
        <f t="shared" ref="JGS23:JJD23" si="109">IFERROR(IF(JGR23+TIME(1,0,0)&lt;=$G$12,JGR23+TIME(1,0,0),""),"")</f>
        <v/>
      </c>
      <c r="JGT23" s="50" t="str">
        <f t="shared" si="109"/>
        <v/>
      </c>
      <c r="JGU23" s="50" t="str">
        <f t="shared" si="109"/>
        <v/>
      </c>
      <c r="JGV23" s="50" t="str">
        <f t="shared" si="109"/>
        <v/>
      </c>
      <c r="JGW23" s="50" t="str">
        <f t="shared" si="109"/>
        <v/>
      </c>
      <c r="JGX23" s="50" t="str">
        <f t="shared" si="109"/>
        <v/>
      </c>
      <c r="JGY23" s="50" t="str">
        <f t="shared" si="109"/>
        <v/>
      </c>
      <c r="JGZ23" s="50" t="str">
        <f t="shared" si="109"/>
        <v/>
      </c>
      <c r="JHA23" s="50" t="str">
        <f t="shared" si="109"/>
        <v/>
      </c>
      <c r="JHB23" s="50" t="str">
        <f t="shared" si="109"/>
        <v/>
      </c>
      <c r="JHC23" s="50" t="str">
        <f t="shared" si="109"/>
        <v/>
      </c>
      <c r="JHD23" s="50" t="str">
        <f t="shared" si="109"/>
        <v/>
      </c>
      <c r="JHE23" s="50" t="str">
        <f t="shared" si="109"/>
        <v/>
      </c>
      <c r="JHF23" s="50" t="str">
        <f t="shared" si="109"/>
        <v/>
      </c>
      <c r="JHG23" s="50" t="str">
        <f t="shared" si="109"/>
        <v/>
      </c>
      <c r="JHH23" s="50" t="str">
        <f t="shared" si="109"/>
        <v/>
      </c>
      <c r="JHI23" s="50" t="str">
        <f t="shared" si="109"/>
        <v/>
      </c>
      <c r="JHJ23" s="50" t="str">
        <f t="shared" si="109"/>
        <v/>
      </c>
      <c r="JHK23" s="50" t="str">
        <f t="shared" si="109"/>
        <v/>
      </c>
      <c r="JHL23" s="50" t="str">
        <f t="shared" si="109"/>
        <v/>
      </c>
      <c r="JHM23" s="50" t="str">
        <f t="shared" si="109"/>
        <v/>
      </c>
      <c r="JHN23" s="50" t="str">
        <f t="shared" si="109"/>
        <v/>
      </c>
      <c r="JHO23" s="50" t="str">
        <f t="shared" si="109"/>
        <v/>
      </c>
      <c r="JHP23" s="50" t="str">
        <f t="shared" si="109"/>
        <v/>
      </c>
      <c r="JHQ23" s="50" t="str">
        <f t="shared" si="109"/>
        <v/>
      </c>
      <c r="JHR23" s="50" t="str">
        <f t="shared" si="109"/>
        <v/>
      </c>
      <c r="JHS23" s="50" t="str">
        <f t="shared" si="109"/>
        <v/>
      </c>
      <c r="JHT23" s="50" t="str">
        <f t="shared" si="109"/>
        <v/>
      </c>
      <c r="JHU23" s="50" t="str">
        <f t="shared" si="109"/>
        <v/>
      </c>
      <c r="JHV23" s="50" t="str">
        <f t="shared" si="109"/>
        <v/>
      </c>
      <c r="JHW23" s="50" t="str">
        <f t="shared" si="109"/>
        <v/>
      </c>
      <c r="JHX23" s="50" t="str">
        <f t="shared" si="109"/>
        <v/>
      </c>
      <c r="JHY23" s="50" t="str">
        <f t="shared" si="109"/>
        <v/>
      </c>
      <c r="JHZ23" s="50" t="str">
        <f t="shared" si="109"/>
        <v/>
      </c>
      <c r="JIA23" s="50" t="str">
        <f t="shared" si="109"/>
        <v/>
      </c>
      <c r="JIB23" s="50" t="str">
        <f t="shared" si="109"/>
        <v/>
      </c>
      <c r="JIC23" s="50" t="str">
        <f t="shared" si="109"/>
        <v/>
      </c>
      <c r="JID23" s="50" t="str">
        <f t="shared" si="109"/>
        <v/>
      </c>
      <c r="JIE23" s="50" t="str">
        <f t="shared" si="109"/>
        <v/>
      </c>
      <c r="JIF23" s="50" t="str">
        <f t="shared" si="109"/>
        <v/>
      </c>
      <c r="JIG23" s="50" t="str">
        <f t="shared" si="109"/>
        <v/>
      </c>
      <c r="JIH23" s="50" t="str">
        <f t="shared" si="109"/>
        <v/>
      </c>
      <c r="JII23" s="50" t="str">
        <f t="shared" si="109"/>
        <v/>
      </c>
      <c r="JIJ23" s="50" t="str">
        <f t="shared" si="109"/>
        <v/>
      </c>
      <c r="JIK23" s="50" t="str">
        <f t="shared" si="109"/>
        <v/>
      </c>
      <c r="JIL23" s="50" t="str">
        <f t="shared" si="109"/>
        <v/>
      </c>
      <c r="JIM23" s="50" t="str">
        <f t="shared" si="109"/>
        <v/>
      </c>
      <c r="JIN23" s="50" t="str">
        <f t="shared" si="109"/>
        <v/>
      </c>
      <c r="JIO23" s="50" t="str">
        <f t="shared" si="109"/>
        <v/>
      </c>
      <c r="JIP23" s="50" t="str">
        <f t="shared" si="109"/>
        <v/>
      </c>
      <c r="JIQ23" s="50" t="str">
        <f t="shared" si="109"/>
        <v/>
      </c>
      <c r="JIR23" s="50" t="str">
        <f t="shared" si="109"/>
        <v/>
      </c>
      <c r="JIS23" s="50" t="str">
        <f t="shared" si="109"/>
        <v/>
      </c>
      <c r="JIT23" s="50" t="str">
        <f t="shared" si="109"/>
        <v/>
      </c>
      <c r="JIU23" s="50" t="str">
        <f t="shared" si="109"/>
        <v/>
      </c>
      <c r="JIV23" s="50" t="str">
        <f t="shared" si="109"/>
        <v/>
      </c>
      <c r="JIW23" s="50" t="str">
        <f t="shared" si="109"/>
        <v/>
      </c>
      <c r="JIX23" s="50" t="str">
        <f t="shared" si="109"/>
        <v/>
      </c>
      <c r="JIY23" s="50" t="str">
        <f t="shared" si="109"/>
        <v/>
      </c>
      <c r="JIZ23" s="50" t="str">
        <f t="shared" si="109"/>
        <v/>
      </c>
      <c r="JJA23" s="50" t="str">
        <f t="shared" si="109"/>
        <v/>
      </c>
      <c r="JJB23" s="50" t="str">
        <f t="shared" si="109"/>
        <v/>
      </c>
      <c r="JJC23" s="50" t="str">
        <f t="shared" si="109"/>
        <v/>
      </c>
      <c r="JJD23" s="50" t="str">
        <f t="shared" si="109"/>
        <v/>
      </c>
      <c r="JJE23" s="50" t="str">
        <f t="shared" ref="JJE23:JLP23" si="110">IFERROR(IF(JJD23+TIME(1,0,0)&lt;=$G$12,JJD23+TIME(1,0,0),""),"")</f>
        <v/>
      </c>
      <c r="JJF23" s="50" t="str">
        <f t="shared" si="110"/>
        <v/>
      </c>
      <c r="JJG23" s="50" t="str">
        <f t="shared" si="110"/>
        <v/>
      </c>
      <c r="JJH23" s="50" t="str">
        <f t="shared" si="110"/>
        <v/>
      </c>
      <c r="JJI23" s="50" t="str">
        <f t="shared" si="110"/>
        <v/>
      </c>
      <c r="JJJ23" s="50" t="str">
        <f t="shared" si="110"/>
        <v/>
      </c>
      <c r="JJK23" s="50" t="str">
        <f t="shared" si="110"/>
        <v/>
      </c>
      <c r="JJL23" s="50" t="str">
        <f t="shared" si="110"/>
        <v/>
      </c>
      <c r="JJM23" s="50" t="str">
        <f t="shared" si="110"/>
        <v/>
      </c>
      <c r="JJN23" s="50" t="str">
        <f t="shared" si="110"/>
        <v/>
      </c>
      <c r="JJO23" s="50" t="str">
        <f t="shared" si="110"/>
        <v/>
      </c>
      <c r="JJP23" s="50" t="str">
        <f t="shared" si="110"/>
        <v/>
      </c>
      <c r="JJQ23" s="50" t="str">
        <f t="shared" si="110"/>
        <v/>
      </c>
      <c r="JJR23" s="50" t="str">
        <f t="shared" si="110"/>
        <v/>
      </c>
      <c r="JJS23" s="50" t="str">
        <f t="shared" si="110"/>
        <v/>
      </c>
      <c r="JJT23" s="50" t="str">
        <f t="shared" si="110"/>
        <v/>
      </c>
      <c r="JJU23" s="50" t="str">
        <f t="shared" si="110"/>
        <v/>
      </c>
      <c r="JJV23" s="50" t="str">
        <f t="shared" si="110"/>
        <v/>
      </c>
      <c r="JJW23" s="50" t="str">
        <f t="shared" si="110"/>
        <v/>
      </c>
      <c r="JJX23" s="50" t="str">
        <f t="shared" si="110"/>
        <v/>
      </c>
      <c r="JJY23" s="50" t="str">
        <f t="shared" si="110"/>
        <v/>
      </c>
      <c r="JJZ23" s="50" t="str">
        <f t="shared" si="110"/>
        <v/>
      </c>
      <c r="JKA23" s="50" t="str">
        <f t="shared" si="110"/>
        <v/>
      </c>
      <c r="JKB23" s="50" t="str">
        <f t="shared" si="110"/>
        <v/>
      </c>
      <c r="JKC23" s="50" t="str">
        <f t="shared" si="110"/>
        <v/>
      </c>
      <c r="JKD23" s="50" t="str">
        <f t="shared" si="110"/>
        <v/>
      </c>
      <c r="JKE23" s="50" t="str">
        <f t="shared" si="110"/>
        <v/>
      </c>
      <c r="JKF23" s="50" t="str">
        <f t="shared" si="110"/>
        <v/>
      </c>
      <c r="JKG23" s="50" t="str">
        <f t="shared" si="110"/>
        <v/>
      </c>
      <c r="JKH23" s="50" t="str">
        <f t="shared" si="110"/>
        <v/>
      </c>
      <c r="JKI23" s="50" t="str">
        <f t="shared" si="110"/>
        <v/>
      </c>
      <c r="JKJ23" s="50" t="str">
        <f t="shared" si="110"/>
        <v/>
      </c>
      <c r="JKK23" s="50" t="str">
        <f t="shared" si="110"/>
        <v/>
      </c>
      <c r="JKL23" s="50" t="str">
        <f t="shared" si="110"/>
        <v/>
      </c>
      <c r="JKM23" s="50" t="str">
        <f t="shared" si="110"/>
        <v/>
      </c>
      <c r="JKN23" s="50" t="str">
        <f t="shared" si="110"/>
        <v/>
      </c>
      <c r="JKO23" s="50" t="str">
        <f t="shared" si="110"/>
        <v/>
      </c>
      <c r="JKP23" s="50" t="str">
        <f t="shared" si="110"/>
        <v/>
      </c>
      <c r="JKQ23" s="50" t="str">
        <f t="shared" si="110"/>
        <v/>
      </c>
      <c r="JKR23" s="50" t="str">
        <f t="shared" si="110"/>
        <v/>
      </c>
      <c r="JKS23" s="50" t="str">
        <f t="shared" si="110"/>
        <v/>
      </c>
      <c r="JKT23" s="50" t="str">
        <f t="shared" si="110"/>
        <v/>
      </c>
      <c r="JKU23" s="50" t="str">
        <f t="shared" si="110"/>
        <v/>
      </c>
      <c r="JKV23" s="50" t="str">
        <f t="shared" si="110"/>
        <v/>
      </c>
      <c r="JKW23" s="50" t="str">
        <f t="shared" si="110"/>
        <v/>
      </c>
      <c r="JKX23" s="50" t="str">
        <f t="shared" si="110"/>
        <v/>
      </c>
      <c r="JKY23" s="50" t="str">
        <f t="shared" si="110"/>
        <v/>
      </c>
      <c r="JKZ23" s="50" t="str">
        <f t="shared" si="110"/>
        <v/>
      </c>
      <c r="JLA23" s="50" t="str">
        <f t="shared" si="110"/>
        <v/>
      </c>
      <c r="JLB23" s="50" t="str">
        <f t="shared" si="110"/>
        <v/>
      </c>
      <c r="JLC23" s="50" t="str">
        <f t="shared" si="110"/>
        <v/>
      </c>
      <c r="JLD23" s="50" t="str">
        <f t="shared" si="110"/>
        <v/>
      </c>
      <c r="JLE23" s="50" t="str">
        <f t="shared" si="110"/>
        <v/>
      </c>
      <c r="JLF23" s="50" t="str">
        <f t="shared" si="110"/>
        <v/>
      </c>
      <c r="JLG23" s="50" t="str">
        <f t="shared" si="110"/>
        <v/>
      </c>
      <c r="JLH23" s="50" t="str">
        <f t="shared" si="110"/>
        <v/>
      </c>
      <c r="JLI23" s="50" t="str">
        <f t="shared" si="110"/>
        <v/>
      </c>
      <c r="JLJ23" s="50" t="str">
        <f t="shared" si="110"/>
        <v/>
      </c>
      <c r="JLK23" s="50" t="str">
        <f t="shared" si="110"/>
        <v/>
      </c>
      <c r="JLL23" s="50" t="str">
        <f t="shared" si="110"/>
        <v/>
      </c>
      <c r="JLM23" s="50" t="str">
        <f t="shared" si="110"/>
        <v/>
      </c>
      <c r="JLN23" s="50" t="str">
        <f t="shared" si="110"/>
        <v/>
      </c>
      <c r="JLO23" s="50" t="str">
        <f t="shared" si="110"/>
        <v/>
      </c>
      <c r="JLP23" s="50" t="str">
        <f t="shared" si="110"/>
        <v/>
      </c>
      <c r="JLQ23" s="50" t="str">
        <f t="shared" ref="JLQ23:JOB23" si="111">IFERROR(IF(JLP23+TIME(1,0,0)&lt;=$G$12,JLP23+TIME(1,0,0),""),"")</f>
        <v/>
      </c>
      <c r="JLR23" s="50" t="str">
        <f t="shared" si="111"/>
        <v/>
      </c>
      <c r="JLS23" s="50" t="str">
        <f t="shared" si="111"/>
        <v/>
      </c>
      <c r="JLT23" s="50" t="str">
        <f t="shared" si="111"/>
        <v/>
      </c>
      <c r="JLU23" s="50" t="str">
        <f t="shared" si="111"/>
        <v/>
      </c>
      <c r="JLV23" s="50" t="str">
        <f t="shared" si="111"/>
        <v/>
      </c>
      <c r="JLW23" s="50" t="str">
        <f t="shared" si="111"/>
        <v/>
      </c>
      <c r="JLX23" s="50" t="str">
        <f t="shared" si="111"/>
        <v/>
      </c>
      <c r="JLY23" s="50" t="str">
        <f t="shared" si="111"/>
        <v/>
      </c>
      <c r="JLZ23" s="50" t="str">
        <f t="shared" si="111"/>
        <v/>
      </c>
      <c r="JMA23" s="50" t="str">
        <f t="shared" si="111"/>
        <v/>
      </c>
      <c r="JMB23" s="50" t="str">
        <f t="shared" si="111"/>
        <v/>
      </c>
      <c r="JMC23" s="50" t="str">
        <f t="shared" si="111"/>
        <v/>
      </c>
      <c r="JMD23" s="50" t="str">
        <f t="shared" si="111"/>
        <v/>
      </c>
      <c r="JME23" s="50" t="str">
        <f t="shared" si="111"/>
        <v/>
      </c>
      <c r="JMF23" s="50" t="str">
        <f t="shared" si="111"/>
        <v/>
      </c>
      <c r="JMG23" s="50" t="str">
        <f t="shared" si="111"/>
        <v/>
      </c>
      <c r="JMH23" s="50" t="str">
        <f t="shared" si="111"/>
        <v/>
      </c>
      <c r="JMI23" s="50" t="str">
        <f t="shared" si="111"/>
        <v/>
      </c>
      <c r="JMJ23" s="50" t="str">
        <f t="shared" si="111"/>
        <v/>
      </c>
      <c r="JMK23" s="50" t="str">
        <f t="shared" si="111"/>
        <v/>
      </c>
      <c r="JML23" s="50" t="str">
        <f t="shared" si="111"/>
        <v/>
      </c>
      <c r="JMM23" s="50" t="str">
        <f t="shared" si="111"/>
        <v/>
      </c>
      <c r="JMN23" s="50" t="str">
        <f t="shared" si="111"/>
        <v/>
      </c>
      <c r="JMO23" s="50" t="str">
        <f t="shared" si="111"/>
        <v/>
      </c>
      <c r="JMP23" s="50" t="str">
        <f t="shared" si="111"/>
        <v/>
      </c>
      <c r="JMQ23" s="50" t="str">
        <f t="shared" si="111"/>
        <v/>
      </c>
      <c r="JMR23" s="50" t="str">
        <f t="shared" si="111"/>
        <v/>
      </c>
      <c r="JMS23" s="50" t="str">
        <f t="shared" si="111"/>
        <v/>
      </c>
      <c r="JMT23" s="50" t="str">
        <f t="shared" si="111"/>
        <v/>
      </c>
      <c r="JMU23" s="50" t="str">
        <f t="shared" si="111"/>
        <v/>
      </c>
      <c r="JMV23" s="50" t="str">
        <f t="shared" si="111"/>
        <v/>
      </c>
      <c r="JMW23" s="50" t="str">
        <f t="shared" si="111"/>
        <v/>
      </c>
      <c r="JMX23" s="50" t="str">
        <f t="shared" si="111"/>
        <v/>
      </c>
      <c r="JMY23" s="50" t="str">
        <f t="shared" si="111"/>
        <v/>
      </c>
      <c r="JMZ23" s="50" t="str">
        <f t="shared" si="111"/>
        <v/>
      </c>
      <c r="JNA23" s="50" t="str">
        <f t="shared" si="111"/>
        <v/>
      </c>
      <c r="JNB23" s="50" t="str">
        <f t="shared" si="111"/>
        <v/>
      </c>
      <c r="JNC23" s="50" t="str">
        <f t="shared" si="111"/>
        <v/>
      </c>
      <c r="JND23" s="50" t="str">
        <f t="shared" si="111"/>
        <v/>
      </c>
      <c r="JNE23" s="50" t="str">
        <f t="shared" si="111"/>
        <v/>
      </c>
      <c r="JNF23" s="50" t="str">
        <f t="shared" si="111"/>
        <v/>
      </c>
      <c r="JNG23" s="50" t="str">
        <f t="shared" si="111"/>
        <v/>
      </c>
      <c r="JNH23" s="50" t="str">
        <f t="shared" si="111"/>
        <v/>
      </c>
      <c r="JNI23" s="50" t="str">
        <f t="shared" si="111"/>
        <v/>
      </c>
      <c r="JNJ23" s="50" t="str">
        <f t="shared" si="111"/>
        <v/>
      </c>
      <c r="JNK23" s="50" t="str">
        <f t="shared" si="111"/>
        <v/>
      </c>
      <c r="JNL23" s="50" t="str">
        <f t="shared" si="111"/>
        <v/>
      </c>
      <c r="JNM23" s="50" t="str">
        <f t="shared" si="111"/>
        <v/>
      </c>
      <c r="JNN23" s="50" t="str">
        <f t="shared" si="111"/>
        <v/>
      </c>
      <c r="JNO23" s="50" t="str">
        <f t="shared" si="111"/>
        <v/>
      </c>
      <c r="JNP23" s="50" t="str">
        <f t="shared" si="111"/>
        <v/>
      </c>
      <c r="JNQ23" s="50" t="str">
        <f t="shared" si="111"/>
        <v/>
      </c>
      <c r="JNR23" s="50" t="str">
        <f t="shared" si="111"/>
        <v/>
      </c>
      <c r="JNS23" s="50" t="str">
        <f t="shared" si="111"/>
        <v/>
      </c>
      <c r="JNT23" s="50" t="str">
        <f t="shared" si="111"/>
        <v/>
      </c>
      <c r="JNU23" s="50" t="str">
        <f t="shared" si="111"/>
        <v/>
      </c>
      <c r="JNV23" s="50" t="str">
        <f t="shared" si="111"/>
        <v/>
      </c>
      <c r="JNW23" s="50" t="str">
        <f t="shared" si="111"/>
        <v/>
      </c>
      <c r="JNX23" s="50" t="str">
        <f t="shared" si="111"/>
        <v/>
      </c>
      <c r="JNY23" s="50" t="str">
        <f t="shared" si="111"/>
        <v/>
      </c>
      <c r="JNZ23" s="50" t="str">
        <f t="shared" si="111"/>
        <v/>
      </c>
      <c r="JOA23" s="50" t="str">
        <f t="shared" si="111"/>
        <v/>
      </c>
      <c r="JOB23" s="50" t="str">
        <f t="shared" si="111"/>
        <v/>
      </c>
      <c r="JOC23" s="50" t="str">
        <f t="shared" ref="JOC23:JQN23" si="112">IFERROR(IF(JOB23+TIME(1,0,0)&lt;=$G$12,JOB23+TIME(1,0,0),""),"")</f>
        <v/>
      </c>
      <c r="JOD23" s="50" t="str">
        <f t="shared" si="112"/>
        <v/>
      </c>
      <c r="JOE23" s="50" t="str">
        <f t="shared" si="112"/>
        <v/>
      </c>
      <c r="JOF23" s="50" t="str">
        <f t="shared" si="112"/>
        <v/>
      </c>
      <c r="JOG23" s="50" t="str">
        <f t="shared" si="112"/>
        <v/>
      </c>
      <c r="JOH23" s="50" t="str">
        <f t="shared" si="112"/>
        <v/>
      </c>
      <c r="JOI23" s="50" t="str">
        <f t="shared" si="112"/>
        <v/>
      </c>
      <c r="JOJ23" s="50" t="str">
        <f t="shared" si="112"/>
        <v/>
      </c>
      <c r="JOK23" s="50" t="str">
        <f t="shared" si="112"/>
        <v/>
      </c>
      <c r="JOL23" s="50" t="str">
        <f t="shared" si="112"/>
        <v/>
      </c>
      <c r="JOM23" s="50" t="str">
        <f t="shared" si="112"/>
        <v/>
      </c>
      <c r="JON23" s="50" t="str">
        <f t="shared" si="112"/>
        <v/>
      </c>
      <c r="JOO23" s="50" t="str">
        <f t="shared" si="112"/>
        <v/>
      </c>
      <c r="JOP23" s="50" t="str">
        <f t="shared" si="112"/>
        <v/>
      </c>
      <c r="JOQ23" s="50" t="str">
        <f t="shared" si="112"/>
        <v/>
      </c>
      <c r="JOR23" s="50" t="str">
        <f t="shared" si="112"/>
        <v/>
      </c>
      <c r="JOS23" s="50" t="str">
        <f t="shared" si="112"/>
        <v/>
      </c>
      <c r="JOT23" s="50" t="str">
        <f t="shared" si="112"/>
        <v/>
      </c>
      <c r="JOU23" s="50" t="str">
        <f t="shared" si="112"/>
        <v/>
      </c>
      <c r="JOV23" s="50" t="str">
        <f t="shared" si="112"/>
        <v/>
      </c>
      <c r="JOW23" s="50" t="str">
        <f t="shared" si="112"/>
        <v/>
      </c>
      <c r="JOX23" s="50" t="str">
        <f t="shared" si="112"/>
        <v/>
      </c>
      <c r="JOY23" s="50" t="str">
        <f t="shared" si="112"/>
        <v/>
      </c>
      <c r="JOZ23" s="50" t="str">
        <f t="shared" si="112"/>
        <v/>
      </c>
      <c r="JPA23" s="50" t="str">
        <f t="shared" si="112"/>
        <v/>
      </c>
      <c r="JPB23" s="50" t="str">
        <f t="shared" si="112"/>
        <v/>
      </c>
      <c r="JPC23" s="50" t="str">
        <f t="shared" si="112"/>
        <v/>
      </c>
      <c r="JPD23" s="50" t="str">
        <f t="shared" si="112"/>
        <v/>
      </c>
      <c r="JPE23" s="50" t="str">
        <f t="shared" si="112"/>
        <v/>
      </c>
      <c r="JPF23" s="50" t="str">
        <f t="shared" si="112"/>
        <v/>
      </c>
      <c r="JPG23" s="50" t="str">
        <f t="shared" si="112"/>
        <v/>
      </c>
      <c r="JPH23" s="50" t="str">
        <f t="shared" si="112"/>
        <v/>
      </c>
      <c r="JPI23" s="50" t="str">
        <f t="shared" si="112"/>
        <v/>
      </c>
      <c r="JPJ23" s="50" t="str">
        <f t="shared" si="112"/>
        <v/>
      </c>
      <c r="JPK23" s="50" t="str">
        <f t="shared" si="112"/>
        <v/>
      </c>
      <c r="JPL23" s="50" t="str">
        <f t="shared" si="112"/>
        <v/>
      </c>
      <c r="JPM23" s="50" t="str">
        <f t="shared" si="112"/>
        <v/>
      </c>
      <c r="JPN23" s="50" t="str">
        <f t="shared" si="112"/>
        <v/>
      </c>
      <c r="JPO23" s="50" t="str">
        <f t="shared" si="112"/>
        <v/>
      </c>
      <c r="JPP23" s="50" t="str">
        <f t="shared" si="112"/>
        <v/>
      </c>
      <c r="JPQ23" s="50" t="str">
        <f t="shared" si="112"/>
        <v/>
      </c>
      <c r="JPR23" s="50" t="str">
        <f t="shared" si="112"/>
        <v/>
      </c>
      <c r="JPS23" s="50" t="str">
        <f t="shared" si="112"/>
        <v/>
      </c>
      <c r="JPT23" s="50" t="str">
        <f t="shared" si="112"/>
        <v/>
      </c>
      <c r="JPU23" s="50" t="str">
        <f t="shared" si="112"/>
        <v/>
      </c>
      <c r="JPV23" s="50" t="str">
        <f t="shared" si="112"/>
        <v/>
      </c>
      <c r="JPW23" s="50" t="str">
        <f t="shared" si="112"/>
        <v/>
      </c>
      <c r="JPX23" s="50" t="str">
        <f t="shared" si="112"/>
        <v/>
      </c>
      <c r="JPY23" s="50" t="str">
        <f t="shared" si="112"/>
        <v/>
      </c>
      <c r="JPZ23" s="50" t="str">
        <f t="shared" si="112"/>
        <v/>
      </c>
      <c r="JQA23" s="50" t="str">
        <f t="shared" si="112"/>
        <v/>
      </c>
      <c r="JQB23" s="50" t="str">
        <f t="shared" si="112"/>
        <v/>
      </c>
      <c r="JQC23" s="50" t="str">
        <f t="shared" si="112"/>
        <v/>
      </c>
      <c r="JQD23" s="50" t="str">
        <f t="shared" si="112"/>
        <v/>
      </c>
      <c r="JQE23" s="50" t="str">
        <f t="shared" si="112"/>
        <v/>
      </c>
      <c r="JQF23" s="50" t="str">
        <f t="shared" si="112"/>
        <v/>
      </c>
      <c r="JQG23" s="50" t="str">
        <f t="shared" si="112"/>
        <v/>
      </c>
      <c r="JQH23" s="50" t="str">
        <f t="shared" si="112"/>
        <v/>
      </c>
      <c r="JQI23" s="50" t="str">
        <f t="shared" si="112"/>
        <v/>
      </c>
      <c r="JQJ23" s="50" t="str">
        <f t="shared" si="112"/>
        <v/>
      </c>
      <c r="JQK23" s="50" t="str">
        <f t="shared" si="112"/>
        <v/>
      </c>
      <c r="JQL23" s="50" t="str">
        <f t="shared" si="112"/>
        <v/>
      </c>
      <c r="JQM23" s="50" t="str">
        <f t="shared" si="112"/>
        <v/>
      </c>
      <c r="JQN23" s="50" t="str">
        <f t="shared" si="112"/>
        <v/>
      </c>
      <c r="JQO23" s="50" t="str">
        <f t="shared" ref="JQO23:JSZ23" si="113">IFERROR(IF(JQN23+TIME(1,0,0)&lt;=$G$12,JQN23+TIME(1,0,0),""),"")</f>
        <v/>
      </c>
      <c r="JQP23" s="50" t="str">
        <f t="shared" si="113"/>
        <v/>
      </c>
      <c r="JQQ23" s="50" t="str">
        <f t="shared" si="113"/>
        <v/>
      </c>
      <c r="JQR23" s="50" t="str">
        <f t="shared" si="113"/>
        <v/>
      </c>
      <c r="JQS23" s="50" t="str">
        <f t="shared" si="113"/>
        <v/>
      </c>
      <c r="JQT23" s="50" t="str">
        <f t="shared" si="113"/>
        <v/>
      </c>
      <c r="JQU23" s="50" t="str">
        <f t="shared" si="113"/>
        <v/>
      </c>
      <c r="JQV23" s="50" t="str">
        <f t="shared" si="113"/>
        <v/>
      </c>
      <c r="JQW23" s="50" t="str">
        <f t="shared" si="113"/>
        <v/>
      </c>
      <c r="JQX23" s="50" t="str">
        <f t="shared" si="113"/>
        <v/>
      </c>
      <c r="JQY23" s="50" t="str">
        <f t="shared" si="113"/>
        <v/>
      </c>
      <c r="JQZ23" s="50" t="str">
        <f t="shared" si="113"/>
        <v/>
      </c>
      <c r="JRA23" s="50" t="str">
        <f t="shared" si="113"/>
        <v/>
      </c>
      <c r="JRB23" s="50" t="str">
        <f t="shared" si="113"/>
        <v/>
      </c>
      <c r="JRC23" s="50" t="str">
        <f t="shared" si="113"/>
        <v/>
      </c>
      <c r="JRD23" s="50" t="str">
        <f t="shared" si="113"/>
        <v/>
      </c>
      <c r="JRE23" s="50" t="str">
        <f t="shared" si="113"/>
        <v/>
      </c>
      <c r="JRF23" s="50" t="str">
        <f t="shared" si="113"/>
        <v/>
      </c>
      <c r="JRG23" s="50" t="str">
        <f t="shared" si="113"/>
        <v/>
      </c>
      <c r="JRH23" s="50" t="str">
        <f t="shared" si="113"/>
        <v/>
      </c>
      <c r="JRI23" s="50" t="str">
        <f t="shared" si="113"/>
        <v/>
      </c>
      <c r="JRJ23" s="50" t="str">
        <f t="shared" si="113"/>
        <v/>
      </c>
      <c r="JRK23" s="50" t="str">
        <f t="shared" si="113"/>
        <v/>
      </c>
      <c r="JRL23" s="50" t="str">
        <f t="shared" si="113"/>
        <v/>
      </c>
      <c r="JRM23" s="50" t="str">
        <f t="shared" si="113"/>
        <v/>
      </c>
      <c r="JRN23" s="50" t="str">
        <f t="shared" si="113"/>
        <v/>
      </c>
      <c r="JRO23" s="50" t="str">
        <f t="shared" si="113"/>
        <v/>
      </c>
      <c r="JRP23" s="50" t="str">
        <f t="shared" si="113"/>
        <v/>
      </c>
      <c r="JRQ23" s="50" t="str">
        <f t="shared" si="113"/>
        <v/>
      </c>
      <c r="JRR23" s="50" t="str">
        <f t="shared" si="113"/>
        <v/>
      </c>
      <c r="JRS23" s="50" t="str">
        <f t="shared" si="113"/>
        <v/>
      </c>
      <c r="JRT23" s="50" t="str">
        <f t="shared" si="113"/>
        <v/>
      </c>
      <c r="JRU23" s="50" t="str">
        <f t="shared" si="113"/>
        <v/>
      </c>
      <c r="JRV23" s="50" t="str">
        <f t="shared" si="113"/>
        <v/>
      </c>
      <c r="JRW23" s="50" t="str">
        <f t="shared" si="113"/>
        <v/>
      </c>
      <c r="JRX23" s="50" t="str">
        <f t="shared" si="113"/>
        <v/>
      </c>
      <c r="JRY23" s="50" t="str">
        <f t="shared" si="113"/>
        <v/>
      </c>
      <c r="JRZ23" s="50" t="str">
        <f t="shared" si="113"/>
        <v/>
      </c>
      <c r="JSA23" s="50" t="str">
        <f t="shared" si="113"/>
        <v/>
      </c>
      <c r="JSB23" s="50" t="str">
        <f t="shared" si="113"/>
        <v/>
      </c>
      <c r="JSC23" s="50" t="str">
        <f t="shared" si="113"/>
        <v/>
      </c>
      <c r="JSD23" s="50" t="str">
        <f t="shared" si="113"/>
        <v/>
      </c>
      <c r="JSE23" s="50" t="str">
        <f t="shared" si="113"/>
        <v/>
      </c>
      <c r="JSF23" s="50" t="str">
        <f t="shared" si="113"/>
        <v/>
      </c>
      <c r="JSG23" s="50" t="str">
        <f t="shared" si="113"/>
        <v/>
      </c>
      <c r="JSH23" s="50" t="str">
        <f t="shared" si="113"/>
        <v/>
      </c>
      <c r="JSI23" s="50" t="str">
        <f t="shared" si="113"/>
        <v/>
      </c>
      <c r="JSJ23" s="50" t="str">
        <f t="shared" si="113"/>
        <v/>
      </c>
      <c r="JSK23" s="50" t="str">
        <f t="shared" si="113"/>
        <v/>
      </c>
      <c r="JSL23" s="50" t="str">
        <f t="shared" si="113"/>
        <v/>
      </c>
      <c r="JSM23" s="50" t="str">
        <f t="shared" si="113"/>
        <v/>
      </c>
      <c r="JSN23" s="50" t="str">
        <f t="shared" si="113"/>
        <v/>
      </c>
      <c r="JSO23" s="50" t="str">
        <f t="shared" si="113"/>
        <v/>
      </c>
      <c r="JSP23" s="50" t="str">
        <f t="shared" si="113"/>
        <v/>
      </c>
      <c r="JSQ23" s="50" t="str">
        <f t="shared" si="113"/>
        <v/>
      </c>
      <c r="JSR23" s="50" t="str">
        <f t="shared" si="113"/>
        <v/>
      </c>
      <c r="JSS23" s="50" t="str">
        <f t="shared" si="113"/>
        <v/>
      </c>
      <c r="JST23" s="50" t="str">
        <f t="shared" si="113"/>
        <v/>
      </c>
      <c r="JSU23" s="50" t="str">
        <f t="shared" si="113"/>
        <v/>
      </c>
      <c r="JSV23" s="50" t="str">
        <f t="shared" si="113"/>
        <v/>
      </c>
      <c r="JSW23" s="50" t="str">
        <f t="shared" si="113"/>
        <v/>
      </c>
      <c r="JSX23" s="50" t="str">
        <f t="shared" si="113"/>
        <v/>
      </c>
      <c r="JSY23" s="50" t="str">
        <f t="shared" si="113"/>
        <v/>
      </c>
      <c r="JSZ23" s="50" t="str">
        <f t="shared" si="113"/>
        <v/>
      </c>
      <c r="JTA23" s="50" t="str">
        <f t="shared" ref="JTA23:JVL23" si="114">IFERROR(IF(JSZ23+TIME(1,0,0)&lt;=$G$12,JSZ23+TIME(1,0,0),""),"")</f>
        <v/>
      </c>
      <c r="JTB23" s="50" t="str">
        <f t="shared" si="114"/>
        <v/>
      </c>
      <c r="JTC23" s="50" t="str">
        <f t="shared" si="114"/>
        <v/>
      </c>
      <c r="JTD23" s="50" t="str">
        <f t="shared" si="114"/>
        <v/>
      </c>
      <c r="JTE23" s="50" t="str">
        <f t="shared" si="114"/>
        <v/>
      </c>
      <c r="JTF23" s="50" t="str">
        <f t="shared" si="114"/>
        <v/>
      </c>
      <c r="JTG23" s="50" t="str">
        <f t="shared" si="114"/>
        <v/>
      </c>
      <c r="JTH23" s="50" t="str">
        <f t="shared" si="114"/>
        <v/>
      </c>
      <c r="JTI23" s="50" t="str">
        <f t="shared" si="114"/>
        <v/>
      </c>
      <c r="JTJ23" s="50" t="str">
        <f t="shared" si="114"/>
        <v/>
      </c>
      <c r="JTK23" s="50" t="str">
        <f t="shared" si="114"/>
        <v/>
      </c>
      <c r="JTL23" s="50" t="str">
        <f t="shared" si="114"/>
        <v/>
      </c>
      <c r="JTM23" s="50" t="str">
        <f t="shared" si="114"/>
        <v/>
      </c>
      <c r="JTN23" s="50" t="str">
        <f t="shared" si="114"/>
        <v/>
      </c>
      <c r="JTO23" s="50" t="str">
        <f t="shared" si="114"/>
        <v/>
      </c>
      <c r="JTP23" s="50" t="str">
        <f t="shared" si="114"/>
        <v/>
      </c>
      <c r="JTQ23" s="50" t="str">
        <f t="shared" si="114"/>
        <v/>
      </c>
      <c r="JTR23" s="50" t="str">
        <f t="shared" si="114"/>
        <v/>
      </c>
      <c r="JTS23" s="50" t="str">
        <f t="shared" si="114"/>
        <v/>
      </c>
      <c r="JTT23" s="50" t="str">
        <f t="shared" si="114"/>
        <v/>
      </c>
      <c r="JTU23" s="50" t="str">
        <f t="shared" si="114"/>
        <v/>
      </c>
      <c r="JTV23" s="50" t="str">
        <f t="shared" si="114"/>
        <v/>
      </c>
      <c r="JTW23" s="50" t="str">
        <f t="shared" si="114"/>
        <v/>
      </c>
      <c r="JTX23" s="50" t="str">
        <f t="shared" si="114"/>
        <v/>
      </c>
      <c r="JTY23" s="50" t="str">
        <f t="shared" si="114"/>
        <v/>
      </c>
      <c r="JTZ23" s="50" t="str">
        <f t="shared" si="114"/>
        <v/>
      </c>
      <c r="JUA23" s="50" t="str">
        <f t="shared" si="114"/>
        <v/>
      </c>
      <c r="JUB23" s="50" t="str">
        <f t="shared" si="114"/>
        <v/>
      </c>
      <c r="JUC23" s="50" t="str">
        <f t="shared" si="114"/>
        <v/>
      </c>
      <c r="JUD23" s="50" t="str">
        <f t="shared" si="114"/>
        <v/>
      </c>
      <c r="JUE23" s="50" t="str">
        <f t="shared" si="114"/>
        <v/>
      </c>
      <c r="JUF23" s="50" t="str">
        <f t="shared" si="114"/>
        <v/>
      </c>
      <c r="JUG23" s="50" t="str">
        <f t="shared" si="114"/>
        <v/>
      </c>
      <c r="JUH23" s="50" t="str">
        <f t="shared" si="114"/>
        <v/>
      </c>
      <c r="JUI23" s="50" t="str">
        <f t="shared" si="114"/>
        <v/>
      </c>
      <c r="JUJ23" s="50" t="str">
        <f t="shared" si="114"/>
        <v/>
      </c>
      <c r="JUK23" s="50" t="str">
        <f t="shared" si="114"/>
        <v/>
      </c>
      <c r="JUL23" s="50" t="str">
        <f t="shared" si="114"/>
        <v/>
      </c>
      <c r="JUM23" s="50" t="str">
        <f t="shared" si="114"/>
        <v/>
      </c>
      <c r="JUN23" s="50" t="str">
        <f t="shared" si="114"/>
        <v/>
      </c>
      <c r="JUO23" s="50" t="str">
        <f t="shared" si="114"/>
        <v/>
      </c>
      <c r="JUP23" s="50" t="str">
        <f t="shared" si="114"/>
        <v/>
      </c>
      <c r="JUQ23" s="50" t="str">
        <f t="shared" si="114"/>
        <v/>
      </c>
      <c r="JUR23" s="50" t="str">
        <f t="shared" si="114"/>
        <v/>
      </c>
      <c r="JUS23" s="50" t="str">
        <f t="shared" si="114"/>
        <v/>
      </c>
      <c r="JUT23" s="50" t="str">
        <f t="shared" si="114"/>
        <v/>
      </c>
      <c r="JUU23" s="50" t="str">
        <f t="shared" si="114"/>
        <v/>
      </c>
      <c r="JUV23" s="50" t="str">
        <f t="shared" si="114"/>
        <v/>
      </c>
      <c r="JUW23" s="50" t="str">
        <f t="shared" si="114"/>
        <v/>
      </c>
      <c r="JUX23" s="50" t="str">
        <f t="shared" si="114"/>
        <v/>
      </c>
      <c r="JUY23" s="50" t="str">
        <f t="shared" si="114"/>
        <v/>
      </c>
      <c r="JUZ23" s="50" t="str">
        <f t="shared" si="114"/>
        <v/>
      </c>
      <c r="JVA23" s="50" t="str">
        <f t="shared" si="114"/>
        <v/>
      </c>
      <c r="JVB23" s="50" t="str">
        <f t="shared" si="114"/>
        <v/>
      </c>
      <c r="JVC23" s="50" t="str">
        <f t="shared" si="114"/>
        <v/>
      </c>
      <c r="JVD23" s="50" t="str">
        <f t="shared" si="114"/>
        <v/>
      </c>
      <c r="JVE23" s="50" t="str">
        <f t="shared" si="114"/>
        <v/>
      </c>
      <c r="JVF23" s="50" t="str">
        <f t="shared" si="114"/>
        <v/>
      </c>
      <c r="JVG23" s="50" t="str">
        <f t="shared" si="114"/>
        <v/>
      </c>
      <c r="JVH23" s="50" t="str">
        <f t="shared" si="114"/>
        <v/>
      </c>
      <c r="JVI23" s="50" t="str">
        <f t="shared" si="114"/>
        <v/>
      </c>
      <c r="JVJ23" s="50" t="str">
        <f t="shared" si="114"/>
        <v/>
      </c>
      <c r="JVK23" s="50" t="str">
        <f t="shared" si="114"/>
        <v/>
      </c>
      <c r="JVL23" s="50" t="str">
        <f t="shared" si="114"/>
        <v/>
      </c>
      <c r="JVM23" s="50" t="str">
        <f t="shared" ref="JVM23:JXX23" si="115">IFERROR(IF(JVL23+TIME(1,0,0)&lt;=$G$12,JVL23+TIME(1,0,0),""),"")</f>
        <v/>
      </c>
      <c r="JVN23" s="50" t="str">
        <f t="shared" si="115"/>
        <v/>
      </c>
      <c r="JVO23" s="50" t="str">
        <f t="shared" si="115"/>
        <v/>
      </c>
      <c r="JVP23" s="50" t="str">
        <f t="shared" si="115"/>
        <v/>
      </c>
      <c r="JVQ23" s="50" t="str">
        <f t="shared" si="115"/>
        <v/>
      </c>
      <c r="JVR23" s="50" t="str">
        <f t="shared" si="115"/>
        <v/>
      </c>
      <c r="JVS23" s="50" t="str">
        <f t="shared" si="115"/>
        <v/>
      </c>
      <c r="JVT23" s="50" t="str">
        <f t="shared" si="115"/>
        <v/>
      </c>
      <c r="JVU23" s="50" t="str">
        <f t="shared" si="115"/>
        <v/>
      </c>
      <c r="JVV23" s="50" t="str">
        <f t="shared" si="115"/>
        <v/>
      </c>
      <c r="JVW23" s="50" t="str">
        <f t="shared" si="115"/>
        <v/>
      </c>
      <c r="JVX23" s="50" t="str">
        <f t="shared" si="115"/>
        <v/>
      </c>
      <c r="JVY23" s="50" t="str">
        <f t="shared" si="115"/>
        <v/>
      </c>
      <c r="JVZ23" s="50" t="str">
        <f t="shared" si="115"/>
        <v/>
      </c>
      <c r="JWA23" s="50" t="str">
        <f t="shared" si="115"/>
        <v/>
      </c>
      <c r="JWB23" s="50" t="str">
        <f t="shared" si="115"/>
        <v/>
      </c>
      <c r="JWC23" s="50" t="str">
        <f t="shared" si="115"/>
        <v/>
      </c>
      <c r="JWD23" s="50" t="str">
        <f t="shared" si="115"/>
        <v/>
      </c>
      <c r="JWE23" s="50" t="str">
        <f t="shared" si="115"/>
        <v/>
      </c>
      <c r="JWF23" s="50" t="str">
        <f t="shared" si="115"/>
        <v/>
      </c>
      <c r="JWG23" s="50" t="str">
        <f t="shared" si="115"/>
        <v/>
      </c>
      <c r="JWH23" s="50" t="str">
        <f t="shared" si="115"/>
        <v/>
      </c>
      <c r="JWI23" s="50" t="str">
        <f t="shared" si="115"/>
        <v/>
      </c>
      <c r="JWJ23" s="50" t="str">
        <f t="shared" si="115"/>
        <v/>
      </c>
      <c r="JWK23" s="50" t="str">
        <f t="shared" si="115"/>
        <v/>
      </c>
      <c r="JWL23" s="50" t="str">
        <f t="shared" si="115"/>
        <v/>
      </c>
      <c r="JWM23" s="50" t="str">
        <f t="shared" si="115"/>
        <v/>
      </c>
      <c r="JWN23" s="50" t="str">
        <f t="shared" si="115"/>
        <v/>
      </c>
      <c r="JWO23" s="50" t="str">
        <f t="shared" si="115"/>
        <v/>
      </c>
      <c r="JWP23" s="50" t="str">
        <f t="shared" si="115"/>
        <v/>
      </c>
      <c r="JWQ23" s="50" t="str">
        <f t="shared" si="115"/>
        <v/>
      </c>
      <c r="JWR23" s="50" t="str">
        <f t="shared" si="115"/>
        <v/>
      </c>
      <c r="JWS23" s="50" t="str">
        <f t="shared" si="115"/>
        <v/>
      </c>
      <c r="JWT23" s="50" t="str">
        <f t="shared" si="115"/>
        <v/>
      </c>
      <c r="JWU23" s="50" t="str">
        <f t="shared" si="115"/>
        <v/>
      </c>
      <c r="JWV23" s="50" t="str">
        <f t="shared" si="115"/>
        <v/>
      </c>
      <c r="JWW23" s="50" t="str">
        <f t="shared" si="115"/>
        <v/>
      </c>
      <c r="JWX23" s="50" t="str">
        <f t="shared" si="115"/>
        <v/>
      </c>
      <c r="JWY23" s="50" t="str">
        <f t="shared" si="115"/>
        <v/>
      </c>
      <c r="JWZ23" s="50" t="str">
        <f t="shared" si="115"/>
        <v/>
      </c>
      <c r="JXA23" s="50" t="str">
        <f t="shared" si="115"/>
        <v/>
      </c>
      <c r="JXB23" s="50" t="str">
        <f t="shared" si="115"/>
        <v/>
      </c>
      <c r="JXC23" s="50" t="str">
        <f t="shared" si="115"/>
        <v/>
      </c>
      <c r="JXD23" s="50" t="str">
        <f t="shared" si="115"/>
        <v/>
      </c>
      <c r="JXE23" s="50" t="str">
        <f t="shared" si="115"/>
        <v/>
      </c>
      <c r="JXF23" s="50" t="str">
        <f t="shared" si="115"/>
        <v/>
      </c>
      <c r="JXG23" s="50" t="str">
        <f t="shared" si="115"/>
        <v/>
      </c>
      <c r="JXH23" s="50" t="str">
        <f t="shared" si="115"/>
        <v/>
      </c>
      <c r="JXI23" s="50" t="str">
        <f t="shared" si="115"/>
        <v/>
      </c>
      <c r="JXJ23" s="50" t="str">
        <f t="shared" si="115"/>
        <v/>
      </c>
      <c r="JXK23" s="50" t="str">
        <f t="shared" si="115"/>
        <v/>
      </c>
      <c r="JXL23" s="50" t="str">
        <f t="shared" si="115"/>
        <v/>
      </c>
      <c r="JXM23" s="50" t="str">
        <f t="shared" si="115"/>
        <v/>
      </c>
      <c r="JXN23" s="50" t="str">
        <f t="shared" si="115"/>
        <v/>
      </c>
      <c r="JXO23" s="50" t="str">
        <f t="shared" si="115"/>
        <v/>
      </c>
      <c r="JXP23" s="50" t="str">
        <f t="shared" si="115"/>
        <v/>
      </c>
      <c r="JXQ23" s="50" t="str">
        <f t="shared" si="115"/>
        <v/>
      </c>
      <c r="JXR23" s="50" t="str">
        <f t="shared" si="115"/>
        <v/>
      </c>
      <c r="JXS23" s="50" t="str">
        <f t="shared" si="115"/>
        <v/>
      </c>
      <c r="JXT23" s="50" t="str">
        <f t="shared" si="115"/>
        <v/>
      </c>
      <c r="JXU23" s="50" t="str">
        <f t="shared" si="115"/>
        <v/>
      </c>
      <c r="JXV23" s="50" t="str">
        <f t="shared" si="115"/>
        <v/>
      </c>
      <c r="JXW23" s="50" t="str">
        <f t="shared" si="115"/>
        <v/>
      </c>
      <c r="JXX23" s="50" t="str">
        <f t="shared" si="115"/>
        <v/>
      </c>
      <c r="JXY23" s="50" t="str">
        <f t="shared" ref="JXY23:KAJ23" si="116">IFERROR(IF(JXX23+TIME(1,0,0)&lt;=$G$12,JXX23+TIME(1,0,0),""),"")</f>
        <v/>
      </c>
      <c r="JXZ23" s="50" t="str">
        <f t="shared" si="116"/>
        <v/>
      </c>
      <c r="JYA23" s="50" t="str">
        <f t="shared" si="116"/>
        <v/>
      </c>
      <c r="JYB23" s="50" t="str">
        <f t="shared" si="116"/>
        <v/>
      </c>
      <c r="JYC23" s="50" t="str">
        <f t="shared" si="116"/>
        <v/>
      </c>
      <c r="JYD23" s="50" t="str">
        <f t="shared" si="116"/>
        <v/>
      </c>
      <c r="JYE23" s="50" t="str">
        <f t="shared" si="116"/>
        <v/>
      </c>
      <c r="JYF23" s="50" t="str">
        <f t="shared" si="116"/>
        <v/>
      </c>
      <c r="JYG23" s="50" t="str">
        <f t="shared" si="116"/>
        <v/>
      </c>
      <c r="JYH23" s="50" t="str">
        <f t="shared" si="116"/>
        <v/>
      </c>
      <c r="JYI23" s="50" t="str">
        <f t="shared" si="116"/>
        <v/>
      </c>
      <c r="JYJ23" s="50" t="str">
        <f t="shared" si="116"/>
        <v/>
      </c>
      <c r="JYK23" s="50" t="str">
        <f t="shared" si="116"/>
        <v/>
      </c>
      <c r="JYL23" s="50" t="str">
        <f t="shared" si="116"/>
        <v/>
      </c>
      <c r="JYM23" s="50" t="str">
        <f t="shared" si="116"/>
        <v/>
      </c>
      <c r="JYN23" s="50" t="str">
        <f t="shared" si="116"/>
        <v/>
      </c>
      <c r="JYO23" s="50" t="str">
        <f t="shared" si="116"/>
        <v/>
      </c>
      <c r="JYP23" s="50" t="str">
        <f t="shared" si="116"/>
        <v/>
      </c>
      <c r="JYQ23" s="50" t="str">
        <f t="shared" si="116"/>
        <v/>
      </c>
      <c r="JYR23" s="50" t="str">
        <f t="shared" si="116"/>
        <v/>
      </c>
      <c r="JYS23" s="50" t="str">
        <f t="shared" si="116"/>
        <v/>
      </c>
      <c r="JYT23" s="50" t="str">
        <f t="shared" si="116"/>
        <v/>
      </c>
      <c r="JYU23" s="50" t="str">
        <f t="shared" si="116"/>
        <v/>
      </c>
      <c r="JYV23" s="50" t="str">
        <f t="shared" si="116"/>
        <v/>
      </c>
      <c r="JYW23" s="50" t="str">
        <f t="shared" si="116"/>
        <v/>
      </c>
      <c r="JYX23" s="50" t="str">
        <f t="shared" si="116"/>
        <v/>
      </c>
      <c r="JYY23" s="50" t="str">
        <f t="shared" si="116"/>
        <v/>
      </c>
      <c r="JYZ23" s="50" t="str">
        <f t="shared" si="116"/>
        <v/>
      </c>
      <c r="JZA23" s="50" t="str">
        <f t="shared" si="116"/>
        <v/>
      </c>
      <c r="JZB23" s="50" t="str">
        <f t="shared" si="116"/>
        <v/>
      </c>
      <c r="JZC23" s="50" t="str">
        <f t="shared" si="116"/>
        <v/>
      </c>
      <c r="JZD23" s="50" t="str">
        <f t="shared" si="116"/>
        <v/>
      </c>
      <c r="JZE23" s="50" t="str">
        <f t="shared" si="116"/>
        <v/>
      </c>
      <c r="JZF23" s="50" t="str">
        <f t="shared" si="116"/>
        <v/>
      </c>
      <c r="JZG23" s="50" t="str">
        <f t="shared" si="116"/>
        <v/>
      </c>
      <c r="JZH23" s="50" t="str">
        <f t="shared" si="116"/>
        <v/>
      </c>
      <c r="JZI23" s="50" t="str">
        <f t="shared" si="116"/>
        <v/>
      </c>
      <c r="JZJ23" s="50" t="str">
        <f t="shared" si="116"/>
        <v/>
      </c>
      <c r="JZK23" s="50" t="str">
        <f t="shared" si="116"/>
        <v/>
      </c>
      <c r="JZL23" s="50" t="str">
        <f t="shared" si="116"/>
        <v/>
      </c>
      <c r="JZM23" s="50" t="str">
        <f t="shared" si="116"/>
        <v/>
      </c>
      <c r="JZN23" s="50" t="str">
        <f t="shared" si="116"/>
        <v/>
      </c>
      <c r="JZO23" s="50" t="str">
        <f t="shared" si="116"/>
        <v/>
      </c>
      <c r="JZP23" s="50" t="str">
        <f t="shared" si="116"/>
        <v/>
      </c>
      <c r="JZQ23" s="50" t="str">
        <f t="shared" si="116"/>
        <v/>
      </c>
      <c r="JZR23" s="50" t="str">
        <f t="shared" si="116"/>
        <v/>
      </c>
      <c r="JZS23" s="50" t="str">
        <f t="shared" si="116"/>
        <v/>
      </c>
      <c r="JZT23" s="50" t="str">
        <f t="shared" si="116"/>
        <v/>
      </c>
      <c r="JZU23" s="50" t="str">
        <f t="shared" si="116"/>
        <v/>
      </c>
      <c r="JZV23" s="50" t="str">
        <f t="shared" si="116"/>
        <v/>
      </c>
      <c r="JZW23" s="50" t="str">
        <f t="shared" si="116"/>
        <v/>
      </c>
      <c r="JZX23" s="50" t="str">
        <f t="shared" si="116"/>
        <v/>
      </c>
      <c r="JZY23" s="50" t="str">
        <f t="shared" si="116"/>
        <v/>
      </c>
      <c r="JZZ23" s="50" t="str">
        <f t="shared" si="116"/>
        <v/>
      </c>
      <c r="KAA23" s="50" t="str">
        <f t="shared" si="116"/>
        <v/>
      </c>
      <c r="KAB23" s="50" t="str">
        <f t="shared" si="116"/>
        <v/>
      </c>
      <c r="KAC23" s="50" t="str">
        <f t="shared" si="116"/>
        <v/>
      </c>
      <c r="KAD23" s="50" t="str">
        <f t="shared" si="116"/>
        <v/>
      </c>
      <c r="KAE23" s="50" t="str">
        <f t="shared" si="116"/>
        <v/>
      </c>
      <c r="KAF23" s="50" t="str">
        <f t="shared" si="116"/>
        <v/>
      </c>
      <c r="KAG23" s="50" t="str">
        <f t="shared" si="116"/>
        <v/>
      </c>
      <c r="KAH23" s="50" t="str">
        <f t="shared" si="116"/>
        <v/>
      </c>
      <c r="KAI23" s="50" t="str">
        <f t="shared" si="116"/>
        <v/>
      </c>
      <c r="KAJ23" s="50" t="str">
        <f t="shared" si="116"/>
        <v/>
      </c>
      <c r="KAK23" s="50" t="str">
        <f t="shared" ref="KAK23:KCV23" si="117">IFERROR(IF(KAJ23+TIME(1,0,0)&lt;=$G$12,KAJ23+TIME(1,0,0),""),"")</f>
        <v/>
      </c>
      <c r="KAL23" s="50" t="str">
        <f t="shared" si="117"/>
        <v/>
      </c>
      <c r="KAM23" s="50" t="str">
        <f t="shared" si="117"/>
        <v/>
      </c>
      <c r="KAN23" s="50" t="str">
        <f t="shared" si="117"/>
        <v/>
      </c>
      <c r="KAO23" s="50" t="str">
        <f t="shared" si="117"/>
        <v/>
      </c>
      <c r="KAP23" s="50" t="str">
        <f t="shared" si="117"/>
        <v/>
      </c>
      <c r="KAQ23" s="50" t="str">
        <f t="shared" si="117"/>
        <v/>
      </c>
      <c r="KAR23" s="50" t="str">
        <f t="shared" si="117"/>
        <v/>
      </c>
      <c r="KAS23" s="50" t="str">
        <f t="shared" si="117"/>
        <v/>
      </c>
      <c r="KAT23" s="50" t="str">
        <f t="shared" si="117"/>
        <v/>
      </c>
      <c r="KAU23" s="50" t="str">
        <f t="shared" si="117"/>
        <v/>
      </c>
      <c r="KAV23" s="50" t="str">
        <f t="shared" si="117"/>
        <v/>
      </c>
      <c r="KAW23" s="50" t="str">
        <f t="shared" si="117"/>
        <v/>
      </c>
      <c r="KAX23" s="50" t="str">
        <f t="shared" si="117"/>
        <v/>
      </c>
      <c r="KAY23" s="50" t="str">
        <f t="shared" si="117"/>
        <v/>
      </c>
      <c r="KAZ23" s="50" t="str">
        <f t="shared" si="117"/>
        <v/>
      </c>
      <c r="KBA23" s="50" t="str">
        <f t="shared" si="117"/>
        <v/>
      </c>
      <c r="KBB23" s="50" t="str">
        <f t="shared" si="117"/>
        <v/>
      </c>
      <c r="KBC23" s="50" t="str">
        <f t="shared" si="117"/>
        <v/>
      </c>
      <c r="KBD23" s="50" t="str">
        <f t="shared" si="117"/>
        <v/>
      </c>
      <c r="KBE23" s="50" t="str">
        <f t="shared" si="117"/>
        <v/>
      </c>
      <c r="KBF23" s="50" t="str">
        <f t="shared" si="117"/>
        <v/>
      </c>
      <c r="KBG23" s="50" t="str">
        <f t="shared" si="117"/>
        <v/>
      </c>
      <c r="KBH23" s="50" t="str">
        <f t="shared" si="117"/>
        <v/>
      </c>
      <c r="KBI23" s="50" t="str">
        <f t="shared" si="117"/>
        <v/>
      </c>
      <c r="KBJ23" s="50" t="str">
        <f t="shared" si="117"/>
        <v/>
      </c>
      <c r="KBK23" s="50" t="str">
        <f t="shared" si="117"/>
        <v/>
      </c>
      <c r="KBL23" s="50" t="str">
        <f t="shared" si="117"/>
        <v/>
      </c>
      <c r="KBM23" s="50" t="str">
        <f t="shared" si="117"/>
        <v/>
      </c>
      <c r="KBN23" s="50" t="str">
        <f t="shared" si="117"/>
        <v/>
      </c>
      <c r="KBO23" s="50" t="str">
        <f t="shared" si="117"/>
        <v/>
      </c>
      <c r="KBP23" s="50" t="str">
        <f t="shared" si="117"/>
        <v/>
      </c>
      <c r="KBQ23" s="50" t="str">
        <f t="shared" si="117"/>
        <v/>
      </c>
      <c r="KBR23" s="50" t="str">
        <f t="shared" si="117"/>
        <v/>
      </c>
      <c r="KBS23" s="50" t="str">
        <f t="shared" si="117"/>
        <v/>
      </c>
      <c r="KBT23" s="50" t="str">
        <f t="shared" si="117"/>
        <v/>
      </c>
      <c r="KBU23" s="50" t="str">
        <f t="shared" si="117"/>
        <v/>
      </c>
      <c r="KBV23" s="50" t="str">
        <f t="shared" si="117"/>
        <v/>
      </c>
      <c r="KBW23" s="50" t="str">
        <f t="shared" si="117"/>
        <v/>
      </c>
      <c r="KBX23" s="50" t="str">
        <f t="shared" si="117"/>
        <v/>
      </c>
      <c r="KBY23" s="50" t="str">
        <f t="shared" si="117"/>
        <v/>
      </c>
      <c r="KBZ23" s="50" t="str">
        <f t="shared" si="117"/>
        <v/>
      </c>
      <c r="KCA23" s="50" t="str">
        <f t="shared" si="117"/>
        <v/>
      </c>
      <c r="KCB23" s="50" t="str">
        <f t="shared" si="117"/>
        <v/>
      </c>
      <c r="KCC23" s="50" t="str">
        <f t="shared" si="117"/>
        <v/>
      </c>
      <c r="KCD23" s="50" t="str">
        <f t="shared" si="117"/>
        <v/>
      </c>
      <c r="KCE23" s="50" t="str">
        <f t="shared" si="117"/>
        <v/>
      </c>
      <c r="KCF23" s="50" t="str">
        <f t="shared" si="117"/>
        <v/>
      </c>
      <c r="KCG23" s="50" t="str">
        <f t="shared" si="117"/>
        <v/>
      </c>
      <c r="KCH23" s="50" t="str">
        <f t="shared" si="117"/>
        <v/>
      </c>
      <c r="KCI23" s="50" t="str">
        <f t="shared" si="117"/>
        <v/>
      </c>
      <c r="KCJ23" s="50" t="str">
        <f t="shared" si="117"/>
        <v/>
      </c>
      <c r="KCK23" s="50" t="str">
        <f t="shared" si="117"/>
        <v/>
      </c>
      <c r="KCL23" s="50" t="str">
        <f t="shared" si="117"/>
        <v/>
      </c>
      <c r="KCM23" s="50" t="str">
        <f t="shared" si="117"/>
        <v/>
      </c>
      <c r="KCN23" s="50" t="str">
        <f t="shared" si="117"/>
        <v/>
      </c>
      <c r="KCO23" s="50" t="str">
        <f t="shared" si="117"/>
        <v/>
      </c>
      <c r="KCP23" s="50" t="str">
        <f t="shared" si="117"/>
        <v/>
      </c>
      <c r="KCQ23" s="50" t="str">
        <f t="shared" si="117"/>
        <v/>
      </c>
      <c r="KCR23" s="50" t="str">
        <f t="shared" si="117"/>
        <v/>
      </c>
      <c r="KCS23" s="50" t="str">
        <f t="shared" si="117"/>
        <v/>
      </c>
      <c r="KCT23" s="50" t="str">
        <f t="shared" si="117"/>
        <v/>
      </c>
      <c r="KCU23" s="50" t="str">
        <f t="shared" si="117"/>
        <v/>
      </c>
      <c r="KCV23" s="50" t="str">
        <f t="shared" si="117"/>
        <v/>
      </c>
      <c r="KCW23" s="50" t="str">
        <f t="shared" ref="KCW23:KFH23" si="118">IFERROR(IF(KCV23+TIME(1,0,0)&lt;=$G$12,KCV23+TIME(1,0,0),""),"")</f>
        <v/>
      </c>
      <c r="KCX23" s="50" t="str">
        <f t="shared" si="118"/>
        <v/>
      </c>
      <c r="KCY23" s="50" t="str">
        <f t="shared" si="118"/>
        <v/>
      </c>
      <c r="KCZ23" s="50" t="str">
        <f t="shared" si="118"/>
        <v/>
      </c>
      <c r="KDA23" s="50" t="str">
        <f t="shared" si="118"/>
        <v/>
      </c>
      <c r="KDB23" s="50" t="str">
        <f t="shared" si="118"/>
        <v/>
      </c>
      <c r="KDC23" s="50" t="str">
        <f t="shared" si="118"/>
        <v/>
      </c>
      <c r="KDD23" s="50" t="str">
        <f t="shared" si="118"/>
        <v/>
      </c>
      <c r="KDE23" s="50" t="str">
        <f t="shared" si="118"/>
        <v/>
      </c>
      <c r="KDF23" s="50" t="str">
        <f t="shared" si="118"/>
        <v/>
      </c>
      <c r="KDG23" s="50" t="str">
        <f t="shared" si="118"/>
        <v/>
      </c>
      <c r="KDH23" s="50" t="str">
        <f t="shared" si="118"/>
        <v/>
      </c>
      <c r="KDI23" s="50" t="str">
        <f t="shared" si="118"/>
        <v/>
      </c>
      <c r="KDJ23" s="50" t="str">
        <f t="shared" si="118"/>
        <v/>
      </c>
      <c r="KDK23" s="50" t="str">
        <f t="shared" si="118"/>
        <v/>
      </c>
      <c r="KDL23" s="50" t="str">
        <f t="shared" si="118"/>
        <v/>
      </c>
      <c r="KDM23" s="50" t="str">
        <f t="shared" si="118"/>
        <v/>
      </c>
      <c r="KDN23" s="50" t="str">
        <f t="shared" si="118"/>
        <v/>
      </c>
      <c r="KDO23" s="50" t="str">
        <f t="shared" si="118"/>
        <v/>
      </c>
      <c r="KDP23" s="50" t="str">
        <f t="shared" si="118"/>
        <v/>
      </c>
      <c r="KDQ23" s="50" t="str">
        <f t="shared" si="118"/>
        <v/>
      </c>
      <c r="KDR23" s="50" t="str">
        <f t="shared" si="118"/>
        <v/>
      </c>
      <c r="KDS23" s="50" t="str">
        <f t="shared" si="118"/>
        <v/>
      </c>
      <c r="KDT23" s="50" t="str">
        <f t="shared" si="118"/>
        <v/>
      </c>
      <c r="KDU23" s="50" t="str">
        <f t="shared" si="118"/>
        <v/>
      </c>
      <c r="KDV23" s="50" t="str">
        <f t="shared" si="118"/>
        <v/>
      </c>
      <c r="KDW23" s="50" t="str">
        <f t="shared" si="118"/>
        <v/>
      </c>
      <c r="KDX23" s="50" t="str">
        <f t="shared" si="118"/>
        <v/>
      </c>
      <c r="KDY23" s="50" t="str">
        <f t="shared" si="118"/>
        <v/>
      </c>
      <c r="KDZ23" s="50" t="str">
        <f t="shared" si="118"/>
        <v/>
      </c>
      <c r="KEA23" s="50" t="str">
        <f t="shared" si="118"/>
        <v/>
      </c>
      <c r="KEB23" s="50" t="str">
        <f t="shared" si="118"/>
        <v/>
      </c>
      <c r="KEC23" s="50" t="str">
        <f t="shared" si="118"/>
        <v/>
      </c>
      <c r="KED23" s="50" t="str">
        <f t="shared" si="118"/>
        <v/>
      </c>
      <c r="KEE23" s="50" t="str">
        <f t="shared" si="118"/>
        <v/>
      </c>
      <c r="KEF23" s="50" t="str">
        <f t="shared" si="118"/>
        <v/>
      </c>
      <c r="KEG23" s="50" t="str">
        <f t="shared" si="118"/>
        <v/>
      </c>
      <c r="KEH23" s="50" t="str">
        <f t="shared" si="118"/>
        <v/>
      </c>
      <c r="KEI23" s="50" t="str">
        <f t="shared" si="118"/>
        <v/>
      </c>
      <c r="KEJ23" s="50" t="str">
        <f t="shared" si="118"/>
        <v/>
      </c>
      <c r="KEK23" s="50" t="str">
        <f t="shared" si="118"/>
        <v/>
      </c>
      <c r="KEL23" s="50" t="str">
        <f t="shared" si="118"/>
        <v/>
      </c>
      <c r="KEM23" s="50" t="str">
        <f t="shared" si="118"/>
        <v/>
      </c>
      <c r="KEN23" s="50" t="str">
        <f t="shared" si="118"/>
        <v/>
      </c>
      <c r="KEO23" s="50" t="str">
        <f t="shared" si="118"/>
        <v/>
      </c>
      <c r="KEP23" s="50" t="str">
        <f t="shared" si="118"/>
        <v/>
      </c>
      <c r="KEQ23" s="50" t="str">
        <f t="shared" si="118"/>
        <v/>
      </c>
      <c r="KER23" s="50" t="str">
        <f t="shared" si="118"/>
        <v/>
      </c>
      <c r="KES23" s="50" t="str">
        <f t="shared" si="118"/>
        <v/>
      </c>
      <c r="KET23" s="50" t="str">
        <f t="shared" si="118"/>
        <v/>
      </c>
      <c r="KEU23" s="50" t="str">
        <f t="shared" si="118"/>
        <v/>
      </c>
      <c r="KEV23" s="50" t="str">
        <f t="shared" si="118"/>
        <v/>
      </c>
      <c r="KEW23" s="50" t="str">
        <f t="shared" si="118"/>
        <v/>
      </c>
      <c r="KEX23" s="50" t="str">
        <f t="shared" si="118"/>
        <v/>
      </c>
      <c r="KEY23" s="50" t="str">
        <f t="shared" si="118"/>
        <v/>
      </c>
      <c r="KEZ23" s="50" t="str">
        <f t="shared" si="118"/>
        <v/>
      </c>
      <c r="KFA23" s="50" t="str">
        <f t="shared" si="118"/>
        <v/>
      </c>
      <c r="KFB23" s="50" t="str">
        <f t="shared" si="118"/>
        <v/>
      </c>
      <c r="KFC23" s="50" t="str">
        <f t="shared" si="118"/>
        <v/>
      </c>
      <c r="KFD23" s="50" t="str">
        <f t="shared" si="118"/>
        <v/>
      </c>
      <c r="KFE23" s="50" t="str">
        <f t="shared" si="118"/>
        <v/>
      </c>
      <c r="KFF23" s="50" t="str">
        <f t="shared" si="118"/>
        <v/>
      </c>
      <c r="KFG23" s="50" t="str">
        <f t="shared" si="118"/>
        <v/>
      </c>
      <c r="KFH23" s="50" t="str">
        <f t="shared" si="118"/>
        <v/>
      </c>
      <c r="KFI23" s="50" t="str">
        <f t="shared" ref="KFI23:KHT23" si="119">IFERROR(IF(KFH23+TIME(1,0,0)&lt;=$G$12,KFH23+TIME(1,0,0),""),"")</f>
        <v/>
      </c>
      <c r="KFJ23" s="50" t="str">
        <f t="shared" si="119"/>
        <v/>
      </c>
      <c r="KFK23" s="50" t="str">
        <f t="shared" si="119"/>
        <v/>
      </c>
      <c r="KFL23" s="50" t="str">
        <f t="shared" si="119"/>
        <v/>
      </c>
      <c r="KFM23" s="50" t="str">
        <f t="shared" si="119"/>
        <v/>
      </c>
      <c r="KFN23" s="50" t="str">
        <f t="shared" si="119"/>
        <v/>
      </c>
      <c r="KFO23" s="50" t="str">
        <f t="shared" si="119"/>
        <v/>
      </c>
      <c r="KFP23" s="50" t="str">
        <f t="shared" si="119"/>
        <v/>
      </c>
      <c r="KFQ23" s="50" t="str">
        <f t="shared" si="119"/>
        <v/>
      </c>
      <c r="KFR23" s="50" t="str">
        <f t="shared" si="119"/>
        <v/>
      </c>
      <c r="KFS23" s="50" t="str">
        <f t="shared" si="119"/>
        <v/>
      </c>
      <c r="KFT23" s="50" t="str">
        <f t="shared" si="119"/>
        <v/>
      </c>
      <c r="KFU23" s="50" t="str">
        <f t="shared" si="119"/>
        <v/>
      </c>
      <c r="KFV23" s="50" t="str">
        <f t="shared" si="119"/>
        <v/>
      </c>
      <c r="KFW23" s="50" t="str">
        <f t="shared" si="119"/>
        <v/>
      </c>
      <c r="KFX23" s="50" t="str">
        <f t="shared" si="119"/>
        <v/>
      </c>
      <c r="KFY23" s="50" t="str">
        <f t="shared" si="119"/>
        <v/>
      </c>
      <c r="KFZ23" s="50" t="str">
        <f t="shared" si="119"/>
        <v/>
      </c>
      <c r="KGA23" s="50" t="str">
        <f t="shared" si="119"/>
        <v/>
      </c>
      <c r="KGB23" s="50" t="str">
        <f t="shared" si="119"/>
        <v/>
      </c>
      <c r="KGC23" s="50" t="str">
        <f t="shared" si="119"/>
        <v/>
      </c>
      <c r="KGD23" s="50" t="str">
        <f t="shared" si="119"/>
        <v/>
      </c>
      <c r="KGE23" s="50" t="str">
        <f t="shared" si="119"/>
        <v/>
      </c>
      <c r="KGF23" s="50" t="str">
        <f t="shared" si="119"/>
        <v/>
      </c>
      <c r="KGG23" s="50" t="str">
        <f t="shared" si="119"/>
        <v/>
      </c>
      <c r="KGH23" s="50" t="str">
        <f t="shared" si="119"/>
        <v/>
      </c>
      <c r="KGI23" s="50" t="str">
        <f t="shared" si="119"/>
        <v/>
      </c>
      <c r="KGJ23" s="50" t="str">
        <f t="shared" si="119"/>
        <v/>
      </c>
      <c r="KGK23" s="50" t="str">
        <f t="shared" si="119"/>
        <v/>
      </c>
      <c r="KGL23" s="50" t="str">
        <f t="shared" si="119"/>
        <v/>
      </c>
      <c r="KGM23" s="50" t="str">
        <f t="shared" si="119"/>
        <v/>
      </c>
      <c r="KGN23" s="50" t="str">
        <f t="shared" si="119"/>
        <v/>
      </c>
      <c r="KGO23" s="50" t="str">
        <f t="shared" si="119"/>
        <v/>
      </c>
      <c r="KGP23" s="50" t="str">
        <f t="shared" si="119"/>
        <v/>
      </c>
      <c r="KGQ23" s="50" t="str">
        <f t="shared" si="119"/>
        <v/>
      </c>
      <c r="KGR23" s="50" t="str">
        <f t="shared" si="119"/>
        <v/>
      </c>
      <c r="KGS23" s="50" t="str">
        <f t="shared" si="119"/>
        <v/>
      </c>
      <c r="KGT23" s="50" t="str">
        <f t="shared" si="119"/>
        <v/>
      </c>
      <c r="KGU23" s="50" t="str">
        <f t="shared" si="119"/>
        <v/>
      </c>
      <c r="KGV23" s="50" t="str">
        <f t="shared" si="119"/>
        <v/>
      </c>
      <c r="KGW23" s="50" t="str">
        <f t="shared" si="119"/>
        <v/>
      </c>
      <c r="KGX23" s="50" t="str">
        <f t="shared" si="119"/>
        <v/>
      </c>
      <c r="KGY23" s="50" t="str">
        <f t="shared" si="119"/>
        <v/>
      </c>
      <c r="KGZ23" s="50" t="str">
        <f t="shared" si="119"/>
        <v/>
      </c>
      <c r="KHA23" s="50" t="str">
        <f t="shared" si="119"/>
        <v/>
      </c>
      <c r="KHB23" s="50" t="str">
        <f t="shared" si="119"/>
        <v/>
      </c>
      <c r="KHC23" s="50" t="str">
        <f t="shared" si="119"/>
        <v/>
      </c>
      <c r="KHD23" s="50" t="str">
        <f t="shared" si="119"/>
        <v/>
      </c>
      <c r="KHE23" s="50" t="str">
        <f t="shared" si="119"/>
        <v/>
      </c>
      <c r="KHF23" s="50" t="str">
        <f t="shared" si="119"/>
        <v/>
      </c>
      <c r="KHG23" s="50" t="str">
        <f t="shared" si="119"/>
        <v/>
      </c>
      <c r="KHH23" s="50" t="str">
        <f t="shared" si="119"/>
        <v/>
      </c>
      <c r="KHI23" s="50" t="str">
        <f t="shared" si="119"/>
        <v/>
      </c>
      <c r="KHJ23" s="50" t="str">
        <f t="shared" si="119"/>
        <v/>
      </c>
      <c r="KHK23" s="50" t="str">
        <f t="shared" si="119"/>
        <v/>
      </c>
      <c r="KHL23" s="50" t="str">
        <f t="shared" si="119"/>
        <v/>
      </c>
      <c r="KHM23" s="50" t="str">
        <f t="shared" si="119"/>
        <v/>
      </c>
      <c r="KHN23" s="50" t="str">
        <f t="shared" si="119"/>
        <v/>
      </c>
      <c r="KHO23" s="50" t="str">
        <f t="shared" si="119"/>
        <v/>
      </c>
      <c r="KHP23" s="50" t="str">
        <f t="shared" si="119"/>
        <v/>
      </c>
      <c r="KHQ23" s="50" t="str">
        <f t="shared" si="119"/>
        <v/>
      </c>
      <c r="KHR23" s="50" t="str">
        <f t="shared" si="119"/>
        <v/>
      </c>
      <c r="KHS23" s="50" t="str">
        <f t="shared" si="119"/>
        <v/>
      </c>
      <c r="KHT23" s="50" t="str">
        <f t="shared" si="119"/>
        <v/>
      </c>
      <c r="KHU23" s="50" t="str">
        <f t="shared" ref="KHU23:KKF23" si="120">IFERROR(IF(KHT23+TIME(1,0,0)&lt;=$G$12,KHT23+TIME(1,0,0),""),"")</f>
        <v/>
      </c>
      <c r="KHV23" s="50" t="str">
        <f t="shared" si="120"/>
        <v/>
      </c>
      <c r="KHW23" s="50" t="str">
        <f t="shared" si="120"/>
        <v/>
      </c>
      <c r="KHX23" s="50" t="str">
        <f t="shared" si="120"/>
        <v/>
      </c>
      <c r="KHY23" s="50" t="str">
        <f t="shared" si="120"/>
        <v/>
      </c>
      <c r="KHZ23" s="50" t="str">
        <f t="shared" si="120"/>
        <v/>
      </c>
      <c r="KIA23" s="50" t="str">
        <f t="shared" si="120"/>
        <v/>
      </c>
      <c r="KIB23" s="50" t="str">
        <f t="shared" si="120"/>
        <v/>
      </c>
      <c r="KIC23" s="50" t="str">
        <f t="shared" si="120"/>
        <v/>
      </c>
      <c r="KID23" s="50" t="str">
        <f t="shared" si="120"/>
        <v/>
      </c>
      <c r="KIE23" s="50" t="str">
        <f t="shared" si="120"/>
        <v/>
      </c>
      <c r="KIF23" s="50" t="str">
        <f t="shared" si="120"/>
        <v/>
      </c>
      <c r="KIG23" s="50" t="str">
        <f t="shared" si="120"/>
        <v/>
      </c>
      <c r="KIH23" s="50" t="str">
        <f t="shared" si="120"/>
        <v/>
      </c>
      <c r="KII23" s="50" t="str">
        <f t="shared" si="120"/>
        <v/>
      </c>
      <c r="KIJ23" s="50" t="str">
        <f t="shared" si="120"/>
        <v/>
      </c>
      <c r="KIK23" s="50" t="str">
        <f t="shared" si="120"/>
        <v/>
      </c>
      <c r="KIL23" s="50" t="str">
        <f t="shared" si="120"/>
        <v/>
      </c>
      <c r="KIM23" s="50" t="str">
        <f t="shared" si="120"/>
        <v/>
      </c>
      <c r="KIN23" s="50" t="str">
        <f t="shared" si="120"/>
        <v/>
      </c>
      <c r="KIO23" s="50" t="str">
        <f t="shared" si="120"/>
        <v/>
      </c>
      <c r="KIP23" s="50" t="str">
        <f t="shared" si="120"/>
        <v/>
      </c>
      <c r="KIQ23" s="50" t="str">
        <f t="shared" si="120"/>
        <v/>
      </c>
      <c r="KIR23" s="50" t="str">
        <f t="shared" si="120"/>
        <v/>
      </c>
      <c r="KIS23" s="50" t="str">
        <f t="shared" si="120"/>
        <v/>
      </c>
      <c r="KIT23" s="50" t="str">
        <f t="shared" si="120"/>
        <v/>
      </c>
      <c r="KIU23" s="50" t="str">
        <f t="shared" si="120"/>
        <v/>
      </c>
      <c r="KIV23" s="50" t="str">
        <f t="shared" si="120"/>
        <v/>
      </c>
      <c r="KIW23" s="50" t="str">
        <f t="shared" si="120"/>
        <v/>
      </c>
      <c r="KIX23" s="50" t="str">
        <f t="shared" si="120"/>
        <v/>
      </c>
      <c r="KIY23" s="50" t="str">
        <f t="shared" si="120"/>
        <v/>
      </c>
      <c r="KIZ23" s="50" t="str">
        <f t="shared" si="120"/>
        <v/>
      </c>
      <c r="KJA23" s="50" t="str">
        <f t="shared" si="120"/>
        <v/>
      </c>
      <c r="KJB23" s="50" t="str">
        <f t="shared" si="120"/>
        <v/>
      </c>
      <c r="KJC23" s="50" t="str">
        <f t="shared" si="120"/>
        <v/>
      </c>
      <c r="KJD23" s="50" t="str">
        <f t="shared" si="120"/>
        <v/>
      </c>
      <c r="KJE23" s="50" t="str">
        <f t="shared" si="120"/>
        <v/>
      </c>
      <c r="KJF23" s="50" t="str">
        <f t="shared" si="120"/>
        <v/>
      </c>
      <c r="KJG23" s="50" t="str">
        <f t="shared" si="120"/>
        <v/>
      </c>
      <c r="KJH23" s="50" t="str">
        <f t="shared" si="120"/>
        <v/>
      </c>
      <c r="KJI23" s="50" t="str">
        <f t="shared" si="120"/>
        <v/>
      </c>
      <c r="KJJ23" s="50" t="str">
        <f t="shared" si="120"/>
        <v/>
      </c>
      <c r="KJK23" s="50" t="str">
        <f t="shared" si="120"/>
        <v/>
      </c>
      <c r="KJL23" s="50" t="str">
        <f t="shared" si="120"/>
        <v/>
      </c>
      <c r="KJM23" s="50" t="str">
        <f t="shared" si="120"/>
        <v/>
      </c>
      <c r="KJN23" s="50" t="str">
        <f t="shared" si="120"/>
        <v/>
      </c>
      <c r="KJO23" s="50" t="str">
        <f t="shared" si="120"/>
        <v/>
      </c>
      <c r="KJP23" s="50" t="str">
        <f t="shared" si="120"/>
        <v/>
      </c>
      <c r="KJQ23" s="50" t="str">
        <f t="shared" si="120"/>
        <v/>
      </c>
      <c r="KJR23" s="50" t="str">
        <f t="shared" si="120"/>
        <v/>
      </c>
      <c r="KJS23" s="50" t="str">
        <f t="shared" si="120"/>
        <v/>
      </c>
      <c r="KJT23" s="50" t="str">
        <f t="shared" si="120"/>
        <v/>
      </c>
      <c r="KJU23" s="50" t="str">
        <f t="shared" si="120"/>
        <v/>
      </c>
      <c r="KJV23" s="50" t="str">
        <f t="shared" si="120"/>
        <v/>
      </c>
      <c r="KJW23" s="50" t="str">
        <f t="shared" si="120"/>
        <v/>
      </c>
      <c r="KJX23" s="50" t="str">
        <f t="shared" si="120"/>
        <v/>
      </c>
      <c r="KJY23" s="50" t="str">
        <f t="shared" si="120"/>
        <v/>
      </c>
      <c r="KJZ23" s="50" t="str">
        <f t="shared" si="120"/>
        <v/>
      </c>
      <c r="KKA23" s="50" t="str">
        <f t="shared" si="120"/>
        <v/>
      </c>
      <c r="KKB23" s="50" t="str">
        <f t="shared" si="120"/>
        <v/>
      </c>
      <c r="KKC23" s="50" t="str">
        <f t="shared" si="120"/>
        <v/>
      </c>
      <c r="KKD23" s="50" t="str">
        <f t="shared" si="120"/>
        <v/>
      </c>
      <c r="KKE23" s="50" t="str">
        <f t="shared" si="120"/>
        <v/>
      </c>
      <c r="KKF23" s="50" t="str">
        <f t="shared" si="120"/>
        <v/>
      </c>
      <c r="KKG23" s="50" t="str">
        <f t="shared" ref="KKG23:KMR23" si="121">IFERROR(IF(KKF23+TIME(1,0,0)&lt;=$G$12,KKF23+TIME(1,0,0),""),"")</f>
        <v/>
      </c>
      <c r="KKH23" s="50" t="str">
        <f t="shared" si="121"/>
        <v/>
      </c>
      <c r="KKI23" s="50" t="str">
        <f t="shared" si="121"/>
        <v/>
      </c>
      <c r="KKJ23" s="50" t="str">
        <f t="shared" si="121"/>
        <v/>
      </c>
      <c r="KKK23" s="50" t="str">
        <f t="shared" si="121"/>
        <v/>
      </c>
      <c r="KKL23" s="50" t="str">
        <f t="shared" si="121"/>
        <v/>
      </c>
      <c r="KKM23" s="50" t="str">
        <f t="shared" si="121"/>
        <v/>
      </c>
      <c r="KKN23" s="50" t="str">
        <f t="shared" si="121"/>
        <v/>
      </c>
      <c r="KKO23" s="50" t="str">
        <f t="shared" si="121"/>
        <v/>
      </c>
      <c r="KKP23" s="50" t="str">
        <f t="shared" si="121"/>
        <v/>
      </c>
      <c r="KKQ23" s="50" t="str">
        <f t="shared" si="121"/>
        <v/>
      </c>
      <c r="KKR23" s="50" t="str">
        <f t="shared" si="121"/>
        <v/>
      </c>
      <c r="KKS23" s="50" t="str">
        <f t="shared" si="121"/>
        <v/>
      </c>
      <c r="KKT23" s="50" t="str">
        <f t="shared" si="121"/>
        <v/>
      </c>
      <c r="KKU23" s="50" t="str">
        <f t="shared" si="121"/>
        <v/>
      </c>
      <c r="KKV23" s="50" t="str">
        <f t="shared" si="121"/>
        <v/>
      </c>
      <c r="KKW23" s="50" t="str">
        <f t="shared" si="121"/>
        <v/>
      </c>
      <c r="KKX23" s="50" t="str">
        <f t="shared" si="121"/>
        <v/>
      </c>
      <c r="KKY23" s="50" t="str">
        <f t="shared" si="121"/>
        <v/>
      </c>
      <c r="KKZ23" s="50" t="str">
        <f t="shared" si="121"/>
        <v/>
      </c>
      <c r="KLA23" s="50" t="str">
        <f t="shared" si="121"/>
        <v/>
      </c>
      <c r="KLB23" s="50" t="str">
        <f t="shared" si="121"/>
        <v/>
      </c>
      <c r="KLC23" s="50" t="str">
        <f t="shared" si="121"/>
        <v/>
      </c>
      <c r="KLD23" s="50" t="str">
        <f t="shared" si="121"/>
        <v/>
      </c>
      <c r="KLE23" s="50" t="str">
        <f t="shared" si="121"/>
        <v/>
      </c>
      <c r="KLF23" s="50" t="str">
        <f t="shared" si="121"/>
        <v/>
      </c>
      <c r="KLG23" s="50" t="str">
        <f t="shared" si="121"/>
        <v/>
      </c>
      <c r="KLH23" s="50" t="str">
        <f t="shared" si="121"/>
        <v/>
      </c>
      <c r="KLI23" s="50" t="str">
        <f t="shared" si="121"/>
        <v/>
      </c>
      <c r="KLJ23" s="50" t="str">
        <f t="shared" si="121"/>
        <v/>
      </c>
      <c r="KLK23" s="50" t="str">
        <f t="shared" si="121"/>
        <v/>
      </c>
      <c r="KLL23" s="50" t="str">
        <f t="shared" si="121"/>
        <v/>
      </c>
      <c r="KLM23" s="50" t="str">
        <f t="shared" si="121"/>
        <v/>
      </c>
      <c r="KLN23" s="50" t="str">
        <f t="shared" si="121"/>
        <v/>
      </c>
      <c r="KLO23" s="50" t="str">
        <f t="shared" si="121"/>
        <v/>
      </c>
      <c r="KLP23" s="50" t="str">
        <f t="shared" si="121"/>
        <v/>
      </c>
      <c r="KLQ23" s="50" t="str">
        <f t="shared" si="121"/>
        <v/>
      </c>
      <c r="KLR23" s="50" t="str">
        <f t="shared" si="121"/>
        <v/>
      </c>
      <c r="KLS23" s="50" t="str">
        <f t="shared" si="121"/>
        <v/>
      </c>
      <c r="KLT23" s="50" t="str">
        <f t="shared" si="121"/>
        <v/>
      </c>
      <c r="KLU23" s="50" t="str">
        <f t="shared" si="121"/>
        <v/>
      </c>
      <c r="KLV23" s="50" t="str">
        <f t="shared" si="121"/>
        <v/>
      </c>
      <c r="KLW23" s="50" t="str">
        <f t="shared" si="121"/>
        <v/>
      </c>
      <c r="KLX23" s="50" t="str">
        <f t="shared" si="121"/>
        <v/>
      </c>
      <c r="KLY23" s="50" t="str">
        <f t="shared" si="121"/>
        <v/>
      </c>
      <c r="KLZ23" s="50" t="str">
        <f t="shared" si="121"/>
        <v/>
      </c>
      <c r="KMA23" s="50" t="str">
        <f t="shared" si="121"/>
        <v/>
      </c>
      <c r="KMB23" s="50" t="str">
        <f t="shared" si="121"/>
        <v/>
      </c>
      <c r="KMC23" s="50" t="str">
        <f t="shared" si="121"/>
        <v/>
      </c>
      <c r="KMD23" s="50" t="str">
        <f t="shared" si="121"/>
        <v/>
      </c>
      <c r="KME23" s="50" t="str">
        <f t="shared" si="121"/>
        <v/>
      </c>
      <c r="KMF23" s="50" t="str">
        <f t="shared" si="121"/>
        <v/>
      </c>
      <c r="KMG23" s="50" t="str">
        <f t="shared" si="121"/>
        <v/>
      </c>
      <c r="KMH23" s="50" t="str">
        <f t="shared" si="121"/>
        <v/>
      </c>
      <c r="KMI23" s="50" t="str">
        <f t="shared" si="121"/>
        <v/>
      </c>
      <c r="KMJ23" s="50" t="str">
        <f t="shared" si="121"/>
        <v/>
      </c>
      <c r="KMK23" s="50" t="str">
        <f t="shared" si="121"/>
        <v/>
      </c>
      <c r="KML23" s="50" t="str">
        <f t="shared" si="121"/>
        <v/>
      </c>
      <c r="KMM23" s="50" t="str">
        <f t="shared" si="121"/>
        <v/>
      </c>
      <c r="KMN23" s="50" t="str">
        <f t="shared" si="121"/>
        <v/>
      </c>
      <c r="KMO23" s="50" t="str">
        <f t="shared" si="121"/>
        <v/>
      </c>
      <c r="KMP23" s="50" t="str">
        <f t="shared" si="121"/>
        <v/>
      </c>
      <c r="KMQ23" s="50" t="str">
        <f t="shared" si="121"/>
        <v/>
      </c>
      <c r="KMR23" s="50" t="str">
        <f t="shared" si="121"/>
        <v/>
      </c>
      <c r="KMS23" s="50" t="str">
        <f t="shared" ref="KMS23:KPD23" si="122">IFERROR(IF(KMR23+TIME(1,0,0)&lt;=$G$12,KMR23+TIME(1,0,0),""),"")</f>
        <v/>
      </c>
      <c r="KMT23" s="50" t="str">
        <f t="shared" si="122"/>
        <v/>
      </c>
      <c r="KMU23" s="50" t="str">
        <f t="shared" si="122"/>
        <v/>
      </c>
      <c r="KMV23" s="50" t="str">
        <f t="shared" si="122"/>
        <v/>
      </c>
      <c r="KMW23" s="50" t="str">
        <f t="shared" si="122"/>
        <v/>
      </c>
      <c r="KMX23" s="50" t="str">
        <f t="shared" si="122"/>
        <v/>
      </c>
      <c r="KMY23" s="50" t="str">
        <f t="shared" si="122"/>
        <v/>
      </c>
      <c r="KMZ23" s="50" t="str">
        <f t="shared" si="122"/>
        <v/>
      </c>
      <c r="KNA23" s="50" t="str">
        <f t="shared" si="122"/>
        <v/>
      </c>
      <c r="KNB23" s="50" t="str">
        <f t="shared" si="122"/>
        <v/>
      </c>
      <c r="KNC23" s="50" t="str">
        <f t="shared" si="122"/>
        <v/>
      </c>
      <c r="KND23" s="50" t="str">
        <f t="shared" si="122"/>
        <v/>
      </c>
      <c r="KNE23" s="50" t="str">
        <f t="shared" si="122"/>
        <v/>
      </c>
      <c r="KNF23" s="50" t="str">
        <f t="shared" si="122"/>
        <v/>
      </c>
      <c r="KNG23" s="50" t="str">
        <f t="shared" si="122"/>
        <v/>
      </c>
      <c r="KNH23" s="50" t="str">
        <f t="shared" si="122"/>
        <v/>
      </c>
      <c r="KNI23" s="50" t="str">
        <f t="shared" si="122"/>
        <v/>
      </c>
      <c r="KNJ23" s="50" t="str">
        <f t="shared" si="122"/>
        <v/>
      </c>
      <c r="KNK23" s="50" t="str">
        <f t="shared" si="122"/>
        <v/>
      </c>
      <c r="KNL23" s="50" t="str">
        <f t="shared" si="122"/>
        <v/>
      </c>
      <c r="KNM23" s="50" t="str">
        <f t="shared" si="122"/>
        <v/>
      </c>
      <c r="KNN23" s="50" t="str">
        <f t="shared" si="122"/>
        <v/>
      </c>
      <c r="KNO23" s="50" t="str">
        <f t="shared" si="122"/>
        <v/>
      </c>
      <c r="KNP23" s="50" t="str">
        <f t="shared" si="122"/>
        <v/>
      </c>
      <c r="KNQ23" s="50" t="str">
        <f t="shared" si="122"/>
        <v/>
      </c>
      <c r="KNR23" s="50" t="str">
        <f t="shared" si="122"/>
        <v/>
      </c>
      <c r="KNS23" s="50" t="str">
        <f t="shared" si="122"/>
        <v/>
      </c>
      <c r="KNT23" s="50" t="str">
        <f t="shared" si="122"/>
        <v/>
      </c>
      <c r="KNU23" s="50" t="str">
        <f t="shared" si="122"/>
        <v/>
      </c>
      <c r="KNV23" s="50" t="str">
        <f t="shared" si="122"/>
        <v/>
      </c>
      <c r="KNW23" s="50" t="str">
        <f t="shared" si="122"/>
        <v/>
      </c>
      <c r="KNX23" s="50" t="str">
        <f t="shared" si="122"/>
        <v/>
      </c>
      <c r="KNY23" s="50" t="str">
        <f t="shared" si="122"/>
        <v/>
      </c>
      <c r="KNZ23" s="50" t="str">
        <f t="shared" si="122"/>
        <v/>
      </c>
      <c r="KOA23" s="50" t="str">
        <f t="shared" si="122"/>
        <v/>
      </c>
      <c r="KOB23" s="50" t="str">
        <f t="shared" si="122"/>
        <v/>
      </c>
      <c r="KOC23" s="50" t="str">
        <f t="shared" si="122"/>
        <v/>
      </c>
      <c r="KOD23" s="50" t="str">
        <f t="shared" si="122"/>
        <v/>
      </c>
      <c r="KOE23" s="50" t="str">
        <f t="shared" si="122"/>
        <v/>
      </c>
      <c r="KOF23" s="50" t="str">
        <f t="shared" si="122"/>
        <v/>
      </c>
      <c r="KOG23" s="50" t="str">
        <f t="shared" si="122"/>
        <v/>
      </c>
      <c r="KOH23" s="50" t="str">
        <f t="shared" si="122"/>
        <v/>
      </c>
      <c r="KOI23" s="50" t="str">
        <f t="shared" si="122"/>
        <v/>
      </c>
      <c r="KOJ23" s="50" t="str">
        <f t="shared" si="122"/>
        <v/>
      </c>
      <c r="KOK23" s="50" t="str">
        <f t="shared" si="122"/>
        <v/>
      </c>
      <c r="KOL23" s="50" t="str">
        <f t="shared" si="122"/>
        <v/>
      </c>
      <c r="KOM23" s="50" t="str">
        <f t="shared" si="122"/>
        <v/>
      </c>
      <c r="KON23" s="50" t="str">
        <f t="shared" si="122"/>
        <v/>
      </c>
      <c r="KOO23" s="50" t="str">
        <f t="shared" si="122"/>
        <v/>
      </c>
      <c r="KOP23" s="50" t="str">
        <f t="shared" si="122"/>
        <v/>
      </c>
      <c r="KOQ23" s="50" t="str">
        <f t="shared" si="122"/>
        <v/>
      </c>
      <c r="KOR23" s="50" t="str">
        <f t="shared" si="122"/>
        <v/>
      </c>
      <c r="KOS23" s="50" t="str">
        <f t="shared" si="122"/>
        <v/>
      </c>
      <c r="KOT23" s="50" t="str">
        <f t="shared" si="122"/>
        <v/>
      </c>
      <c r="KOU23" s="50" t="str">
        <f t="shared" si="122"/>
        <v/>
      </c>
      <c r="KOV23" s="50" t="str">
        <f t="shared" si="122"/>
        <v/>
      </c>
      <c r="KOW23" s="50" t="str">
        <f t="shared" si="122"/>
        <v/>
      </c>
      <c r="KOX23" s="50" t="str">
        <f t="shared" si="122"/>
        <v/>
      </c>
      <c r="KOY23" s="50" t="str">
        <f t="shared" si="122"/>
        <v/>
      </c>
      <c r="KOZ23" s="50" t="str">
        <f t="shared" si="122"/>
        <v/>
      </c>
      <c r="KPA23" s="50" t="str">
        <f t="shared" si="122"/>
        <v/>
      </c>
      <c r="KPB23" s="50" t="str">
        <f t="shared" si="122"/>
        <v/>
      </c>
      <c r="KPC23" s="50" t="str">
        <f t="shared" si="122"/>
        <v/>
      </c>
      <c r="KPD23" s="50" t="str">
        <f t="shared" si="122"/>
        <v/>
      </c>
      <c r="KPE23" s="50" t="str">
        <f t="shared" ref="KPE23:KRP23" si="123">IFERROR(IF(KPD23+TIME(1,0,0)&lt;=$G$12,KPD23+TIME(1,0,0),""),"")</f>
        <v/>
      </c>
      <c r="KPF23" s="50" t="str">
        <f t="shared" si="123"/>
        <v/>
      </c>
      <c r="KPG23" s="50" t="str">
        <f t="shared" si="123"/>
        <v/>
      </c>
      <c r="KPH23" s="50" t="str">
        <f t="shared" si="123"/>
        <v/>
      </c>
      <c r="KPI23" s="50" t="str">
        <f t="shared" si="123"/>
        <v/>
      </c>
      <c r="KPJ23" s="50" t="str">
        <f t="shared" si="123"/>
        <v/>
      </c>
      <c r="KPK23" s="50" t="str">
        <f t="shared" si="123"/>
        <v/>
      </c>
      <c r="KPL23" s="50" t="str">
        <f t="shared" si="123"/>
        <v/>
      </c>
      <c r="KPM23" s="50" t="str">
        <f t="shared" si="123"/>
        <v/>
      </c>
      <c r="KPN23" s="50" t="str">
        <f t="shared" si="123"/>
        <v/>
      </c>
      <c r="KPO23" s="50" t="str">
        <f t="shared" si="123"/>
        <v/>
      </c>
      <c r="KPP23" s="50" t="str">
        <f t="shared" si="123"/>
        <v/>
      </c>
      <c r="KPQ23" s="50" t="str">
        <f t="shared" si="123"/>
        <v/>
      </c>
      <c r="KPR23" s="50" t="str">
        <f t="shared" si="123"/>
        <v/>
      </c>
      <c r="KPS23" s="50" t="str">
        <f t="shared" si="123"/>
        <v/>
      </c>
      <c r="KPT23" s="50" t="str">
        <f t="shared" si="123"/>
        <v/>
      </c>
      <c r="KPU23" s="50" t="str">
        <f t="shared" si="123"/>
        <v/>
      </c>
      <c r="KPV23" s="50" t="str">
        <f t="shared" si="123"/>
        <v/>
      </c>
      <c r="KPW23" s="50" t="str">
        <f t="shared" si="123"/>
        <v/>
      </c>
      <c r="KPX23" s="50" t="str">
        <f t="shared" si="123"/>
        <v/>
      </c>
      <c r="KPY23" s="50" t="str">
        <f t="shared" si="123"/>
        <v/>
      </c>
      <c r="KPZ23" s="50" t="str">
        <f t="shared" si="123"/>
        <v/>
      </c>
      <c r="KQA23" s="50" t="str">
        <f t="shared" si="123"/>
        <v/>
      </c>
      <c r="KQB23" s="50" t="str">
        <f t="shared" si="123"/>
        <v/>
      </c>
      <c r="KQC23" s="50" t="str">
        <f t="shared" si="123"/>
        <v/>
      </c>
      <c r="KQD23" s="50" t="str">
        <f t="shared" si="123"/>
        <v/>
      </c>
      <c r="KQE23" s="50" t="str">
        <f t="shared" si="123"/>
        <v/>
      </c>
      <c r="KQF23" s="50" t="str">
        <f t="shared" si="123"/>
        <v/>
      </c>
      <c r="KQG23" s="50" t="str">
        <f t="shared" si="123"/>
        <v/>
      </c>
      <c r="KQH23" s="50" t="str">
        <f t="shared" si="123"/>
        <v/>
      </c>
      <c r="KQI23" s="50" t="str">
        <f t="shared" si="123"/>
        <v/>
      </c>
      <c r="KQJ23" s="50" t="str">
        <f t="shared" si="123"/>
        <v/>
      </c>
      <c r="KQK23" s="50" t="str">
        <f t="shared" si="123"/>
        <v/>
      </c>
      <c r="KQL23" s="50" t="str">
        <f t="shared" si="123"/>
        <v/>
      </c>
      <c r="KQM23" s="50" t="str">
        <f t="shared" si="123"/>
        <v/>
      </c>
      <c r="KQN23" s="50" t="str">
        <f t="shared" si="123"/>
        <v/>
      </c>
      <c r="KQO23" s="50" t="str">
        <f t="shared" si="123"/>
        <v/>
      </c>
      <c r="KQP23" s="50" t="str">
        <f t="shared" si="123"/>
        <v/>
      </c>
      <c r="KQQ23" s="50" t="str">
        <f t="shared" si="123"/>
        <v/>
      </c>
      <c r="KQR23" s="50" t="str">
        <f t="shared" si="123"/>
        <v/>
      </c>
      <c r="KQS23" s="50" t="str">
        <f t="shared" si="123"/>
        <v/>
      </c>
      <c r="KQT23" s="50" t="str">
        <f t="shared" si="123"/>
        <v/>
      </c>
      <c r="KQU23" s="50" t="str">
        <f t="shared" si="123"/>
        <v/>
      </c>
      <c r="KQV23" s="50" t="str">
        <f t="shared" si="123"/>
        <v/>
      </c>
      <c r="KQW23" s="50" t="str">
        <f t="shared" si="123"/>
        <v/>
      </c>
      <c r="KQX23" s="50" t="str">
        <f t="shared" si="123"/>
        <v/>
      </c>
      <c r="KQY23" s="50" t="str">
        <f t="shared" si="123"/>
        <v/>
      </c>
      <c r="KQZ23" s="50" t="str">
        <f t="shared" si="123"/>
        <v/>
      </c>
      <c r="KRA23" s="50" t="str">
        <f t="shared" si="123"/>
        <v/>
      </c>
      <c r="KRB23" s="50" t="str">
        <f t="shared" si="123"/>
        <v/>
      </c>
      <c r="KRC23" s="50" t="str">
        <f t="shared" si="123"/>
        <v/>
      </c>
      <c r="KRD23" s="50" t="str">
        <f t="shared" si="123"/>
        <v/>
      </c>
      <c r="KRE23" s="50" t="str">
        <f t="shared" si="123"/>
        <v/>
      </c>
      <c r="KRF23" s="50" t="str">
        <f t="shared" si="123"/>
        <v/>
      </c>
      <c r="KRG23" s="50" t="str">
        <f t="shared" si="123"/>
        <v/>
      </c>
      <c r="KRH23" s="50" t="str">
        <f t="shared" si="123"/>
        <v/>
      </c>
      <c r="KRI23" s="50" t="str">
        <f t="shared" si="123"/>
        <v/>
      </c>
      <c r="KRJ23" s="50" t="str">
        <f t="shared" si="123"/>
        <v/>
      </c>
      <c r="KRK23" s="50" t="str">
        <f t="shared" si="123"/>
        <v/>
      </c>
      <c r="KRL23" s="50" t="str">
        <f t="shared" si="123"/>
        <v/>
      </c>
      <c r="KRM23" s="50" t="str">
        <f t="shared" si="123"/>
        <v/>
      </c>
      <c r="KRN23" s="50" t="str">
        <f t="shared" si="123"/>
        <v/>
      </c>
      <c r="KRO23" s="50" t="str">
        <f t="shared" si="123"/>
        <v/>
      </c>
      <c r="KRP23" s="50" t="str">
        <f t="shared" si="123"/>
        <v/>
      </c>
      <c r="KRQ23" s="50" t="str">
        <f t="shared" ref="KRQ23:KUB23" si="124">IFERROR(IF(KRP23+TIME(1,0,0)&lt;=$G$12,KRP23+TIME(1,0,0),""),"")</f>
        <v/>
      </c>
      <c r="KRR23" s="50" t="str">
        <f t="shared" si="124"/>
        <v/>
      </c>
      <c r="KRS23" s="50" t="str">
        <f t="shared" si="124"/>
        <v/>
      </c>
      <c r="KRT23" s="50" t="str">
        <f t="shared" si="124"/>
        <v/>
      </c>
      <c r="KRU23" s="50" t="str">
        <f t="shared" si="124"/>
        <v/>
      </c>
      <c r="KRV23" s="50" t="str">
        <f t="shared" si="124"/>
        <v/>
      </c>
      <c r="KRW23" s="50" t="str">
        <f t="shared" si="124"/>
        <v/>
      </c>
      <c r="KRX23" s="50" t="str">
        <f t="shared" si="124"/>
        <v/>
      </c>
      <c r="KRY23" s="50" t="str">
        <f t="shared" si="124"/>
        <v/>
      </c>
      <c r="KRZ23" s="50" t="str">
        <f t="shared" si="124"/>
        <v/>
      </c>
      <c r="KSA23" s="50" t="str">
        <f t="shared" si="124"/>
        <v/>
      </c>
      <c r="KSB23" s="50" t="str">
        <f t="shared" si="124"/>
        <v/>
      </c>
      <c r="KSC23" s="50" t="str">
        <f t="shared" si="124"/>
        <v/>
      </c>
      <c r="KSD23" s="50" t="str">
        <f t="shared" si="124"/>
        <v/>
      </c>
      <c r="KSE23" s="50" t="str">
        <f t="shared" si="124"/>
        <v/>
      </c>
      <c r="KSF23" s="50" t="str">
        <f t="shared" si="124"/>
        <v/>
      </c>
      <c r="KSG23" s="50" t="str">
        <f t="shared" si="124"/>
        <v/>
      </c>
      <c r="KSH23" s="50" t="str">
        <f t="shared" si="124"/>
        <v/>
      </c>
      <c r="KSI23" s="50" t="str">
        <f t="shared" si="124"/>
        <v/>
      </c>
      <c r="KSJ23" s="50" t="str">
        <f t="shared" si="124"/>
        <v/>
      </c>
      <c r="KSK23" s="50" t="str">
        <f t="shared" si="124"/>
        <v/>
      </c>
      <c r="KSL23" s="50" t="str">
        <f t="shared" si="124"/>
        <v/>
      </c>
      <c r="KSM23" s="50" t="str">
        <f t="shared" si="124"/>
        <v/>
      </c>
      <c r="KSN23" s="50" t="str">
        <f t="shared" si="124"/>
        <v/>
      </c>
      <c r="KSO23" s="50" t="str">
        <f t="shared" si="124"/>
        <v/>
      </c>
      <c r="KSP23" s="50" t="str">
        <f t="shared" si="124"/>
        <v/>
      </c>
      <c r="KSQ23" s="50" t="str">
        <f t="shared" si="124"/>
        <v/>
      </c>
      <c r="KSR23" s="50" t="str">
        <f t="shared" si="124"/>
        <v/>
      </c>
      <c r="KSS23" s="50" t="str">
        <f t="shared" si="124"/>
        <v/>
      </c>
      <c r="KST23" s="50" t="str">
        <f t="shared" si="124"/>
        <v/>
      </c>
      <c r="KSU23" s="50" t="str">
        <f t="shared" si="124"/>
        <v/>
      </c>
      <c r="KSV23" s="50" t="str">
        <f t="shared" si="124"/>
        <v/>
      </c>
      <c r="KSW23" s="50" t="str">
        <f t="shared" si="124"/>
        <v/>
      </c>
      <c r="KSX23" s="50" t="str">
        <f t="shared" si="124"/>
        <v/>
      </c>
      <c r="KSY23" s="50" t="str">
        <f t="shared" si="124"/>
        <v/>
      </c>
      <c r="KSZ23" s="50" t="str">
        <f t="shared" si="124"/>
        <v/>
      </c>
      <c r="KTA23" s="50" t="str">
        <f t="shared" si="124"/>
        <v/>
      </c>
      <c r="KTB23" s="50" t="str">
        <f t="shared" si="124"/>
        <v/>
      </c>
      <c r="KTC23" s="50" t="str">
        <f t="shared" si="124"/>
        <v/>
      </c>
      <c r="KTD23" s="50" t="str">
        <f t="shared" si="124"/>
        <v/>
      </c>
      <c r="KTE23" s="50" t="str">
        <f t="shared" si="124"/>
        <v/>
      </c>
      <c r="KTF23" s="50" t="str">
        <f t="shared" si="124"/>
        <v/>
      </c>
      <c r="KTG23" s="50" t="str">
        <f t="shared" si="124"/>
        <v/>
      </c>
      <c r="KTH23" s="50" t="str">
        <f t="shared" si="124"/>
        <v/>
      </c>
      <c r="KTI23" s="50" t="str">
        <f t="shared" si="124"/>
        <v/>
      </c>
      <c r="KTJ23" s="50" t="str">
        <f t="shared" si="124"/>
        <v/>
      </c>
      <c r="KTK23" s="50" t="str">
        <f t="shared" si="124"/>
        <v/>
      </c>
      <c r="KTL23" s="50" t="str">
        <f t="shared" si="124"/>
        <v/>
      </c>
      <c r="KTM23" s="50" t="str">
        <f t="shared" si="124"/>
        <v/>
      </c>
      <c r="KTN23" s="50" t="str">
        <f t="shared" si="124"/>
        <v/>
      </c>
      <c r="KTO23" s="50" t="str">
        <f t="shared" si="124"/>
        <v/>
      </c>
      <c r="KTP23" s="50" t="str">
        <f t="shared" si="124"/>
        <v/>
      </c>
      <c r="KTQ23" s="50" t="str">
        <f t="shared" si="124"/>
        <v/>
      </c>
      <c r="KTR23" s="50" t="str">
        <f t="shared" si="124"/>
        <v/>
      </c>
      <c r="KTS23" s="50" t="str">
        <f t="shared" si="124"/>
        <v/>
      </c>
      <c r="KTT23" s="50" t="str">
        <f t="shared" si="124"/>
        <v/>
      </c>
      <c r="KTU23" s="50" t="str">
        <f t="shared" si="124"/>
        <v/>
      </c>
      <c r="KTV23" s="50" t="str">
        <f t="shared" si="124"/>
        <v/>
      </c>
      <c r="KTW23" s="50" t="str">
        <f t="shared" si="124"/>
        <v/>
      </c>
      <c r="KTX23" s="50" t="str">
        <f t="shared" si="124"/>
        <v/>
      </c>
      <c r="KTY23" s="50" t="str">
        <f t="shared" si="124"/>
        <v/>
      </c>
      <c r="KTZ23" s="50" t="str">
        <f t="shared" si="124"/>
        <v/>
      </c>
      <c r="KUA23" s="50" t="str">
        <f t="shared" si="124"/>
        <v/>
      </c>
      <c r="KUB23" s="50" t="str">
        <f t="shared" si="124"/>
        <v/>
      </c>
      <c r="KUC23" s="50" t="str">
        <f t="shared" ref="KUC23:KWN23" si="125">IFERROR(IF(KUB23+TIME(1,0,0)&lt;=$G$12,KUB23+TIME(1,0,0),""),"")</f>
        <v/>
      </c>
      <c r="KUD23" s="50" t="str">
        <f t="shared" si="125"/>
        <v/>
      </c>
      <c r="KUE23" s="50" t="str">
        <f t="shared" si="125"/>
        <v/>
      </c>
      <c r="KUF23" s="50" t="str">
        <f t="shared" si="125"/>
        <v/>
      </c>
      <c r="KUG23" s="50" t="str">
        <f t="shared" si="125"/>
        <v/>
      </c>
      <c r="KUH23" s="50" t="str">
        <f t="shared" si="125"/>
        <v/>
      </c>
      <c r="KUI23" s="50" t="str">
        <f t="shared" si="125"/>
        <v/>
      </c>
      <c r="KUJ23" s="50" t="str">
        <f t="shared" si="125"/>
        <v/>
      </c>
      <c r="KUK23" s="50" t="str">
        <f t="shared" si="125"/>
        <v/>
      </c>
      <c r="KUL23" s="50" t="str">
        <f t="shared" si="125"/>
        <v/>
      </c>
      <c r="KUM23" s="50" t="str">
        <f t="shared" si="125"/>
        <v/>
      </c>
      <c r="KUN23" s="50" t="str">
        <f t="shared" si="125"/>
        <v/>
      </c>
      <c r="KUO23" s="50" t="str">
        <f t="shared" si="125"/>
        <v/>
      </c>
      <c r="KUP23" s="50" t="str">
        <f t="shared" si="125"/>
        <v/>
      </c>
      <c r="KUQ23" s="50" t="str">
        <f t="shared" si="125"/>
        <v/>
      </c>
      <c r="KUR23" s="50" t="str">
        <f t="shared" si="125"/>
        <v/>
      </c>
      <c r="KUS23" s="50" t="str">
        <f t="shared" si="125"/>
        <v/>
      </c>
      <c r="KUT23" s="50" t="str">
        <f t="shared" si="125"/>
        <v/>
      </c>
      <c r="KUU23" s="50" t="str">
        <f t="shared" si="125"/>
        <v/>
      </c>
      <c r="KUV23" s="50" t="str">
        <f t="shared" si="125"/>
        <v/>
      </c>
      <c r="KUW23" s="50" t="str">
        <f t="shared" si="125"/>
        <v/>
      </c>
      <c r="KUX23" s="50" t="str">
        <f t="shared" si="125"/>
        <v/>
      </c>
      <c r="KUY23" s="50" t="str">
        <f t="shared" si="125"/>
        <v/>
      </c>
      <c r="KUZ23" s="50" t="str">
        <f t="shared" si="125"/>
        <v/>
      </c>
      <c r="KVA23" s="50" t="str">
        <f t="shared" si="125"/>
        <v/>
      </c>
      <c r="KVB23" s="50" t="str">
        <f t="shared" si="125"/>
        <v/>
      </c>
      <c r="KVC23" s="50" t="str">
        <f t="shared" si="125"/>
        <v/>
      </c>
      <c r="KVD23" s="50" t="str">
        <f t="shared" si="125"/>
        <v/>
      </c>
      <c r="KVE23" s="50" t="str">
        <f t="shared" si="125"/>
        <v/>
      </c>
      <c r="KVF23" s="50" t="str">
        <f t="shared" si="125"/>
        <v/>
      </c>
      <c r="KVG23" s="50" t="str">
        <f t="shared" si="125"/>
        <v/>
      </c>
      <c r="KVH23" s="50" t="str">
        <f t="shared" si="125"/>
        <v/>
      </c>
      <c r="KVI23" s="50" t="str">
        <f t="shared" si="125"/>
        <v/>
      </c>
      <c r="KVJ23" s="50" t="str">
        <f t="shared" si="125"/>
        <v/>
      </c>
      <c r="KVK23" s="50" t="str">
        <f t="shared" si="125"/>
        <v/>
      </c>
      <c r="KVL23" s="50" t="str">
        <f t="shared" si="125"/>
        <v/>
      </c>
      <c r="KVM23" s="50" t="str">
        <f t="shared" si="125"/>
        <v/>
      </c>
      <c r="KVN23" s="50" t="str">
        <f t="shared" si="125"/>
        <v/>
      </c>
      <c r="KVO23" s="50" t="str">
        <f t="shared" si="125"/>
        <v/>
      </c>
      <c r="KVP23" s="50" t="str">
        <f t="shared" si="125"/>
        <v/>
      </c>
      <c r="KVQ23" s="50" t="str">
        <f t="shared" si="125"/>
        <v/>
      </c>
      <c r="KVR23" s="50" t="str">
        <f t="shared" si="125"/>
        <v/>
      </c>
      <c r="KVS23" s="50" t="str">
        <f t="shared" si="125"/>
        <v/>
      </c>
      <c r="KVT23" s="50" t="str">
        <f t="shared" si="125"/>
        <v/>
      </c>
      <c r="KVU23" s="50" t="str">
        <f t="shared" si="125"/>
        <v/>
      </c>
      <c r="KVV23" s="50" t="str">
        <f t="shared" si="125"/>
        <v/>
      </c>
      <c r="KVW23" s="50" t="str">
        <f t="shared" si="125"/>
        <v/>
      </c>
      <c r="KVX23" s="50" t="str">
        <f t="shared" si="125"/>
        <v/>
      </c>
      <c r="KVY23" s="50" t="str">
        <f t="shared" si="125"/>
        <v/>
      </c>
      <c r="KVZ23" s="50" t="str">
        <f t="shared" si="125"/>
        <v/>
      </c>
      <c r="KWA23" s="50" t="str">
        <f t="shared" si="125"/>
        <v/>
      </c>
      <c r="KWB23" s="50" t="str">
        <f t="shared" si="125"/>
        <v/>
      </c>
      <c r="KWC23" s="50" t="str">
        <f t="shared" si="125"/>
        <v/>
      </c>
      <c r="KWD23" s="50" t="str">
        <f t="shared" si="125"/>
        <v/>
      </c>
      <c r="KWE23" s="50" t="str">
        <f t="shared" si="125"/>
        <v/>
      </c>
      <c r="KWF23" s="50" t="str">
        <f t="shared" si="125"/>
        <v/>
      </c>
      <c r="KWG23" s="50" t="str">
        <f t="shared" si="125"/>
        <v/>
      </c>
      <c r="KWH23" s="50" t="str">
        <f t="shared" si="125"/>
        <v/>
      </c>
      <c r="KWI23" s="50" t="str">
        <f t="shared" si="125"/>
        <v/>
      </c>
      <c r="KWJ23" s="50" t="str">
        <f t="shared" si="125"/>
        <v/>
      </c>
      <c r="KWK23" s="50" t="str">
        <f t="shared" si="125"/>
        <v/>
      </c>
      <c r="KWL23" s="50" t="str">
        <f t="shared" si="125"/>
        <v/>
      </c>
      <c r="KWM23" s="50" t="str">
        <f t="shared" si="125"/>
        <v/>
      </c>
      <c r="KWN23" s="50" t="str">
        <f t="shared" si="125"/>
        <v/>
      </c>
      <c r="KWO23" s="50" t="str">
        <f t="shared" ref="KWO23:KYZ23" si="126">IFERROR(IF(KWN23+TIME(1,0,0)&lt;=$G$12,KWN23+TIME(1,0,0),""),"")</f>
        <v/>
      </c>
      <c r="KWP23" s="50" t="str">
        <f t="shared" si="126"/>
        <v/>
      </c>
      <c r="KWQ23" s="50" t="str">
        <f t="shared" si="126"/>
        <v/>
      </c>
      <c r="KWR23" s="50" t="str">
        <f t="shared" si="126"/>
        <v/>
      </c>
      <c r="KWS23" s="50" t="str">
        <f t="shared" si="126"/>
        <v/>
      </c>
      <c r="KWT23" s="50" t="str">
        <f t="shared" si="126"/>
        <v/>
      </c>
      <c r="KWU23" s="50" t="str">
        <f t="shared" si="126"/>
        <v/>
      </c>
      <c r="KWV23" s="50" t="str">
        <f t="shared" si="126"/>
        <v/>
      </c>
      <c r="KWW23" s="50" t="str">
        <f t="shared" si="126"/>
        <v/>
      </c>
      <c r="KWX23" s="50" t="str">
        <f t="shared" si="126"/>
        <v/>
      </c>
      <c r="KWY23" s="50" t="str">
        <f t="shared" si="126"/>
        <v/>
      </c>
      <c r="KWZ23" s="50" t="str">
        <f t="shared" si="126"/>
        <v/>
      </c>
      <c r="KXA23" s="50" t="str">
        <f t="shared" si="126"/>
        <v/>
      </c>
      <c r="KXB23" s="50" t="str">
        <f t="shared" si="126"/>
        <v/>
      </c>
      <c r="KXC23" s="50" t="str">
        <f t="shared" si="126"/>
        <v/>
      </c>
      <c r="KXD23" s="50" t="str">
        <f t="shared" si="126"/>
        <v/>
      </c>
      <c r="KXE23" s="50" t="str">
        <f t="shared" si="126"/>
        <v/>
      </c>
      <c r="KXF23" s="50" t="str">
        <f t="shared" si="126"/>
        <v/>
      </c>
      <c r="KXG23" s="50" t="str">
        <f t="shared" si="126"/>
        <v/>
      </c>
      <c r="KXH23" s="50" t="str">
        <f t="shared" si="126"/>
        <v/>
      </c>
      <c r="KXI23" s="50" t="str">
        <f t="shared" si="126"/>
        <v/>
      </c>
      <c r="KXJ23" s="50" t="str">
        <f t="shared" si="126"/>
        <v/>
      </c>
      <c r="KXK23" s="50" t="str">
        <f t="shared" si="126"/>
        <v/>
      </c>
      <c r="KXL23" s="50" t="str">
        <f t="shared" si="126"/>
        <v/>
      </c>
      <c r="KXM23" s="50" t="str">
        <f t="shared" si="126"/>
        <v/>
      </c>
      <c r="KXN23" s="50" t="str">
        <f t="shared" si="126"/>
        <v/>
      </c>
      <c r="KXO23" s="50" t="str">
        <f t="shared" si="126"/>
        <v/>
      </c>
      <c r="KXP23" s="50" t="str">
        <f t="shared" si="126"/>
        <v/>
      </c>
      <c r="KXQ23" s="50" t="str">
        <f t="shared" si="126"/>
        <v/>
      </c>
      <c r="KXR23" s="50" t="str">
        <f t="shared" si="126"/>
        <v/>
      </c>
      <c r="KXS23" s="50" t="str">
        <f t="shared" si="126"/>
        <v/>
      </c>
      <c r="KXT23" s="50" t="str">
        <f t="shared" si="126"/>
        <v/>
      </c>
      <c r="KXU23" s="50" t="str">
        <f t="shared" si="126"/>
        <v/>
      </c>
      <c r="KXV23" s="50" t="str">
        <f t="shared" si="126"/>
        <v/>
      </c>
      <c r="KXW23" s="50" t="str">
        <f t="shared" si="126"/>
        <v/>
      </c>
      <c r="KXX23" s="50" t="str">
        <f t="shared" si="126"/>
        <v/>
      </c>
      <c r="KXY23" s="50" t="str">
        <f t="shared" si="126"/>
        <v/>
      </c>
      <c r="KXZ23" s="50" t="str">
        <f t="shared" si="126"/>
        <v/>
      </c>
      <c r="KYA23" s="50" t="str">
        <f t="shared" si="126"/>
        <v/>
      </c>
      <c r="KYB23" s="50" t="str">
        <f t="shared" si="126"/>
        <v/>
      </c>
      <c r="KYC23" s="50" t="str">
        <f t="shared" si="126"/>
        <v/>
      </c>
      <c r="KYD23" s="50" t="str">
        <f t="shared" si="126"/>
        <v/>
      </c>
      <c r="KYE23" s="50" t="str">
        <f t="shared" si="126"/>
        <v/>
      </c>
      <c r="KYF23" s="50" t="str">
        <f t="shared" si="126"/>
        <v/>
      </c>
      <c r="KYG23" s="50" t="str">
        <f t="shared" si="126"/>
        <v/>
      </c>
      <c r="KYH23" s="50" t="str">
        <f t="shared" si="126"/>
        <v/>
      </c>
      <c r="KYI23" s="50" t="str">
        <f t="shared" si="126"/>
        <v/>
      </c>
      <c r="KYJ23" s="50" t="str">
        <f t="shared" si="126"/>
        <v/>
      </c>
      <c r="KYK23" s="50" t="str">
        <f t="shared" si="126"/>
        <v/>
      </c>
      <c r="KYL23" s="50" t="str">
        <f t="shared" si="126"/>
        <v/>
      </c>
      <c r="KYM23" s="50" t="str">
        <f t="shared" si="126"/>
        <v/>
      </c>
      <c r="KYN23" s="50" t="str">
        <f t="shared" si="126"/>
        <v/>
      </c>
      <c r="KYO23" s="50" t="str">
        <f t="shared" si="126"/>
        <v/>
      </c>
      <c r="KYP23" s="50" t="str">
        <f t="shared" si="126"/>
        <v/>
      </c>
      <c r="KYQ23" s="50" t="str">
        <f t="shared" si="126"/>
        <v/>
      </c>
      <c r="KYR23" s="50" t="str">
        <f t="shared" si="126"/>
        <v/>
      </c>
      <c r="KYS23" s="50" t="str">
        <f t="shared" si="126"/>
        <v/>
      </c>
      <c r="KYT23" s="50" t="str">
        <f t="shared" si="126"/>
        <v/>
      </c>
      <c r="KYU23" s="50" t="str">
        <f t="shared" si="126"/>
        <v/>
      </c>
      <c r="KYV23" s="50" t="str">
        <f t="shared" si="126"/>
        <v/>
      </c>
      <c r="KYW23" s="50" t="str">
        <f t="shared" si="126"/>
        <v/>
      </c>
      <c r="KYX23" s="50" t="str">
        <f t="shared" si="126"/>
        <v/>
      </c>
      <c r="KYY23" s="50" t="str">
        <f t="shared" si="126"/>
        <v/>
      </c>
      <c r="KYZ23" s="50" t="str">
        <f t="shared" si="126"/>
        <v/>
      </c>
      <c r="KZA23" s="50" t="str">
        <f t="shared" ref="KZA23:LBL23" si="127">IFERROR(IF(KYZ23+TIME(1,0,0)&lt;=$G$12,KYZ23+TIME(1,0,0),""),"")</f>
        <v/>
      </c>
      <c r="KZB23" s="50" t="str">
        <f t="shared" si="127"/>
        <v/>
      </c>
      <c r="KZC23" s="50" t="str">
        <f t="shared" si="127"/>
        <v/>
      </c>
      <c r="KZD23" s="50" t="str">
        <f t="shared" si="127"/>
        <v/>
      </c>
      <c r="KZE23" s="50" t="str">
        <f t="shared" si="127"/>
        <v/>
      </c>
      <c r="KZF23" s="50" t="str">
        <f t="shared" si="127"/>
        <v/>
      </c>
      <c r="KZG23" s="50" t="str">
        <f t="shared" si="127"/>
        <v/>
      </c>
      <c r="KZH23" s="50" t="str">
        <f t="shared" si="127"/>
        <v/>
      </c>
      <c r="KZI23" s="50" t="str">
        <f t="shared" si="127"/>
        <v/>
      </c>
      <c r="KZJ23" s="50" t="str">
        <f t="shared" si="127"/>
        <v/>
      </c>
      <c r="KZK23" s="50" t="str">
        <f t="shared" si="127"/>
        <v/>
      </c>
      <c r="KZL23" s="50" t="str">
        <f t="shared" si="127"/>
        <v/>
      </c>
      <c r="KZM23" s="50" t="str">
        <f t="shared" si="127"/>
        <v/>
      </c>
      <c r="KZN23" s="50" t="str">
        <f t="shared" si="127"/>
        <v/>
      </c>
      <c r="KZO23" s="50" t="str">
        <f t="shared" si="127"/>
        <v/>
      </c>
      <c r="KZP23" s="50" t="str">
        <f t="shared" si="127"/>
        <v/>
      </c>
      <c r="KZQ23" s="50" t="str">
        <f t="shared" si="127"/>
        <v/>
      </c>
      <c r="KZR23" s="50" t="str">
        <f t="shared" si="127"/>
        <v/>
      </c>
      <c r="KZS23" s="50" t="str">
        <f t="shared" si="127"/>
        <v/>
      </c>
      <c r="KZT23" s="50" t="str">
        <f t="shared" si="127"/>
        <v/>
      </c>
      <c r="KZU23" s="50" t="str">
        <f t="shared" si="127"/>
        <v/>
      </c>
      <c r="KZV23" s="50" t="str">
        <f t="shared" si="127"/>
        <v/>
      </c>
      <c r="KZW23" s="50" t="str">
        <f t="shared" si="127"/>
        <v/>
      </c>
      <c r="KZX23" s="50" t="str">
        <f t="shared" si="127"/>
        <v/>
      </c>
      <c r="KZY23" s="50" t="str">
        <f t="shared" si="127"/>
        <v/>
      </c>
      <c r="KZZ23" s="50" t="str">
        <f t="shared" si="127"/>
        <v/>
      </c>
      <c r="LAA23" s="50" t="str">
        <f t="shared" si="127"/>
        <v/>
      </c>
      <c r="LAB23" s="50" t="str">
        <f t="shared" si="127"/>
        <v/>
      </c>
      <c r="LAC23" s="50" t="str">
        <f t="shared" si="127"/>
        <v/>
      </c>
      <c r="LAD23" s="50" t="str">
        <f t="shared" si="127"/>
        <v/>
      </c>
      <c r="LAE23" s="50" t="str">
        <f t="shared" si="127"/>
        <v/>
      </c>
      <c r="LAF23" s="50" t="str">
        <f t="shared" si="127"/>
        <v/>
      </c>
      <c r="LAG23" s="50" t="str">
        <f t="shared" si="127"/>
        <v/>
      </c>
      <c r="LAH23" s="50" t="str">
        <f t="shared" si="127"/>
        <v/>
      </c>
      <c r="LAI23" s="50" t="str">
        <f t="shared" si="127"/>
        <v/>
      </c>
      <c r="LAJ23" s="50" t="str">
        <f t="shared" si="127"/>
        <v/>
      </c>
      <c r="LAK23" s="50" t="str">
        <f t="shared" si="127"/>
        <v/>
      </c>
      <c r="LAL23" s="50" t="str">
        <f t="shared" si="127"/>
        <v/>
      </c>
      <c r="LAM23" s="50" t="str">
        <f t="shared" si="127"/>
        <v/>
      </c>
      <c r="LAN23" s="50" t="str">
        <f t="shared" si="127"/>
        <v/>
      </c>
      <c r="LAO23" s="50" t="str">
        <f t="shared" si="127"/>
        <v/>
      </c>
      <c r="LAP23" s="50" t="str">
        <f t="shared" si="127"/>
        <v/>
      </c>
      <c r="LAQ23" s="50" t="str">
        <f t="shared" si="127"/>
        <v/>
      </c>
      <c r="LAR23" s="50" t="str">
        <f t="shared" si="127"/>
        <v/>
      </c>
      <c r="LAS23" s="50" t="str">
        <f t="shared" si="127"/>
        <v/>
      </c>
      <c r="LAT23" s="50" t="str">
        <f t="shared" si="127"/>
        <v/>
      </c>
      <c r="LAU23" s="50" t="str">
        <f t="shared" si="127"/>
        <v/>
      </c>
      <c r="LAV23" s="50" t="str">
        <f t="shared" si="127"/>
        <v/>
      </c>
      <c r="LAW23" s="50" t="str">
        <f t="shared" si="127"/>
        <v/>
      </c>
      <c r="LAX23" s="50" t="str">
        <f t="shared" si="127"/>
        <v/>
      </c>
      <c r="LAY23" s="50" t="str">
        <f t="shared" si="127"/>
        <v/>
      </c>
      <c r="LAZ23" s="50" t="str">
        <f t="shared" si="127"/>
        <v/>
      </c>
      <c r="LBA23" s="50" t="str">
        <f t="shared" si="127"/>
        <v/>
      </c>
      <c r="LBB23" s="50" t="str">
        <f t="shared" si="127"/>
        <v/>
      </c>
      <c r="LBC23" s="50" t="str">
        <f t="shared" si="127"/>
        <v/>
      </c>
      <c r="LBD23" s="50" t="str">
        <f t="shared" si="127"/>
        <v/>
      </c>
      <c r="LBE23" s="50" t="str">
        <f t="shared" si="127"/>
        <v/>
      </c>
      <c r="LBF23" s="50" t="str">
        <f t="shared" si="127"/>
        <v/>
      </c>
      <c r="LBG23" s="50" t="str">
        <f t="shared" si="127"/>
        <v/>
      </c>
      <c r="LBH23" s="50" t="str">
        <f t="shared" si="127"/>
        <v/>
      </c>
      <c r="LBI23" s="50" t="str">
        <f t="shared" si="127"/>
        <v/>
      </c>
      <c r="LBJ23" s="50" t="str">
        <f t="shared" si="127"/>
        <v/>
      </c>
      <c r="LBK23" s="50" t="str">
        <f t="shared" si="127"/>
        <v/>
      </c>
      <c r="LBL23" s="50" t="str">
        <f t="shared" si="127"/>
        <v/>
      </c>
      <c r="LBM23" s="50" t="str">
        <f t="shared" ref="LBM23:LDX23" si="128">IFERROR(IF(LBL23+TIME(1,0,0)&lt;=$G$12,LBL23+TIME(1,0,0),""),"")</f>
        <v/>
      </c>
      <c r="LBN23" s="50" t="str">
        <f t="shared" si="128"/>
        <v/>
      </c>
      <c r="LBO23" s="50" t="str">
        <f t="shared" si="128"/>
        <v/>
      </c>
      <c r="LBP23" s="50" t="str">
        <f t="shared" si="128"/>
        <v/>
      </c>
      <c r="LBQ23" s="50" t="str">
        <f t="shared" si="128"/>
        <v/>
      </c>
      <c r="LBR23" s="50" t="str">
        <f t="shared" si="128"/>
        <v/>
      </c>
      <c r="LBS23" s="50" t="str">
        <f t="shared" si="128"/>
        <v/>
      </c>
      <c r="LBT23" s="50" t="str">
        <f t="shared" si="128"/>
        <v/>
      </c>
      <c r="LBU23" s="50" t="str">
        <f t="shared" si="128"/>
        <v/>
      </c>
      <c r="LBV23" s="50" t="str">
        <f t="shared" si="128"/>
        <v/>
      </c>
      <c r="LBW23" s="50" t="str">
        <f t="shared" si="128"/>
        <v/>
      </c>
      <c r="LBX23" s="50" t="str">
        <f t="shared" si="128"/>
        <v/>
      </c>
      <c r="LBY23" s="50" t="str">
        <f t="shared" si="128"/>
        <v/>
      </c>
      <c r="LBZ23" s="50" t="str">
        <f t="shared" si="128"/>
        <v/>
      </c>
      <c r="LCA23" s="50" t="str">
        <f t="shared" si="128"/>
        <v/>
      </c>
      <c r="LCB23" s="50" t="str">
        <f t="shared" si="128"/>
        <v/>
      </c>
      <c r="LCC23" s="50" t="str">
        <f t="shared" si="128"/>
        <v/>
      </c>
      <c r="LCD23" s="50" t="str">
        <f t="shared" si="128"/>
        <v/>
      </c>
      <c r="LCE23" s="50" t="str">
        <f t="shared" si="128"/>
        <v/>
      </c>
      <c r="LCF23" s="50" t="str">
        <f t="shared" si="128"/>
        <v/>
      </c>
      <c r="LCG23" s="50" t="str">
        <f t="shared" si="128"/>
        <v/>
      </c>
      <c r="LCH23" s="50" t="str">
        <f t="shared" si="128"/>
        <v/>
      </c>
      <c r="LCI23" s="50" t="str">
        <f t="shared" si="128"/>
        <v/>
      </c>
      <c r="LCJ23" s="50" t="str">
        <f t="shared" si="128"/>
        <v/>
      </c>
      <c r="LCK23" s="50" t="str">
        <f t="shared" si="128"/>
        <v/>
      </c>
      <c r="LCL23" s="50" t="str">
        <f t="shared" si="128"/>
        <v/>
      </c>
      <c r="LCM23" s="50" t="str">
        <f t="shared" si="128"/>
        <v/>
      </c>
      <c r="LCN23" s="50" t="str">
        <f t="shared" si="128"/>
        <v/>
      </c>
      <c r="LCO23" s="50" t="str">
        <f t="shared" si="128"/>
        <v/>
      </c>
      <c r="LCP23" s="50" t="str">
        <f t="shared" si="128"/>
        <v/>
      </c>
      <c r="LCQ23" s="50" t="str">
        <f t="shared" si="128"/>
        <v/>
      </c>
      <c r="LCR23" s="50" t="str">
        <f t="shared" si="128"/>
        <v/>
      </c>
      <c r="LCS23" s="50" t="str">
        <f t="shared" si="128"/>
        <v/>
      </c>
      <c r="LCT23" s="50" t="str">
        <f t="shared" si="128"/>
        <v/>
      </c>
      <c r="LCU23" s="50" t="str">
        <f t="shared" si="128"/>
        <v/>
      </c>
      <c r="LCV23" s="50" t="str">
        <f t="shared" si="128"/>
        <v/>
      </c>
      <c r="LCW23" s="50" t="str">
        <f t="shared" si="128"/>
        <v/>
      </c>
      <c r="LCX23" s="50" t="str">
        <f t="shared" si="128"/>
        <v/>
      </c>
      <c r="LCY23" s="50" t="str">
        <f t="shared" si="128"/>
        <v/>
      </c>
      <c r="LCZ23" s="50" t="str">
        <f t="shared" si="128"/>
        <v/>
      </c>
      <c r="LDA23" s="50" t="str">
        <f t="shared" si="128"/>
        <v/>
      </c>
      <c r="LDB23" s="50" t="str">
        <f t="shared" si="128"/>
        <v/>
      </c>
      <c r="LDC23" s="50" t="str">
        <f t="shared" si="128"/>
        <v/>
      </c>
      <c r="LDD23" s="50" t="str">
        <f t="shared" si="128"/>
        <v/>
      </c>
      <c r="LDE23" s="50" t="str">
        <f t="shared" si="128"/>
        <v/>
      </c>
      <c r="LDF23" s="50" t="str">
        <f t="shared" si="128"/>
        <v/>
      </c>
      <c r="LDG23" s="50" t="str">
        <f t="shared" si="128"/>
        <v/>
      </c>
      <c r="LDH23" s="50" t="str">
        <f t="shared" si="128"/>
        <v/>
      </c>
      <c r="LDI23" s="50" t="str">
        <f t="shared" si="128"/>
        <v/>
      </c>
      <c r="LDJ23" s="50" t="str">
        <f t="shared" si="128"/>
        <v/>
      </c>
      <c r="LDK23" s="50" t="str">
        <f t="shared" si="128"/>
        <v/>
      </c>
      <c r="LDL23" s="50" t="str">
        <f t="shared" si="128"/>
        <v/>
      </c>
      <c r="LDM23" s="50" t="str">
        <f t="shared" si="128"/>
        <v/>
      </c>
      <c r="LDN23" s="50" t="str">
        <f t="shared" si="128"/>
        <v/>
      </c>
      <c r="LDO23" s="50" t="str">
        <f t="shared" si="128"/>
        <v/>
      </c>
      <c r="LDP23" s="50" t="str">
        <f t="shared" si="128"/>
        <v/>
      </c>
      <c r="LDQ23" s="50" t="str">
        <f t="shared" si="128"/>
        <v/>
      </c>
      <c r="LDR23" s="50" t="str">
        <f t="shared" si="128"/>
        <v/>
      </c>
      <c r="LDS23" s="50" t="str">
        <f t="shared" si="128"/>
        <v/>
      </c>
      <c r="LDT23" s="50" t="str">
        <f t="shared" si="128"/>
        <v/>
      </c>
      <c r="LDU23" s="50" t="str">
        <f t="shared" si="128"/>
        <v/>
      </c>
      <c r="LDV23" s="50" t="str">
        <f t="shared" si="128"/>
        <v/>
      </c>
      <c r="LDW23" s="50" t="str">
        <f t="shared" si="128"/>
        <v/>
      </c>
      <c r="LDX23" s="50" t="str">
        <f t="shared" si="128"/>
        <v/>
      </c>
      <c r="LDY23" s="50" t="str">
        <f t="shared" ref="LDY23:LGJ23" si="129">IFERROR(IF(LDX23+TIME(1,0,0)&lt;=$G$12,LDX23+TIME(1,0,0),""),"")</f>
        <v/>
      </c>
      <c r="LDZ23" s="50" t="str">
        <f t="shared" si="129"/>
        <v/>
      </c>
      <c r="LEA23" s="50" t="str">
        <f t="shared" si="129"/>
        <v/>
      </c>
      <c r="LEB23" s="50" t="str">
        <f t="shared" si="129"/>
        <v/>
      </c>
      <c r="LEC23" s="50" t="str">
        <f t="shared" si="129"/>
        <v/>
      </c>
      <c r="LED23" s="50" t="str">
        <f t="shared" si="129"/>
        <v/>
      </c>
      <c r="LEE23" s="50" t="str">
        <f t="shared" si="129"/>
        <v/>
      </c>
      <c r="LEF23" s="50" t="str">
        <f t="shared" si="129"/>
        <v/>
      </c>
      <c r="LEG23" s="50" t="str">
        <f t="shared" si="129"/>
        <v/>
      </c>
      <c r="LEH23" s="50" t="str">
        <f t="shared" si="129"/>
        <v/>
      </c>
      <c r="LEI23" s="50" t="str">
        <f t="shared" si="129"/>
        <v/>
      </c>
      <c r="LEJ23" s="50" t="str">
        <f t="shared" si="129"/>
        <v/>
      </c>
      <c r="LEK23" s="50" t="str">
        <f t="shared" si="129"/>
        <v/>
      </c>
      <c r="LEL23" s="50" t="str">
        <f t="shared" si="129"/>
        <v/>
      </c>
      <c r="LEM23" s="50" t="str">
        <f t="shared" si="129"/>
        <v/>
      </c>
      <c r="LEN23" s="50" t="str">
        <f t="shared" si="129"/>
        <v/>
      </c>
      <c r="LEO23" s="50" t="str">
        <f t="shared" si="129"/>
        <v/>
      </c>
      <c r="LEP23" s="50" t="str">
        <f t="shared" si="129"/>
        <v/>
      </c>
      <c r="LEQ23" s="50" t="str">
        <f t="shared" si="129"/>
        <v/>
      </c>
      <c r="LER23" s="50" t="str">
        <f t="shared" si="129"/>
        <v/>
      </c>
      <c r="LES23" s="50" t="str">
        <f t="shared" si="129"/>
        <v/>
      </c>
      <c r="LET23" s="50" t="str">
        <f t="shared" si="129"/>
        <v/>
      </c>
      <c r="LEU23" s="50" t="str">
        <f t="shared" si="129"/>
        <v/>
      </c>
      <c r="LEV23" s="50" t="str">
        <f t="shared" si="129"/>
        <v/>
      </c>
      <c r="LEW23" s="50" t="str">
        <f t="shared" si="129"/>
        <v/>
      </c>
      <c r="LEX23" s="50" t="str">
        <f t="shared" si="129"/>
        <v/>
      </c>
      <c r="LEY23" s="50" t="str">
        <f t="shared" si="129"/>
        <v/>
      </c>
      <c r="LEZ23" s="50" t="str">
        <f t="shared" si="129"/>
        <v/>
      </c>
      <c r="LFA23" s="50" t="str">
        <f t="shared" si="129"/>
        <v/>
      </c>
      <c r="LFB23" s="50" t="str">
        <f t="shared" si="129"/>
        <v/>
      </c>
      <c r="LFC23" s="50" t="str">
        <f t="shared" si="129"/>
        <v/>
      </c>
      <c r="LFD23" s="50" t="str">
        <f t="shared" si="129"/>
        <v/>
      </c>
      <c r="LFE23" s="50" t="str">
        <f t="shared" si="129"/>
        <v/>
      </c>
      <c r="LFF23" s="50" t="str">
        <f t="shared" si="129"/>
        <v/>
      </c>
      <c r="LFG23" s="50" t="str">
        <f t="shared" si="129"/>
        <v/>
      </c>
      <c r="LFH23" s="50" t="str">
        <f t="shared" si="129"/>
        <v/>
      </c>
      <c r="LFI23" s="50" t="str">
        <f t="shared" si="129"/>
        <v/>
      </c>
      <c r="LFJ23" s="50" t="str">
        <f t="shared" si="129"/>
        <v/>
      </c>
      <c r="LFK23" s="50" t="str">
        <f t="shared" si="129"/>
        <v/>
      </c>
      <c r="LFL23" s="50" t="str">
        <f t="shared" si="129"/>
        <v/>
      </c>
      <c r="LFM23" s="50" t="str">
        <f t="shared" si="129"/>
        <v/>
      </c>
      <c r="LFN23" s="50" t="str">
        <f t="shared" si="129"/>
        <v/>
      </c>
      <c r="LFO23" s="50" t="str">
        <f t="shared" si="129"/>
        <v/>
      </c>
      <c r="LFP23" s="50" t="str">
        <f t="shared" si="129"/>
        <v/>
      </c>
      <c r="LFQ23" s="50" t="str">
        <f t="shared" si="129"/>
        <v/>
      </c>
      <c r="LFR23" s="50" t="str">
        <f t="shared" si="129"/>
        <v/>
      </c>
      <c r="LFS23" s="50" t="str">
        <f t="shared" si="129"/>
        <v/>
      </c>
      <c r="LFT23" s="50" t="str">
        <f t="shared" si="129"/>
        <v/>
      </c>
      <c r="LFU23" s="50" t="str">
        <f t="shared" si="129"/>
        <v/>
      </c>
      <c r="LFV23" s="50" t="str">
        <f t="shared" si="129"/>
        <v/>
      </c>
      <c r="LFW23" s="50" t="str">
        <f t="shared" si="129"/>
        <v/>
      </c>
      <c r="LFX23" s="50" t="str">
        <f t="shared" si="129"/>
        <v/>
      </c>
      <c r="LFY23" s="50" t="str">
        <f t="shared" si="129"/>
        <v/>
      </c>
      <c r="LFZ23" s="50" t="str">
        <f t="shared" si="129"/>
        <v/>
      </c>
      <c r="LGA23" s="50" t="str">
        <f t="shared" si="129"/>
        <v/>
      </c>
      <c r="LGB23" s="50" t="str">
        <f t="shared" si="129"/>
        <v/>
      </c>
      <c r="LGC23" s="50" t="str">
        <f t="shared" si="129"/>
        <v/>
      </c>
      <c r="LGD23" s="50" t="str">
        <f t="shared" si="129"/>
        <v/>
      </c>
      <c r="LGE23" s="50" t="str">
        <f t="shared" si="129"/>
        <v/>
      </c>
      <c r="LGF23" s="50" t="str">
        <f t="shared" si="129"/>
        <v/>
      </c>
      <c r="LGG23" s="50" t="str">
        <f t="shared" si="129"/>
        <v/>
      </c>
      <c r="LGH23" s="50" t="str">
        <f t="shared" si="129"/>
        <v/>
      </c>
      <c r="LGI23" s="50" t="str">
        <f t="shared" si="129"/>
        <v/>
      </c>
      <c r="LGJ23" s="50" t="str">
        <f t="shared" si="129"/>
        <v/>
      </c>
      <c r="LGK23" s="50" t="str">
        <f t="shared" ref="LGK23:LIV23" si="130">IFERROR(IF(LGJ23+TIME(1,0,0)&lt;=$G$12,LGJ23+TIME(1,0,0),""),"")</f>
        <v/>
      </c>
      <c r="LGL23" s="50" t="str">
        <f t="shared" si="130"/>
        <v/>
      </c>
      <c r="LGM23" s="50" t="str">
        <f t="shared" si="130"/>
        <v/>
      </c>
      <c r="LGN23" s="50" t="str">
        <f t="shared" si="130"/>
        <v/>
      </c>
      <c r="LGO23" s="50" t="str">
        <f t="shared" si="130"/>
        <v/>
      </c>
      <c r="LGP23" s="50" t="str">
        <f t="shared" si="130"/>
        <v/>
      </c>
      <c r="LGQ23" s="50" t="str">
        <f t="shared" si="130"/>
        <v/>
      </c>
      <c r="LGR23" s="50" t="str">
        <f t="shared" si="130"/>
        <v/>
      </c>
      <c r="LGS23" s="50" t="str">
        <f t="shared" si="130"/>
        <v/>
      </c>
      <c r="LGT23" s="50" t="str">
        <f t="shared" si="130"/>
        <v/>
      </c>
      <c r="LGU23" s="50" t="str">
        <f t="shared" si="130"/>
        <v/>
      </c>
      <c r="LGV23" s="50" t="str">
        <f t="shared" si="130"/>
        <v/>
      </c>
      <c r="LGW23" s="50" t="str">
        <f t="shared" si="130"/>
        <v/>
      </c>
      <c r="LGX23" s="50" t="str">
        <f t="shared" si="130"/>
        <v/>
      </c>
      <c r="LGY23" s="50" t="str">
        <f t="shared" si="130"/>
        <v/>
      </c>
      <c r="LGZ23" s="50" t="str">
        <f t="shared" si="130"/>
        <v/>
      </c>
      <c r="LHA23" s="50" t="str">
        <f t="shared" si="130"/>
        <v/>
      </c>
      <c r="LHB23" s="50" t="str">
        <f t="shared" si="130"/>
        <v/>
      </c>
      <c r="LHC23" s="50" t="str">
        <f t="shared" si="130"/>
        <v/>
      </c>
      <c r="LHD23" s="50" t="str">
        <f t="shared" si="130"/>
        <v/>
      </c>
      <c r="LHE23" s="50" t="str">
        <f t="shared" si="130"/>
        <v/>
      </c>
      <c r="LHF23" s="50" t="str">
        <f t="shared" si="130"/>
        <v/>
      </c>
      <c r="LHG23" s="50" t="str">
        <f t="shared" si="130"/>
        <v/>
      </c>
      <c r="LHH23" s="50" t="str">
        <f t="shared" si="130"/>
        <v/>
      </c>
      <c r="LHI23" s="50" t="str">
        <f t="shared" si="130"/>
        <v/>
      </c>
      <c r="LHJ23" s="50" t="str">
        <f t="shared" si="130"/>
        <v/>
      </c>
      <c r="LHK23" s="50" t="str">
        <f t="shared" si="130"/>
        <v/>
      </c>
      <c r="LHL23" s="50" t="str">
        <f t="shared" si="130"/>
        <v/>
      </c>
      <c r="LHM23" s="50" t="str">
        <f t="shared" si="130"/>
        <v/>
      </c>
      <c r="LHN23" s="50" t="str">
        <f t="shared" si="130"/>
        <v/>
      </c>
      <c r="LHO23" s="50" t="str">
        <f t="shared" si="130"/>
        <v/>
      </c>
      <c r="LHP23" s="50" t="str">
        <f t="shared" si="130"/>
        <v/>
      </c>
      <c r="LHQ23" s="50" t="str">
        <f t="shared" si="130"/>
        <v/>
      </c>
      <c r="LHR23" s="50" t="str">
        <f t="shared" si="130"/>
        <v/>
      </c>
      <c r="LHS23" s="50" t="str">
        <f t="shared" si="130"/>
        <v/>
      </c>
      <c r="LHT23" s="50" t="str">
        <f t="shared" si="130"/>
        <v/>
      </c>
      <c r="LHU23" s="50" t="str">
        <f t="shared" si="130"/>
        <v/>
      </c>
      <c r="LHV23" s="50" t="str">
        <f t="shared" si="130"/>
        <v/>
      </c>
      <c r="LHW23" s="50" t="str">
        <f t="shared" si="130"/>
        <v/>
      </c>
      <c r="LHX23" s="50" t="str">
        <f t="shared" si="130"/>
        <v/>
      </c>
      <c r="LHY23" s="50" t="str">
        <f t="shared" si="130"/>
        <v/>
      </c>
      <c r="LHZ23" s="50" t="str">
        <f t="shared" si="130"/>
        <v/>
      </c>
      <c r="LIA23" s="50" t="str">
        <f t="shared" si="130"/>
        <v/>
      </c>
      <c r="LIB23" s="50" t="str">
        <f t="shared" si="130"/>
        <v/>
      </c>
      <c r="LIC23" s="50" t="str">
        <f t="shared" si="130"/>
        <v/>
      </c>
      <c r="LID23" s="50" t="str">
        <f t="shared" si="130"/>
        <v/>
      </c>
      <c r="LIE23" s="50" t="str">
        <f t="shared" si="130"/>
        <v/>
      </c>
      <c r="LIF23" s="50" t="str">
        <f t="shared" si="130"/>
        <v/>
      </c>
      <c r="LIG23" s="50" t="str">
        <f t="shared" si="130"/>
        <v/>
      </c>
      <c r="LIH23" s="50" t="str">
        <f t="shared" si="130"/>
        <v/>
      </c>
      <c r="LII23" s="50" t="str">
        <f t="shared" si="130"/>
        <v/>
      </c>
      <c r="LIJ23" s="50" t="str">
        <f t="shared" si="130"/>
        <v/>
      </c>
      <c r="LIK23" s="50" t="str">
        <f t="shared" si="130"/>
        <v/>
      </c>
      <c r="LIL23" s="50" t="str">
        <f t="shared" si="130"/>
        <v/>
      </c>
      <c r="LIM23" s="50" t="str">
        <f t="shared" si="130"/>
        <v/>
      </c>
      <c r="LIN23" s="50" t="str">
        <f t="shared" si="130"/>
        <v/>
      </c>
      <c r="LIO23" s="50" t="str">
        <f t="shared" si="130"/>
        <v/>
      </c>
      <c r="LIP23" s="50" t="str">
        <f t="shared" si="130"/>
        <v/>
      </c>
      <c r="LIQ23" s="50" t="str">
        <f t="shared" si="130"/>
        <v/>
      </c>
      <c r="LIR23" s="50" t="str">
        <f t="shared" si="130"/>
        <v/>
      </c>
      <c r="LIS23" s="50" t="str">
        <f t="shared" si="130"/>
        <v/>
      </c>
      <c r="LIT23" s="50" t="str">
        <f t="shared" si="130"/>
        <v/>
      </c>
      <c r="LIU23" s="50" t="str">
        <f t="shared" si="130"/>
        <v/>
      </c>
      <c r="LIV23" s="50" t="str">
        <f t="shared" si="130"/>
        <v/>
      </c>
      <c r="LIW23" s="50" t="str">
        <f t="shared" ref="LIW23:LLH23" si="131">IFERROR(IF(LIV23+TIME(1,0,0)&lt;=$G$12,LIV23+TIME(1,0,0),""),"")</f>
        <v/>
      </c>
      <c r="LIX23" s="50" t="str">
        <f t="shared" si="131"/>
        <v/>
      </c>
      <c r="LIY23" s="50" t="str">
        <f t="shared" si="131"/>
        <v/>
      </c>
      <c r="LIZ23" s="50" t="str">
        <f t="shared" si="131"/>
        <v/>
      </c>
      <c r="LJA23" s="50" t="str">
        <f t="shared" si="131"/>
        <v/>
      </c>
      <c r="LJB23" s="50" t="str">
        <f t="shared" si="131"/>
        <v/>
      </c>
      <c r="LJC23" s="50" t="str">
        <f t="shared" si="131"/>
        <v/>
      </c>
      <c r="LJD23" s="50" t="str">
        <f t="shared" si="131"/>
        <v/>
      </c>
      <c r="LJE23" s="50" t="str">
        <f t="shared" si="131"/>
        <v/>
      </c>
      <c r="LJF23" s="50" t="str">
        <f t="shared" si="131"/>
        <v/>
      </c>
      <c r="LJG23" s="50" t="str">
        <f t="shared" si="131"/>
        <v/>
      </c>
      <c r="LJH23" s="50" t="str">
        <f t="shared" si="131"/>
        <v/>
      </c>
      <c r="LJI23" s="50" t="str">
        <f t="shared" si="131"/>
        <v/>
      </c>
      <c r="LJJ23" s="50" t="str">
        <f t="shared" si="131"/>
        <v/>
      </c>
      <c r="LJK23" s="50" t="str">
        <f t="shared" si="131"/>
        <v/>
      </c>
      <c r="LJL23" s="50" t="str">
        <f t="shared" si="131"/>
        <v/>
      </c>
      <c r="LJM23" s="50" t="str">
        <f t="shared" si="131"/>
        <v/>
      </c>
      <c r="LJN23" s="50" t="str">
        <f t="shared" si="131"/>
        <v/>
      </c>
      <c r="LJO23" s="50" t="str">
        <f t="shared" si="131"/>
        <v/>
      </c>
      <c r="LJP23" s="50" t="str">
        <f t="shared" si="131"/>
        <v/>
      </c>
      <c r="LJQ23" s="50" t="str">
        <f t="shared" si="131"/>
        <v/>
      </c>
      <c r="LJR23" s="50" t="str">
        <f t="shared" si="131"/>
        <v/>
      </c>
      <c r="LJS23" s="50" t="str">
        <f t="shared" si="131"/>
        <v/>
      </c>
      <c r="LJT23" s="50" t="str">
        <f t="shared" si="131"/>
        <v/>
      </c>
      <c r="LJU23" s="50" t="str">
        <f t="shared" si="131"/>
        <v/>
      </c>
      <c r="LJV23" s="50" t="str">
        <f t="shared" si="131"/>
        <v/>
      </c>
      <c r="LJW23" s="50" t="str">
        <f t="shared" si="131"/>
        <v/>
      </c>
      <c r="LJX23" s="50" t="str">
        <f t="shared" si="131"/>
        <v/>
      </c>
      <c r="LJY23" s="50" t="str">
        <f t="shared" si="131"/>
        <v/>
      </c>
      <c r="LJZ23" s="50" t="str">
        <f t="shared" si="131"/>
        <v/>
      </c>
      <c r="LKA23" s="50" t="str">
        <f t="shared" si="131"/>
        <v/>
      </c>
      <c r="LKB23" s="50" t="str">
        <f t="shared" si="131"/>
        <v/>
      </c>
      <c r="LKC23" s="50" t="str">
        <f t="shared" si="131"/>
        <v/>
      </c>
      <c r="LKD23" s="50" t="str">
        <f t="shared" si="131"/>
        <v/>
      </c>
      <c r="LKE23" s="50" t="str">
        <f t="shared" si="131"/>
        <v/>
      </c>
      <c r="LKF23" s="50" t="str">
        <f t="shared" si="131"/>
        <v/>
      </c>
      <c r="LKG23" s="50" t="str">
        <f t="shared" si="131"/>
        <v/>
      </c>
      <c r="LKH23" s="50" t="str">
        <f t="shared" si="131"/>
        <v/>
      </c>
      <c r="LKI23" s="50" t="str">
        <f t="shared" si="131"/>
        <v/>
      </c>
      <c r="LKJ23" s="50" t="str">
        <f t="shared" si="131"/>
        <v/>
      </c>
      <c r="LKK23" s="50" t="str">
        <f t="shared" si="131"/>
        <v/>
      </c>
      <c r="LKL23" s="50" t="str">
        <f t="shared" si="131"/>
        <v/>
      </c>
      <c r="LKM23" s="50" t="str">
        <f t="shared" si="131"/>
        <v/>
      </c>
      <c r="LKN23" s="50" t="str">
        <f t="shared" si="131"/>
        <v/>
      </c>
      <c r="LKO23" s="50" t="str">
        <f t="shared" si="131"/>
        <v/>
      </c>
      <c r="LKP23" s="50" t="str">
        <f t="shared" si="131"/>
        <v/>
      </c>
      <c r="LKQ23" s="50" t="str">
        <f t="shared" si="131"/>
        <v/>
      </c>
      <c r="LKR23" s="50" t="str">
        <f t="shared" si="131"/>
        <v/>
      </c>
      <c r="LKS23" s="50" t="str">
        <f t="shared" si="131"/>
        <v/>
      </c>
      <c r="LKT23" s="50" t="str">
        <f t="shared" si="131"/>
        <v/>
      </c>
      <c r="LKU23" s="50" t="str">
        <f t="shared" si="131"/>
        <v/>
      </c>
      <c r="LKV23" s="50" t="str">
        <f t="shared" si="131"/>
        <v/>
      </c>
      <c r="LKW23" s="50" t="str">
        <f t="shared" si="131"/>
        <v/>
      </c>
      <c r="LKX23" s="50" t="str">
        <f t="shared" si="131"/>
        <v/>
      </c>
      <c r="LKY23" s="50" t="str">
        <f t="shared" si="131"/>
        <v/>
      </c>
      <c r="LKZ23" s="50" t="str">
        <f t="shared" si="131"/>
        <v/>
      </c>
      <c r="LLA23" s="50" t="str">
        <f t="shared" si="131"/>
        <v/>
      </c>
      <c r="LLB23" s="50" t="str">
        <f t="shared" si="131"/>
        <v/>
      </c>
      <c r="LLC23" s="50" t="str">
        <f t="shared" si="131"/>
        <v/>
      </c>
      <c r="LLD23" s="50" t="str">
        <f t="shared" si="131"/>
        <v/>
      </c>
      <c r="LLE23" s="50" t="str">
        <f t="shared" si="131"/>
        <v/>
      </c>
      <c r="LLF23" s="50" t="str">
        <f t="shared" si="131"/>
        <v/>
      </c>
      <c r="LLG23" s="50" t="str">
        <f t="shared" si="131"/>
        <v/>
      </c>
      <c r="LLH23" s="50" t="str">
        <f t="shared" si="131"/>
        <v/>
      </c>
      <c r="LLI23" s="50" t="str">
        <f t="shared" ref="LLI23:LNT23" si="132">IFERROR(IF(LLH23+TIME(1,0,0)&lt;=$G$12,LLH23+TIME(1,0,0),""),"")</f>
        <v/>
      </c>
      <c r="LLJ23" s="50" t="str">
        <f t="shared" si="132"/>
        <v/>
      </c>
      <c r="LLK23" s="50" t="str">
        <f t="shared" si="132"/>
        <v/>
      </c>
      <c r="LLL23" s="50" t="str">
        <f t="shared" si="132"/>
        <v/>
      </c>
      <c r="LLM23" s="50" t="str">
        <f t="shared" si="132"/>
        <v/>
      </c>
      <c r="LLN23" s="50" t="str">
        <f t="shared" si="132"/>
        <v/>
      </c>
      <c r="LLO23" s="50" t="str">
        <f t="shared" si="132"/>
        <v/>
      </c>
      <c r="LLP23" s="50" t="str">
        <f t="shared" si="132"/>
        <v/>
      </c>
      <c r="LLQ23" s="50" t="str">
        <f t="shared" si="132"/>
        <v/>
      </c>
      <c r="LLR23" s="50" t="str">
        <f t="shared" si="132"/>
        <v/>
      </c>
      <c r="LLS23" s="50" t="str">
        <f t="shared" si="132"/>
        <v/>
      </c>
      <c r="LLT23" s="50" t="str">
        <f t="shared" si="132"/>
        <v/>
      </c>
      <c r="LLU23" s="50" t="str">
        <f t="shared" si="132"/>
        <v/>
      </c>
      <c r="LLV23" s="50" t="str">
        <f t="shared" si="132"/>
        <v/>
      </c>
      <c r="LLW23" s="50" t="str">
        <f t="shared" si="132"/>
        <v/>
      </c>
      <c r="LLX23" s="50" t="str">
        <f t="shared" si="132"/>
        <v/>
      </c>
      <c r="LLY23" s="50" t="str">
        <f t="shared" si="132"/>
        <v/>
      </c>
      <c r="LLZ23" s="50" t="str">
        <f t="shared" si="132"/>
        <v/>
      </c>
      <c r="LMA23" s="50" t="str">
        <f t="shared" si="132"/>
        <v/>
      </c>
      <c r="LMB23" s="50" t="str">
        <f t="shared" si="132"/>
        <v/>
      </c>
      <c r="LMC23" s="50" t="str">
        <f t="shared" si="132"/>
        <v/>
      </c>
      <c r="LMD23" s="50" t="str">
        <f t="shared" si="132"/>
        <v/>
      </c>
      <c r="LME23" s="50" t="str">
        <f t="shared" si="132"/>
        <v/>
      </c>
      <c r="LMF23" s="50" t="str">
        <f t="shared" si="132"/>
        <v/>
      </c>
      <c r="LMG23" s="50" t="str">
        <f t="shared" si="132"/>
        <v/>
      </c>
      <c r="LMH23" s="50" t="str">
        <f t="shared" si="132"/>
        <v/>
      </c>
      <c r="LMI23" s="50" t="str">
        <f t="shared" si="132"/>
        <v/>
      </c>
      <c r="LMJ23" s="50" t="str">
        <f t="shared" si="132"/>
        <v/>
      </c>
      <c r="LMK23" s="50" t="str">
        <f t="shared" si="132"/>
        <v/>
      </c>
      <c r="LML23" s="50" t="str">
        <f t="shared" si="132"/>
        <v/>
      </c>
      <c r="LMM23" s="50" t="str">
        <f t="shared" si="132"/>
        <v/>
      </c>
      <c r="LMN23" s="50" t="str">
        <f t="shared" si="132"/>
        <v/>
      </c>
      <c r="LMO23" s="50" t="str">
        <f t="shared" si="132"/>
        <v/>
      </c>
      <c r="LMP23" s="50" t="str">
        <f t="shared" si="132"/>
        <v/>
      </c>
      <c r="LMQ23" s="50" t="str">
        <f t="shared" si="132"/>
        <v/>
      </c>
      <c r="LMR23" s="50" t="str">
        <f t="shared" si="132"/>
        <v/>
      </c>
      <c r="LMS23" s="50" t="str">
        <f t="shared" si="132"/>
        <v/>
      </c>
      <c r="LMT23" s="50" t="str">
        <f t="shared" si="132"/>
        <v/>
      </c>
      <c r="LMU23" s="50" t="str">
        <f t="shared" si="132"/>
        <v/>
      </c>
      <c r="LMV23" s="50" t="str">
        <f t="shared" si="132"/>
        <v/>
      </c>
      <c r="LMW23" s="50" t="str">
        <f t="shared" si="132"/>
        <v/>
      </c>
      <c r="LMX23" s="50" t="str">
        <f t="shared" si="132"/>
        <v/>
      </c>
      <c r="LMY23" s="50" t="str">
        <f t="shared" si="132"/>
        <v/>
      </c>
      <c r="LMZ23" s="50" t="str">
        <f t="shared" si="132"/>
        <v/>
      </c>
      <c r="LNA23" s="50" t="str">
        <f t="shared" si="132"/>
        <v/>
      </c>
      <c r="LNB23" s="50" t="str">
        <f t="shared" si="132"/>
        <v/>
      </c>
      <c r="LNC23" s="50" t="str">
        <f t="shared" si="132"/>
        <v/>
      </c>
      <c r="LND23" s="50" t="str">
        <f t="shared" si="132"/>
        <v/>
      </c>
      <c r="LNE23" s="50" t="str">
        <f t="shared" si="132"/>
        <v/>
      </c>
      <c r="LNF23" s="50" t="str">
        <f t="shared" si="132"/>
        <v/>
      </c>
      <c r="LNG23" s="50" t="str">
        <f t="shared" si="132"/>
        <v/>
      </c>
      <c r="LNH23" s="50" t="str">
        <f t="shared" si="132"/>
        <v/>
      </c>
      <c r="LNI23" s="50" t="str">
        <f t="shared" si="132"/>
        <v/>
      </c>
      <c r="LNJ23" s="50" t="str">
        <f t="shared" si="132"/>
        <v/>
      </c>
      <c r="LNK23" s="50" t="str">
        <f t="shared" si="132"/>
        <v/>
      </c>
      <c r="LNL23" s="50" t="str">
        <f t="shared" si="132"/>
        <v/>
      </c>
      <c r="LNM23" s="50" t="str">
        <f t="shared" si="132"/>
        <v/>
      </c>
      <c r="LNN23" s="50" t="str">
        <f t="shared" si="132"/>
        <v/>
      </c>
      <c r="LNO23" s="50" t="str">
        <f t="shared" si="132"/>
        <v/>
      </c>
      <c r="LNP23" s="50" t="str">
        <f t="shared" si="132"/>
        <v/>
      </c>
      <c r="LNQ23" s="50" t="str">
        <f t="shared" si="132"/>
        <v/>
      </c>
      <c r="LNR23" s="50" t="str">
        <f t="shared" si="132"/>
        <v/>
      </c>
      <c r="LNS23" s="50" t="str">
        <f t="shared" si="132"/>
        <v/>
      </c>
      <c r="LNT23" s="50" t="str">
        <f t="shared" si="132"/>
        <v/>
      </c>
      <c r="LNU23" s="50" t="str">
        <f t="shared" ref="LNU23:LQF23" si="133">IFERROR(IF(LNT23+TIME(1,0,0)&lt;=$G$12,LNT23+TIME(1,0,0),""),"")</f>
        <v/>
      </c>
      <c r="LNV23" s="50" t="str">
        <f t="shared" si="133"/>
        <v/>
      </c>
      <c r="LNW23" s="50" t="str">
        <f t="shared" si="133"/>
        <v/>
      </c>
      <c r="LNX23" s="50" t="str">
        <f t="shared" si="133"/>
        <v/>
      </c>
      <c r="LNY23" s="50" t="str">
        <f t="shared" si="133"/>
        <v/>
      </c>
      <c r="LNZ23" s="50" t="str">
        <f t="shared" si="133"/>
        <v/>
      </c>
      <c r="LOA23" s="50" t="str">
        <f t="shared" si="133"/>
        <v/>
      </c>
      <c r="LOB23" s="50" t="str">
        <f t="shared" si="133"/>
        <v/>
      </c>
      <c r="LOC23" s="50" t="str">
        <f t="shared" si="133"/>
        <v/>
      </c>
      <c r="LOD23" s="50" t="str">
        <f t="shared" si="133"/>
        <v/>
      </c>
      <c r="LOE23" s="50" t="str">
        <f t="shared" si="133"/>
        <v/>
      </c>
      <c r="LOF23" s="50" t="str">
        <f t="shared" si="133"/>
        <v/>
      </c>
      <c r="LOG23" s="50" t="str">
        <f t="shared" si="133"/>
        <v/>
      </c>
      <c r="LOH23" s="50" t="str">
        <f t="shared" si="133"/>
        <v/>
      </c>
      <c r="LOI23" s="50" t="str">
        <f t="shared" si="133"/>
        <v/>
      </c>
      <c r="LOJ23" s="50" t="str">
        <f t="shared" si="133"/>
        <v/>
      </c>
      <c r="LOK23" s="50" t="str">
        <f t="shared" si="133"/>
        <v/>
      </c>
      <c r="LOL23" s="50" t="str">
        <f t="shared" si="133"/>
        <v/>
      </c>
      <c r="LOM23" s="50" t="str">
        <f t="shared" si="133"/>
        <v/>
      </c>
      <c r="LON23" s="50" t="str">
        <f t="shared" si="133"/>
        <v/>
      </c>
      <c r="LOO23" s="50" t="str">
        <f t="shared" si="133"/>
        <v/>
      </c>
      <c r="LOP23" s="50" t="str">
        <f t="shared" si="133"/>
        <v/>
      </c>
      <c r="LOQ23" s="50" t="str">
        <f t="shared" si="133"/>
        <v/>
      </c>
      <c r="LOR23" s="50" t="str">
        <f t="shared" si="133"/>
        <v/>
      </c>
      <c r="LOS23" s="50" t="str">
        <f t="shared" si="133"/>
        <v/>
      </c>
      <c r="LOT23" s="50" t="str">
        <f t="shared" si="133"/>
        <v/>
      </c>
      <c r="LOU23" s="50" t="str">
        <f t="shared" si="133"/>
        <v/>
      </c>
      <c r="LOV23" s="50" t="str">
        <f t="shared" si="133"/>
        <v/>
      </c>
      <c r="LOW23" s="50" t="str">
        <f t="shared" si="133"/>
        <v/>
      </c>
      <c r="LOX23" s="50" t="str">
        <f t="shared" si="133"/>
        <v/>
      </c>
      <c r="LOY23" s="50" t="str">
        <f t="shared" si="133"/>
        <v/>
      </c>
      <c r="LOZ23" s="50" t="str">
        <f t="shared" si="133"/>
        <v/>
      </c>
      <c r="LPA23" s="50" t="str">
        <f t="shared" si="133"/>
        <v/>
      </c>
      <c r="LPB23" s="50" t="str">
        <f t="shared" si="133"/>
        <v/>
      </c>
      <c r="LPC23" s="50" t="str">
        <f t="shared" si="133"/>
        <v/>
      </c>
      <c r="LPD23" s="50" t="str">
        <f t="shared" si="133"/>
        <v/>
      </c>
      <c r="LPE23" s="50" t="str">
        <f t="shared" si="133"/>
        <v/>
      </c>
      <c r="LPF23" s="50" t="str">
        <f t="shared" si="133"/>
        <v/>
      </c>
      <c r="LPG23" s="50" t="str">
        <f t="shared" si="133"/>
        <v/>
      </c>
      <c r="LPH23" s="50" t="str">
        <f t="shared" si="133"/>
        <v/>
      </c>
      <c r="LPI23" s="50" t="str">
        <f t="shared" si="133"/>
        <v/>
      </c>
      <c r="LPJ23" s="50" t="str">
        <f t="shared" si="133"/>
        <v/>
      </c>
      <c r="LPK23" s="50" t="str">
        <f t="shared" si="133"/>
        <v/>
      </c>
      <c r="LPL23" s="50" t="str">
        <f t="shared" si="133"/>
        <v/>
      </c>
      <c r="LPM23" s="50" t="str">
        <f t="shared" si="133"/>
        <v/>
      </c>
      <c r="LPN23" s="50" t="str">
        <f t="shared" si="133"/>
        <v/>
      </c>
      <c r="LPO23" s="50" t="str">
        <f t="shared" si="133"/>
        <v/>
      </c>
      <c r="LPP23" s="50" t="str">
        <f t="shared" si="133"/>
        <v/>
      </c>
      <c r="LPQ23" s="50" t="str">
        <f t="shared" si="133"/>
        <v/>
      </c>
      <c r="LPR23" s="50" t="str">
        <f t="shared" si="133"/>
        <v/>
      </c>
      <c r="LPS23" s="50" t="str">
        <f t="shared" si="133"/>
        <v/>
      </c>
      <c r="LPT23" s="50" t="str">
        <f t="shared" si="133"/>
        <v/>
      </c>
      <c r="LPU23" s="50" t="str">
        <f t="shared" si="133"/>
        <v/>
      </c>
      <c r="LPV23" s="50" t="str">
        <f t="shared" si="133"/>
        <v/>
      </c>
      <c r="LPW23" s="50" t="str">
        <f t="shared" si="133"/>
        <v/>
      </c>
      <c r="LPX23" s="50" t="str">
        <f t="shared" si="133"/>
        <v/>
      </c>
      <c r="LPY23" s="50" t="str">
        <f t="shared" si="133"/>
        <v/>
      </c>
      <c r="LPZ23" s="50" t="str">
        <f t="shared" si="133"/>
        <v/>
      </c>
      <c r="LQA23" s="50" t="str">
        <f t="shared" si="133"/>
        <v/>
      </c>
      <c r="LQB23" s="50" t="str">
        <f t="shared" si="133"/>
        <v/>
      </c>
      <c r="LQC23" s="50" t="str">
        <f t="shared" si="133"/>
        <v/>
      </c>
      <c r="LQD23" s="50" t="str">
        <f t="shared" si="133"/>
        <v/>
      </c>
      <c r="LQE23" s="50" t="str">
        <f t="shared" si="133"/>
        <v/>
      </c>
      <c r="LQF23" s="50" t="str">
        <f t="shared" si="133"/>
        <v/>
      </c>
      <c r="LQG23" s="50" t="str">
        <f t="shared" ref="LQG23:LSR23" si="134">IFERROR(IF(LQF23+TIME(1,0,0)&lt;=$G$12,LQF23+TIME(1,0,0),""),"")</f>
        <v/>
      </c>
      <c r="LQH23" s="50" t="str">
        <f t="shared" si="134"/>
        <v/>
      </c>
      <c r="LQI23" s="50" t="str">
        <f t="shared" si="134"/>
        <v/>
      </c>
      <c r="LQJ23" s="50" t="str">
        <f t="shared" si="134"/>
        <v/>
      </c>
      <c r="LQK23" s="50" t="str">
        <f t="shared" si="134"/>
        <v/>
      </c>
      <c r="LQL23" s="50" t="str">
        <f t="shared" si="134"/>
        <v/>
      </c>
      <c r="LQM23" s="50" t="str">
        <f t="shared" si="134"/>
        <v/>
      </c>
      <c r="LQN23" s="50" t="str">
        <f t="shared" si="134"/>
        <v/>
      </c>
      <c r="LQO23" s="50" t="str">
        <f t="shared" si="134"/>
        <v/>
      </c>
      <c r="LQP23" s="50" t="str">
        <f t="shared" si="134"/>
        <v/>
      </c>
      <c r="LQQ23" s="50" t="str">
        <f t="shared" si="134"/>
        <v/>
      </c>
      <c r="LQR23" s="50" t="str">
        <f t="shared" si="134"/>
        <v/>
      </c>
      <c r="LQS23" s="50" t="str">
        <f t="shared" si="134"/>
        <v/>
      </c>
      <c r="LQT23" s="50" t="str">
        <f t="shared" si="134"/>
        <v/>
      </c>
      <c r="LQU23" s="50" t="str">
        <f t="shared" si="134"/>
        <v/>
      </c>
      <c r="LQV23" s="50" t="str">
        <f t="shared" si="134"/>
        <v/>
      </c>
      <c r="LQW23" s="50" t="str">
        <f t="shared" si="134"/>
        <v/>
      </c>
      <c r="LQX23" s="50" t="str">
        <f t="shared" si="134"/>
        <v/>
      </c>
      <c r="LQY23" s="50" t="str">
        <f t="shared" si="134"/>
        <v/>
      </c>
      <c r="LQZ23" s="50" t="str">
        <f t="shared" si="134"/>
        <v/>
      </c>
      <c r="LRA23" s="50" t="str">
        <f t="shared" si="134"/>
        <v/>
      </c>
      <c r="LRB23" s="50" t="str">
        <f t="shared" si="134"/>
        <v/>
      </c>
      <c r="LRC23" s="50" t="str">
        <f t="shared" si="134"/>
        <v/>
      </c>
      <c r="LRD23" s="50" t="str">
        <f t="shared" si="134"/>
        <v/>
      </c>
      <c r="LRE23" s="50" t="str">
        <f t="shared" si="134"/>
        <v/>
      </c>
      <c r="LRF23" s="50" t="str">
        <f t="shared" si="134"/>
        <v/>
      </c>
      <c r="LRG23" s="50" t="str">
        <f t="shared" si="134"/>
        <v/>
      </c>
      <c r="LRH23" s="50" t="str">
        <f t="shared" si="134"/>
        <v/>
      </c>
      <c r="LRI23" s="50" t="str">
        <f t="shared" si="134"/>
        <v/>
      </c>
      <c r="LRJ23" s="50" t="str">
        <f t="shared" si="134"/>
        <v/>
      </c>
      <c r="LRK23" s="50" t="str">
        <f t="shared" si="134"/>
        <v/>
      </c>
      <c r="LRL23" s="50" t="str">
        <f t="shared" si="134"/>
        <v/>
      </c>
      <c r="LRM23" s="50" t="str">
        <f t="shared" si="134"/>
        <v/>
      </c>
      <c r="LRN23" s="50" t="str">
        <f t="shared" si="134"/>
        <v/>
      </c>
      <c r="LRO23" s="50" t="str">
        <f t="shared" si="134"/>
        <v/>
      </c>
      <c r="LRP23" s="50" t="str">
        <f t="shared" si="134"/>
        <v/>
      </c>
      <c r="LRQ23" s="50" t="str">
        <f t="shared" si="134"/>
        <v/>
      </c>
      <c r="LRR23" s="50" t="str">
        <f t="shared" si="134"/>
        <v/>
      </c>
      <c r="LRS23" s="50" t="str">
        <f t="shared" si="134"/>
        <v/>
      </c>
      <c r="LRT23" s="50" t="str">
        <f t="shared" si="134"/>
        <v/>
      </c>
      <c r="LRU23" s="50" t="str">
        <f t="shared" si="134"/>
        <v/>
      </c>
      <c r="LRV23" s="50" t="str">
        <f t="shared" si="134"/>
        <v/>
      </c>
      <c r="LRW23" s="50" t="str">
        <f t="shared" si="134"/>
        <v/>
      </c>
      <c r="LRX23" s="50" t="str">
        <f t="shared" si="134"/>
        <v/>
      </c>
      <c r="LRY23" s="50" t="str">
        <f t="shared" si="134"/>
        <v/>
      </c>
      <c r="LRZ23" s="50" t="str">
        <f t="shared" si="134"/>
        <v/>
      </c>
      <c r="LSA23" s="50" t="str">
        <f t="shared" si="134"/>
        <v/>
      </c>
      <c r="LSB23" s="50" t="str">
        <f t="shared" si="134"/>
        <v/>
      </c>
      <c r="LSC23" s="50" t="str">
        <f t="shared" si="134"/>
        <v/>
      </c>
      <c r="LSD23" s="50" t="str">
        <f t="shared" si="134"/>
        <v/>
      </c>
      <c r="LSE23" s="50" t="str">
        <f t="shared" si="134"/>
        <v/>
      </c>
      <c r="LSF23" s="50" t="str">
        <f t="shared" si="134"/>
        <v/>
      </c>
      <c r="LSG23" s="50" t="str">
        <f t="shared" si="134"/>
        <v/>
      </c>
      <c r="LSH23" s="50" t="str">
        <f t="shared" si="134"/>
        <v/>
      </c>
      <c r="LSI23" s="50" t="str">
        <f t="shared" si="134"/>
        <v/>
      </c>
      <c r="LSJ23" s="50" t="str">
        <f t="shared" si="134"/>
        <v/>
      </c>
      <c r="LSK23" s="50" t="str">
        <f t="shared" si="134"/>
        <v/>
      </c>
      <c r="LSL23" s="50" t="str">
        <f t="shared" si="134"/>
        <v/>
      </c>
      <c r="LSM23" s="50" t="str">
        <f t="shared" si="134"/>
        <v/>
      </c>
      <c r="LSN23" s="50" t="str">
        <f t="shared" si="134"/>
        <v/>
      </c>
      <c r="LSO23" s="50" t="str">
        <f t="shared" si="134"/>
        <v/>
      </c>
      <c r="LSP23" s="50" t="str">
        <f t="shared" si="134"/>
        <v/>
      </c>
      <c r="LSQ23" s="50" t="str">
        <f t="shared" si="134"/>
        <v/>
      </c>
      <c r="LSR23" s="50" t="str">
        <f t="shared" si="134"/>
        <v/>
      </c>
      <c r="LSS23" s="50" t="str">
        <f t="shared" ref="LSS23:LVD23" si="135">IFERROR(IF(LSR23+TIME(1,0,0)&lt;=$G$12,LSR23+TIME(1,0,0),""),"")</f>
        <v/>
      </c>
      <c r="LST23" s="50" t="str">
        <f t="shared" si="135"/>
        <v/>
      </c>
      <c r="LSU23" s="50" t="str">
        <f t="shared" si="135"/>
        <v/>
      </c>
      <c r="LSV23" s="50" t="str">
        <f t="shared" si="135"/>
        <v/>
      </c>
      <c r="LSW23" s="50" t="str">
        <f t="shared" si="135"/>
        <v/>
      </c>
      <c r="LSX23" s="50" t="str">
        <f t="shared" si="135"/>
        <v/>
      </c>
      <c r="LSY23" s="50" t="str">
        <f t="shared" si="135"/>
        <v/>
      </c>
      <c r="LSZ23" s="50" t="str">
        <f t="shared" si="135"/>
        <v/>
      </c>
      <c r="LTA23" s="50" t="str">
        <f t="shared" si="135"/>
        <v/>
      </c>
      <c r="LTB23" s="50" t="str">
        <f t="shared" si="135"/>
        <v/>
      </c>
      <c r="LTC23" s="50" t="str">
        <f t="shared" si="135"/>
        <v/>
      </c>
      <c r="LTD23" s="50" t="str">
        <f t="shared" si="135"/>
        <v/>
      </c>
      <c r="LTE23" s="50" t="str">
        <f t="shared" si="135"/>
        <v/>
      </c>
      <c r="LTF23" s="50" t="str">
        <f t="shared" si="135"/>
        <v/>
      </c>
      <c r="LTG23" s="50" t="str">
        <f t="shared" si="135"/>
        <v/>
      </c>
      <c r="LTH23" s="50" t="str">
        <f t="shared" si="135"/>
        <v/>
      </c>
      <c r="LTI23" s="50" t="str">
        <f t="shared" si="135"/>
        <v/>
      </c>
      <c r="LTJ23" s="50" t="str">
        <f t="shared" si="135"/>
        <v/>
      </c>
      <c r="LTK23" s="50" t="str">
        <f t="shared" si="135"/>
        <v/>
      </c>
      <c r="LTL23" s="50" t="str">
        <f t="shared" si="135"/>
        <v/>
      </c>
      <c r="LTM23" s="50" t="str">
        <f t="shared" si="135"/>
        <v/>
      </c>
      <c r="LTN23" s="50" t="str">
        <f t="shared" si="135"/>
        <v/>
      </c>
      <c r="LTO23" s="50" t="str">
        <f t="shared" si="135"/>
        <v/>
      </c>
      <c r="LTP23" s="50" t="str">
        <f t="shared" si="135"/>
        <v/>
      </c>
      <c r="LTQ23" s="50" t="str">
        <f t="shared" si="135"/>
        <v/>
      </c>
      <c r="LTR23" s="50" t="str">
        <f t="shared" si="135"/>
        <v/>
      </c>
      <c r="LTS23" s="50" t="str">
        <f t="shared" si="135"/>
        <v/>
      </c>
      <c r="LTT23" s="50" t="str">
        <f t="shared" si="135"/>
        <v/>
      </c>
      <c r="LTU23" s="50" t="str">
        <f t="shared" si="135"/>
        <v/>
      </c>
      <c r="LTV23" s="50" t="str">
        <f t="shared" si="135"/>
        <v/>
      </c>
      <c r="LTW23" s="50" t="str">
        <f t="shared" si="135"/>
        <v/>
      </c>
      <c r="LTX23" s="50" t="str">
        <f t="shared" si="135"/>
        <v/>
      </c>
      <c r="LTY23" s="50" t="str">
        <f t="shared" si="135"/>
        <v/>
      </c>
      <c r="LTZ23" s="50" t="str">
        <f t="shared" si="135"/>
        <v/>
      </c>
      <c r="LUA23" s="50" t="str">
        <f t="shared" si="135"/>
        <v/>
      </c>
      <c r="LUB23" s="50" t="str">
        <f t="shared" si="135"/>
        <v/>
      </c>
      <c r="LUC23" s="50" t="str">
        <f t="shared" si="135"/>
        <v/>
      </c>
      <c r="LUD23" s="50" t="str">
        <f t="shared" si="135"/>
        <v/>
      </c>
      <c r="LUE23" s="50" t="str">
        <f t="shared" si="135"/>
        <v/>
      </c>
      <c r="LUF23" s="50" t="str">
        <f t="shared" si="135"/>
        <v/>
      </c>
      <c r="LUG23" s="50" t="str">
        <f t="shared" si="135"/>
        <v/>
      </c>
      <c r="LUH23" s="50" t="str">
        <f t="shared" si="135"/>
        <v/>
      </c>
      <c r="LUI23" s="50" t="str">
        <f t="shared" si="135"/>
        <v/>
      </c>
      <c r="LUJ23" s="50" t="str">
        <f t="shared" si="135"/>
        <v/>
      </c>
      <c r="LUK23" s="50" t="str">
        <f t="shared" si="135"/>
        <v/>
      </c>
      <c r="LUL23" s="50" t="str">
        <f t="shared" si="135"/>
        <v/>
      </c>
      <c r="LUM23" s="50" t="str">
        <f t="shared" si="135"/>
        <v/>
      </c>
      <c r="LUN23" s="50" t="str">
        <f t="shared" si="135"/>
        <v/>
      </c>
      <c r="LUO23" s="50" t="str">
        <f t="shared" si="135"/>
        <v/>
      </c>
      <c r="LUP23" s="50" t="str">
        <f t="shared" si="135"/>
        <v/>
      </c>
      <c r="LUQ23" s="50" t="str">
        <f t="shared" si="135"/>
        <v/>
      </c>
      <c r="LUR23" s="50" t="str">
        <f t="shared" si="135"/>
        <v/>
      </c>
      <c r="LUS23" s="50" t="str">
        <f t="shared" si="135"/>
        <v/>
      </c>
      <c r="LUT23" s="50" t="str">
        <f t="shared" si="135"/>
        <v/>
      </c>
      <c r="LUU23" s="50" t="str">
        <f t="shared" si="135"/>
        <v/>
      </c>
      <c r="LUV23" s="50" t="str">
        <f t="shared" si="135"/>
        <v/>
      </c>
      <c r="LUW23" s="50" t="str">
        <f t="shared" si="135"/>
        <v/>
      </c>
      <c r="LUX23" s="50" t="str">
        <f t="shared" si="135"/>
        <v/>
      </c>
      <c r="LUY23" s="50" t="str">
        <f t="shared" si="135"/>
        <v/>
      </c>
      <c r="LUZ23" s="50" t="str">
        <f t="shared" si="135"/>
        <v/>
      </c>
      <c r="LVA23" s="50" t="str">
        <f t="shared" si="135"/>
        <v/>
      </c>
      <c r="LVB23" s="50" t="str">
        <f t="shared" si="135"/>
        <v/>
      </c>
      <c r="LVC23" s="50" t="str">
        <f t="shared" si="135"/>
        <v/>
      </c>
      <c r="LVD23" s="50" t="str">
        <f t="shared" si="135"/>
        <v/>
      </c>
      <c r="LVE23" s="50" t="str">
        <f t="shared" ref="LVE23:LXP23" si="136">IFERROR(IF(LVD23+TIME(1,0,0)&lt;=$G$12,LVD23+TIME(1,0,0),""),"")</f>
        <v/>
      </c>
      <c r="LVF23" s="50" t="str">
        <f t="shared" si="136"/>
        <v/>
      </c>
      <c r="LVG23" s="50" t="str">
        <f t="shared" si="136"/>
        <v/>
      </c>
      <c r="LVH23" s="50" t="str">
        <f t="shared" si="136"/>
        <v/>
      </c>
      <c r="LVI23" s="50" t="str">
        <f t="shared" si="136"/>
        <v/>
      </c>
      <c r="LVJ23" s="50" t="str">
        <f t="shared" si="136"/>
        <v/>
      </c>
      <c r="LVK23" s="50" t="str">
        <f t="shared" si="136"/>
        <v/>
      </c>
      <c r="LVL23" s="50" t="str">
        <f t="shared" si="136"/>
        <v/>
      </c>
      <c r="LVM23" s="50" t="str">
        <f t="shared" si="136"/>
        <v/>
      </c>
      <c r="LVN23" s="50" t="str">
        <f t="shared" si="136"/>
        <v/>
      </c>
      <c r="LVO23" s="50" t="str">
        <f t="shared" si="136"/>
        <v/>
      </c>
      <c r="LVP23" s="50" t="str">
        <f t="shared" si="136"/>
        <v/>
      </c>
      <c r="LVQ23" s="50" t="str">
        <f t="shared" si="136"/>
        <v/>
      </c>
      <c r="LVR23" s="50" t="str">
        <f t="shared" si="136"/>
        <v/>
      </c>
      <c r="LVS23" s="50" t="str">
        <f t="shared" si="136"/>
        <v/>
      </c>
      <c r="LVT23" s="50" t="str">
        <f t="shared" si="136"/>
        <v/>
      </c>
      <c r="LVU23" s="50" t="str">
        <f t="shared" si="136"/>
        <v/>
      </c>
      <c r="LVV23" s="50" t="str">
        <f t="shared" si="136"/>
        <v/>
      </c>
      <c r="LVW23" s="50" t="str">
        <f t="shared" si="136"/>
        <v/>
      </c>
      <c r="LVX23" s="50" t="str">
        <f t="shared" si="136"/>
        <v/>
      </c>
      <c r="LVY23" s="50" t="str">
        <f t="shared" si="136"/>
        <v/>
      </c>
      <c r="LVZ23" s="50" t="str">
        <f t="shared" si="136"/>
        <v/>
      </c>
      <c r="LWA23" s="50" t="str">
        <f t="shared" si="136"/>
        <v/>
      </c>
      <c r="LWB23" s="50" t="str">
        <f t="shared" si="136"/>
        <v/>
      </c>
      <c r="LWC23" s="50" t="str">
        <f t="shared" si="136"/>
        <v/>
      </c>
      <c r="LWD23" s="50" t="str">
        <f t="shared" si="136"/>
        <v/>
      </c>
      <c r="LWE23" s="50" t="str">
        <f t="shared" si="136"/>
        <v/>
      </c>
      <c r="LWF23" s="50" t="str">
        <f t="shared" si="136"/>
        <v/>
      </c>
      <c r="LWG23" s="50" t="str">
        <f t="shared" si="136"/>
        <v/>
      </c>
      <c r="LWH23" s="50" t="str">
        <f t="shared" si="136"/>
        <v/>
      </c>
      <c r="LWI23" s="50" t="str">
        <f t="shared" si="136"/>
        <v/>
      </c>
      <c r="LWJ23" s="50" t="str">
        <f t="shared" si="136"/>
        <v/>
      </c>
      <c r="LWK23" s="50" t="str">
        <f t="shared" si="136"/>
        <v/>
      </c>
      <c r="LWL23" s="50" t="str">
        <f t="shared" si="136"/>
        <v/>
      </c>
      <c r="LWM23" s="50" t="str">
        <f t="shared" si="136"/>
        <v/>
      </c>
      <c r="LWN23" s="50" t="str">
        <f t="shared" si="136"/>
        <v/>
      </c>
      <c r="LWO23" s="50" t="str">
        <f t="shared" si="136"/>
        <v/>
      </c>
      <c r="LWP23" s="50" t="str">
        <f t="shared" si="136"/>
        <v/>
      </c>
      <c r="LWQ23" s="50" t="str">
        <f t="shared" si="136"/>
        <v/>
      </c>
      <c r="LWR23" s="50" t="str">
        <f t="shared" si="136"/>
        <v/>
      </c>
      <c r="LWS23" s="50" t="str">
        <f t="shared" si="136"/>
        <v/>
      </c>
      <c r="LWT23" s="50" t="str">
        <f t="shared" si="136"/>
        <v/>
      </c>
      <c r="LWU23" s="50" t="str">
        <f t="shared" si="136"/>
        <v/>
      </c>
      <c r="LWV23" s="50" t="str">
        <f t="shared" si="136"/>
        <v/>
      </c>
      <c r="LWW23" s="50" t="str">
        <f t="shared" si="136"/>
        <v/>
      </c>
      <c r="LWX23" s="50" t="str">
        <f t="shared" si="136"/>
        <v/>
      </c>
      <c r="LWY23" s="50" t="str">
        <f t="shared" si="136"/>
        <v/>
      </c>
      <c r="LWZ23" s="50" t="str">
        <f t="shared" si="136"/>
        <v/>
      </c>
      <c r="LXA23" s="50" t="str">
        <f t="shared" si="136"/>
        <v/>
      </c>
      <c r="LXB23" s="50" t="str">
        <f t="shared" si="136"/>
        <v/>
      </c>
      <c r="LXC23" s="50" t="str">
        <f t="shared" si="136"/>
        <v/>
      </c>
      <c r="LXD23" s="50" t="str">
        <f t="shared" si="136"/>
        <v/>
      </c>
      <c r="LXE23" s="50" t="str">
        <f t="shared" si="136"/>
        <v/>
      </c>
      <c r="LXF23" s="50" t="str">
        <f t="shared" si="136"/>
        <v/>
      </c>
      <c r="LXG23" s="50" t="str">
        <f t="shared" si="136"/>
        <v/>
      </c>
      <c r="LXH23" s="50" t="str">
        <f t="shared" si="136"/>
        <v/>
      </c>
      <c r="LXI23" s="50" t="str">
        <f t="shared" si="136"/>
        <v/>
      </c>
      <c r="LXJ23" s="50" t="str">
        <f t="shared" si="136"/>
        <v/>
      </c>
      <c r="LXK23" s="50" t="str">
        <f t="shared" si="136"/>
        <v/>
      </c>
      <c r="LXL23" s="50" t="str">
        <f t="shared" si="136"/>
        <v/>
      </c>
      <c r="LXM23" s="50" t="str">
        <f t="shared" si="136"/>
        <v/>
      </c>
      <c r="LXN23" s="50" t="str">
        <f t="shared" si="136"/>
        <v/>
      </c>
      <c r="LXO23" s="50" t="str">
        <f t="shared" si="136"/>
        <v/>
      </c>
      <c r="LXP23" s="50" t="str">
        <f t="shared" si="136"/>
        <v/>
      </c>
      <c r="LXQ23" s="50" t="str">
        <f t="shared" ref="LXQ23:MAB23" si="137">IFERROR(IF(LXP23+TIME(1,0,0)&lt;=$G$12,LXP23+TIME(1,0,0),""),"")</f>
        <v/>
      </c>
      <c r="LXR23" s="50" t="str">
        <f t="shared" si="137"/>
        <v/>
      </c>
      <c r="LXS23" s="50" t="str">
        <f t="shared" si="137"/>
        <v/>
      </c>
      <c r="LXT23" s="50" t="str">
        <f t="shared" si="137"/>
        <v/>
      </c>
      <c r="LXU23" s="50" t="str">
        <f t="shared" si="137"/>
        <v/>
      </c>
      <c r="LXV23" s="50" t="str">
        <f t="shared" si="137"/>
        <v/>
      </c>
      <c r="LXW23" s="50" t="str">
        <f t="shared" si="137"/>
        <v/>
      </c>
      <c r="LXX23" s="50" t="str">
        <f t="shared" si="137"/>
        <v/>
      </c>
      <c r="LXY23" s="50" t="str">
        <f t="shared" si="137"/>
        <v/>
      </c>
      <c r="LXZ23" s="50" t="str">
        <f t="shared" si="137"/>
        <v/>
      </c>
      <c r="LYA23" s="50" t="str">
        <f t="shared" si="137"/>
        <v/>
      </c>
      <c r="LYB23" s="50" t="str">
        <f t="shared" si="137"/>
        <v/>
      </c>
      <c r="LYC23" s="50" t="str">
        <f t="shared" si="137"/>
        <v/>
      </c>
      <c r="LYD23" s="50" t="str">
        <f t="shared" si="137"/>
        <v/>
      </c>
      <c r="LYE23" s="50" t="str">
        <f t="shared" si="137"/>
        <v/>
      </c>
      <c r="LYF23" s="50" t="str">
        <f t="shared" si="137"/>
        <v/>
      </c>
      <c r="LYG23" s="50" t="str">
        <f t="shared" si="137"/>
        <v/>
      </c>
      <c r="LYH23" s="50" t="str">
        <f t="shared" si="137"/>
        <v/>
      </c>
      <c r="LYI23" s="50" t="str">
        <f t="shared" si="137"/>
        <v/>
      </c>
      <c r="LYJ23" s="50" t="str">
        <f t="shared" si="137"/>
        <v/>
      </c>
      <c r="LYK23" s="50" t="str">
        <f t="shared" si="137"/>
        <v/>
      </c>
      <c r="LYL23" s="50" t="str">
        <f t="shared" si="137"/>
        <v/>
      </c>
      <c r="LYM23" s="50" t="str">
        <f t="shared" si="137"/>
        <v/>
      </c>
      <c r="LYN23" s="50" t="str">
        <f t="shared" si="137"/>
        <v/>
      </c>
      <c r="LYO23" s="50" t="str">
        <f t="shared" si="137"/>
        <v/>
      </c>
      <c r="LYP23" s="50" t="str">
        <f t="shared" si="137"/>
        <v/>
      </c>
      <c r="LYQ23" s="50" t="str">
        <f t="shared" si="137"/>
        <v/>
      </c>
      <c r="LYR23" s="50" t="str">
        <f t="shared" si="137"/>
        <v/>
      </c>
      <c r="LYS23" s="50" t="str">
        <f t="shared" si="137"/>
        <v/>
      </c>
      <c r="LYT23" s="50" t="str">
        <f t="shared" si="137"/>
        <v/>
      </c>
      <c r="LYU23" s="50" t="str">
        <f t="shared" si="137"/>
        <v/>
      </c>
      <c r="LYV23" s="50" t="str">
        <f t="shared" si="137"/>
        <v/>
      </c>
      <c r="LYW23" s="50" t="str">
        <f t="shared" si="137"/>
        <v/>
      </c>
      <c r="LYX23" s="50" t="str">
        <f t="shared" si="137"/>
        <v/>
      </c>
      <c r="LYY23" s="50" t="str">
        <f t="shared" si="137"/>
        <v/>
      </c>
      <c r="LYZ23" s="50" t="str">
        <f t="shared" si="137"/>
        <v/>
      </c>
      <c r="LZA23" s="50" t="str">
        <f t="shared" si="137"/>
        <v/>
      </c>
      <c r="LZB23" s="50" t="str">
        <f t="shared" si="137"/>
        <v/>
      </c>
      <c r="LZC23" s="50" t="str">
        <f t="shared" si="137"/>
        <v/>
      </c>
      <c r="LZD23" s="50" t="str">
        <f t="shared" si="137"/>
        <v/>
      </c>
      <c r="LZE23" s="50" t="str">
        <f t="shared" si="137"/>
        <v/>
      </c>
      <c r="LZF23" s="50" t="str">
        <f t="shared" si="137"/>
        <v/>
      </c>
      <c r="LZG23" s="50" t="str">
        <f t="shared" si="137"/>
        <v/>
      </c>
      <c r="LZH23" s="50" t="str">
        <f t="shared" si="137"/>
        <v/>
      </c>
      <c r="LZI23" s="50" t="str">
        <f t="shared" si="137"/>
        <v/>
      </c>
      <c r="LZJ23" s="50" t="str">
        <f t="shared" si="137"/>
        <v/>
      </c>
      <c r="LZK23" s="50" t="str">
        <f t="shared" si="137"/>
        <v/>
      </c>
      <c r="LZL23" s="50" t="str">
        <f t="shared" si="137"/>
        <v/>
      </c>
      <c r="LZM23" s="50" t="str">
        <f t="shared" si="137"/>
        <v/>
      </c>
      <c r="LZN23" s="50" t="str">
        <f t="shared" si="137"/>
        <v/>
      </c>
      <c r="LZO23" s="50" t="str">
        <f t="shared" si="137"/>
        <v/>
      </c>
      <c r="LZP23" s="50" t="str">
        <f t="shared" si="137"/>
        <v/>
      </c>
      <c r="LZQ23" s="50" t="str">
        <f t="shared" si="137"/>
        <v/>
      </c>
      <c r="LZR23" s="50" t="str">
        <f t="shared" si="137"/>
        <v/>
      </c>
      <c r="LZS23" s="50" t="str">
        <f t="shared" si="137"/>
        <v/>
      </c>
      <c r="LZT23" s="50" t="str">
        <f t="shared" si="137"/>
        <v/>
      </c>
      <c r="LZU23" s="50" t="str">
        <f t="shared" si="137"/>
        <v/>
      </c>
      <c r="LZV23" s="50" t="str">
        <f t="shared" si="137"/>
        <v/>
      </c>
      <c r="LZW23" s="50" t="str">
        <f t="shared" si="137"/>
        <v/>
      </c>
      <c r="LZX23" s="50" t="str">
        <f t="shared" si="137"/>
        <v/>
      </c>
      <c r="LZY23" s="50" t="str">
        <f t="shared" si="137"/>
        <v/>
      </c>
      <c r="LZZ23" s="50" t="str">
        <f t="shared" si="137"/>
        <v/>
      </c>
      <c r="MAA23" s="50" t="str">
        <f t="shared" si="137"/>
        <v/>
      </c>
      <c r="MAB23" s="50" t="str">
        <f t="shared" si="137"/>
        <v/>
      </c>
      <c r="MAC23" s="50" t="str">
        <f t="shared" ref="MAC23:MCN23" si="138">IFERROR(IF(MAB23+TIME(1,0,0)&lt;=$G$12,MAB23+TIME(1,0,0),""),"")</f>
        <v/>
      </c>
      <c r="MAD23" s="50" t="str">
        <f t="shared" si="138"/>
        <v/>
      </c>
      <c r="MAE23" s="50" t="str">
        <f t="shared" si="138"/>
        <v/>
      </c>
      <c r="MAF23" s="50" t="str">
        <f t="shared" si="138"/>
        <v/>
      </c>
      <c r="MAG23" s="50" t="str">
        <f t="shared" si="138"/>
        <v/>
      </c>
      <c r="MAH23" s="50" t="str">
        <f t="shared" si="138"/>
        <v/>
      </c>
      <c r="MAI23" s="50" t="str">
        <f t="shared" si="138"/>
        <v/>
      </c>
      <c r="MAJ23" s="50" t="str">
        <f t="shared" si="138"/>
        <v/>
      </c>
      <c r="MAK23" s="50" t="str">
        <f t="shared" si="138"/>
        <v/>
      </c>
      <c r="MAL23" s="50" t="str">
        <f t="shared" si="138"/>
        <v/>
      </c>
      <c r="MAM23" s="50" t="str">
        <f t="shared" si="138"/>
        <v/>
      </c>
      <c r="MAN23" s="50" t="str">
        <f t="shared" si="138"/>
        <v/>
      </c>
      <c r="MAO23" s="50" t="str">
        <f t="shared" si="138"/>
        <v/>
      </c>
      <c r="MAP23" s="50" t="str">
        <f t="shared" si="138"/>
        <v/>
      </c>
      <c r="MAQ23" s="50" t="str">
        <f t="shared" si="138"/>
        <v/>
      </c>
      <c r="MAR23" s="50" t="str">
        <f t="shared" si="138"/>
        <v/>
      </c>
      <c r="MAS23" s="50" t="str">
        <f t="shared" si="138"/>
        <v/>
      </c>
      <c r="MAT23" s="50" t="str">
        <f t="shared" si="138"/>
        <v/>
      </c>
      <c r="MAU23" s="50" t="str">
        <f t="shared" si="138"/>
        <v/>
      </c>
      <c r="MAV23" s="50" t="str">
        <f t="shared" si="138"/>
        <v/>
      </c>
      <c r="MAW23" s="50" t="str">
        <f t="shared" si="138"/>
        <v/>
      </c>
      <c r="MAX23" s="50" t="str">
        <f t="shared" si="138"/>
        <v/>
      </c>
      <c r="MAY23" s="50" t="str">
        <f t="shared" si="138"/>
        <v/>
      </c>
      <c r="MAZ23" s="50" t="str">
        <f t="shared" si="138"/>
        <v/>
      </c>
      <c r="MBA23" s="50" t="str">
        <f t="shared" si="138"/>
        <v/>
      </c>
      <c r="MBB23" s="50" t="str">
        <f t="shared" si="138"/>
        <v/>
      </c>
      <c r="MBC23" s="50" t="str">
        <f t="shared" si="138"/>
        <v/>
      </c>
      <c r="MBD23" s="50" t="str">
        <f t="shared" si="138"/>
        <v/>
      </c>
      <c r="MBE23" s="50" t="str">
        <f t="shared" si="138"/>
        <v/>
      </c>
      <c r="MBF23" s="50" t="str">
        <f t="shared" si="138"/>
        <v/>
      </c>
      <c r="MBG23" s="50" t="str">
        <f t="shared" si="138"/>
        <v/>
      </c>
      <c r="MBH23" s="50" t="str">
        <f t="shared" si="138"/>
        <v/>
      </c>
      <c r="MBI23" s="50" t="str">
        <f t="shared" si="138"/>
        <v/>
      </c>
      <c r="MBJ23" s="50" t="str">
        <f t="shared" si="138"/>
        <v/>
      </c>
      <c r="MBK23" s="50" t="str">
        <f t="shared" si="138"/>
        <v/>
      </c>
      <c r="MBL23" s="50" t="str">
        <f t="shared" si="138"/>
        <v/>
      </c>
      <c r="MBM23" s="50" t="str">
        <f t="shared" si="138"/>
        <v/>
      </c>
      <c r="MBN23" s="50" t="str">
        <f t="shared" si="138"/>
        <v/>
      </c>
      <c r="MBO23" s="50" t="str">
        <f t="shared" si="138"/>
        <v/>
      </c>
      <c r="MBP23" s="50" t="str">
        <f t="shared" si="138"/>
        <v/>
      </c>
      <c r="MBQ23" s="50" t="str">
        <f t="shared" si="138"/>
        <v/>
      </c>
      <c r="MBR23" s="50" t="str">
        <f t="shared" si="138"/>
        <v/>
      </c>
      <c r="MBS23" s="50" t="str">
        <f t="shared" si="138"/>
        <v/>
      </c>
      <c r="MBT23" s="50" t="str">
        <f t="shared" si="138"/>
        <v/>
      </c>
      <c r="MBU23" s="50" t="str">
        <f t="shared" si="138"/>
        <v/>
      </c>
      <c r="MBV23" s="50" t="str">
        <f t="shared" si="138"/>
        <v/>
      </c>
      <c r="MBW23" s="50" t="str">
        <f t="shared" si="138"/>
        <v/>
      </c>
      <c r="MBX23" s="50" t="str">
        <f t="shared" si="138"/>
        <v/>
      </c>
      <c r="MBY23" s="50" t="str">
        <f t="shared" si="138"/>
        <v/>
      </c>
      <c r="MBZ23" s="50" t="str">
        <f t="shared" si="138"/>
        <v/>
      </c>
      <c r="MCA23" s="50" t="str">
        <f t="shared" si="138"/>
        <v/>
      </c>
      <c r="MCB23" s="50" t="str">
        <f t="shared" si="138"/>
        <v/>
      </c>
      <c r="MCC23" s="50" t="str">
        <f t="shared" si="138"/>
        <v/>
      </c>
      <c r="MCD23" s="50" t="str">
        <f t="shared" si="138"/>
        <v/>
      </c>
      <c r="MCE23" s="50" t="str">
        <f t="shared" si="138"/>
        <v/>
      </c>
      <c r="MCF23" s="50" t="str">
        <f t="shared" si="138"/>
        <v/>
      </c>
      <c r="MCG23" s="50" t="str">
        <f t="shared" si="138"/>
        <v/>
      </c>
      <c r="MCH23" s="50" t="str">
        <f t="shared" si="138"/>
        <v/>
      </c>
      <c r="MCI23" s="50" t="str">
        <f t="shared" si="138"/>
        <v/>
      </c>
      <c r="MCJ23" s="50" t="str">
        <f t="shared" si="138"/>
        <v/>
      </c>
      <c r="MCK23" s="50" t="str">
        <f t="shared" si="138"/>
        <v/>
      </c>
      <c r="MCL23" s="50" t="str">
        <f t="shared" si="138"/>
        <v/>
      </c>
      <c r="MCM23" s="50" t="str">
        <f t="shared" si="138"/>
        <v/>
      </c>
      <c r="MCN23" s="50" t="str">
        <f t="shared" si="138"/>
        <v/>
      </c>
      <c r="MCO23" s="50" t="str">
        <f t="shared" ref="MCO23:MEZ23" si="139">IFERROR(IF(MCN23+TIME(1,0,0)&lt;=$G$12,MCN23+TIME(1,0,0),""),"")</f>
        <v/>
      </c>
      <c r="MCP23" s="50" t="str">
        <f t="shared" si="139"/>
        <v/>
      </c>
      <c r="MCQ23" s="50" t="str">
        <f t="shared" si="139"/>
        <v/>
      </c>
      <c r="MCR23" s="50" t="str">
        <f t="shared" si="139"/>
        <v/>
      </c>
      <c r="MCS23" s="50" t="str">
        <f t="shared" si="139"/>
        <v/>
      </c>
      <c r="MCT23" s="50" t="str">
        <f t="shared" si="139"/>
        <v/>
      </c>
      <c r="MCU23" s="50" t="str">
        <f t="shared" si="139"/>
        <v/>
      </c>
      <c r="MCV23" s="50" t="str">
        <f t="shared" si="139"/>
        <v/>
      </c>
      <c r="MCW23" s="50" t="str">
        <f t="shared" si="139"/>
        <v/>
      </c>
      <c r="MCX23" s="50" t="str">
        <f t="shared" si="139"/>
        <v/>
      </c>
      <c r="MCY23" s="50" t="str">
        <f t="shared" si="139"/>
        <v/>
      </c>
      <c r="MCZ23" s="50" t="str">
        <f t="shared" si="139"/>
        <v/>
      </c>
      <c r="MDA23" s="50" t="str">
        <f t="shared" si="139"/>
        <v/>
      </c>
      <c r="MDB23" s="50" t="str">
        <f t="shared" si="139"/>
        <v/>
      </c>
      <c r="MDC23" s="50" t="str">
        <f t="shared" si="139"/>
        <v/>
      </c>
      <c r="MDD23" s="50" t="str">
        <f t="shared" si="139"/>
        <v/>
      </c>
      <c r="MDE23" s="50" t="str">
        <f t="shared" si="139"/>
        <v/>
      </c>
      <c r="MDF23" s="50" t="str">
        <f t="shared" si="139"/>
        <v/>
      </c>
      <c r="MDG23" s="50" t="str">
        <f t="shared" si="139"/>
        <v/>
      </c>
      <c r="MDH23" s="50" t="str">
        <f t="shared" si="139"/>
        <v/>
      </c>
      <c r="MDI23" s="50" t="str">
        <f t="shared" si="139"/>
        <v/>
      </c>
      <c r="MDJ23" s="50" t="str">
        <f t="shared" si="139"/>
        <v/>
      </c>
      <c r="MDK23" s="50" t="str">
        <f t="shared" si="139"/>
        <v/>
      </c>
      <c r="MDL23" s="50" t="str">
        <f t="shared" si="139"/>
        <v/>
      </c>
      <c r="MDM23" s="50" t="str">
        <f t="shared" si="139"/>
        <v/>
      </c>
      <c r="MDN23" s="50" t="str">
        <f t="shared" si="139"/>
        <v/>
      </c>
      <c r="MDO23" s="50" t="str">
        <f t="shared" si="139"/>
        <v/>
      </c>
      <c r="MDP23" s="50" t="str">
        <f t="shared" si="139"/>
        <v/>
      </c>
      <c r="MDQ23" s="50" t="str">
        <f t="shared" si="139"/>
        <v/>
      </c>
      <c r="MDR23" s="50" t="str">
        <f t="shared" si="139"/>
        <v/>
      </c>
      <c r="MDS23" s="50" t="str">
        <f t="shared" si="139"/>
        <v/>
      </c>
      <c r="MDT23" s="50" t="str">
        <f t="shared" si="139"/>
        <v/>
      </c>
      <c r="MDU23" s="50" t="str">
        <f t="shared" si="139"/>
        <v/>
      </c>
      <c r="MDV23" s="50" t="str">
        <f t="shared" si="139"/>
        <v/>
      </c>
      <c r="MDW23" s="50" t="str">
        <f t="shared" si="139"/>
        <v/>
      </c>
      <c r="MDX23" s="50" t="str">
        <f t="shared" si="139"/>
        <v/>
      </c>
      <c r="MDY23" s="50" t="str">
        <f t="shared" si="139"/>
        <v/>
      </c>
      <c r="MDZ23" s="50" t="str">
        <f t="shared" si="139"/>
        <v/>
      </c>
      <c r="MEA23" s="50" t="str">
        <f t="shared" si="139"/>
        <v/>
      </c>
      <c r="MEB23" s="50" t="str">
        <f t="shared" si="139"/>
        <v/>
      </c>
      <c r="MEC23" s="50" t="str">
        <f t="shared" si="139"/>
        <v/>
      </c>
      <c r="MED23" s="50" t="str">
        <f t="shared" si="139"/>
        <v/>
      </c>
      <c r="MEE23" s="50" t="str">
        <f t="shared" si="139"/>
        <v/>
      </c>
      <c r="MEF23" s="50" t="str">
        <f t="shared" si="139"/>
        <v/>
      </c>
      <c r="MEG23" s="50" t="str">
        <f t="shared" si="139"/>
        <v/>
      </c>
      <c r="MEH23" s="50" t="str">
        <f t="shared" si="139"/>
        <v/>
      </c>
      <c r="MEI23" s="50" t="str">
        <f t="shared" si="139"/>
        <v/>
      </c>
      <c r="MEJ23" s="50" t="str">
        <f t="shared" si="139"/>
        <v/>
      </c>
      <c r="MEK23" s="50" t="str">
        <f t="shared" si="139"/>
        <v/>
      </c>
      <c r="MEL23" s="50" t="str">
        <f t="shared" si="139"/>
        <v/>
      </c>
      <c r="MEM23" s="50" t="str">
        <f t="shared" si="139"/>
        <v/>
      </c>
      <c r="MEN23" s="50" t="str">
        <f t="shared" si="139"/>
        <v/>
      </c>
      <c r="MEO23" s="50" t="str">
        <f t="shared" si="139"/>
        <v/>
      </c>
      <c r="MEP23" s="50" t="str">
        <f t="shared" si="139"/>
        <v/>
      </c>
      <c r="MEQ23" s="50" t="str">
        <f t="shared" si="139"/>
        <v/>
      </c>
      <c r="MER23" s="50" t="str">
        <f t="shared" si="139"/>
        <v/>
      </c>
      <c r="MES23" s="50" t="str">
        <f t="shared" si="139"/>
        <v/>
      </c>
      <c r="MET23" s="50" t="str">
        <f t="shared" si="139"/>
        <v/>
      </c>
      <c r="MEU23" s="50" t="str">
        <f t="shared" si="139"/>
        <v/>
      </c>
      <c r="MEV23" s="50" t="str">
        <f t="shared" si="139"/>
        <v/>
      </c>
      <c r="MEW23" s="50" t="str">
        <f t="shared" si="139"/>
        <v/>
      </c>
      <c r="MEX23" s="50" t="str">
        <f t="shared" si="139"/>
        <v/>
      </c>
      <c r="MEY23" s="50" t="str">
        <f t="shared" si="139"/>
        <v/>
      </c>
      <c r="MEZ23" s="50" t="str">
        <f t="shared" si="139"/>
        <v/>
      </c>
      <c r="MFA23" s="50" t="str">
        <f t="shared" ref="MFA23:MHL23" si="140">IFERROR(IF(MEZ23+TIME(1,0,0)&lt;=$G$12,MEZ23+TIME(1,0,0),""),"")</f>
        <v/>
      </c>
      <c r="MFB23" s="50" t="str">
        <f t="shared" si="140"/>
        <v/>
      </c>
      <c r="MFC23" s="50" t="str">
        <f t="shared" si="140"/>
        <v/>
      </c>
      <c r="MFD23" s="50" t="str">
        <f t="shared" si="140"/>
        <v/>
      </c>
      <c r="MFE23" s="50" t="str">
        <f t="shared" si="140"/>
        <v/>
      </c>
      <c r="MFF23" s="50" t="str">
        <f t="shared" si="140"/>
        <v/>
      </c>
      <c r="MFG23" s="50" t="str">
        <f t="shared" si="140"/>
        <v/>
      </c>
      <c r="MFH23" s="50" t="str">
        <f t="shared" si="140"/>
        <v/>
      </c>
      <c r="MFI23" s="50" t="str">
        <f t="shared" si="140"/>
        <v/>
      </c>
      <c r="MFJ23" s="50" t="str">
        <f t="shared" si="140"/>
        <v/>
      </c>
      <c r="MFK23" s="50" t="str">
        <f t="shared" si="140"/>
        <v/>
      </c>
      <c r="MFL23" s="50" t="str">
        <f t="shared" si="140"/>
        <v/>
      </c>
      <c r="MFM23" s="50" t="str">
        <f t="shared" si="140"/>
        <v/>
      </c>
      <c r="MFN23" s="50" t="str">
        <f t="shared" si="140"/>
        <v/>
      </c>
      <c r="MFO23" s="50" t="str">
        <f t="shared" si="140"/>
        <v/>
      </c>
      <c r="MFP23" s="50" t="str">
        <f t="shared" si="140"/>
        <v/>
      </c>
      <c r="MFQ23" s="50" t="str">
        <f t="shared" si="140"/>
        <v/>
      </c>
      <c r="MFR23" s="50" t="str">
        <f t="shared" si="140"/>
        <v/>
      </c>
      <c r="MFS23" s="50" t="str">
        <f t="shared" si="140"/>
        <v/>
      </c>
      <c r="MFT23" s="50" t="str">
        <f t="shared" si="140"/>
        <v/>
      </c>
      <c r="MFU23" s="50" t="str">
        <f t="shared" si="140"/>
        <v/>
      </c>
      <c r="MFV23" s="50" t="str">
        <f t="shared" si="140"/>
        <v/>
      </c>
      <c r="MFW23" s="50" t="str">
        <f t="shared" si="140"/>
        <v/>
      </c>
      <c r="MFX23" s="50" t="str">
        <f t="shared" si="140"/>
        <v/>
      </c>
      <c r="MFY23" s="50" t="str">
        <f t="shared" si="140"/>
        <v/>
      </c>
      <c r="MFZ23" s="50" t="str">
        <f t="shared" si="140"/>
        <v/>
      </c>
      <c r="MGA23" s="50" t="str">
        <f t="shared" si="140"/>
        <v/>
      </c>
      <c r="MGB23" s="50" t="str">
        <f t="shared" si="140"/>
        <v/>
      </c>
      <c r="MGC23" s="50" t="str">
        <f t="shared" si="140"/>
        <v/>
      </c>
      <c r="MGD23" s="50" t="str">
        <f t="shared" si="140"/>
        <v/>
      </c>
      <c r="MGE23" s="50" t="str">
        <f t="shared" si="140"/>
        <v/>
      </c>
      <c r="MGF23" s="50" t="str">
        <f t="shared" si="140"/>
        <v/>
      </c>
      <c r="MGG23" s="50" t="str">
        <f t="shared" si="140"/>
        <v/>
      </c>
      <c r="MGH23" s="50" t="str">
        <f t="shared" si="140"/>
        <v/>
      </c>
      <c r="MGI23" s="50" t="str">
        <f t="shared" si="140"/>
        <v/>
      </c>
      <c r="MGJ23" s="50" t="str">
        <f t="shared" si="140"/>
        <v/>
      </c>
      <c r="MGK23" s="50" t="str">
        <f t="shared" si="140"/>
        <v/>
      </c>
      <c r="MGL23" s="50" t="str">
        <f t="shared" si="140"/>
        <v/>
      </c>
      <c r="MGM23" s="50" t="str">
        <f t="shared" si="140"/>
        <v/>
      </c>
      <c r="MGN23" s="50" t="str">
        <f t="shared" si="140"/>
        <v/>
      </c>
      <c r="MGO23" s="50" t="str">
        <f t="shared" si="140"/>
        <v/>
      </c>
      <c r="MGP23" s="50" t="str">
        <f t="shared" si="140"/>
        <v/>
      </c>
      <c r="MGQ23" s="50" t="str">
        <f t="shared" si="140"/>
        <v/>
      </c>
      <c r="MGR23" s="50" t="str">
        <f t="shared" si="140"/>
        <v/>
      </c>
      <c r="MGS23" s="50" t="str">
        <f t="shared" si="140"/>
        <v/>
      </c>
      <c r="MGT23" s="50" t="str">
        <f t="shared" si="140"/>
        <v/>
      </c>
      <c r="MGU23" s="50" t="str">
        <f t="shared" si="140"/>
        <v/>
      </c>
      <c r="MGV23" s="50" t="str">
        <f t="shared" si="140"/>
        <v/>
      </c>
      <c r="MGW23" s="50" t="str">
        <f t="shared" si="140"/>
        <v/>
      </c>
      <c r="MGX23" s="50" t="str">
        <f t="shared" si="140"/>
        <v/>
      </c>
      <c r="MGY23" s="50" t="str">
        <f t="shared" si="140"/>
        <v/>
      </c>
      <c r="MGZ23" s="50" t="str">
        <f t="shared" si="140"/>
        <v/>
      </c>
      <c r="MHA23" s="50" t="str">
        <f t="shared" si="140"/>
        <v/>
      </c>
      <c r="MHB23" s="50" t="str">
        <f t="shared" si="140"/>
        <v/>
      </c>
      <c r="MHC23" s="50" t="str">
        <f t="shared" si="140"/>
        <v/>
      </c>
      <c r="MHD23" s="50" t="str">
        <f t="shared" si="140"/>
        <v/>
      </c>
      <c r="MHE23" s="50" t="str">
        <f t="shared" si="140"/>
        <v/>
      </c>
      <c r="MHF23" s="50" t="str">
        <f t="shared" si="140"/>
        <v/>
      </c>
      <c r="MHG23" s="50" t="str">
        <f t="shared" si="140"/>
        <v/>
      </c>
      <c r="MHH23" s="50" t="str">
        <f t="shared" si="140"/>
        <v/>
      </c>
      <c r="MHI23" s="50" t="str">
        <f t="shared" si="140"/>
        <v/>
      </c>
      <c r="MHJ23" s="50" t="str">
        <f t="shared" si="140"/>
        <v/>
      </c>
      <c r="MHK23" s="50" t="str">
        <f t="shared" si="140"/>
        <v/>
      </c>
      <c r="MHL23" s="50" t="str">
        <f t="shared" si="140"/>
        <v/>
      </c>
      <c r="MHM23" s="50" t="str">
        <f t="shared" ref="MHM23:MJX23" si="141">IFERROR(IF(MHL23+TIME(1,0,0)&lt;=$G$12,MHL23+TIME(1,0,0),""),"")</f>
        <v/>
      </c>
      <c r="MHN23" s="50" t="str">
        <f t="shared" si="141"/>
        <v/>
      </c>
      <c r="MHO23" s="50" t="str">
        <f t="shared" si="141"/>
        <v/>
      </c>
      <c r="MHP23" s="50" t="str">
        <f t="shared" si="141"/>
        <v/>
      </c>
      <c r="MHQ23" s="50" t="str">
        <f t="shared" si="141"/>
        <v/>
      </c>
      <c r="MHR23" s="50" t="str">
        <f t="shared" si="141"/>
        <v/>
      </c>
      <c r="MHS23" s="50" t="str">
        <f t="shared" si="141"/>
        <v/>
      </c>
      <c r="MHT23" s="50" t="str">
        <f t="shared" si="141"/>
        <v/>
      </c>
      <c r="MHU23" s="50" t="str">
        <f t="shared" si="141"/>
        <v/>
      </c>
      <c r="MHV23" s="50" t="str">
        <f t="shared" si="141"/>
        <v/>
      </c>
      <c r="MHW23" s="50" t="str">
        <f t="shared" si="141"/>
        <v/>
      </c>
      <c r="MHX23" s="50" t="str">
        <f t="shared" si="141"/>
        <v/>
      </c>
      <c r="MHY23" s="50" t="str">
        <f t="shared" si="141"/>
        <v/>
      </c>
      <c r="MHZ23" s="50" t="str">
        <f t="shared" si="141"/>
        <v/>
      </c>
      <c r="MIA23" s="50" t="str">
        <f t="shared" si="141"/>
        <v/>
      </c>
      <c r="MIB23" s="50" t="str">
        <f t="shared" si="141"/>
        <v/>
      </c>
      <c r="MIC23" s="50" t="str">
        <f t="shared" si="141"/>
        <v/>
      </c>
      <c r="MID23" s="50" t="str">
        <f t="shared" si="141"/>
        <v/>
      </c>
      <c r="MIE23" s="50" t="str">
        <f t="shared" si="141"/>
        <v/>
      </c>
      <c r="MIF23" s="50" t="str">
        <f t="shared" si="141"/>
        <v/>
      </c>
      <c r="MIG23" s="50" t="str">
        <f t="shared" si="141"/>
        <v/>
      </c>
      <c r="MIH23" s="50" t="str">
        <f t="shared" si="141"/>
        <v/>
      </c>
      <c r="MII23" s="50" t="str">
        <f t="shared" si="141"/>
        <v/>
      </c>
      <c r="MIJ23" s="50" t="str">
        <f t="shared" si="141"/>
        <v/>
      </c>
      <c r="MIK23" s="50" t="str">
        <f t="shared" si="141"/>
        <v/>
      </c>
      <c r="MIL23" s="50" t="str">
        <f t="shared" si="141"/>
        <v/>
      </c>
      <c r="MIM23" s="50" t="str">
        <f t="shared" si="141"/>
        <v/>
      </c>
      <c r="MIN23" s="50" t="str">
        <f t="shared" si="141"/>
        <v/>
      </c>
      <c r="MIO23" s="50" t="str">
        <f t="shared" si="141"/>
        <v/>
      </c>
      <c r="MIP23" s="50" t="str">
        <f t="shared" si="141"/>
        <v/>
      </c>
      <c r="MIQ23" s="50" t="str">
        <f t="shared" si="141"/>
        <v/>
      </c>
      <c r="MIR23" s="50" t="str">
        <f t="shared" si="141"/>
        <v/>
      </c>
      <c r="MIS23" s="50" t="str">
        <f t="shared" si="141"/>
        <v/>
      </c>
      <c r="MIT23" s="50" t="str">
        <f t="shared" si="141"/>
        <v/>
      </c>
      <c r="MIU23" s="50" t="str">
        <f t="shared" si="141"/>
        <v/>
      </c>
      <c r="MIV23" s="50" t="str">
        <f t="shared" si="141"/>
        <v/>
      </c>
      <c r="MIW23" s="50" t="str">
        <f t="shared" si="141"/>
        <v/>
      </c>
      <c r="MIX23" s="50" t="str">
        <f t="shared" si="141"/>
        <v/>
      </c>
      <c r="MIY23" s="50" t="str">
        <f t="shared" si="141"/>
        <v/>
      </c>
      <c r="MIZ23" s="50" t="str">
        <f t="shared" si="141"/>
        <v/>
      </c>
      <c r="MJA23" s="50" t="str">
        <f t="shared" si="141"/>
        <v/>
      </c>
      <c r="MJB23" s="50" t="str">
        <f t="shared" si="141"/>
        <v/>
      </c>
      <c r="MJC23" s="50" t="str">
        <f t="shared" si="141"/>
        <v/>
      </c>
      <c r="MJD23" s="50" t="str">
        <f t="shared" si="141"/>
        <v/>
      </c>
      <c r="MJE23" s="50" t="str">
        <f t="shared" si="141"/>
        <v/>
      </c>
      <c r="MJF23" s="50" t="str">
        <f t="shared" si="141"/>
        <v/>
      </c>
      <c r="MJG23" s="50" t="str">
        <f t="shared" si="141"/>
        <v/>
      </c>
      <c r="MJH23" s="50" t="str">
        <f t="shared" si="141"/>
        <v/>
      </c>
      <c r="MJI23" s="50" t="str">
        <f t="shared" si="141"/>
        <v/>
      </c>
      <c r="MJJ23" s="50" t="str">
        <f t="shared" si="141"/>
        <v/>
      </c>
      <c r="MJK23" s="50" t="str">
        <f t="shared" si="141"/>
        <v/>
      </c>
      <c r="MJL23" s="50" t="str">
        <f t="shared" si="141"/>
        <v/>
      </c>
      <c r="MJM23" s="50" t="str">
        <f t="shared" si="141"/>
        <v/>
      </c>
      <c r="MJN23" s="50" t="str">
        <f t="shared" si="141"/>
        <v/>
      </c>
      <c r="MJO23" s="50" t="str">
        <f t="shared" si="141"/>
        <v/>
      </c>
      <c r="MJP23" s="50" t="str">
        <f t="shared" si="141"/>
        <v/>
      </c>
      <c r="MJQ23" s="50" t="str">
        <f t="shared" si="141"/>
        <v/>
      </c>
      <c r="MJR23" s="50" t="str">
        <f t="shared" si="141"/>
        <v/>
      </c>
      <c r="MJS23" s="50" t="str">
        <f t="shared" si="141"/>
        <v/>
      </c>
      <c r="MJT23" s="50" t="str">
        <f t="shared" si="141"/>
        <v/>
      </c>
      <c r="MJU23" s="50" t="str">
        <f t="shared" si="141"/>
        <v/>
      </c>
      <c r="MJV23" s="50" t="str">
        <f t="shared" si="141"/>
        <v/>
      </c>
      <c r="MJW23" s="50" t="str">
        <f t="shared" si="141"/>
        <v/>
      </c>
      <c r="MJX23" s="50" t="str">
        <f t="shared" si="141"/>
        <v/>
      </c>
      <c r="MJY23" s="50" t="str">
        <f t="shared" ref="MJY23:MMJ23" si="142">IFERROR(IF(MJX23+TIME(1,0,0)&lt;=$G$12,MJX23+TIME(1,0,0),""),"")</f>
        <v/>
      </c>
      <c r="MJZ23" s="50" t="str">
        <f t="shared" si="142"/>
        <v/>
      </c>
      <c r="MKA23" s="50" t="str">
        <f t="shared" si="142"/>
        <v/>
      </c>
      <c r="MKB23" s="50" t="str">
        <f t="shared" si="142"/>
        <v/>
      </c>
      <c r="MKC23" s="50" t="str">
        <f t="shared" si="142"/>
        <v/>
      </c>
      <c r="MKD23" s="50" t="str">
        <f t="shared" si="142"/>
        <v/>
      </c>
      <c r="MKE23" s="50" t="str">
        <f t="shared" si="142"/>
        <v/>
      </c>
      <c r="MKF23" s="50" t="str">
        <f t="shared" si="142"/>
        <v/>
      </c>
      <c r="MKG23" s="50" t="str">
        <f t="shared" si="142"/>
        <v/>
      </c>
      <c r="MKH23" s="50" t="str">
        <f t="shared" si="142"/>
        <v/>
      </c>
      <c r="MKI23" s="50" t="str">
        <f t="shared" si="142"/>
        <v/>
      </c>
      <c r="MKJ23" s="50" t="str">
        <f t="shared" si="142"/>
        <v/>
      </c>
      <c r="MKK23" s="50" t="str">
        <f t="shared" si="142"/>
        <v/>
      </c>
      <c r="MKL23" s="50" t="str">
        <f t="shared" si="142"/>
        <v/>
      </c>
      <c r="MKM23" s="50" t="str">
        <f t="shared" si="142"/>
        <v/>
      </c>
      <c r="MKN23" s="50" t="str">
        <f t="shared" si="142"/>
        <v/>
      </c>
      <c r="MKO23" s="50" t="str">
        <f t="shared" si="142"/>
        <v/>
      </c>
      <c r="MKP23" s="50" t="str">
        <f t="shared" si="142"/>
        <v/>
      </c>
      <c r="MKQ23" s="50" t="str">
        <f t="shared" si="142"/>
        <v/>
      </c>
      <c r="MKR23" s="50" t="str">
        <f t="shared" si="142"/>
        <v/>
      </c>
      <c r="MKS23" s="50" t="str">
        <f t="shared" si="142"/>
        <v/>
      </c>
      <c r="MKT23" s="50" t="str">
        <f t="shared" si="142"/>
        <v/>
      </c>
      <c r="MKU23" s="50" t="str">
        <f t="shared" si="142"/>
        <v/>
      </c>
      <c r="MKV23" s="50" t="str">
        <f t="shared" si="142"/>
        <v/>
      </c>
      <c r="MKW23" s="50" t="str">
        <f t="shared" si="142"/>
        <v/>
      </c>
      <c r="MKX23" s="50" t="str">
        <f t="shared" si="142"/>
        <v/>
      </c>
      <c r="MKY23" s="50" t="str">
        <f t="shared" si="142"/>
        <v/>
      </c>
      <c r="MKZ23" s="50" t="str">
        <f t="shared" si="142"/>
        <v/>
      </c>
      <c r="MLA23" s="50" t="str">
        <f t="shared" si="142"/>
        <v/>
      </c>
      <c r="MLB23" s="50" t="str">
        <f t="shared" si="142"/>
        <v/>
      </c>
      <c r="MLC23" s="50" t="str">
        <f t="shared" si="142"/>
        <v/>
      </c>
      <c r="MLD23" s="50" t="str">
        <f t="shared" si="142"/>
        <v/>
      </c>
      <c r="MLE23" s="50" t="str">
        <f t="shared" si="142"/>
        <v/>
      </c>
      <c r="MLF23" s="50" t="str">
        <f t="shared" si="142"/>
        <v/>
      </c>
      <c r="MLG23" s="50" t="str">
        <f t="shared" si="142"/>
        <v/>
      </c>
      <c r="MLH23" s="50" t="str">
        <f t="shared" si="142"/>
        <v/>
      </c>
      <c r="MLI23" s="50" t="str">
        <f t="shared" si="142"/>
        <v/>
      </c>
      <c r="MLJ23" s="50" t="str">
        <f t="shared" si="142"/>
        <v/>
      </c>
      <c r="MLK23" s="50" t="str">
        <f t="shared" si="142"/>
        <v/>
      </c>
      <c r="MLL23" s="50" t="str">
        <f t="shared" si="142"/>
        <v/>
      </c>
      <c r="MLM23" s="50" t="str">
        <f t="shared" si="142"/>
        <v/>
      </c>
      <c r="MLN23" s="50" t="str">
        <f t="shared" si="142"/>
        <v/>
      </c>
      <c r="MLO23" s="50" t="str">
        <f t="shared" si="142"/>
        <v/>
      </c>
      <c r="MLP23" s="50" t="str">
        <f t="shared" si="142"/>
        <v/>
      </c>
      <c r="MLQ23" s="50" t="str">
        <f t="shared" si="142"/>
        <v/>
      </c>
      <c r="MLR23" s="50" t="str">
        <f t="shared" si="142"/>
        <v/>
      </c>
      <c r="MLS23" s="50" t="str">
        <f t="shared" si="142"/>
        <v/>
      </c>
      <c r="MLT23" s="50" t="str">
        <f t="shared" si="142"/>
        <v/>
      </c>
      <c r="MLU23" s="50" t="str">
        <f t="shared" si="142"/>
        <v/>
      </c>
      <c r="MLV23" s="50" t="str">
        <f t="shared" si="142"/>
        <v/>
      </c>
      <c r="MLW23" s="50" t="str">
        <f t="shared" si="142"/>
        <v/>
      </c>
      <c r="MLX23" s="50" t="str">
        <f t="shared" si="142"/>
        <v/>
      </c>
      <c r="MLY23" s="50" t="str">
        <f t="shared" si="142"/>
        <v/>
      </c>
      <c r="MLZ23" s="50" t="str">
        <f t="shared" si="142"/>
        <v/>
      </c>
      <c r="MMA23" s="50" t="str">
        <f t="shared" si="142"/>
        <v/>
      </c>
      <c r="MMB23" s="50" t="str">
        <f t="shared" si="142"/>
        <v/>
      </c>
      <c r="MMC23" s="50" t="str">
        <f t="shared" si="142"/>
        <v/>
      </c>
      <c r="MMD23" s="50" t="str">
        <f t="shared" si="142"/>
        <v/>
      </c>
      <c r="MME23" s="50" t="str">
        <f t="shared" si="142"/>
        <v/>
      </c>
      <c r="MMF23" s="50" t="str">
        <f t="shared" si="142"/>
        <v/>
      </c>
      <c r="MMG23" s="50" t="str">
        <f t="shared" si="142"/>
        <v/>
      </c>
      <c r="MMH23" s="50" t="str">
        <f t="shared" si="142"/>
        <v/>
      </c>
      <c r="MMI23" s="50" t="str">
        <f t="shared" si="142"/>
        <v/>
      </c>
      <c r="MMJ23" s="50" t="str">
        <f t="shared" si="142"/>
        <v/>
      </c>
      <c r="MMK23" s="50" t="str">
        <f t="shared" ref="MMK23:MOV23" si="143">IFERROR(IF(MMJ23+TIME(1,0,0)&lt;=$G$12,MMJ23+TIME(1,0,0),""),"")</f>
        <v/>
      </c>
      <c r="MML23" s="50" t="str">
        <f t="shared" si="143"/>
        <v/>
      </c>
      <c r="MMM23" s="50" t="str">
        <f t="shared" si="143"/>
        <v/>
      </c>
      <c r="MMN23" s="50" t="str">
        <f t="shared" si="143"/>
        <v/>
      </c>
      <c r="MMO23" s="50" t="str">
        <f t="shared" si="143"/>
        <v/>
      </c>
      <c r="MMP23" s="50" t="str">
        <f t="shared" si="143"/>
        <v/>
      </c>
      <c r="MMQ23" s="50" t="str">
        <f t="shared" si="143"/>
        <v/>
      </c>
      <c r="MMR23" s="50" t="str">
        <f t="shared" si="143"/>
        <v/>
      </c>
      <c r="MMS23" s="50" t="str">
        <f t="shared" si="143"/>
        <v/>
      </c>
      <c r="MMT23" s="50" t="str">
        <f t="shared" si="143"/>
        <v/>
      </c>
      <c r="MMU23" s="50" t="str">
        <f t="shared" si="143"/>
        <v/>
      </c>
      <c r="MMV23" s="50" t="str">
        <f t="shared" si="143"/>
        <v/>
      </c>
      <c r="MMW23" s="50" t="str">
        <f t="shared" si="143"/>
        <v/>
      </c>
      <c r="MMX23" s="50" t="str">
        <f t="shared" si="143"/>
        <v/>
      </c>
      <c r="MMY23" s="50" t="str">
        <f t="shared" si="143"/>
        <v/>
      </c>
      <c r="MMZ23" s="50" t="str">
        <f t="shared" si="143"/>
        <v/>
      </c>
      <c r="MNA23" s="50" t="str">
        <f t="shared" si="143"/>
        <v/>
      </c>
      <c r="MNB23" s="50" t="str">
        <f t="shared" si="143"/>
        <v/>
      </c>
      <c r="MNC23" s="50" t="str">
        <f t="shared" si="143"/>
        <v/>
      </c>
      <c r="MND23" s="50" t="str">
        <f t="shared" si="143"/>
        <v/>
      </c>
      <c r="MNE23" s="50" t="str">
        <f t="shared" si="143"/>
        <v/>
      </c>
      <c r="MNF23" s="50" t="str">
        <f t="shared" si="143"/>
        <v/>
      </c>
      <c r="MNG23" s="50" t="str">
        <f t="shared" si="143"/>
        <v/>
      </c>
      <c r="MNH23" s="50" t="str">
        <f t="shared" si="143"/>
        <v/>
      </c>
      <c r="MNI23" s="50" t="str">
        <f t="shared" si="143"/>
        <v/>
      </c>
      <c r="MNJ23" s="50" t="str">
        <f t="shared" si="143"/>
        <v/>
      </c>
      <c r="MNK23" s="50" t="str">
        <f t="shared" si="143"/>
        <v/>
      </c>
      <c r="MNL23" s="50" t="str">
        <f t="shared" si="143"/>
        <v/>
      </c>
      <c r="MNM23" s="50" t="str">
        <f t="shared" si="143"/>
        <v/>
      </c>
      <c r="MNN23" s="50" t="str">
        <f t="shared" si="143"/>
        <v/>
      </c>
      <c r="MNO23" s="50" t="str">
        <f t="shared" si="143"/>
        <v/>
      </c>
      <c r="MNP23" s="50" t="str">
        <f t="shared" si="143"/>
        <v/>
      </c>
      <c r="MNQ23" s="50" t="str">
        <f t="shared" si="143"/>
        <v/>
      </c>
      <c r="MNR23" s="50" t="str">
        <f t="shared" si="143"/>
        <v/>
      </c>
      <c r="MNS23" s="50" t="str">
        <f t="shared" si="143"/>
        <v/>
      </c>
      <c r="MNT23" s="50" t="str">
        <f t="shared" si="143"/>
        <v/>
      </c>
      <c r="MNU23" s="50" t="str">
        <f t="shared" si="143"/>
        <v/>
      </c>
      <c r="MNV23" s="50" t="str">
        <f t="shared" si="143"/>
        <v/>
      </c>
      <c r="MNW23" s="50" t="str">
        <f t="shared" si="143"/>
        <v/>
      </c>
      <c r="MNX23" s="50" t="str">
        <f t="shared" si="143"/>
        <v/>
      </c>
      <c r="MNY23" s="50" t="str">
        <f t="shared" si="143"/>
        <v/>
      </c>
      <c r="MNZ23" s="50" t="str">
        <f t="shared" si="143"/>
        <v/>
      </c>
      <c r="MOA23" s="50" t="str">
        <f t="shared" si="143"/>
        <v/>
      </c>
      <c r="MOB23" s="50" t="str">
        <f t="shared" si="143"/>
        <v/>
      </c>
      <c r="MOC23" s="50" t="str">
        <f t="shared" si="143"/>
        <v/>
      </c>
      <c r="MOD23" s="50" t="str">
        <f t="shared" si="143"/>
        <v/>
      </c>
      <c r="MOE23" s="50" t="str">
        <f t="shared" si="143"/>
        <v/>
      </c>
      <c r="MOF23" s="50" t="str">
        <f t="shared" si="143"/>
        <v/>
      </c>
      <c r="MOG23" s="50" t="str">
        <f t="shared" si="143"/>
        <v/>
      </c>
      <c r="MOH23" s="50" t="str">
        <f t="shared" si="143"/>
        <v/>
      </c>
      <c r="MOI23" s="50" t="str">
        <f t="shared" si="143"/>
        <v/>
      </c>
      <c r="MOJ23" s="50" t="str">
        <f t="shared" si="143"/>
        <v/>
      </c>
      <c r="MOK23" s="50" t="str">
        <f t="shared" si="143"/>
        <v/>
      </c>
      <c r="MOL23" s="50" t="str">
        <f t="shared" si="143"/>
        <v/>
      </c>
      <c r="MOM23" s="50" t="str">
        <f t="shared" si="143"/>
        <v/>
      </c>
      <c r="MON23" s="50" t="str">
        <f t="shared" si="143"/>
        <v/>
      </c>
      <c r="MOO23" s="50" t="str">
        <f t="shared" si="143"/>
        <v/>
      </c>
      <c r="MOP23" s="50" t="str">
        <f t="shared" si="143"/>
        <v/>
      </c>
      <c r="MOQ23" s="50" t="str">
        <f t="shared" si="143"/>
        <v/>
      </c>
      <c r="MOR23" s="50" t="str">
        <f t="shared" si="143"/>
        <v/>
      </c>
      <c r="MOS23" s="50" t="str">
        <f t="shared" si="143"/>
        <v/>
      </c>
      <c r="MOT23" s="50" t="str">
        <f t="shared" si="143"/>
        <v/>
      </c>
      <c r="MOU23" s="50" t="str">
        <f t="shared" si="143"/>
        <v/>
      </c>
      <c r="MOV23" s="50" t="str">
        <f t="shared" si="143"/>
        <v/>
      </c>
      <c r="MOW23" s="50" t="str">
        <f t="shared" ref="MOW23:MRH23" si="144">IFERROR(IF(MOV23+TIME(1,0,0)&lt;=$G$12,MOV23+TIME(1,0,0),""),"")</f>
        <v/>
      </c>
      <c r="MOX23" s="50" t="str">
        <f t="shared" si="144"/>
        <v/>
      </c>
      <c r="MOY23" s="50" t="str">
        <f t="shared" si="144"/>
        <v/>
      </c>
      <c r="MOZ23" s="50" t="str">
        <f t="shared" si="144"/>
        <v/>
      </c>
      <c r="MPA23" s="50" t="str">
        <f t="shared" si="144"/>
        <v/>
      </c>
      <c r="MPB23" s="50" t="str">
        <f t="shared" si="144"/>
        <v/>
      </c>
      <c r="MPC23" s="50" t="str">
        <f t="shared" si="144"/>
        <v/>
      </c>
      <c r="MPD23" s="50" t="str">
        <f t="shared" si="144"/>
        <v/>
      </c>
      <c r="MPE23" s="50" t="str">
        <f t="shared" si="144"/>
        <v/>
      </c>
      <c r="MPF23" s="50" t="str">
        <f t="shared" si="144"/>
        <v/>
      </c>
      <c r="MPG23" s="50" t="str">
        <f t="shared" si="144"/>
        <v/>
      </c>
      <c r="MPH23" s="50" t="str">
        <f t="shared" si="144"/>
        <v/>
      </c>
      <c r="MPI23" s="50" t="str">
        <f t="shared" si="144"/>
        <v/>
      </c>
      <c r="MPJ23" s="50" t="str">
        <f t="shared" si="144"/>
        <v/>
      </c>
      <c r="MPK23" s="50" t="str">
        <f t="shared" si="144"/>
        <v/>
      </c>
      <c r="MPL23" s="50" t="str">
        <f t="shared" si="144"/>
        <v/>
      </c>
      <c r="MPM23" s="50" t="str">
        <f t="shared" si="144"/>
        <v/>
      </c>
      <c r="MPN23" s="50" t="str">
        <f t="shared" si="144"/>
        <v/>
      </c>
      <c r="MPO23" s="50" t="str">
        <f t="shared" si="144"/>
        <v/>
      </c>
      <c r="MPP23" s="50" t="str">
        <f t="shared" si="144"/>
        <v/>
      </c>
      <c r="MPQ23" s="50" t="str">
        <f t="shared" si="144"/>
        <v/>
      </c>
      <c r="MPR23" s="50" t="str">
        <f t="shared" si="144"/>
        <v/>
      </c>
      <c r="MPS23" s="50" t="str">
        <f t="shared" si="144"/>
        <v/>
      </c>
      <c r="MPT23" s="50" t="str">
        <f t="shared" si="144"/>
        <v/>
      </c>
      <c r="MPU23" s="50" t="str">
        <f t="shared" si="144"/>
        <v/>
      </c>
      <c r="MPV23" s="50" t="str">
        <f t="shared" si="144"/>
        <v/>
      </c>
      <c r="MPW23" s="50" t="str">
        <f t="shared" si="144"/>
        <v/>
      </c>
      <c r="MPX23" s="50" t="str">
        <f t="shared" si="144"/>
        <v/>
      </c>
      <c r="MPY23" s="50" t="str">
        <f t="shared" si="144"/>
        <v/>
      </c>
      <c r="MPZ23" s="50" t="str">
        <f t="shared" si="144"/>
        <v/>
      </c>
      <c r="MQA23" s="50" t="str">
        <f t="shared" si="144"/>
        <v/>
      </c>
      <c r="MQB23" s="50" t="str">
        <f t="shared" si="144"/>
        <v/>
      </c>
      <c r="MQC23" s="50" t="str">
        <f t="shared" si="144"/>
        <v/>
      </c>
      <c r="MQD23" s="50" t="str">
        <f t="shared" si="144"/>
        <v/>
      </c>
      <c r="MQE23" s="50" t="str">
        <f t="shared" si="144"/>
        <v/>
      </c>
      <c r="MQF23" s="50" t="str">
        <f t="shared" si="144"/>
        <v/>
      </c>
      <c r="MQG23" s="50" t="str">
        <f t="shared" si="144"/>
        <v/>
      </c>
      <c r="MQH23" s="50" t="str">
        <f t="shared" si="144"/>
        <v/>
      </c>
      <c r="MQI23" s="50" t="str">
        <f t="shared" si="144"/>
        <v/>
      </c>
      <c r="MQJ23" s="50" t="str">
        <f t="shared" si="144"/>
        <v/>
      </c>
      <c r="MQK23" s="50" t="str">
        <f t="shared" si="144"/>
        <v/>
      </c>
      <c r="MQL23" s="50" t="str">
        <f t="shared" si="144"/>
        <v/>
      </c>
      <c r="MQM23" s="50" t="str">
        <f t="shared" si="144"/>
        <v/>
      </c>
      <c r="MQN23" s="50" t="str">
        <f t="shared" si="144"/>
        <v/>
      </c>
      <c r="MQO23" s="50" t="str">
        <f t="shared" si="144"/>
        <v/>
      </c>
      <c r="MQP23" s="50" t="str">
        <f t="shared" si="144"/>
        <v/>
      </c>
      <c r="MQQ23" s="50" t="str">
        <f t="shared" si="144"/>
        <v/>
      </c>
      <c r="MQR23" s="50" t="str">
        <f t="shared" si="144"/>
        <v/>
      </c>
      <c r="MQS23" s="50" t="str">
        <f t="shared" si="144"/>
        <v/>
      </c>
      <c r="MQT23" s="50" t="str">
        <f t="shared" si="144"/>
        <v/>
      </c>
      <c r="MQU23" s="50" t="str">
        <f t="shared" si="144"/>
        <v/>
      </c>
      <c r="MQV23" s="50" t="str">
        <f t="shared" si="144"/>
        <v/>
      </c>
      <c r="MQW23" s="50" t="str">
        <f t="shared" si="144"/>
        <v/>
      </c>
      <c r="MQX23" s="50" t="str">
        <f t="shared" si="144"/>
        <v/>
      </c>
      <c r="MQY23" s="50" t="str">
        <f t="shared" si="144"/>
        <v/>
      </c>
      <c r="MQZ23" s="50" t="str">
        <f t="shared" si="144"/>
        <v/>
      </c>
      <c r="MRA23" s="50" t="str">
        <f t="shared" si="144"/>
        <v/>
      </c>
      <c r="MRB23" s="50" t="str">
        <f t="shared" si="144"/>
        <v/>
      </c>
      <c r="MRC23" s="50" t="str">
        <f t="shared" si="144"/>
        <v/>
      </c>
      <c r="MRD23" s="50" t="str">
        <f t="shared" si="144"/>
        <v/>
      </c>
      <c r="MRE23" s="50" t="str">
        <f t="shared" si="144"/>
        <v/>
      </c>
      <c r="MRF23" s="50" t="str">
        <f t="shared" si="144"/>
        <v/>
      </c>
      <c r="MRG23" s="50" t="str">
        <f t="shared" si="144"/>
        <v/>
      </c>
      <c r="MRH23" s="50" t="str">
        <f t="shared" si="144"/>
        <v/>
      </c>
      <c r="MRI23" s="50" t="str">
        <f t="shared" ref="MRI23:MTT23" si="145">IFERROR(IF(MRH23+TIME(1,0,0)&lt;=$G$12,MRH23+TIME(1,0,0),""),"")</f>
        <v/>
      </c>
      <c r="MRJ23" s="50" t="str">
        <f t="shared" si="145"/>
        <v/>
      </c>
      <c r="MRK23" s="50" t="str">
        <f t="shared" si="145"/>
        <v/>
      </c>
      <c r="MRL23" s="50" t="str">
        <f t="shared" si="145"/>
        <v/>
      </c>
      <c r="MRM23" s="50" t="str">
        <f t="shared" si="145"/>
        <v/>
      </c>
      <c r="MRN23" s="50" t="str">
        <f t="shared" si="145"/>
        <v/>
      </c>
      <c r="MRO23" s="50" t="str">
        <f t="shared" si="145"/>
        <v/>
      </c>
      <c r="MRP23" s="50" t="str">
        <f t="shared" si="145"/>
        <v/>
      </c>
      <c r="MRQ23" s="50" t="str">
        <f t="shared" si="145"/>
        <v/>
      </c>
      <c r="MRR23" s="50" t="str">
        <f t="shared" si="145"/>
        <v/>
      </c>
      <c r="MRS23" s="50" t="str">
        <f t="shared" si="145"/>
        <v/>
      </c>
      <c r="MRT23" s="50" t="str">
        <f t="shared" si="145"/>
        <v/>
      </c>
      <c r="MRU23" s="50" t="str">
        <f t="shared" si="145"/>
        <v/>
      </c>
      <c r="MRV23" s="50" t="str">
        <f t="shared" si="145"/>
        <v/>
      </c>
      <c r="MRW23" s="50" t="str">
        <f t="shared" si="145"/>
        <v/>
      </c>
      <c r="MRX23" s="50" t="str">
        <f t="shared" si="145"/>
        <v/>
      </c>
      <c r="MRY23" s="50" t="str">
        <f t="shared" si="145"/>
        <v/>
      </c>
      <c r="MRZ23" s="50" t="str">
        <f t="shared" si="145"/>
        <v/>
      </c>
      <c r="MSA23" s="50" t="str">
        <f t="shared" si="145"/>
        <v/>
      </c>
      <c r="MSB23" s="50" t="str">
        <f t="shared" si="145"/>
        <v/>
      </c>
      <c r="MSC23" s="50" t="str">
        <f t="shared" si="145"/>
        <v/>
      </c>
      <c r="MSD23" s="50" t="str">
        <f t="shared" si="145"/>
        <v/>
      </c>
      <c r="MSE23" s="50" t="str">
        <f t="shared" si="145"/>
        <v/>
      </c>
      <c r="MSF23" s="50" t="str">
        <f t="shared" si="145"/>
        <v/>
      </c>
      <c r="MSG23" s="50" t="str">
        <f t="shared" si="145"/>
        <v/>
      </c>
      <c r="MSH23" s="50" t="str">
        <f t="shared" si="145"/>
        <v/>
      </c>
      <c r="MSI23" s="50" t="str">
        <f t="shared" si="145"/>
        <v/>
      </c>
      <c r="MSJ23" s="50" t="str">
        <f t="shared" si="145"/>
        <v/>
      </c>
      <c r="MSK23" s="50" t="str">
        <f t="shared" si="145"/>
        <v/>
      </c>
      <c r="MSL23" s="50" t="str">
        <f t="shared" si="145"/>
        <v/>
      </c>
      <c r="MSM23" s="50" t="str">
        <f t="shared" si="145"/>
        <v/>
      </c>
      <c r="MSN23" s="50" t="str">
        <f t="shared" si="145"/>
        <v/>
      </c>
      <c r="MSO23" s="50" t="str">
        <f t="shared" si="145"/>
        <v/>
      </c>
      <c r="MSP23" s="50" t="str">
        <f t="shared" si="145"/>
        <v/>
      </c>
      <c r="MSQ23" s="50" t="str">
        <f t="shared" si="145"/>
        <v/>
      </c>
      <c r="MSR23" s="50" t="str">
        <f t="shared" si="145"/>
        <v/>
      </c>
      <c r="MSS23" s="50" t="str">
        <f t="shared" si="145"/>
        <v/>
      </c>
      <c r="MST23" s="50" t="str">
        <f t="shared" si="145"/>
        <v/>
      </c>
      <c r="MSU23" s="50" t="str">
        <f t="shared" si="145"/>
        <v/>
      </c>
      <c r="MSV23" s="50" t="str">
        <f t="shared" si="145"/>
        <v/>
      </c>
      <c r="MSW23" s="50" t="str">
        <f t="shared" si="145"/>
        <v/>
      </c>
      <c r="MSX23" s="50" t="str">
        <f t="shared" si="145"/>
        <v/>
      </c>
      <c r="MSY23" s="50" t="str">
        <f t="shared" si="145"/>
        <v/>
      </c>
      <c r="MSZ23" s="50" t="str">
        <f t="shared" si="145"/>
        <v/>
      </c>
      <c r="MTA23" s="50" t="str">
        <f t="shared" si="145"/>
        <v/>
      </c>
      <c r="MTB23" s="50" t="str">
        <f t="shared" si="145"/>
        <v/>
      </c>
      <c r="MTC23" s="50" t="str">
        <f t="shared" si="145"/>
        <v/>
      </c>
      <c r="MTD23" s="50" t="str">
        <f t="shared" si="145"/>
        <v/>
      </c>
      <c r="MTE23" s="50" t="str">
        <f t="shared" si="145"/>
        <v/>
      </c>
      <c r="MTF23" s="50" t="str">
        <f t="shared" si="145"/>
        <v/>
      </c>
      <c r="MTG23" s="50" t="str">
        <f t="shared" si="145"/>
        <v/>
      </c>
      <c r="MTH23" s="50" t="str">
        <f t="shared" si="145"/>
        <v/>
      </c>
      <c r="MTI23" s="50" t="str">
        <f t="shared" si="145"/>
        <v/>
      </c>
      <c r="MTJ23" s="50" t="str">
        <f t="shared" si="145"/>
        <v/>
      </c>
      <c r="MTK23" s="50" t="str">
        <f t="shared" si="145"/>
        <v/>
      </c>
      <c r="MTL23" s="50" t="str">
        <f t="shared" si="145"/>
        <v/>
      </c>
      <c r="MTM23" s="50" t="str">
        <f t="shared" si="145"/>
        <v/>
      </c>
      <c r="MTN23" s="50" t="str">
        <f t="shared" si="145"/>
        <v/>
      </c>
      <c r="MTO23" s="50" t="str">
        <f t="shared" si="145"/>
        <v/>
      </c>
      <c r="MTP23" s="50" t="str">
        <f t="shared" si="145"/>
        <v/>
      </c>
      <c r="MTQ23" s="50" t="str">
        <f t="shared" si="145"/>
        <v/>
      </c>
      <c r="MTR23" s="50" t="str">
        <f t="shared" si="145"/>
        <v/>
      </c>
      <c r="MTS23" s="50" t="str">
        <f t="shared" si="145"/>
        <v/>
      </c>
      <c r="MTT23" s="50" t="str">
        <f t="shared" si="145"/>
        <v/>
      </c>
      <c r="MTU23" s="50" t="str">
        <f t="shared" ref="MTU23:MWF23" si="146">IFERROR(IF(MTT23+TIME(1,0,0)&lt;=$G$12,MTT23+TIME(1,0,0),""),"")</f>
        <v/>
      </c>
      <c r="MTV23" s="50" t="str">
        <f t="shared" si="146"/>
        <v/>
      </c>
      <c r="MTW23" s="50" t="str">
        <f t="shared" si="146"/>
        <v/>
      </c>
      <c r="MTX23" s="50" t="str">
        <f t="shared" si="146"/>
        <v/>
      </c>
      <c r="MTY23" s="50" t="str">
        <f t="shared" si="146"/>
        <v/>
      </c>
      <c r="MTZ23" s="50" t="str">
        <f t="shared" si="146"/>
        <v/>
      </c>
      <c r="MUA23" s="50" t="str">
        <f t="shared" si="146"/>
        <v/>
      </c>
      <c r="MUB23" s="50" t="str">
        <f t="shared" si="146"/>
        <v/>
      </c>
      <c r="MUC23" s="50" t="str">
        <f t="shared" si="146"/>
        <v/>
      </c>
      <c r="MUD23" s="50" t="str">
        <f t="shared" si="146"/>
        <v/>
      </c>
      <c r="MUE23" s="50" t="str">
        <f t="shared" si="146"/>
        <v/>
      </c>
      <c r="MUF23" s="50" t="str">
        <f t="shared" si="146"/>
        <v/>
      </c>
      <c r="MUG23" s="50" t="str">
        <f t="shared" si="146"/>
        <v/>
      </c>
      <c r="MUH23" s="50" t="str">
        <f t="shared" si="146"/>
        <v/>
      </c>
      <c r="MUI23" s="50" t="str">
        <f t="shared" si="146"/>
        <v/>
      </c>
      <c r="MUJ23" s="50" t="str">
        <f t="shared" si="146"/>
        <v/>
      </c>
      <c r="MUK23" s="50" t="str">
        <f t="shared" si="146"/>
        <v/>
      </c>
      <c r="MUL23" s="50" t="str">
        <f t="shared" si="146"/>
        <v/>
      </c>
      <c r="MUM23" s="50" t="str">
        <f t="shared" si="146"/>
        <v/>
      </c>
      <c r="MUN23" s="50" t="str">
        <f t="shared" si="146"/>
        <v/>
      </c>
      <c r="MUO23" s="50" t="str">
        <f t="shared" si="146"/>
        <v/>
      </c>
      <c r="MUP23" s="50" t="str">
        <f t="shared" si="146"/>
        <v/>
      </c>
      <c r="MUQ23" s="50" t="str">
        <f t="shared" si="146"/>
        <v/>
      </c>
      <c r="MUR23" s="50" t="str">
        <f t="shared" si="146"/>
        <v/>
      </c>
      <c r="MUS23" s="50" t="str">
        <f t="shared" si="146"/>
        <v/>
      </c>
      <c r="MUT23" s="50" t="str">
        <f t="shared" si="146"/>
        <v/>
      </c>
      <c r="MUU23" s="50" t="str">
        <f t="shared" si="146"/>
        <v/>
      </c>
      <c r="MUV23" s="50" t="str">
        <f t="shared" si="146"/>
        <v/>
      </c>
      <c r="MUW23" s="50" t="str">
        <f t="shared" si="146"/>
        <v/>
      </c>
      <c r="MUX23" s="50" t="str">
        <f t="shared" si="146"/>
        <v/>
      </c>
      <c r="MUY23" s="50" t="str">
        <f t="shared" si="146"/>
        <v/>
      </c>
      <c r="MUZ23" s="50" t="str">
        <f t="shared" si="146"/>
        <v/>
      </c>
      <c r="MVA23" s="50" t="str">
        <f t="shared" si="146"/>
        <v/>
      </c>
      <c r="MVB23" s="50" t="str">
        <f t="shared" si="146"/>
        <v/>
      </c>
      <c r="MVC23" s="50" t="str">
        <f t="shared" si="146"/>
        <v/>
      </c>
      <c r="MVD23" s="50" t="str">
        <f t="shared" si="146"/>
        <v/>
      </c>
      <c r="MVE23" s="50" t="str">
        <f t="shared" si="146"/>
        <v/>
      </c>
      <c r="MVF23" s="50" t="str">
        <f t="shared" si="146"/>
        <v/>
      </c>
      <c r="MVG23" s="50" t="str">
        <f t="shared" si="146"/>
        <v/>
      </c>
      <c r="MVH23" s="50" t="str">
        <f t="shared" si="146"/>
        <v/>
      </c>
      <c r="MVI23" s="50" t="str">
        <f t="shared" si="146"/>
        <v/>
      </c>
      <c r="MVJ23" s="50" t="str">
        <f t="shared" si="146"/>
        <v/>
      </c>
      <c r="MVK23" s="50" t="str">
        <f t="shared" si="146"/>
        <v/>
      </c>
      <c r="MVL23" s="50" t="str">
        <f t="shared" si="146"/>
        <v/>
      </c>
      <c r="MVM23" s="50" t="str">
        <f t="shared" si="146"/>
        <v/>
      </c>
      <c r="MVN23" s="50" t="str">
        <f t="shared" si="146"/>
        <v/>
      </c>
      <c r="MVO23" s="50" t="str">
        <f t="shared" si="146"/>
        <v/>
      </c>
      <c r="MVP23" s="50" t="str">
        <f t="shared" si="146"/>
        <v/>
      </c>
      <c r="MVQ23" s="50" t="str">
        <f t="shared" si="146"/>
        <v/>
      </c>
      <c r="MVR23" s="50" t="str">
        <f t="shared" si="146"/>
        <v/>
      </c>
      <c r="MVS23" s="50" t="str">
        <f t="shared" si="146"/>
        <v/>
      </c>
      <c r="MVT23" s="50" t="str">
        <f t="shared" si="146"/>
        <v/>
      </c>
      <c r="MVU23" s="50" t="str">
        <f t="shared" si="146"/>
        <v/>
      </c>
      <c r="MVV23" s="50" t="str">
        <f t="shared" si="146"/>
        <v/>
      </c>
      <c r="MVW23" s="50" t="str">
        <f t="shared" si="146"/>
        <v/>
      </c>
      <c r="MVX23" s="50" t="str">
        <f t="shared" si="146"/>
        <v/>
      </c>
      <c r="MVY23" s="50" t="str">
        <f t="shared" si="146"/>
        <v/>
      </c>
      <c r="MVZ23" s="50" t="str">
        <f t="shared" si="146"/>
        <v/>
      </c>
      <c r="MWA23" s="50" t="str">
        <f t="shared" si="146"/>
        <v/>
      </c>
      <c r="MWB23" s="50" t="str">
        <f t="shared" si="146"/>
        <v/>
      </c>
      <c r="MWC23" s="50" t="str">
        <f t="shared" si="146"/>
        <v/>
      </c>
      <c r="MWD23" s="50" t="str">
        <f t="shared" si="146"/>
        <v/>
      </c>
      <c r="MWE23" s="50" t="str">
        <f t="shared" si="146"/>
        <v/>
      </c>
      <c r="MWF23" s="50" t="str">
        <f t="shared" si="146"/>
        <v/>
      </c>
      <c r="MWG23" s="50" t="str">
        <f t="shared" ref="MWG23:MYR23" si="147">IFERROR(IF(MWF23+TIME(1,0,0)&lt;=$G$12,MWF23+TIME(1,0,0),""),"")</f>
        <v/>
      </c>
      <c r="MWH23" s="50" t="str">
        <f t="shared" si="147"/>
        <v/>
      </c>
      <c r="MWI23" s="50" t="str">
        <f t="shared" si="147"/>
        <v/>
      </c>
      <c r="MWJ23" s="50" t="str">
        <f t="shared" si="147"/>
        <v/>
      </c>
      <c r="MWK23" s="50" t="str">
        <f t="shared" si="147"/>
        <v/>
      </c>
      <c r="MWL23" s="50" t="str">
        <f t="shared" si="147"/>
        <v/>
      </c>
      <c r="MWM23" s="50" t="str">
        <f t="shared" si="147"/>
        <v/>
      </c>
      <c r="MWN23" s="50" t="str">
        <f t="shared" si="147"/>
        <v/>
      </c>
      <c r="MWO23" s="50" t="str">
        <f t="shared" si="147"/>
        <v/>
      </c>
      <c r="MWP23" s="50" t="str">
        <f t="shared" si="147"/>
        <v/>
      </c>
      <c r="MWQ23" s="50" t="str">
        <f t="shared" si="147"/>
        <v/>
      </c>
      <c r="MWR23" s="50" t="str">
        <f t="shared" si="147"/>
        <v/>
      </c>
      <c r="MWS23" s="50" t="str">
        <f t="shared" si="147"/>
        <v/>
      </c>
      <c r="MWT23" s="50" t="str">
        <f t="shared" si="147"/>
        <v/>
      </c>
      <c r="MWU23" s="50" t="str">
        <f t="shared" si="147"/>
        <v/>
      </c>
      <c r="MWV23" s="50" t="str">
        <f t="shared" si="147"/>
        <v/>
      </c>
      <c r="MWW23" s="50" t="str">
        <f t="shared" si="147"/>
        <v/>
      </c>
      <c r="MWX23" s="50" t="str">
        <f t="shared" si="147"/>
        <v/>
      </c>
      <c r="MWY23" s="50" t="str">
        <f t="shared" si="147"/>
        <v/>
      </c>
      <c r="MWZ23" s="50" t="str">
        <f t="shared" si="147"/>
        <v/>
      </c>
      <c r="MXA23" s="50" t="str">
        <f t="shared" si="147"/>
        <v/>
      </c>
      <c r="MXB23" s="50" t="str">
        <f t="shared" si="147"/>
        <v/>
      </c>
      <c r="MXC23" s="50" t="str">
        <f t="shared" si="147"/>
        <v/>
      </c>
      <c r="MXD23" s="50" t="str">
        <f t="shared" si="147"/>
        <v/>
      </c>
      <c r="MXE23" s="50" t="str">
        <f t="shared" si="147"/>
        <v/>
      </c>
      <c r="MXF23" s="50" t="str">
        <f t="shared" si="147"/>
        <v/>
      </c>
      <c r="MXG23" s="50" t="str">
        <f t="shared" si="147"/>
        <v/>
      </c>
      <c r="MXH23" s="50" t="str">
        <f t="shared" si="147"/>
        <v/>
      </c>
      <c r="MXI23" s="50" t="str">
        <f t="shared" si="147"/>
        <v/>
      </c>
      <c r="MXJ23" s="50" t="str">
        <f t="shared" si="147"/>
        <v/>
      </c>
      <c r="MXK23" s="50" t="str">
        <f t="shared" si="147"/>
        <v/>
      </c>
      <c r="MXL23" s="50" t="str">
        <f t="shared" si="147"/>
        <v/>
      </c>
      <c r="MXM23" s="50" t="str">
        <f t="shared" si="147"/>
        <v/>
      </c>
      <c r="MXN23" s="50" t="str">
        <f t="shared" si="147"/>
        <v/>
      </c>
      <c r="MXO23" s="50" t="str">
        <f t="shared" si="147"/>
        <v/>
      </c>
      <c r="MXP23" s="50" t="str">
        <f t="shared" si="147"/>
        <v/>
      </c>
      <c r="MXQ23" s="50" t="str">
        <f t="shared" si="147"/>
        <v/>
      </c>
      <c r="MXR23" s="50" t="str">
        <f t="shared" si="147"/>
        <v/>
      </c>
      <c r="MXS23" s="50" t="str">
        <f t="shared" si="147"/>
        <v/>
      </c>
      <c r="MXT23" s="50" t="str">
        <f t="shared" si="147"/>
        <v/>
      </c>
      <c r="MXU23" s="50" t="str">
        <f t="shared" si="147"/>
        <v/>
      </c>
      <c r="MXV23" s="50" t="str">
        <f t="shared" si="147"/>
        <v/>
      </c>
      <c r="MXW23" s="50" t="str">
        <f t="shared" si="147"/>
        <v/>
      </c>
      <c r="MXX23" s="50" t="str">
        <f t="shared" si="147"/>
        <v/>
      </c>
      <c r="MXY23" s="50" t="str">
        <f t="shared" si="147"/>
        <v/>
      </c>
      <c r="MXZ23" s="50" t="str">
        <f t="shared" si="147"/>
        <v/>
      </c>
      <c r="MYA23" s="50" t="str">
        <f t="shared" si="147"/>
        <v/>
      </c>
      <c r="MYB23" s="50" t="str">
        <f t="shared" si="147"/>
        <v/>
      </c>
      <c r="MYC23" s="50" t="str">
        <f t="shared" si="147"/>
        <v/>
      </c>
      <c r="MYD23" s="50" t="str">
        <f t="shared" si="147"/>
        <v/>
      </c>
      <c r="MYE23" s="50" t="str">
        <f t="shared" si="147"/>
        <v/>
      </c>
      <c r="MYF23" s="50" t="str">
        <f t="shared" si="147"/>
        <v/>
      </c>
      <c r="MYG23" s="50" t="str">
        <f t="shared" si="147"/>
        <v/>
      </c>
      <c r="MYH23" s="50" t="str">
        <f t="shared" si="147"/>
        <v/>
      </c>
      <c r="MYI23" s="50" t="str">
        <f t="shared" si="147"/>
        <v/>
      </c>
      <c r="MYJ23" s="50" t="str">
        <f t="shared" si="147"/>
        <v/>
      </c>
      <c r="MYK23" s="50" t="str">
        <f t="shared" si="147"/>
        <v/>
      </c>
      <c r="MYL23" s="50" t="str">
        <f t="shared" si="147"/>
        <v/>
      </c>
      <c r="MYM23" s="50" t="str">
        <f t="shared" si="147"/>
        <v/>
      </c>
      <c r="MYN23" s="50" t="str">
        <f t="shared" si="147"/>
        <v/>
      </c>
      <c r="MYO23" s="50" t="str">
        <f t="shared" si="147"/>
        <v/>
      </c>
      <c r="MYP23" s="50" t="str">
        <f t="shared" si="147"/>
        <v/>
      </c>
      <c r="MYQ23" s="50" t="str">
        <f t="shared" si="147"/>
        <v/>
      </c>
      <c r="MYR23" s="50" t="str">
        <f t="shared" si="147"/>
        <v/>
      </c>
      <c r="MYS23" s="50" t="str">
        <f t="shared" ref="MYS23:NBD23" si="148">IFERROR(IF(MYR23+TIME(1,0,0)&lt;=$G$12,MYR23+TIME(1,0,0),""),"")</f>
        <v/>
      </c>
      <c r="MYT23" s="50" t="str">
        <f t="shared" si="148"/>
        <v/>
      </c>
      <c r="MYU23" s="50" t="str">
        <f t="shared" si="148"/>
        <v/>
      </c>
      <c r="MYV23" s="50" t="str">
        <f t="shared" si="148"/>
        <v/>
      </c>
      <c r="MYW23" s="50" t="str">
        <f t="shared" si="148"/>
        <v/>
      </c>
      <c r="MYX23" s="50" t="str">
        <f t="shared" si="148"/>
        <v/>
      </c>
      <c r="MYY23" s="50" t="str">
        <f t="shared" si="148"/>
        <v/>
      </c>
      <c r="MYZ23" s="50" t="str">
        <f t="shared" si="148"/>
        <v/>
      </c>
      <c r="MZA23" s="50" t="str">
        <f t="shared" si="148"/>
        <v/>
      </c>
      <c r="MZB23" s="50" t="str">
        <f t="shared" si="148"/>
        <v/>
      </c>
      <c r="MZC23" s="50" t="str">
        <f t="shared" si="148"/>
        <v/>
      </c>
      <c r="MZD23" s="50" t="str">
        <f t="shared" si="148"/>
        <v/>
      </c>
      <c r="MZE23" s="50" t="str">
        <f t="shared" si="148"/>
        <v/>
      </c>
      <c r="MZF23" s="50" t="str">
        <f t="shared" si="148"/>
        <v/>
      </c>
      <c r="MZG23" s="50" t="str">
        <f t="shared" si="148"/>
        <v/>
      </c>
      <c r="MZH23" s="50" t="str">
        <f t="shared" si="148"/>
        <v/>
      </c>
      <c r="MZI23" s="50" t="str">
        <f t="shared" si="148"/>
        <v/>
      </c>
      <c r="MZJ23" s="50" t="str">
        <f t="shared" si="148"/>
        <v/>
      </c>
      <c r="MZK23" s="50" t="str">
        <f t="shared" si="148"/>
        <v/>
      </c>
      <c r="MZL23" s="50" t="str">
        <f t="shared" si="148"/>
        <v/>
      </c>
      <c r="MZM23" s="50" t="str">
        <f t="shared" si="148"/>
        <v/>
      </c>
      <c r="MZN23" s="50" t="str">
        <f t="shared" si="148"/>
        <v/>
      </c>
      <c r="MZO23" s="50" t="str">
        <f t="shared" si="148"/>
        <v/>
      </c>
      <c r="MZP23" s="50" t="str">
        <f t="shared" si="148"/>
        <v/>
      </c>
      <c r="MZQ23" s="50" t="str">
        <f t="shared" si="148"/>
        <v/>
      </c>
      <c r="MZR23" s="50" t="str">
        <f t="shared" si="148"/>
        <v/>
      </c>
      <c r="MZS23" s="50" t="str">
        <f t="shared" si="148"/>
        <v/>
      </c>
      <c r="MZT23" s="50" t="str">
        <f t="shared" si="148"/>
        <v/>
      </c>
      <c r="MZU23" s="50" t="str">
        <f t="shared" si="148"/>
        <v/>
      </c>
      <c r="MZV23" s="50" t="str">
        <f t="shared" si="148"/>
        <v/>
      </c>
      <c r="MZW23" s="50" t="str">
        <f t="shared" si="148"/>
        <v/>
      </c>
      <c r="MZX23" s="50" t="str">
        <f t="shared" si="148"/>
        <v/>
      </c>
      <c r="MZY23" s="50" t="str">
        <f t="shared" si="148"/>
        <v/>
      </c>
      <c r="MZZ23" s="50" t="str">
        <f t="shared" si="148"/>
        <v/>
      </c>
      <c r="NAA23" s="50" t="str">
        <f t="shared" si="148"/>
        <v/>
      </c>
      <c r="NAB23" s="50" t="str">
        <f t="shared" si="148"/>
        <v/>
      </c>
      <c r="NAC23" s="50" t="str">
        <f t="shared" si="148"/>
        <v/>
      </c>
      <c r="NAD23" s="50" t="str">
        <f t="shared" si="148"/>
        <v/>
      </c>
      <c r="NAE23" s="50" t="str">
        <f t="shared" si="148"/>
        <v/>
      </c>
      <c r="NAF23" s="50" t="str">
        <f t="shared" si="148"/>
        <v/>
      </c>
      <c r="NAG23" s="50" t="str">
        <f t="shared" si="148"/>
        <v/>
      </c>
      <c r="NAH23" s="50" t="str">
        <f t="shared" si="148"/>
        <v/>
      </c>
      <c r="NAI23" s="50" t="str">
        <f t="shared" si="148"/>
        <v/>
      </c>
      <c r="NAJ23" s="50" t="str">
        <f t="shared" si="148"/>
        <v/>
      </c>
      <c r="NAK23" s="50" t="str">
        <f t="shared" si="148"/>
        <v/>
      </c>
      <c r="NAL23" s="50" t="str">
        <f t="shared" si="148"/>
        <v/>
      </c>
      <c r="NAM23" s="50" t="str">
        <f t="shared" si="148"/>
        <v/>
      </c>
      <c r="NAN23" s="50" t="str">
        <f t="shared" si="148"/>
        <v/>
      </c>
      <c r="NAO23" s="50" t="str">
        <f t="shared" si="148"/>
        <v/>
      </c>
      <c r="NAP23" s="50" t="str">
        <f t="shared" si="148"/>
        <v/>
      </c>
      <c r="NAQ23" s="50" t="str">
        <f t="shared" si="148"/>
        <v/>
      </c>
      <c r="NAR23" s="50" t="str">
        <f t="shared" si="148"/>
        <v/>
      </c>
      <c r="NAS23" s="50" t="str">
        <f t="shared" si="148"/>
        <v/>
      </c>
      <c r="NAT23" s="50" t="str">
        <f t="shared" si="148"/>
        <v/>
      </c>
      <c r="NAU23" s="50" t="str">
        <f t="shared" si="148"/>
        <v/>
      </c>
      <c r="NAV23" s="50" t="str">
        <f t="shared" si="148"/>
        <v/>
      </c>
      <c r="NAW23" s="50" t="str">
        <f t="shared" si="148"/>
        <v/>
      </c>
      <c r="NAX23" s="50" t="str">
        <f t="shared" si="148"/>
        <v/>
      </c>
      <c r="NAY23" s="50" t="str">
        <f t="shared" si="148"/>
        <v/>
      </c>
      <c r="NAZ23" s="50" t="str">
        <f t="shared" si="148"/>
        <v/>
      </c>
      <c r="NBA23" s="50" t="str">
        <f t="shared" si="148"/>
        <v/>
      </c>
      <c r="NBB23" s="50" t="str">
        <f t="shared" si="148"/>
        <v/>
      </c>
      <c r="NBC23" s="50" t="str">
        <f t="shared" si="148"/>
        <v/>
      </c>
      <c r="NBD23" s="50" t="str">
        <f t="shared" si="148"/>
        <v/>
      </c>
      <c r="NBE23" s="50" t="str">
        <f t="shared" ref="NBE23:NDP23" si="149">IFERROR(IF(NBD23+TIME(1,0,0)&lt;=$G$12,NBD23+TIME(1,0,0),""),"")</f>
        <v/>
      </c>
      <c r="NBF23" s="50" t="str">
        <f t="shared" si="149"/>
        <v/>
      </c>
      <c r="NBG23" s="50" t="str">
        <f t="shared" si="149"/>
        <v/>
      </c>
      <c r="NBH23" s="50" t="str">
        <f t="shared" si="149"/>
        <v/>
      </c>
      <c r="NBI23" s="50" t="str">
        <f t="shared" si="149"/>
        <v/>
      </c>
      <c r="NBJ23" s="50" t="str">
        <f t="shared" si="149"/>
        <v/>
      </c>
      <c r="NBK23" s="50" t="str">
        <f t="shared" si="149"/>
        <v/>
      </c>
      <c r="NBL23" s="50" t="str">
        <f t="shared" si="149"/>
        <v/>
      </c>
      <c r="NBM23" s="50" t="str">
        <f t="shared" si="149"/>
        <v/>
      </c>
      <c r="NBN23" s="50" t="str">
        <f t="shared" si="149"/>
        <v/>
      </c>
      <c r="NBO23" s="50" t="str">
        <f t="shared" si="149"/>
        <v/>
      </c>
      <c r="NBP23" s="50" t="str">
        <f t="shared" si="149"/>
        <v/>
      </c>
      <c r="NBQ23" s="50" t="str">
        <f t="shared" si="149"/>
        <v/>
      </c>
      <c r="NBR23" s="50" t="str">
        <f t="shared" si="149"/>
        <v/>
      </c>
      <c r="NBS23" s="50" t="str">
        <f t="shared" si="149"/>
        <v/>
      </c>
      <c r="NBT23" s="50" t="str">
        <f t="shared" si="149"/>
        <v/>
      </c>
      <c r="NBU23" s="50" t="str">
        <f t="shared" si="149"/>
        <v/>
      </c>
      <c r="NBV23" s="50" t="str">
        <f t="shared" si="149"/>
        <v/>
      </c>
      <c r="NBW23" s="50" t="str">
        <f t="shared" si="149"/>
        <v/>
      </c>
      <c r="NBX23" s="50" t="str">
        <f t="shared" si="149"/>
        <v/>
      </c>
      <c r="NBY23" s="50" t="str">
        <f t="shared" si="149"/>
        <v/>
      </c>
      <c r="NBZ23" s="50" t="str">
        <f t="shared" si="149"/>
        <v/>
      </c>
      <c r="NCA23" s="50" t="str">
        <f t="shared" si="149"/>
        <v/>
      </c>
      <c r="NCB23" s="50" t="str">
        <f t="shared" si="149"/>
        <v/>
      </c>
      <c r="NCC23" s="50" t="str">
        <f t="shared" si="149"/>
        <v/>
      </c>
      <c r="NCD23" s="50" t="str">
        <f t="shared" si="149"/>
        <v/>
      </c>
      <c r="NCE23" s="50" t="str">
        <f t="shared" si="149"/>
        <v/>
      </c>
      <c r="NCF23" s="50" t="str">
        <f t="shared" si="149"/>
        <v/>
      </c>
      <c r="NCG23" s="50" t="str">
        <f t="shared" si="149"/>
        <v/>
      </c>
      <c r="NCH23" s="50" t="str">
        <f t="shared" si="149"/>
        <v/>
      </c>
      <c r="NCI23" s="50" t="str">
        <f t="shared" si="149"/>
        <v/>
      </c>
      <c r="NCJ23" s="50" t="str">
        <f t="shared" si="149"/>
        <v/>
      </c>
      <c r="NCK23" s="50" t="str">
        <f t="shared" si="149"/>
        <v/>
      </c>
      <c r="NCL23" s="50" t="str">
        <f t="shared" si="149"/>
        <v/>
      </c>
      <c r="NCM23" s="50" t="str">
        <f t="shared" si="149"/>
        <v/>
      </c>
      <c r="NCN23" s="50" t="str">
        <f t="shared" si="149"/>
        <v/>
      </c>
      <c r="NCO23" s="50" t="str">
        <f t="shared" si="149"/>
        <v/>
      </c>
      <c r="NCP23" s="50" t="str">
        <f t="shared" si="149"/>
        <v/>
      </c>
      <c r="NCQ23" s="50" t="str">
        <f t="shared" si="149"/>
        <v/>
      </c>
      <c r="NCR23" s="50" t="str">
        <f t="shared" si="149"/>
        <v/>
      </c>
      <c r="NCS23" s="50" t="str">
        <f t="shared" si="149"/>
        <v/>
      </c>
      <c r="NCT23" s="50" t="str">
        <f t="shared" si="149"/>
        <v/>
      </c>
      <c r="NCU23" s="50" t="str">
        <f t="shared" si="149"/>
        <v/>
      </c>
      <c r="NCV23" s="50" t="str">
        <f t="shared" si="149"/>
        <v/>
      </c>
      <c r="NCW23" s="50" t="str">
        <f t="shared" si="149"/>
        <v/>
      </c>
      <c r="NCX23" s="50" t="str">
        <f t="shared" si="149"/>
        <v/>
      </c>
      <c r="NCY23" s="50" t="str">
        <f t="shared" si="149"/>
        <v/>
      </c>
      <c r="NCZ23" s="50" t="str">
        <f t="shared" si="149"/>
        <v/>
      </c>
      <c r="NDA23" s="50" t="str">
        <f t="shared" si="149"/>
        <v/>
      </c>
      <c r="NDB23" s="50" t="str">
        <f t="shared" si="149"/>
        <v/>
      </c>
      <c r="NDC23" s="50" t="str">
        <f t="shared" si="149"/>
        <v/>
      </c>
      <c r="NDD23" s="50" t="str">
        <f t="shared" si="149"/>
        <v/>
      </c>
      <c r="NDE23" s="50" t="str">
        <f t="shared" si="149"/>
        <v/>
      </c>
      <c r="NDF23" s="50" t="str">
        <f t="shared" si="149"/>
        <v/>
      </c>
      <c r="NDG23" s="50" t="str">
        <f t="shared" si="149"/>
        <v/>
      </c>
      <c r="NDH23" s="50" t="str">
        <f t="shared" si="149"/>
        <v/>
      </c>
      <c r="NDI23" s="50" t="str">
        <f t="shared" si="149"/>
        <v/>
      </c>
      <c r="NDJ23" s="50" t="str">
        <f t="shared" si="149"/>
        <v/>
      </c>
      <c r="NDK23" s="50" t="str">
        <f t="shared" si="149"/>
        <v/>
      </c>
      <c r="NDL23" s="50" t="str">
        <f t="shared" si="149"/>
        <v/>
      </c>
      <c r="NDM23" s="50" t="str">
        <f t="shared" si="149"/>
        <v/>
      </c>
      <c r="NDN23" s="50" t="str">
        <f t="shared" si="149"/>
        <v/>
      </c>
      <c r="NDO23" s="50" t="str">
        <f t="shared" si="149"/>
        <v/>
      </c>
      <c r="NDP23" s="50" t="str">
        <f t="shared" si="149"/>
        <v/>
      </c>
      <c r="NDQ23" s="50" t="str">
        <f t="shared" ref="NDQ23:NGB23" si="150">IFERROR(IF(NDP23+TIME(1,0,0)&lt;=$G$12,NDP23+TIME(1,0,0),""),"")</f>
        <v/>
      </c>
      <c r="NDR23" s="50" t="str">
        <f t="shared" si="150"/>
        <v/>
      </c>
      <c r="NDS23" s="50" t="str">
        <f t="shared" si="150"/>
        <v/>
      </c>
      <c r="NDT23" s="50" t="str">
        <f t="shared" si="150"/>
        <v/>
      </c>
      <c r="NDU23" s="50" t="str">
        <f t="shared" si="150"/>
        <v/>
      </c>
      <c r="NDV23" s="50" t="str">
        <f t="shared" si="150"/>
        <v/>
      </c>
      <c r="NDW23" s="50" t="str">
        <f t="shared" si="150"/>
        <v/>
      </c>
      <c r="NDX23" s="50" t="str">
        <f t="shared" si="150"/>
        <v/>
      </c>
      <c r="NDY23" s="50" t="str">
        <f t="shared" si="150"/>
        <v/>
      </c>
      <c r="NDZ23" s="50" t="str">
        <f t="shared" si="150"/>
        <v/>
      </c>
      <c r="NEA23" s="50" t="str">
        <f t="shared" si="150"/>
        <v/>
      </c>
      <c r="NEB23" s="50" t="str">
        <f t="shared" si="150"/>
        <v/>
      </c>
      <c r="NEC23" s="50" t="str">
        <f t="shared" si="150"/>
        <v/>
      </c>
      <c r="NED23" s="50" t="str">
        <f t="shared" si="150"/>
        <v/>
      </c>
      <c r="NEE23" s="50" t="str">
        <f t="shared" si="150"/>
        <v/>
      </c>
      <c r="NEF23" s="50" t="str">
        <f t="shared" si="150"/>
        <v/>
      </c>
      <c r="NEG23" s="50" t="str">
        <f t="shared" si="150"/>
        <v/>
      </c>
      <c r="NEH23" s="50" t="str">
        <f t="shared" si="150"/>
        <v/>
      </c>
      <c r="NEI23" s="50" t="str">
        <f t="shared" si="150"/>
        <v/>
      </c>
      <c r="NEJ23" s="50" t="str">
        <f t="shared" si="150"/>
        <v/>
      </c>
      <c r="NEK23" s="50" t="str">
        <f t="shared" si="150"/>
        <v/>
      </c>
      <c r="NEL23" s="50" t="str">
        <f t="shared" si="150"/>
        <v/>
      </c>
      <c r="NEM23" s="50" t="str">
        <f t="shared" si="150"/>
        <v/>
      </c>
      <c r="NEN23" s="50" t="str">
        <f t="shared" si="150"/>
        <v/>
      </c>
      <c r="NEO23" s="50" t="str">
        <f t="shared" si="150"/>
        <v/>
      </c>
      <c r="NEP23" s="50" t="str">
        <f t="shared" si="150"/>
        <v/>
      </c>
      <c r="NEQ23" s="50" t="str">
        <f t="shared" si="150"/>
        <v/>
      </c>
      <c r="NER23" s="50" t="str">
        <f t="shared" si="150"/>
        <v/>
      </c>
      <c r="NES23" s="50" t="str">
        <f t="shared" si="150"/>
        <v/>
      </c>
      <c r="NET23" s="50" t="str">
        <f t="shared" si="150"/>
        <v/>
      </c>
      <c r="NEU23" s="50" t="str">
        <f t="shared" si="150"/>
        <v/>
      </c>
      <c r="NEV23" s="50" t="str">
        <f t="shared" si="150"/>
        <v/>
      </c>
      <c r="NEW23" s="50" t="str">
        <f t="shared" si="150"/>
        <v/>
      </c>
      <c r="NEX23" s="50" t="str">
        <f t="shared" si="150"/>
        <v/>
      </c>
      <c r="NEY23" s="50" t="str">
        <f t="shared" si="150"/>
        <v/>
      </c>
      <c r="NEZ23" s="50" t="str">
        <f t="shared" si="150"/>
        <v/>
      </c>
      <c r="NFA23" s="50" t="str">
        <f t="shared" si="150"/>
        <v/>
      </c>
      <c r="NFB23" s="50" t="str">
        <f t="shared" si="150"/>
        <v/>
      </c>
      <c r="NFC23" s="50" t="str">
        <f t="shared" si="150"/>
        <v/>
      </c>
      <c r="NFD23" s="50" t="str">
        <f t="shared" si="150"/>
        <v/>
      </c>
      <c r="NFE23" s="50" t="str">
        <f t="shared" si="150"/>
        <v/>
      </c>
      <c r="NFF23" s="50" t="str">
        <f t="shared" si="150"/>
        <v/>
      </c>
      <c r="NFG23" s="50" t="str">
        <f t="shared" si="150"/>
        <v/>
      </c>
      <c r="NFH23" s="50" t="str">
        <f t="shared" si="150"/>
        <v/>
      </c>
      <c r="NFI23" s="50" t="str">
        <f t="shared" si="150"/>
        <v/>
      </c>
      <c r="NFJ23" s="50" t="str">
        <f t="shared" si="150"/>
        <v/>
      </c>
      <c r="NFK23" s="50" t="str">
        <f t="shared" si="150"/>
        <v/>
      </c>
      <c r="NFL23" s="50" t="str">
        <f t="shared" si="150"/>
        <v/>
      </c>
      <c r="NFM23" s="50" t="str">
        <f t="shared" si="150"/>
        <v/>
      </c>
      <c r="NFN23" s="50" t="str">
        <f t="shared" si="150"/>
        <v/>
      </c>
      <c r="NFO23" s="50" t="str">
        <f t="shared" si="150"/>
        <v/>
      </c>
      <c r="NFP23" s="50" t="str">
        <f t="shared" si="150"/>
        <v/>
      </c>
      <c r="NFQ23" s="50" t="str">
        <f t="shared" si="150"/>
        <v/>
      </c>
      <c r="NFR23" s="50" t="str">
        <f t="shared" si="150"/>
        <v/>
      </c>
      <c r="NFS23" s="50" t="str">
        <f t="shared" si="150"/>
        <v/>
      </c>
      <c r="NFT23" s="50" t="str">
        <f t="shared" si="150"/>
        <v/>
      </c>
      <c r="NFU23" s="50" t="str">
        <f t="shared" si="150"/>
        <v/>
      </c>
      <c r="NFV23" s="50" t="str">
        <f t="shared" si="150"/>
        <v/>
      </c>
      <c r="NFW23" s="50" t="str">
        <f t="shared" si="150"/>
        <v/>
      </c>
      <c r="NFX23" s="50" t="str">
        <f t="shared" si="150"/>
        <v/>
      </c>
      <c r="NFY23" s="50" t="str">
        <f t="shared" si="150"/>
        <v/>
      </c>
      <c r="NFZ23" s="50" t="str">
        <f t="shared" si="150"/>
        <v/>
      </c>
      <c r="NGA23" s="50" t="str">
        <f t="shared" si="150"/>
        <v/>
      </c>
      <c r="NGB23" s="50" t="str">
        <f t="shared" si="150"/>
        <v/>
      </c>
      <c r="NGC23" s="50" t="str">
        <f t="shared" ref="NGC23:NIN23" si="151">IFERROR(IF(NGB23+TIME(1,0,0)&lt;=$G$12,NGB23+TIME(1,0,0),""),"")</f>
        <v/>
      </c>
      <c r="NGD23" s="50" t="str">
        <f t="shared" si="151"/>
        <v/>
      </c>
      <c r="NGE23" s="50" t="str">
        <f t="shared" si="151"/>
        <v/>
      </c>
      <c r="NGF23" s="50" t="str">
        <f t="shared" si="151"/>
        <v/>
      </c>
      <c r="NGG23" s="50" t="str">
        <f t="shared" si="151"/>
        <v/>
      </c>
      <c r="NGH23" s="50" t="str">
        <f t="shared" si="151"/>
        <v/>
      </c>
      <c r="NGI23" s="50" t="str">
        <f t="shared" si="151"/>
        <v/>
      </c>
      <c r="NGJ23" s="50" t="str">
        <f t="shared" si="151"/>
        <v/>
      </c>
      <c r="NGK23" s="50" t="str">
        <f t="shared" si="151"/>
        <v/>
      </c>
      <c r="NGL23" s="50" t="str">
        <f t="shared" si="151"/>
        <v/>
      </c>
      <c r="NGM23" s="50" t="str">
        <f t="shared" si="151"/>
        <v/>
      </c>
      <c r="NGN23" s="50" t="str">
        <f t="shared" si="151"/>
        <v/>
      </c>
      <c r="NGO23" s="50" t="str">
        <f t="shared" si="151"/>
        <v/>
      </c>
      <c r="NGP23" s="50" t="str">
        <f t="shared" si="151"/>
        <v/>
      </c>
      <c r="NGQ23" s="50" t="str">
        <f t="shared" si="151"/>
        <v/>
      </c>
      <c r="NGR23" s="50" t="str">
        <f t="shared" si="151"/>
        <v/>
      </c>
      <c r="NGS23" s="50" t="str">
        <f t="shared" si="151"/>
        <v/>
      </c>
      <c r="NGT23" s="50" t="str">
        <f t="shared" si="151"/>
        <v/>
      </c>
      <c r="NGU23" s="50" t="str">
        <f t="shared" si="151"/>
        <v/>
      </c>
      <c r="NGV23" s="50" t="str">
        <f t="shared" si="151"/>
        <v/>
      </c>
      <c r="NGW23" s="50" t="str">
        <f t="shared" si="151"/>
        <v/>
      </c>
      <c r="NGX23" s="50" t="str">
        <f t="shared" si="151"/>
        <v/>
      </c>
      <c r="NGY23" s="50" t="str">
        <f t="shared" si="151"/>
        <v/>
      </c>
      <c r="NGZ23" s="50" t="str">
        <f t="shared" si="151"/>
        <v/>
      </c>
      <c r="NHA23" s="50" t="str">
        <f t="shared" si="151"/>
        <v/>
      </c>
      <c r="NHB23" s="50" t="str">
        <f t="shared" si="151"/>
        <v/>
      </c>
      <c r="NHC23" s="50" t="str">
        <f t="shared" si="151"/>
        <v/>
      </c>
      <c r="NHD23" s="50" t="str">
        <f t="shared" si="151"/>
        <v/>
      </c>
      <c r="NHE23" s="50" t="str">
        <f t="shared" si="151"/>
        <v/>
      </c>
      <c r="NHF23" s="50" t="str">
        <f t="shared" si="151"/>
        <v/>
      </c>
      <c r="NHG23" s="50" t="str">
        <f t="shared" si="151"/>
        <v/>
      </c>
      <c r="NHH23" s="50" t="str">
        <f t="shared" si="151"/>
        <v/>
      </c>
      <c r="NHI23" s="50" t="str">
        <f t="shared" si="151"/>
        <v/>
      </c>
      <c r="NHJ23" s="50" t="str">
        <f t="shared" si="151"/>
        <v/>
      </c>
      <c r="NHK23" s="50" t="str">
        <f t="shared" si="151"/>
        <v/>
      </c>
      <c r="NHL23" s="50" t="str">
        <f t="shared" si="151"/>
        <v/>
      </c>
      <c r="NHM23" s="50" t="str">
        <f t="shared" si="151"/>
        <v/>
      </c>
      <c r="NHN23" s="50" t="str">
        <f t="shared" si="151"/>
        <v/>
      </c>
      <c r="NHO23" s="50" t="str">
        <f t="shared" si="151"/>
        <v/>
      </c>
      <c r="NHP23" s="50" t="str">
        <f t="shared" si="151"/>
        <v/>
      </c>
      <c r="NHQ23" s="50" t="str">
        <f t="shared" si="151"/>
        <v/>
      </c>
      <c r="NHR23" s="50" t="str">
        <f t="shared" si="151"/>
        <v/>
      </c>
      <c r="NHS23" s="50" t="str">
        <f t="shared" si="151"/>
        <v/>
      </c>
      <c r="NHT23" s="50" t="str">
        <f t="shared" si="151"/>
        <v/>
      </c>
      <c r="NHU23" s="50" t="str">
        <f t="shared" si="151"/>
        <v/>
      </c>
      <c r="NHV23" s="50" t="str">
        <f t="shared" si="151"/>
        <v/>
      </c>
      <c r="NHW23" s="50" t="str">
        <f t="shared" si="151"/>
        <v/>
      </c>
      <c r="NHX23" s="50" t="str">
        <f t="shared" si="151"/>
        <v/>
      </c>
      <c r="NHY23" s="50" t="str">
        <f t="shared" si="151"/>
        <v/>
      </c>
      <c r="NHZ23" s="50" t="str">
        <f t="shared" si="151"/>
        <v/>
      </c>
      <c r="NIA23" s="50" t="str">
        <f t="shared" si="151"/>
        <v/>
      </c>
      <c r="NIB23" s="50" t="str">
        <f t="shared" si="151"/>
        <v/>
      </c>
      <c r="NIC23" s="50" t="str">
        <f t="shared" si="151"/>
        <v/>
      </c>
      <c r="NID23" s="50" t="str">
        <f t="shared" si="151"/>
        <v/>
      </c>
      <c r="NIE23" s="50" t="str">
        <f t="shared" si="151"/>
        <v/>
      </c>
      <c r="NIF23" s="50" t="str">
        <f t="shared" si="151"/>
        <v/>
      </c>
      <c r="NIG23" s="50" t="str">
        <f t="shared" si="151"/>
        <v/>
      </c>
      <c r="NIH23" s="50" t="str">
        <f t="shared" si="151"/>
        <v/>
      </c>
      <c r="NII23" s="50" t="str">
        <f t="shared" si="151"/>
        <v/>
      </c>
      <c r="NIJ23" s="50" t="str">
        <f t="shared" si="151"/>
        <v/>
      </c>
      <c r="NIK23" s="50" t="str">
        <f t="shared" si="151"/>
        <v/>
      </c>
      <c r="NIL23" s="50" t="str">
        <f t="shared" si="151"/>
        <v/>
      </c>
      <c r="NIM23" s="50" t="str">
        <f t="shared" si="151"/>
        <v/>
      </c>
      <c r="NIN23" s="50" t="str">
        <f t="shared" si="151"/>
        <v/>
      </c>
      <c r="NIO23" s="50" t="str">
        <f t="shared" ref="NIO23:NKZ23" si="152">IFERROR(IF(NIN23+TIME(1,0,0)&lt;=$G$12,NIN23+TIME(1,0,0),""),"")</f>
        <v/>
      </c>
      <c r="NIP23" s="50" t="str">
        <f t="shared" si="152"/>
        <v/>
      </c>
      <c r="NIQ23" s="50" t="str">
        <f t="shared" si="152"/>
        <v/>
      </c>
      <c r="NIR23" s="50" t="str">
        <f t="shared" si="152"/>
        <v/>
      </c>
      <c r="NIS23" s="50" t="str">
        <f t="shared" si="152"/>
        <v/>
      </c>
      <c r="NIT23" s="50" t="str">
        <f t="shared" si="152"/>
        <v/>
      </c>
      <c r="NIU23" s="50" t="str">
        <f t="shared" si="152"/>
        <v/>
      </c>
      <c r="NIV23" s="50" t="str">
        <f t="shared" si="152"/>
        <v/>
      </c>
      <c r="NIW23" s="50" t="str">
        <f t="shared" si="152"/>
        <v/>
      </c>
      <c r="NIX23" s="50" t="str">
        <f t="shared" si="152"/>
        <v/>
      </c>
      <c r="NIY23" s="50" t="str">
        <f t="shared" si="152"/>
        <v/>
      </c>
      <c r="NIZ23" s="50" t="str">
        <f t="shared" si="152"/>
        <v/>
      </c>
      <c r="NJA23" s="50" t="str">
        <f t="shared" si="152"/>
        <v/>
      </c>
      <c r="NJB23" s="50" t="str">
        <f t="shared" si="152"/>
        <v/>
      </c>
      <c r="NJC23" s="50" t="str">
        <f t="shared" si="152"/>
        <v/>
      </c>
      <c r="NJD23" s="50" t="str">
        <f t="shared" si="152"/>
        <v/>
      </c>
      <c r="NJE23" s="50" t="str">
        <f t="shared" si="152"/>
        <v/>
      </c>
      <c r="NJF23" s="50" t="str">
        <f t="shared" si="152"/>
        <v/>
      </c>
      <c r="NJG23" s="50" t="str">
        <f t="shared" si="152"/>
        <v/>
      </c>
      <c r="NJH23" s="50" t="str">
        <f t="shared" si="152"/>
        <v/>
      </c>
      <c r="NJI23" s="50" t="str">
        <f t="shared" si="152"/>
        <v/>
      </c>
      <c r="NJJ23" s="50" t="str">
        <f t="shared" si="152"/>
        <v/>
      </c>
      <c r="NJK23" s="50" t="str">
        <f t="shared" si="152"/>
        <v/>
      </c>
      <c r="NJL23" s="50" t="str">
        <f t="shared" si="152"/>
        <v/>
      </c>
      <c r="NJM23" s="50" t="str">
        <f t="shared" si="152"/>
        <v/>
      </c>
      <c r="NJN23" s="50" t="str">
        <f t="shared" si="152"/>
        <v/>
      </c>
      <c r="NJO23" s="50" t="str">
        <f t="shared" si="152"/>
        <v/>
      </c>
      <c r="NJP23" s="50" t="str">
        <f t="shared" si="152"/>
        <v/>
      </c>
      <c r="NJQ23" s="50" t="str">
        <f t="shared" si="152"/>
        <v/>
      </c>
      <c r="NJR23" s="50" t="str">
        <f t="shared" si="152"/>
        <v/>
      </c>
      <c r="NJS23" s="50" t="str">
        <f t="shared" si="152"/>
        <v/>
      </c>
      <c r="NJT23" s="50" t="str">
        <f t="shared" si="152"/>
        <v/>
      </c>
      <c r="NJU23" s="50" t="str">
        <f t="shared" si="152"/>
        <v/>
      </c>
      <c r="NJV23" s="50" t="str">
        <f t="shared" si="152"/>
        <v/>
      </c>
      <c r="NJW23" s="50" t="str">
        <f t="shared" si="152"/>
        <v/>
      </c>
      <c r="NJX23" s="50" t="str">
        <f t="shared" si="152"/>
        <v/>
      </c>
      <c r="NJY23" s="50" t="str">
        <f t="shared" si="152"/>
        <v/>
      </c>
      <c r="NJZ23" s="50" t="str">
        <f t="shared" si="152"/>
        <v/>
      </c>
      <c r="NKA23" s="50" t="str">
        <f t="shared" si="152"/>
        <v/>
      </c>
      <c r="NKB23" s="50" t="str">
        <f t="shared" si="152"/>
        <v/>
      </c>
      <c r="NKC23" s="50" t="str">
        <f t="shared" si="152"/>
        <v/>
      </c>
      <c r="NKD23" s="50" t="str">
        <f t="shared" si="152"/>
        <v/>
      </c>
      <c r="NKE23" s="50" t="str">
        <f t="shared" si="152"/>
        <v/>
      </c>
      <c r="NKF23" s="50" t="str">
        <f t="shared" si="152"/>
        <v/>
      </c>
      <c r="NKG23" s="50" t="str">
        <f t="shared" si="152"/>
        <v/>
      </c>
      <c r="NKH23" s="50" t="str">
        <f t="shared" si="152"/>
        <v/>
      </c>
      <c r="NKI23" s="50" t="str">
        <f t="shared" si="152"/>
        <v/>
      </c>
      <c r="NKJ23" s="50" t="str">
        <f t="shared" si="152"/>
        <v/>
      </c>
      <c r="NKK23" s="50" t="str">
        <f t="shared" si="152"/>
        <v/>
      </c>
      <c r="NKL23" s="50" t="str">
        <f t="shared" si="152"/>
        <v/>
      </c>
      <c r="NKM23" s="50" t="str">
        <f t="shared" si="152"/>
        <v/>
      </c>
      <c r="NKN23" s="50" t="str">
        <f t="shared" si="152"/>
        <v/>
      </c>
      <c r="NKO23" s="50" t="str">
        <f t="shared" si="152"/>
        <v/>
      </c>
      <c r="NKP23" s="50" t="str">
        <f t="shared" si="152"/>
        <v/>
      </c>
      <c r="NKQ23" s="50" t="str">
        <f t="shared" si="152"/>
        <v/>
      </c>
      <c r="NKR23" s="50" t="str">
        <f t="shared" si="152"/>
        <v/>
      </c>
      <c r="NKS23" s="50" t="str">
        <f t="shared" si="152"/>
        <v/>
      </c>
      <c r="NKT23" s="50" t="str">
        <f t="shared" si="152"/>
        <v/>
      </c>
      <c r="NKU23" s="50" t="str">
        <f t="shared" si="152"/>
        <v/>
      </c>
      <c r="NKV23" s="50" t="str">
        <f t="shared" si="152"/>
        <v/>
      </c>
      <c r="NKW23" s="50" t="str">
        <f t="shared" si="152"/>
        <v/>
      </c>
      <c r="NKX23" s="50" t="str">
        <f t="shared" si="152"/>
        <v/>
      </c>
      <c r="NKY23" s="50" t="str">
        <f t="shared" si="152"/>
        <v/>
      </c>
      <c r="NKZ23" s="50" t="str">
        <f t="shared" si="152"/>
        <v/>
      </c>
      <c r="NLA23" s="50" t="str">
        <f t="shared" ref="NLA23:NNL23" si="153">IFERROR(IF(NKZ23+TIME(1,0,0)&lt;=$G$12,NKZ23+TIME(1,0,0),""),"")</f>
        <v/>
      </c>
      <c r="NLB23" s="50" t="str">
        <f t="shared" si="153"/>
        <v/>
      </c>
      <c r="NLC23" s="50" t="str">
        <f t="shared" si="153"/>
        <v/>
      </c>
      <c r="NLD23" s="50" t="str">
        <f t="shared" si="153"/>
        <v/>
      </c>
      <c r="NLE23" s="50" t="str">
        <f t="shared" si="153"/>
        <v/>
      </c>
      <c r="NLF23" s="50" t="str">
        <f t="shared" si="153"/>
        <v/>
      </c>
      <c r="NLG23" s="50" t="str">
        <f t="shared" si="153"/>
        <v/>
      </c>
      <c r="NLH23" s="50" t="str">
        <f t="shared" si="153"/>
        <v/>
      </c>
      <c r="NLI23" s="50" t="str">
        <f t="shared" si="153"/>
        <v/>
      </c>
      <c r="NLJ23" s="50" t="str">
        <f t="shared" si="153"/>
        <v/>
      </c>
      <c r="NLK23" s="50" t="str">
        <f t="shared" si="153"/>
        <v/>
      </c>
      <c r="NLL23" s="50" t="str">
        <f t="shared" si="153"/>
        <v/>
      </c>
      <c r="NLM23" s="50" t="str">
        <f t="shared" si="153"/>
        <v/>
      </c>
      <c r="NLN23" s="50" t="str">
        <f t="shared" si="153"/>
        <v/>
      </c>
      <c r="NLO23" s="50" t="str">
        <f t="shared" si="153"/>
        <v/>
      </c>
      <c r="NLP23" s="50" t="str">
        <f t="shared" si="153"/>
        <v/>
      </c>
      <c r="NLQ23" s="50" t="str">
        <f t="shared" si="153"/>
        <v/>
      </c>
      <c r="NLR23" s="50" t="str">
        <f t="shared" si="153"/>
        <v/>
      </c>
      <c r="NLS23" s="50" t="str">
        <f t="shared" si="153"/>
        <v/>
      </c>
      <c r="NLT23" s="50" t="str">
        <f t="shared" si="153"/>
        <v/>
      </c>
      <c r="NLU23" s="50" t="str">
        <f t="shared" si="153"/>
        <v/>
      </c>
      <c r="NLV23" s="50" t="str">
        <f t="shared" si="153"/>
        <v/>
      </c>
      <c r="NLW23" s="50" t="str">
        <f t="shared" si="153"/>
        <v/>
      </c>
      <c r="NLX23" s="50" t="str">
        <f t="shared" si="153"/>
        <v/>
      </c>
      <c r="NLY23" s="50" t="str">
        <f t="shared" si="153"/>
        <v/>
      </c>
      <c r="NLZ23" s="50" t="str">
        <f t="shared" si="153"/>
        <v/>
      </c>
      <c r="NMA23" s="50" t="str">
        <f t="shared" si="153"/>
        <v/>
      </c>
      <c r="NMB23" s="50" t="str">
        <f t="shared" si="153"/>
        <v/>
      </c>
      <c r="NMC23" s="50" t="str">
        <f t="shared" si="153"/>
        <v/>
      </c>
      <c r="NMD23" s="50" t="str">
        <f t="shared" si="153"/>
        <v/>
      </c>
      <c r="NME23" s="50" t="str">
        <f t="shared" si="153"/>
        <v/>
      </c>
      <c r="NMF23" s="50" t="str">
        <f t="shared" si="153"/>
        <v/>
      </c>
      <c r="NMG23" s="50" t="str">
        <f t="shared" si="153"/>
        <v/>
      </c>
      <c r="NMH23" s="50" t="str">
        <f t="shared" si="153"/>
        <v/>
      </c>
      <c r="NMI23" s="50" t="str">
        <f t="shared" si="153"/>
        <v/>
      </c>
      <c r="NMJ23" s="50" t="str">
        <f t="shared" si="153"/>
        <v/>
      </c>
      <c r="NMK23" s="50" t="str">
        <f t="shared" si="153"/>
        <v/>
      </c>
      <c r="NML23" s="50" t="str">
        <f t="shared" si="153"/>
        <v/>
      </c>
      <c r="NMM23" s="50" t="str">
        <f t="shared" si="153"/>
        <v/>
      </c>
      <c r="NMN23" s="50" t="str">
        <f t="shared" si="153"/>
        <v/>
      </c>
      <c r="NMO23" s="50" t="str">
        <f t="shared" si="153"/>
        <v/>
      </c>
      <c r="NMP23" s="50" t="str">
        <f t="shared" si="153"/>
        <v/>
      </c>
      <c r="NMQ23" s="50" t="str">
        <f t="shared" si="153"/>
        <v/>
      </c>
      <c r="NMR23" s="50" t="str">
        <f t="shared" si="153"/>
        <v/>
      </c>
      <c r="NMS23" s="50" t="str">
        <f t="shared" si="153"/>
        <v/>
      </c>
      <c r="NMT23" s="50" t="str">
        <f t="shared" si="153"/>
        <v/>
      </c>
      <c r="NMU23" s="50" t="str">
        <f t="shared" si="153"/>
        <v/>
      </c>
      <c r="NMV23" s="50" t="str">
        <f t="shared" si="153"/>
        <v/>
      </c>
      <c r="NMW23" s="50" t="str">
        <f t="shared" si="153"/>
        <v/>
      </c>
      <c r="NMX23" s="50" t="str">
        <f t="shared" si="153"/>
        <v/>
      </c>
      <c r="NMY23" s="50" t="str">
        <f t="shared" si="153"/>
        <v/>
      </c>
      <c r="NMZ23" s="50" t="str">
        <f t="shared" si="153"/>
        <v/>
      </c>
      <c r="NNA23" s="50" t="str">
        <f t="shared" si="153"/>
        <v/>
      </c>
      <c r="NNB23" s="50" t="str">
        <f t="shared" si="153"/>
        <v/>
      </c>
      <c r="NNC23" s="50" t="str">
        <f t="shared" si="153"/>
        <v/>
      </c>
      <c r="NND23" s="50" t="str">
        <f t="shared" si="153"/>
        <v/>
      </c>
      <c r="NNE23" s="50" t="str">
        <f t="shared" si="153"/>
        <v/>
      </c>
      <c r="NNF23" s="50" t="str">
        <f t="shared" si="153"/>
        <v/>
      </c>
      <c r="NNG23" s="50" t="str">
        <f t="shared" si="153"/>
        <v/>
      </c>
      <c r="NNH23" s="50" t="str">
        <f t="shared" si="153"/>
        <v/>
      </c>
      <c r="NNI23" s="50" t="str">
        <f t="shared" si="153"/>
        <v/>
      </c>
      <c r="NNJ23" s="50" t="str">
        <f t="shared" si="153"/>
        <v/>
      </c>
      <c r="NNK23" s="50" t="str">
        <f t="shared" si="153"/>
        <v/>
      </c>
      <c r="NNL23" s="50" t="str">
        <f t="shared" si="153"/>
        <v/>
      </c>
      <c r="NNM23" s="50" t="str">
        <f t="shared" ref="NNM23:NPX23" si="154">IFERROR(IF(NNL23+TIME(1,0,0)&lt;=$G$12,NNL23+TIME(1,0,0),""),"")</f>
        <v/>
      </c>
      <c r="NNN23" s="50" t="str">
        <f t="shared" si="154"/>
        <v/>
      </c>
      <c r="NNO23" s="50" t="str">
        <f t="shared" si="154"/>
        <v/>
      </c>
      <c r="NNP23" s="50" t="str">
        <f t="shared" si="154"/>
        <v/>
      </c>
      <c r="NNQ23" s="50" t="str">
        <f t="shared" si="154"/>
        <v/>
      </c>
      <c r="NNR23" s="50" t="str">
        <f t="shared" si="154"/>
        <v/>
      </c>
      <c r="NNS23" s="50" t="str">
        <f t="shared" si="154"/>
        <v/>
      </c>
      <c r="NNT23" s="50" t="str">
        <f t="shared" si="154"/>
        <v/>
      </c>
      <c r="NNU23" s="50" t="str">
        <f t="shared" si="154"/>
        <v/>
      </c>
      <c r="NNV23" s="50" t="str">
        <f t="shared" si="154"/>
        <v/>
      </c>
      <c r="NNW23" s="50" t="str">
        <f t="shared" si="154"/>
        <v/>
      </c>
      <c r="NNX23" s="50" t="str">
        <f t="shared" si="154"/>
        <v/>
      </c>
      <c r="NNY23" s="50" t="str">
        <f t="shared" si="154"/>
        <v/>
      </c>
      <c r="NNZ23" s="50" t="str">
        <f t="shared" si="154"/>
        <v/>
      </c>
      <c r="NOA23" s="50" t="str">
        <f t="shared" si="154"/>
        <v/>
      </c>
      <c r="NOB23" s="50" t="str">
        <f t="shared" si="154"/>
        <v/>
      </c>
      <c r="NOC23" s="50" t="str">
        <f t="shared" si="154"/>
        <v/>
      </c>
      <c r="NOD23" s="50" t="str">
        <f t="shared" si="154"/>
        <v/>
      </c>
      <c r="NOE23" s="50" t="str">
        <f t="shared" si="154"/>
        <v/>
      </c>
      <c r="NOF23" s="50" t="str">
        <f t="shared" si="154"/>
        <v/>
      </c>
      <c r="NOG23" s="50" t="str">
        <f t="shared" si="154"/>
        <v/>
      </c>
      <c r="NOH23" s="50" t="str">
        <f t="shared" si="154"/>
        <v/>
      </c>
      <c r="NOI23" s="50" t="str">
        <f t="shared" si="154"/>
        <v/>
      </c>
      <c r="NOJ23" s="50" t="str">
        <f t="shared" si="154"/>
        <v/>
      </c>
      <c r="NOK23" s="50" t="str">
        <f t="shared" si="154"/>
        <v/>
      </c>
      <c r="NOL23" s="50" t="str">
        <f t="shared" si="154"/>
        <v/>
      </c>
      <c r="NOM23" s="50" t="str">
        <f t="shared" si="154"/>
        <v/>
      </c>
      <c r="NON23" s="50" t="str">
        <f t="shared" si="154"/>
        <v/>
      </c>
      <c r="NOO23" s="50" t="str">
        <f t="shared" si="154"/>
        <v/>
      </c>
      <c r="NOP23" s="50" t="str">
        <f t="shared" si="154"/>
        <v/>
      </c>
      <c r="NOQ23" s="50" t="str">
        <f t="shared" si="154"/>
        <v/>
      </c>
      <c r="NOR23" s="50" t="str">
        <f t="shared" si="154"/>
        <v/>
      </c>
      <c r="NOS23" s="50" t="str">
        <f t="shared" si="154"/>
        <v/>
      </c>
      <c r="NOT23" s="50" t="str">
        <f t="shared" si="154"/>
        <v/>
      </c>
      <c r="NOU23" s="50" t="str">
        <f t="shared" si="154"/>
        <v/>
      </c>
      <c r="NOV23" s="50" t="str">
        <f t="shared" si="154"/>
        <v/>
      </c>
      <c r="NOW23" s="50" t="str">
        <f t="shared" si="154"/>
        <v/>
      </c>
      <c r="NOX23" s="50" t="str">
        <f t="shared" si="154"/>
        <v/>
      </c>
      <c r="NOY23" s="50" t="str">
        <f t="shared" si="154"/>
        <v/>
      </c>
      <c r="NOZ23" s="50" t="str">
        <f t="shared" si="154"/>
        <v/>
      </c>
      <c r="NPA23" s="50" t="str">
        <f t="shared" si="154"/>
        <v/>
      </c>
      <c r="NPB23" s="50" t="str">
        <f t="shared" si="154"/>
        <v/>
      </c>
      <c r="NPC23" s="50" t="str">
        <f t="shared" si="154"/>
        <v/>
      </c>
      <c r="NPD23" s="50" t="str">
        <f t="shared" si="154"/>
        <v/>
      </c>
      <c r="NPE23" s="50" t="str">
        <f t="shared" si="154"/>
        <v/>
      </c>
      <c r="NPF23" s="50" t="str">
        <f t="shared" si="154"/>
        <v/>
      </c>
      <c r="NPG23" s="50" t="str">
        <f t="shared" si="154"/>
        <v/>
      </c>
      <c r="NPH23" s="50" t="str">
        <f t="shared" si="154"/>
        <v/>
      </c>
      <c r="NPI23" s="50" t="str">
        <f t="shared" si="154"/>
        <v/>
      </c>
      <c r="NPJ23" s="50" t="str">
        <f t="shared" si="154"/>
        <v/>
      </c>
      <c r="NPK23" s="50" t="str">
        <f t="shared" si="154"/>
        <v/>
      </c>
      <c r="NPL23" s="50" t="str">
        <f t="shared" si="154"/>
        <v/>
      </c>
      <c r="NPM23" s="50" t="str">
        <f t="shared" si="154"/>
        <v/>
      </c>
      <c r="NPN23" s="50" t="str">
        <f t="shared" si="154"/>
        <v/>
      </c>
      <c r="NPO23" s="50" t="str">
        <f t="shared" si="154"/>
        <v/>
      </c>
      <c r="NPP23" s="50" t="str">
        <f t="shared" si="154"/>
        <v/>
      </c>
      <c r="NPQ23" s="50" t="str">
        <f t="shared" si="154"/>
        <v/>
      </c>
      <c r="NPR23" s="50" t="str">
        <f t="shared" si="154"/>
        <v/>
      </c>
      <c r="NPS23" s="50" t="str">
        <f t="shared" si="154"/>
        <v/>
      </c>
      <c r="NPT23" s="50" t="str">
        <f t="shared" si="154"/>
        <v/>
      </c>
      <c r="NPU23" s="50" t="str">
        <f t="shared" si="154"/>
        <v/>
      </c>
      <c r="NPV23" s="50" t="str">
        <f t="shared" si="154"/>
        <v/>
      </c>
      <c r="NPW23" s="50" t="str">
        <f t="shared" si="154"/>
        <v/>
      </c>
      <c r="NPX23" s="50" t="str">
        <f t="shared" si="154"/>
        <v/>
      </c>
      <c r="NPY23" s="50" t="str">
        <f t="shared" ref="NPY23:NSJ23" si="155">IFERROR(IF(NPX23+TIME(1,0,0)&lt;=$G$12,NPX23+TIME(1,0,0),""),"")</f>
        <v/>
      </c>
      <c r="NPZ23" s="50" t="str">
        <f t="shared" si="155"/>
        <v/>
      </c>
      <c r="NQA23" s="50" t="str">
        <f t="shared" si="155"/>
        <v/>
      </c>
      <c r="NQB23" s="50" t="str">
        <f t="shared" si="155"/>
        <v/>
      </c>
      <c r="NQC23" s="50" t="str">
        <f t="shared" si="155"/>
        <v/>
      </c>
      <c r="NQD23" s="50" t="str">
        <f t="shared" si="155"/>
        <v/>
      </c>
      <c r="NQE23" s="50" t="str">
        <f t="shared" si="155"/>
        <v/>
      </c>
      <c r="NQF23" s="50" t="str">
        <f t="shared" si="155"/>
        <v/>
      </c>
      <c r="NQG23" s="50" t="str">
        <f t="shared" si="155"/>
        <v/>
      </c>
      <c r="NQH23" s="50" t="str">
        <f t="shared" si="155"/>
        <v/>
      </c>
      <c r="NQI23" s="50" t="str">
        <f t="shared" si="155"/>
        <v/>
      </c>
      <c r="NQJ23" s="50" t="str">
        <f t="shared" si="155"/>
        <v/>
      </c>
      <c r="NQK23" s="50" t="str">
        <f t="shared" si="155"/>
        <v/>
      </c>
      <c r="NQL23" s="50" t="str">
        <f t="shared" si="155"/>
        <v/>
      </c>
      <c r="NQM23" s="50" t="str">
        <f t="shared" si="155"/>
        <v/>
      </c>
      <c r="NQN23" s="50" t="str">
        <f t="shared" si="155"/>
        <v/>
      </c>
      <c r="NQO23" s="50" t="str">
        <f t="shared" si="155"/>
        <v/>
      </c>
      <c r="NQP23" s="50" t="str">
        <f t="shared" si="155"/>
        <v/>
      </c>
      <c r="NQQ23" s="50" t="str">
        <f t="shared" si="155"/>
        <v/>
      </c>
      <c r="NQR23" s="50" t="str">
        <f t="shared" si="155"/>
        <v/>
      </c>
      <c r="NQS23" s="50" t="str">
        <f t="shared" si="155"/>
        <v/>
      </c>
      <c r="NQT23" s="50" t="str">
        <f t="shared" si="155"/>
        <v/>
      </c>
      <c r="NQU23" s="50" t="str">
        <f t="shared" si="155"/>
        <v/>
      </c>
      <c r="NQV23" s="50" t="str">
        <f t="shared" si="155"/>
        <v/>
      </c>
      <c r="NQW23" s="50" t="str">
        <f t="shared" si="155"/>
        <v/>
      </c>
      <c r="NQX23" s="50" t="str">
        <f t="shared" si="155"/>
        <v/>
      </c>
      <c r="NQY23" s="50" t="str">
        <f t="shared" si="155"/>
        <v/>
      </c>
      <c r="NQZ23" s="50" t="str">
        <f t="shared" si="155"/>
        <v/>
      </c>
      <c r="NRA23" s="50" t="str">
        <f t="shared" si="155"/>
        <v/>
      </c>
      <c r="NRB23" s="50" t="str">
        <f t="shared" si="155"/>
        <v/>
      </c>
      <c r="NRC23" s="50" t="str">
        <f t="shared" si="155"/>
        <v/>
      </c>
      <c r="NRD23" s="50" t="str">
        <f t="shared" si="155"/>
        <v/>
      </c>
      <c r="NRE23" s="50" t="str">
        <f t="shared" si="155"/>
        <v/>
      </c>
      <c r="NRF23" s="50" t="str">
        <f t="shared" si="155"/>
        <v/>
      </c>
      <c r="NRG23" s="50" t="str">
        <f t="shared" si="155"/>
        <v/>
      </c>
      <c r="NRH23" s="50" t="str">
        <f t="shared" si="155"/>
        <v/>
      </c>
      <c r="NRI23" s="50" t="str">
        <f t="shared" si="155"/>
        <v/>
      </c>
      <c r="NRJ23" s="50" t="str">
        <f t="shared" si="155"/>
        <v/>
      </c>
      <c r="NRK23" s="50" t="str">
        <f t="shared" si="155"/>
        <v/>
      </c>
      <c r="NRL23" s="50" t="str">
        <f t="shared" si="155"/>
        <v/>
      </c>
      <c r="NRM23" s="50" t="str">
        <f t="shared" si="155"/>
        <v/>
      </c>
      <c r="NRN23" s="50" t="str">
        <f t="shared" si="155"/>
        <v/>
      </c>
      <c r="NRO23" s="50" t="str">
        <f t="shared" si="155"/>
        <v/>
      </c>
      <c r="NRP23" s="50" t="str">
        <f t="shared" si="155"/>
        <v/>
      </c>
      <c r="NRQ23" s="50" t="str">
        <f t="shared" si="155"/>
        <v/>
      </c>
      <c r="NRR23" s="50" t="str">
        <f t="shared" si="155"/>
        <v/>
      </c>
      <c r="NRS23" s="50" t="str">
        <f t="shared" si="155"/>
        <v/>
      </c>
      <c r="NRT23" s="50" t="str">
        <f t="shared" si="155"/>
        <v/>
      </c>
      <c r="NRU23" s="50" t="str">
        <f t="shared" si="155"/>
        <v/>
      </c>
      <c r="NRV23" s="50" t="str">
        <f t="shared" si="155"/>
        <v/>
      </c>
      <c r="NRW23" s="50" t="str">
        <f t="shared" si="155"/>
        <v/>
      </c>
      <c r="NRX23" s="50" t="str">
        <f t="shared" si="155"/>
        <v/>
      </c>
      <c r="NRY23" s="50" t="str">
        <f t="shared" si="155"/>
        <v/>
      </c>
      <c r="NRZ23" s="50" t="str">
        <f t="shared" si="155"/>
        <v/>
      </c>
      <c r="NSA23" s="50" t="str">
        <f t="shared" si="155"/>
        <v/>
      </c>
      <c r="NSB23" s="50" t="str">
        <f t="shared" si="155"/>
        <v/>
      </c>
      <c r="NSC23" s="50" t="str">
        <f t="shared" si="155"/>
        <v/>
      </c>
      <c r="NSD23" s="50" t="str">
        <f t="shared" si="155"/>
        <v/>
      </c>
      <c r="NSE23" s="50" t="str">
        <f t="shared" si="155"/>
        <v/>
      </c>
      <c r="NSF23" s="50" t="str">
        <f t="shared" si="155"/>
        <v/>
      </c>
      <c r="NSG23" s="50" t="str">
        <f t="shared" si="155"/>
        <v/>
      </c>
      <c r="NSH23" s="50" t="str">
        <f t="shared" si="155"/>
        <v/>
      </c>
      <c r="NSI23" s="50" t="str">
        <f t="shared" si="155"/>
        <v/>
      </c>
      <c r="NSJ23" s="50" t="str">
        <f t="shared" si="155"/>
        <v/>
      </c>
      <c r="NSK23" s="50" t="str">
        <f t="shared" ref="NSK23:NUV23" si="156">IFERROR(IF(NSJ23+TIME(1,0,0)&lt;=$G$12,NSJ23+TIME(1,0,0),""),"")</f>
        <v/>
      </c>
      <c r="NSL23" s="50" t="str">
        <f t="shared" si="156"/>
        <v/>
      </c>
      <c r="NSM23" s="50" t="str">
        <f t="shared" si="156"/>
        <v/>
      </c>
      <c r="NSN23" s="50" t="str">
        <f t="shared" si="156"/>
        <v/>
      </c>
      <c r="NSO23" s="50" t="str">
        <f t="shared" si="156"/>
        <v/>
      </c>
      <c r="NSP23" s="50" t="str">
        <f t="shared" si="156"/>
        <v/>
      </c>
      <c r="NSQ23" s="50" t="str">
        <f t="shared" si="156"/>
        <v/>
      </c>
      <c r="NSR23" s="50" t="str">
        <f t="shared" si="156"/>
        <v/>
      </c>
      <c r="NSS23" s="50" t="str">
        <f t="shared" si="156"/>
        <v/>
      </c>
      <c r="NST23" s="50" t="str">
        <f t="shared" si="156"/>
        <v/>
      </c>
      <c r="NSU23" s="50" t="str">
        <f t="shared" si="156"/>
        <v/>
      </c>
      <c r="NSV23" s="50" t="str">
        <f t="shared" si="156"/>
        <v/>
      </c>
      <c r="NSW23" s="50" t="str">
        <f t="shared" si="156"/>
        <v/>
      </c>
      <c r="NSX23" s="50" t="str">
        <f t="shared" si="156"/>
        <v/>
      </c>
      <c r="NSY23" s="50" t="str">
        <f t="shared" si="156"/>
        <v/>
      </c>
      <c r="NSZ23" s="50" t="str">
        <f t="shared" si="156"/>
        <v/>
      </c>
      <c r="NTA23" s="50" t="str">
        <f t="shared" si="156"/>
        <v/>
      </c>
      <c r="NTB23" s="50" t="str">
        <f t="shared" si="156"/>
        <v/>
      </c>
      <c r="NTC23" s="50" t="str">
        <f t="shared" si="156"/>
        <v/>
      </c>
      <c r="NTD23" s="50" t="str">
        <f t="shared" si="156"/>
        <v/>
      </c>
      <c r="NTE23" s="50" t="str">
        <f t="shared" si="156"/>
        <v/>
      </c>
      <c r="NTF23" s="50" t="str">
        <f t="shared" si="156"/>
        <v/>
      </c>
      <c r="NTG23" s="50" t="str">
        <f t="shared" si="156"/>
        <v/>
      </c>
      <c r="NTH23" s="50" t="str">
        <f t="shared" si="156"/>
        <v/>
      </c>
      <c r="NTI23" s="50" t="str">
        <f t="shared" si="156"/>
        <v/>
      </c>
      <c r="NTJ23" s="50" t="str">
        <f t="shared" si="156"/>
        <v/>
      </c>
      <c r="NTK23" s="50" t="str">
        <f t="shared" si="156"/>
        <v/>
      </c>
      <c r="NTL23" s="50" t="str">
        <f t="shared" si="156"/>
        <v/>
      </c>
      <c r="NTM23" s="50" t="str">
        <f t="shared" si="156"/>
        <v/>
      </c>
      <c r="NTN23" s="50" t="str">
        <f t="shared" si="156"/>
        <v/>
      </c>
      <c r="NTO23" s="50" t="str">
        <f t="shared" si="156"/>
        <v/>
      </c>
      <c r="NTP23" s="50" t="str">
        <f t="shared" si="156"/>
        <v/>
      </c>
      <c r="NTQ23" s="50" t="str">
        <f t="shared" si="156"/>
        <v/>
      </c>
      <c r="NTR23" s="50" t="str">
        <f t="shared" si="156"/>
        <v/>
      </c>
      <c r="NTS23" s="50" t="str">
        <f t="shared" si="156"/>
        <v/>
      </c>
      <c r="NTT23" s="50" t="str">
        <f t="shared" si="156"/>
        <v/>
      </c>
      <c r="NTU23" s="50" t="str">
        <f t="shared" si="156"/>
        <v/>
      </c>
      <c r="NTV23" s="50" t="str">
        <f t="shared" si="156"/>
        <v/>
      </c>
      <c r="NTW23" s="50" t="str">
        <f t="shared" si="156"/>
        <v/>
      </c>
      <c r="NTX23" s="50" t="str">
        <f t="shared" si="156"/>
        <v/>
      </c>
      <c r="NTY23" s="50" t="str">
        <f t="shared" si="156"/>
        <v/>
      </c>
      <c r="NTZ23" s="50" t="str">
        <f t="shared" si="156"/>
        <v/>
      </c>
      <c r="NUA23" s="50" t="str">
        <f t="shared" si="156"/>
        <v/>
      </c>
      <c r="NUB23" s="50" t="str">
        <f t="shared" si="156"/>
        <v/>
      </c>
      <c r="NUC23" s="50" t="str">
        <f t="shared" si="156"/>
        <v/>
      </c>
      <c r="NUD23" s="50" t="str">
        <f t="shared" si="156"/>
        <v/>
      </c>
      <c r="NUE23" s="50" t="str">
        <f t="shared" si="156"/>
        <v/>
      </c>
      <c r="NUF23" s="50" t="str">
        <f t="shared" si="156"/>
        <v/>
      </c>
      <c r="NUG23" s="50" t="str">
        <f t="shared" si="156"/>
        <v/>
      </c>
      <c r="NUH23" s="50" t="str">
        <f t="shared" si="156"/>
        <v/>
      </c>
      <c r="NUI23" s="50" t="str">
        <f t="shared" si="156"/>
        <v/>
      </c>
      <c r="NUJ23" s="50" t="str">
        <f t="shared" si="156"/>
        <v/>
      </c>
      <c r="NUK23" s="50" t="str">
        <f t="shared" si="156"/>
        <v/>
      </c>
      <c r="NUL23" s="50" t="str">
        <f t="shared" si="156"/>
        <v/>
      </c>
      <c r="NUM23" s="50" t="str">
        <f t="shared" si="156"/>
        <v/>
      </c>
      <c r="NUN23" s="50" t="str">
        <f t="shared" si="156"/>
        <v/>
      </c>
      <c r="NUO23" s="50" t="str">
        <f t="shared" si="156"/>
        <v/>
      </c>
      <c r="NUP23" s="50" t="str">
        <f t="shared" si="156"/>
        <v/>
      </c>
      <c r="NUQ23" s="50" t="str">
        <f t="shared" si="156"/>
        <v/>
      </c>
      <c r="NUR23" s="50" t="str">
        <f t="shared" si="156"/>
        <v/>
      </c>
      <c r="NUS23" s="50" t="str">
        <f t="shared" si="156"/>
        <v/>
      </c>
      <c r="NUT23" s="50" t="str">
        <f t="shared" si="156"/>
        <v/>
      </c>
      <c r="NUU23" s="50" t="str">
        <f t="shared" si="156"/>
        <v/>
      </c>
      <c r="NUV23" s="50" t="str">
        <f t="shared" si="156"/>
        <v/>
      </c>
      <c r="NUW23" s="50" t="str">
        <f t="shared" ref="NUW23:NXH23" si="157">IFERROR(IF(NUV23+TIME(1,0,0)&lt;=$G$12,NUV23+TIME(1,0,0),""),"")</f>
        <v/>
      </c>
      <c r="NUX23" s="50" t="str">
        <f t="shared" si="157"/>
        <v/>
      </c>
      <c r="NUY23" s="50" t="str">
        <f t="shared" si="157"/>
        <v/>
      </c>
      <c r="NUZ23" s="50" t="str">
        <f t="shared" si="157"/>
        <v/>
      </c>
      <c r="NVA23" s="50" t="str">
        <f t="shared" si="157"/>
        <v/>
      </c>
      <c r="NVB23" s="50" t="str">
        <f t="shared" si="157"/>
        <v/>
      </c>
      <c r="NVC23" s="50" t="str">
        <f t="shared" si="157"/>
        <v/>
      </c>
      <c r="NVD23" s="50" t="str">
        <f t="shared" si="157"/>
        <v/>
      </c>
      <c r="NVE23" s="50" t="str">
        <f t="shared" si="157"/>
        <v/>
      </c>
      <c r="NVF23" s="50" t="str">
        <f t="shared" si="157"/>
        <v/>
      </c>
      <c r="NVG23" s="50" t="str">
        <f t="shared" si="157"/>
        <v/>
      </c>
      <c r="NVH23" s="50" t="str">
        <f t="shared" si="157"/>
        <v/>
      </c>
      <c r="NVI23" s="50" t="str">
        <f t="shared" si="157"/>
        <v/>
      </c>
      <c r="NVJ23" s="50" t="str">
        <f t="shared" si="157"/>
        <v/>
      </c>
      <c r="NVK23" s="50" t="str">
        <f t="shared" si="157"/>
        <v/>
      </c>
      <c r="NVL23" s="50" t="str">
        <f t="shared" si="157"/>
        <v/>
      </c>
      <c r="NVM23" s="50" t="str">
        <f t="shared" si="157"/>
        <v/>
      </c>
      <c r="NVN23" s="50" t="str">
        <f t="shared" si="157"/>
        <v/>
      </c>
      <c r="NVO23" s="50" t="str">
        <f t="shared" si="157"/>
        <v/>
      </c>
      <c r="NVP23" s="50" t="str">
        <f t="shared" si="157"/>
        <v/>
      </c>
      <c r="NVQ23" s="50" t="str">
        <f t="shared" si="157"/>
        <v/>
      </c>
      <c r="NVR23" s="50" t="str">
        <f t="shared" si="157"/>
        <v/>
      </c>
      <c r="NVS23" s="50" t="str">
        <f t="shared" si="157"/>
        <v/>
      </c>
      <c r="NVT23" s="50" t="str">
        <f t="shared" si="157"/>
        <v/>
      </c>
      <c r="NVU23" s="50" t="str">
        <f t="shared" si="157"/>
        <v/>
      </c>
      <c r="NVV23" s="50" t="str">
        <f t="shared" si="157"/>
        <v/>
      </c>
      <c r="NVW23" s="50" t="str">
        <f t="shared" si="157"/>
        <v/>
      </c>
      <c r="NVX23" s="50" t="str">
        <f t="shared" si="157"/>
        <v/>
      </c>
      <c r="NVY23" s="50" t="str">
        <f t="shared" si="157"/>
        <v/>
      </c>
      <c r="NVZ23" s="50" t="str">
        <f t="shared" si="157"/>
        <v/>
      </c>
      <c r="NWA23" s="50" t="str">
        <f t="shared" si="157"/>
        <v/>
      </c>
      <c r="NWB23" s="50" t="str">
        <f t="shared" si="157"/>
        <v/>
      </c>
      <c r="NWC23" s="50" t="str">
        <f t="shared" si="157"/>
        <v/>
      </c>
      <c r="NWD23" s="50" t="str">
        <f t="shared" si="157"/>
        <v/>
      </c>
      <c r="NWE23" s="50" t="str">
        <f t="shared" si="157"/>
        <v/>
      </c>
      <c r="NWF23" s="50" t="str">
        <f t="shared" si="157"/>
        <v/>
      </c>
      <c r="NWG23" s="50" t="str">
        <f t="shared" si="157"/>
        <v/>
      </c>
      <c r="NWH23" s="50" t="str">
        <f t="shared" si="157"/>
        <v/>
      </c>
      <c r="NWI23" s="50" t="str">
        <f t="shared" si="157"/>
        <v/>
      </c>
      <c r="NWJ23" s="50" t="str">
        <f t="shared" si="157"/>
        <v/>
      </c>
      <c r="NWK23" s="50" t="str">
        <f t="shared" si="157"/>
        <v/>
      </c>
      <c r="NWL23" s="50" t="str">
        <f t="shared" si="157"/>
        <v/>
      </c>
      <c r="NWM23" s="50" t="str">
        <f t="shared" si="157"/>
        <v/>
      </c>
      <c r="NWN23" s="50" t="str">
        <f t="shared" si="157"/>
        <v/>
      </c>
      <c r="NWO23" s="50" t="str">
        <f t="shared" si="157"/>
        <v/>
      </c>
      <c r="NWP23" s="50" t="str">
        <f t="shared" si="157"/>
        <v/>
      </c>
      <c r="NWQ23" s="50" t="str">
        <f t="shared" si="157"/>
        <v/>
      </c>
      <c r="NWR23" s="50" t="str">
        <f t="shared" si="157"/>
        <v/>
      </c>
      <c r="NWS23" s="50" t="str">
        <f t="shared" si="157"/>
        <v/>
      </c>
      <c r="NWT23" s="50" t="str">
        <f t="shared" si="157"/>
        <v/>
      </c>
      <c r="NWU23" s="50" t="str">
        <f t="shared" si="157"/>
        <v/>
      </c>
      <c r="NWV23" s="50" t="str">
        <f t="shared" si="157"/>
        <v/>
      </c>
      <c r="NWW23" s="50" t="str">
        <f t="shared" si="157"/>
        <v/>
      </c>
      <c r="NWX23" s="50" t="str">
        <f t="shared" si="157"/>
        <v/>
      </c>
      <c r="NWY23" s="50" t="str">
        <f t="shared" si="157"/>
        <v/>
      </c>
      <c r="NWZ23" s="50" t="str">
        <f t="shared" si="157"/>
        <v/>
      </c>
      <c r="NXA23" s="50" t="str">
        <f t="shared" si="157"/>
        <v/>
      </c>
      <c r="NXB23" s="50" t="str">
        <f t="shared" si="157"/>
        <v/>
      </c>
      <c r="NXC23" s="50" t="str">
        <f t="shared" si="157"/>
        <v/>
      </c>
      <c r="NXD23" s="50" t="str">
        <f t="shared" si="157"/>
        <v/>
      </c>
      <c r="NXE23" s="50" t="str">
        <f t="shared" si="157"/>
        <v/>
      </c>
      <c r="NXF23" s="50" t="str">
        <f t="shared" si="157"/>
        <v/>
      </c>
      <c r="NXG23" s="50" t="str">
        <f t="shared" si="157"/>
        <v/>
      </c>
      <c r="NXH23" s="50" t="str">
        <f t="shared" si="157"/>
        <v/>
      </c>
      <c r="NXI23" s="50" t="str">
        <f t="shared" ref="NXI23:NZT23" si="158">IFERROR(IF(NXH23+TIME(1,0,0)&lt;=$G$12,NXH23+TIME(1,0,0),""),"")</f>
        <v/>
      </c>
      <c r="NXJ23" s="50" t="str">
        <f t="shared" si="158"/>
        <v/>
      </c>
      <c r="NXK23" s="50" t="str">
        <f t="shared" si="158"/>
        <v/>
      </c>
      <c r="NXL23" s="50" t="str">
        <f t="shared" si="158"/>
        <v/>
      </c>
      <c r="NXM23" s="50" t="str">
        <f t="shared" si="158"/>
        <v/>
      </c>
      <c r="NXN23" s="50" t="str">
        <f t="shared" si="158"/>
        <v/>
      </c>
      <c r="NXO23" s="50" t="str">
        <f t="shared" si="158"/>
        <v/>
      </c>
      <c r="NXP23" s="50" t="str">
        <f t="shared" si="158"/>
        <v/>
      </c>
      <c r="NXQ23" s="50" t="str">
        <f t="shared" si="158"/>
        <v/>
      </c>
      <c r="NXR23" s="50" t="str">
        <f t="shared" si="158"/>
        <v/>
      </c>
      <c r="NXS23" s="50" t="str">
        <f t="shared" si="158"/>
        <v/>
      </c>
      <c r="NXT23" s="50" t="str">
        <f t="shared" si="158"/>
        <v/>
      </c>
      <c r="NXU23" s="50" t="str">
        <f t="shared" si="158"/>
        <v/>
      </c>
      <c r="NXV23" s="50" t="str">
        <f t="shared" si="158"/>
        <v/>
      </c>
      <c r="NXW23" s="50" t="str">
        <f t="shared" si="158"/>
        <v/>
      </c>
      <c r="NXX23" s="50" t="str">
        <f t="shared" si="158"/>
        <v/>
      </c>
      <c r="NXY23" s="50" t="str">
        <f t="shared" si="158"/>
        <v/>
      </c>
      <c r="NXZ23" s="50" t="str">
        <f t="shared" si="158"/>
        <v/>
      </c>
      <c r="NYA23" s="50" t="str">
        <f t="shared" si="158"/>
        <v/>
      </c>
      <c r="NYB23" s="50" t="str">
        <f t="shared" si="158"/>
        <v/>
      </c>
      <c r="NYC23" s="50" t="str">
        <f t="shared" si="158"/>
        <v/>
      </c>
      <c r="NYD23" s="50" t="str">
        <f t="shared" si="158"/>
        <v/>
      </c>
      <c r="NYE23" s="50" t="str">
        <f t="shared" si="158"/>
        <v/>
      </c>
      <c r="NYF23" s="50" t="str">
        <f t="shared" si="158"/>
        <v/>
      </c>
      <c r="NYG23" s="50" t="str">
        <f t="shared" si="158"/>
        <v/>
      </c>
      <c r="NYH23" s="50" t="str">
        <f t="shared" si="158"/>
        <v/>
      </c>
      <c r="NYI23" s="50" t="str">
        <f t="shared" si="158"/>
        <v/>
      </c>
      <c r="NYJ23" s="50" t="str">
        <f t="shared" si="158"/>
        <v/>
      </c>
      <c r="NYK23" s="50" t="str">
        <f t="shared" si="158"/>
        <v/>
      </c>
      <c r="NYL23" s="50" t="str">
        <f t="shared" si="158"/>
        <v/>
      </c>
      <c r="NYM23" s="50" t="str">
        <f t="shared" si="158"/>
        <v/>
      </c>
      <c r="NYN23" s="50" t="str">
        <f t="shared" si="158"/>
        <v/>
      </c>
      <c r="NYO23" s="50" t="str">
        <f t="shared" si="158"/>
        <v/>
      </c>
      <c r="NYP23" s="50" t="str">
        <f t="shared" si="158"/>
        <v/>
      </c>
      <c r="NYQ23" s="50" t="str">
        <f t="shared" si="158"/>
        <v/>
      </c>
      <c r="NYR23" s="50" t="str">
        <f t="shared" si="158"/>
        <v/>
      </c>
      <c r="NYS23" s="50" t="str">
        <f t="shared" si="158"/>
        <v/>
      </c>
      <c r="NYT23" s="50" t="str">
        <f t="shared" si="158"/>
        <v/>
      </c>
      <c r="NYU23" s="50" t="str">
        <f t="shared" si="158"/>
        <v/>
      </c>
      <c r="NYV23" s="50" t="str">
        <f t="shared" si="158"/>
        <v/>
      </c>
      <c r="NYW23" s="50" t="str">
        <f t="shared" si="158"/>
        <v/>
      </c>
      <c r="NYX23" s="50" t="str">
        <f t="shared" si="158"/>
        <v/>
      </c>
      <c r="NYY23" s="50" t="str">
        <f t="shared" si="158"/>
        <v/>
      </c>
      <c r="NYZ23" s="50" t="str">
        <f t="shared" si="158"/>
        <v/>
      </c>
      <c r="NZA23" s="50" t="str">
        <f t="shared" si="158"/>
        <v/>
      </c>
      <c r="NZB23" s="50" t="str">
        <f t="shared" si="158"/>
        <v/>
      </c>
      <c r="NZC23" s="50" t="str">
        <f t="shared" si="158"/>
        <v/>
      </c>
      <c r="NZD23" s="50" t="str">
        <f t="shared" si="158"/>
        <v/>
      </c>
      <c r="NZE23" s="50" t="str">
        <f t="shared" si="158"/>
        <v/>
      </c>
      <c r="NZF23" s="50" t="str">
        <f t="shared" si="158"/>
        <v/>
      </c>
      <c r="NZG23" s="50" t="str">
        <f t="shared" si="158"/>
        <v/>
      </c>
      <c r="NZH23" s="50" t="str">
        <f t="shared" si="158"/>
        <v/>
      </c>
      <c r="NZI23" s="50" t="str">
        <f t="shared" si="158"/>
        <v/>
      </c>
      <c r="NZJ23" s="50" t="str">
        <f t="shared" si="158"/>
        <v/>
      </c>
      <c r="NZK23" s="50" t="str">
        <f t="shared" si="158"/>
        <v/>
      </c>
      <c r="NZL23" s="50" t="str">
        <f t="shared" si="158"/>
        <v/>
      </c>
      <c r="NZM23" s="50" t="str">
        <f t="shared" si="158"/>
        <v/>
      </c>
      <c r="NZN23" s="50" t="str">
        <f t="shared" si="158"/>
        <v/>
      </c>
      <c r="NZO23" s="50" t="str">
        <f t="shared" si="158"/>
        <v/>
      </c>
      <c r="NZP23" s="50" t="str">
        <f t="shared" si="158"/>
        <v/>
      </c>
      <c r="NZQ23" s="50" t="str">
        <f t="shared" si="158"/>
        <v/>
      </c>
      <c r="NZR23" s="50" t="str">
        <f t="shared" si="158"/>
        <v/>
      </c>
      <c r="NZS23" s="50" t="str">
        <f t="shared" si="158"/>
        <v/>
      </c>
      <c r="NZT23" s="50" t="str">
        <f t="shared" si="158"/>
        <v/>
      </c>
      <c r="NZU23" s="50" t="str">
        <f t="shared" ref="NZU23:OCF23" si="159">IFERROR(IF(NZT23+TIME(1,0,0)&lt;=$G$12,NZT23+TIME(1,0,0),""),"")</f>
        <v/>
      </c>
      <c r="NZV23" s="50" t="str">
        <f t="shared" si="159"/>
        <v/>
      </c>
      <c r="NZW23" s="50" t="str">
        <f t="shared" si="159"/>
        <v/>
      </c>
      <c r="NZX23" s="50" t="str">
        <f t="shared" si="159"/>
        <v/>
      </c>
      <c r="NZY23" s="50" t="str">
        <f t="shared" si="159"/>
        <v/>
      </c>
      <c r="NZZ23" s="50" t="str">
        <f t="shared" si="159"/>
        <v/>
      </c>
      <c r="OAA23" s="50" t="str">
        <f t="shared" si="159"/>
        <v/>
      </c>
      <c r="OAB23" s="50" t="str">
        <f t="shared" si="159"/>
        <v/>
      </c>
      <c r="OAC23" s="50" t="str">
        <f t="shared" si="159"/>
        <v/>
      </c>
      <c r="OAD23" s="50" t="str">
        <f t="shared" si="159"/>
        <v/>
      </c>
      <c r="OAE23" s="50" t="str">
        <f t="shared" si="159"/>
        <v/>
      </c>
      <c r="OAF23" s="50" t="str">
        <f t="shared" si="159"/>
        <v/>
      </c>
      <c r="OAG23" s="50" t="str">
        <f t="shared" si="159"/>
        <v/>
      </c>
      <c r="OAH23" s="50" t="str">
        <f t="shared" si="159"/>
        <v/>
      </c>
      <c r="OAI23" s="50" t="str">
        <f t="shared" si="159"/>
        <v/>
      </c>
      <c r="OAJ23" s="50" t="str">
        <f t="shared" si="159"/>
        <v/>
      </c>
      <c r="OAK23" s="50" t="str">
        <f t="shared" si="159"/>
        <v/>
      </c>
      <c r="OAL23" s="50" t="str">
        <f t="shared" si="159"/>
        <v/>
      </c>
      <c r="OAM23" s="50" t="str">
        <f t="shared" si="159"/>
        <v/>
      </c>
      <c r="OAN23" s="50" t="str">
        <f t="shared" si="159"/>
        <v/>
      </c>
      <c r="OAO23" s="50" t="str">
        <f t="shared" si="159"/>
        <v/>
      </c>
      <c r="OAP23" s="50" t="str">
        <f t="shared" si="159"/>
        <v/>
      </c>
      <c r="OAQ23" s="50" t="str">
        <f t="shared" si="159"/>
        <v/>
      </c>
      <c r="OAR23" s="50" t="str">
        <f t="shared" si="159"/>
        <v/>
      </c>
      <c r="OAS23" s="50" t="str">
        <f t="shared" si="159"/>
        <v/>
      </c>
      <c r="OAT23" s="50" t="str">
        <f t="shared" si="159"/>
        <v/>
      </c>
      <c r="OAU23" s="50" t="str">
        <f t="shared" si="159"/>
        <v/>
      </c>
      <c r="OAV23" s="50" t="str">
        <f t="shared" si="159"/>
        <v/>
      </c>
      <c r="OAW23" s="50" t="str">
        <f t="shared" si="159"/>
        <v/>
      </c>
      <c r="OAX23" s="50" t="str">
        <f t="shared" si="159"/>
        <v/>
      </c>
      <c r="OAY23" s="50" t="str">
        <f t="shared" si="159"/>
        <v/>
      </c>
      <c r="OAZ23" s="50" t="str">
        <f t="shared" si="159"/>
        <v/>
      </c>
      <c r="OBA23" s="50" t="str">
        <f t="shared" si="159"/>
        <v/>
      </c>
      <c r="OBB23" s="50" t="str">
        <f t="shared" si="159"/>
        <v/>
      </c>
      <c r="OBC23" s="50" t="str">
        <f t="shared" si="159"/>
        <v/>
      </c>
      <c r="OBD23" s="50" t="str">
        <f t="shared" si="159"/>
        <v/>
      </c>
      <c r="OBE23" s="50" t="str">
        <f t="shared" si="159"/>
        <v/>
      </c>
      <c r="OBF23" s="50" t="str">
        <f t="shared" si="159"/>
        <v/>
      </c>
      <c r="OBG23" s="50" t="str">
        <f t="shared" si="159"/>
        <v/>
      </c>
      <c r="OBH23" s="50" t="str">
        <f t="shared" si="159"/>
        <v/>
      </c>
      <c r="OBI23" s="50" t="str">
        <f t="shared" si="159"/>
        <v/>
      </c>
      <c r="OBJ23" s="50" t="str">
        <f t="shared" si="159"/>
        <v/>
      </c>
      <c r="OBK23" s="50" t="str">
        <f t="shared" si="159"/>
        <v/>
      </c>
      <c r="OBL23" s="50" t="str">
        <f t="shared" si="159"/>
        <v/>
      </c>
      <c r="OBM23" s="50" t="str">
        <f t="shared" si="159"/>
        <v/>
      </c>
      <c r="OBN23" s="50" t="str">
        <f t="shared" si="159"/>
        <v/>
      </c>
      <c r="OBO23" s="50" t="str">
        <f t="shared" si="159"/>
        <v/>
      </c>
      <c r="OBP23" s="50" t="str">
        <f t="shared" si="159"/>
        <v/>
      </c>
      <c r="OBQ23" s="50" t="str">
        <f t="shared" si="159"/>
        <v/>
      </c>
      <c r="OBR23" s="50" t="str">
        <f t="shared" si="159"/>
        <v/>
      </c>
      <c r="OBS23" s="50" t="str">
        <f t="shared" si="159"/>
        <v/>
      </c>
      <c r="OBT23" s="50" t="str">
        <f t="shared" si="159"/>
        <v/>
      </c>
      <c r="OBU23" s="50" t="str">
        <f t="shared" si="159"/>
        <v/>
      </c>
      <c r="OBV23" s="50" t="str">
        <f t="shared" si="159"/>
        <v/>
      </c>
      <c r="OBW23" s="50" t="str">
        <f t="shared" si="159"/>
        <v/>
      </c>
      <c r="OBX23" s="50" t="str">
        <f t="shared" si="159"/>
        <v/>
      </c>
      <c r="OBY23" s="50" t="str">
        <f t="shared" si="159"/>
        <v/>
      </c>
      <c r="OBZ23" s="50" t="str">
        <f t="shared" si="159"/>
        <v/>
      </c>
      <c r="OCA23" s="50" t="str">
        <f t="shared" si="159"/>
        <v/>
      </c>
      <c r="OCB23" s="50" t="str">
        <f t="shared" si="159"/>
        <v/>
      </c>
      <c r="OCC23" s="50" t="str">
        <f t="shared" si="159"/>
        <v/>
      </c>
      <c r="OCD23" s="50" t="str">
        <f t="shared" si="159"/>
        <v/>
      </c>
      <c r="OCE23" s="50" t="str">
        <f t="shared" si="159"/>
        <v/>
      </c>
      <c r="OCF23" s="50" t="str">
        <f t="shared" si="159"/>
        <v/>
      </c>
      <c r="OCG23" s="50" t="str">
        <f t="shared" ref="OCG23:OER23" si="160">IFERROR(IF(OCF23+TIME(1,0,0)&lt;=$G$12,OCF23+TIME(1,0,0),""),"")</f>
        <v/>
      </c>
      <c r="OCH23" s="50" t="str">
        <f t="shared" si="160"/>
        <v/>
      </c>
      <c r="OCI23" s="50" t="str">
        <f t="shared" si="160"/>
        <v/>
      </c>
      <c r="OCJ23" s="50" t="str">
        <f t="shared" si="160"/>
        <v/>
      </c>
      <c r="OCK23" s="50" t="str">
        <f t="shared" si="160"/>
        <v/>
      </c>
      <c r="OCL23" s="50" t="str">
        <f t="shared" si="160"/>
        <v/>
      </c>
      <c r="OCM23" s="50" t="str">
        <f t="shared" si="160"/>
        <v/>
      </c>
      <c r="OCN23" s="50" t="str">
        <f t="shared" si="160"/>
        <v/>
      </c>
      <c r="OCO23" s="50" t="str">
        <f t="shared" si="160"/>
        <v/>
      </c>
      <c r="OCP23" s="50" t="str">
        <f t="shared" si="160"/>
        <v/>
      </c>
      <c r="OCQ23" s="50" t="str">
        <f t="shared" si="160"/>
        <v/>
      </c>
      <c r="OCR23" s="50" t="str">
        <f t="shared" si="160"/>
        <v/>
      </c>
      <c r="OCS23" s="50" t="str">
        <f t="shared" si="160"/>
        <v/>
      </c>
      <c r="OCT23" s="50" t="str">
        <f t="shared" si="160"/>
        <v/>
      </c>
      <c r="OCU23" s="50" t="str">
        <f t="shared" si="160"/>
        <v/>
      </c>
      <c r="OCV23" s="50" t="str">
        <f t="shared" si="160"/>
        <v/>
      </c>
      <c r="OCW23" s="50" t="str">
        <f t="shared" si="160"/>
        <v/>
      </c>
      <c r="OCX23" s="50" t="str">
        <f t="shared" si="160"/>
        <v/>
      </c>
      <c r="OCY23" s="50" t="str">
        <f t="shared" si="160"/>
        <v/>
      </c>
      <c r="OCZ23" s="50" t="str">
        <f t="shared" si="160"/>
        <v/>
      </c>
      <c r="ODA23" s="50" t="str">
        <f t="shared" si="160"/>
        <v/>
      </c>
      <c r="ODB23" s="50" t="str">
        <f t="shared" si="160"/>
        <v/>
      </c>
      <c r="ODC23" s="50" t="str">
        <f t="shared" si="160"/>
        <v/>
      </c>
      <c r="ODD23" s="50" t="str">
        <f t="shared" si="160"/>
        <v/>
      </c>
      <c r="ODE23" s="50" t="str">
        <f t="shared" si="160"/>
        <v/>
      </c>
      <c r="ODF23" s="50" t="str">
        <f t="shared" si="160"/>
        <v/>
      </c>
      <c r="ODG23" s="50" t="str">
        <f t="shared" si="160"/>
        <v/>
      </c>
      <c r="ODH23" s="50" t="str">
        <f t="shared" si="160"/>
        <v/>
      </c>
      <c r="ODI23" s="50" t="str">
        <f t="shared" si="160"/>
        <v/>
      </c>
      <c r="ODJ23" s="50" t="str">
        <f t="shared" si="160"/>
        <v/>
      </c>
      <c r="ODK23" s="50" t="str">
        <f t="shared" si="160"/>
        <v/>
      </c>
      <c r="ODL23" s="50" t="str">
        <f t="shared" si="160"/>
        <v/>
      </c>
      <c r="ODM23" s="50" t="str">
        <f t="shared" si="160"/>
        <v/>
      </c>
      <c r="ODN23" s="50" t="str">
        <f t="shared" si="160"/>
        <v/>
      </c>
      <c r="ODO23" s="50" t="str">
        <f t="shared" si="160"/>
        <v/>
      </c>
      <c r="ODP23" s="50" t="str">
        <f t="shared" si="160"/>
        <v/>
      </c>
      <c r="ODQ23" s="50" t="str">
        <f t="shared" si="160"/>
        <v/>
      </c>
      <c r="ODR23" s="50" t="str">
        <f t="shared" si="160"/>
        <v/>
      </c>
      <c r="ODS23" s="50" t="str">
        <f t="shared" si="160"/>
        <v/>
      </c>
      <c r="ODT23" s="50" t="str">
        <f t="shared" si="160"/>
        <v/>
      </c>
      <c r="ODU23" s="50" t="str">
        <f t="shared" si="160"/>
        <v/>
      </c>
      <c r="ODV23" s="50" t="str">
        <f t="shared" si="160"/>
        <v/>
      </c>
      <c r="ODW23" s="50" t="str">
        <f t="shared" si="160"/>
        <v/>
      </c>
      <c r="ODX23" s="50" t="str">
        <f t="shared" si="160"/>
        <v/>
      </c>
      <c r="ODY23" s="50" t="str">
        <f t="shared" si="160"/>
        <v/>
      </c>
      <c r="ODZ23" s="50" t="str">
        <f t="shared" si="160"/>
        <v/>
      </c>
      <c r="OEA23" s="50" t="str">
        <f t="shared" si="160"/>
        <v/>
      </c>
      <c r="OEB23" s="50" t="str">
        <f t="shared" si="160"/>
        <v/>
      </c>
      <c r="OEC23" s="50" t="str">
        <f t="shared" si="160"/>
        <v/>
      </c>
      <c r="OED23" s="50" t="str">
        <f t="shared" si="160"/>
        <v/>
      </c>
      <c r="OEE23" s="50" t="str">
        <f t="shared" si="160"/>
        <v/>
      </c>
      <c r="OEF23" s="50" t="str">
        <f t="shared" si="160"/>
        <v/>
      </c>
      <c r="OEG23" s="50" t="str">
        <f t="shared" si="160"/>
        <v/>
      </c>
      <c r="OEH23" s="50" t="str">
        <f t="shared" si="160"/>
        <v/>
      </c>
      <c r="OEI23" s="50" t="str">
        <f t="shared" si="160"/>
        <v/>
      </c>
      <c r="OEJ23" s="50" t="str">
        <f t="shared" si="160"/>
        <v/>
      </c>
      <c r="OEK23" s="50" t="str">
        <f t="shared" si="160"/>
        <v/>
      </c>
      <c r="OEL23" s="50" t="str">
        <f t="shared" si="160"/>
        <v/>
      </c>
      <c r="OEM23" s="50" t="str">
        <f t="shared" si="160"/>
        <v/>
      </c>
      <c r="OEN23" s="50" t="str">
        <f t="shared" si="160"/>
        <v/>
      </c>
      <c r="OEO23" s="50" t="str">
        <f t="shared" si="160"/>
        <v/>
      </c>
      <c r="OEP23" s="50" t="str">
        <f t="shared" si="160"/>
        <v/>
      </c>
      <c r="OEQ23" s="50" t="str">
        <f t="shared" si="160"/>
        <v/>
      </c>
      <c r="OER23" s="50" t="str">
        <f t="shared" si="160"/>
        <v/>
      </c>
      <c r="OES23" s="50" t="str">
        <f t="shared" ref="OES23:OHD23" si="161">IFERROR(IF(OER23+TIME(1,0,0)&lt;=$G$12,OER23+TIME(1,0,0),""),"")</f>
        <v/>
      </c>
      <c r="OET23" s="50" t="str">
        <f t="shared" si="161"/>
        <v/>
      </c>
      <c r="OEU23" s="50" t="str">
        <f t="shared" si="161"/>
        <v/>
      </c>
      <c r="OEV23" s="50" t="str">
        <f t="shared" si="161"/>
        <v/>
      </c>
      <c r="OEW23" s="50" t="str">
        <f t="shared" si="161"/>
        <v/>
      </c>
      <c r="OEX23" s="50" t="str">
        <f t="shared" si="161"/>
        <v/>
      </c>
      <c r="OEY23" s="50" t="str">
        <f t="shared" si="161"/>
        <v/>
      </c>
      <c r="OEZ23" s="50" t="str">
        <f t="shared" si="161"/>
        <v/>
      </c>
      <c r="OFA23" s="50" t="str">
        <f t="shared" si="161"/>
        <v/>
      </c>
      <c r="OFB23" s="50" t="str">
        <f t="shared" si="161"/>
        <v/>
      </c>
      <c r="OFC23" s="50" t="str">
        <f t="shared" si="161"/>
        <v/>
      </c>
      <c r="OFD23" s="50" t="str">
        <f t="shared" si="161"/>
        <v/>
      </c>
      <c r="OFE23" s="50" t="str">
        <f t="shared" si="161"/>
        <v/>
      </c>
      <c r="OFF23" s="50" t="str">
        <f t="shared" si="161"/>
        <v/>
      </c>
      <c r="OFG23" s="50" t="str">
        <f t="shared" si="161"/>
        <v/>
      </c>
      <c r="OFH23" s="50" t="str">
        <f t="shared" si="161"/>
        <v/>
      </c>
      <c r="OFI23" s="50" t="str">
        <f t="shared" si="161"/>
        <v/>
      </c>
      <c r="OFJ23" s="50" t="str">
        <f t="shared" si="161"/>
        <v/>
      </c>
      <c r="OFK23" s="50" t="str">
        <f t="shared" si="161"/>
        <v/>
      </c>
      <c r="OFL23" s="50" t="str">
        <f t="shared" si="161"/>
        <v/>
      </c>
      <c r="OFM23" s="50" t="str">
        <f t="shared" si="161"/>
        <v/>
      </c>
      <c r="OFN23" s="50" t="str">
        <f t="shared" si="161"/>
        <v/>
      </c>
      <c r="OFO23" s="50" t="str">
        <f t="shared" si="161"/>
        <v/>
      </c>
      <c r="OFP23" s="50" t="str">
        <f t="shared" si="161"/>
        <v/>
      </c>
      <c r="OFQ23" s="50" t="str">
        <f t="shared" si="161"/>
        <v/>
      </c>
      <c r="OFR23" s="50" t="str">
        <f t="shared" si="161"/>
        <v/>
      </c>
      <c r="OFS23" s="50" t="str">
        <f t="shared" si="161"/>
        <v/>
      </c>
      <c r="OFT23" s="50" t="str">
        <f t="shared" si="161"/>
        <v/>
      </c>
      <c r="OFU23" s="50" t="str">
        <f t="shared" si="161"/>
        <v/>
      </c>
      <c r="OFV23" s="50" t="str">
        <f t="shared" si="161"/>
        <v/>
      </c>
      <c r="OFW23" s="50" t="str">
        <f t="shared" si="161"/>
        <v/>
      </c>
      <c r="OFX23" s="50" t="str">
        <f t="shared" si="161"/>
        <v/>
      </c>
      <c r="OFY23" s="50" t="str">
        <f t="shared" si="161"/>
        <v/>
      </c>
      <c r="OFZ23" s="50" t="str">
        <f t="shared" si="161"/>
        <v/>
      </c>
      <c r="OGA23" s="50" t="str">
        <f t="shared" si="161"/>
        <v/>
      </c>
      <c r="OGB23" s="50" t="str">
        <f t="shared" si="161"/>
        <v/>
      </c>
      <c r="OGC23" s="50" t="str">
        <f t="shared" si="161"/>
        <v/>
      </c>
      <c r="OGD23" s="50" t="str">
        <f t="shared" si="161"/>
        <v/>
      </c>
      <c r="OGE23" s="50" t="str">
        <f t="shared" si="161"/>
        <v/>
      </c>
      <c r="OGF23" s="50" t="str">
        <f t="shared" si="161"/>
        <v/>
      </c>
      <c r="OGG23" s="50" t="str">
        <f t="shared" si="161"/>
        <v/>
      </c>
      <c r="OGH23" s="50" t="str">
        <f t="shared" si="161"/>
        <v/>
      </c>
      <c r="OGI23" s="50" t="str">
        <f t="shared" si="161"/>
        <v/>
      </c>
      <c r="OGJ23" s="50" t="str">
        <f t="shared" si="161"/>
        <v/>
      </c>
      <c r="OGK23" s="50" t="str">
        <f t="shared" si="161"/>
        <v/>
      </c>
      <c r="OGL23" s="50" t="str">
        <f t="shared" si="161"/>
        <v/>
      </c>
      <c r="OGM23" s="50" t="str">
        <f t="shared" si="161"/>
        <v/>
      </c>
      <c r="OGN23" s="50" t="str">
        <f t="shared" si="161"/>
        <v/>
      </c>
      <c r="OGO23" s="50" t="str">
        <f t="shared" si="161"/>
        <v/>
      </c>
      <c r="OGP23" s="50" t="str">
        <f t="shared" si="161"/>
        <v/>
      </c>
      <c r="OGQ23" s="50" t="str">
        <f t="shared" si="161"/>
        <v/>
      </c>
      <c r="OGR23" s="50" t="str">
        <f t="shared" si="161"/>
        <v/>
      </c>
      <c r="OGS23" s="50" t="str">
        <f t="shared" si="161"/>
        <v/>
      </c>
      <c r="OGT23" s="50" t="str">
        <f t="shared" si="161"/>
        <v/>
      </c>
      <c r="OGU23" s="50" t="str">
        <f t="shared" si="161"/>
        <v/>
      </c>
      <c r="OGV23" s="50" t="str">
        <f t="shared" si="161"/>
        <v/>
      </c>
      <c r="OGW23" s="50" t="str">
        <f t="shared" si="161"/>
        <v/>
      </c>
      <c r="OGX23" s="50" t="str">
        <f t="shared" si="161"/>
        <v/>
      </c>
      <c r="OGY23" s="50" t="str">
        <f t="shared" si="161"/>
        <v/>
      </c>
      <c r="OGZ23" s="50" t="str">
        <f t="shared" si="161"/>
        <v/>
      </c>
      <c r="OHA23" s="50" t="str">
        <f t="shared" si="161"/>
        <v/>
      </c>
      <c r="OHB23" s="50" t="str">
        <f t="shared" si="161"/>
        <v/>
      </c>
      <c r="OHC23" s="50" t="str">
        <f t="shared" si="161"/>
        <v/>
      </c>
      <c r="OHD23" s="50" t="str">
        <f t="shared" si="161"/>
        <v/>
      </c>
      <c r="OHE23" s="50" t="str">
        <f t="shared" ref="OHE23:OJP23" si="162">IFERROR(IF(OHD23+TIME(1,0,0)&lt;=$G$12,OHD23+TIME(1,0,0),""),"")</f>
        <v/>
      </c>
      <c r="OHF23" s="50" t="str">
        <f t="shared" si="162"/>
        <v/>
      </c>
      <c r="OHG23" s="50" t="str">
        <f t="shared" si="162"/>
        <v/>
      </c>
      <c r="OHH23" s="50" t="str">
        <f t="shared" si="162"/>
        <v/>
      </c>
      <c r="OHI23" s="50" t="str">
        <f t="shared" si="162"/>
        <v/>
      </c>
      <c r="OHJ23" s="50" t="str">
        <f t="shared" si="162"/>
        <v/>
      </c>
      <c r="OHK23" s="50" t="str">
        <f t="shared" si="162"/>
        <v/>
      </c>
      <c r="OHL23" s="50" t="str">
        <f t="shared" si="162"/>
        <v/>
      </c>
      <c r="OHM23" s="50" t="str">
        <f t="shared" si="162"/>
        <v/>
      </c>
      <c r="OHN23" s="50" t="str">
        <f t="shared" si="162"/>
        <v/>
      </c>
      <c r="OHO23" s="50" t="str">
        <f t="shared" si="162"/>
        <v/>
      </c>
      <c r="OHP23" s="50" t="str">
        <f t="shared" si="162"/>
        <v/>
      </c>
      <c r="OHQ23" s="50" t="str">
        <f t="shared" si="162"/>
        <v/>
      </c>
      <c r="OHR23" s="50" t="str">
        <f t="shared" si="162"/>
        <v/>
      </c>
      <c r="OHS23" s="50" t="str">
        <f t="shared" si="162"/>
        <v/>
      </c>
      <c r="OHT23" s="50" t="str">
        <f t="shared" si="162"/>
        <v/>
      </c>
      <c r="OHU23" s="50" t="str">
        <f t="shared" si="162"/>
        <v/>
      </c>
      <c r="OHV23" s="50" t="str">
        <f t="shared" si="162"/>
        <v/>
      </c>
      <c r="OHW23" s="50" t="str">
        <f t="shared" si="162"/>
        <v/>
      </c>
      <c r="OHX23" s="50" t="str">
        <f t="shared" si="162"/>
        <v/>
      </c>
      <c r="OHY23" s="50" t="str">
        <f t="shared" si="162"/>
        <v/>
      </c>
      <c r="OHZ23" s="50" t="str">
        <f t="shared" si="162"/>
        <v/>
      </c>
      <c r="OIA23" s="50" t="str">
        <f t="shared" si="162"/>
        <v/>
      </c>
      <c r="OIB23" s="50" t="str">
        <f t="shared" si="162"/>
        <v/>
      </c>
      <c r="OIC23" s="50" t="str">
        <f t="shared" si="162"/>
        <v/>
      </c>
      <c r="OID23" s="50" t="str">
        <f t="shared" si="162"/>
        <v/>
      </c>
      <c r="OIE23" s="50" t="str">
        <f t="shared" si="162"/>
        <v/>
      </c>
      <c r="OIF23" s="50" t="str">
        <f t="shared" si="162"/>
        <v/>
      </c>
      <c r="OIG23" s="50" t="str">
        <f t="shared" si="162"/>
        <v/>
      </c>
      <c r="OIH23" s="50" t="str">
        <f t="shared" si="162"/>
        <v/>
      </c>
      <c r="OII23" s="50" t="str">
        <f t="shared" si="162"/>
        <v/>
      </c>
      <c r="OIJ23" s="50" t="str">
        <f t="shared" si="162"/>
        <v/>
      </c>
      <c r="OIK23" s="50" t="str">
        <f t="shared" si="162"/>
        <v/>
      </c>
      <c r="OIL23" s="50" t="str">
        <f t="shared" si="162"/>
        <v/>
      </c>
      <c r="OIM23" s="50" t="str">
        <f t="shared" si="162"/>
        <v/>
      </c>
      <c r="OIN23" s="50" t="str">
        <f t="shared" si="162"/>
        <v/>
      </c>
      <c r="OIO23" s="50" t="str">
        <f t="shared" si="162"/>
        <v/>
      </c>
      <c r="OIP23" s="50" t="str">
        <f t="shared" si="162"/>
        <v/>
      </c>
      <c r="OIQ23" s="50" t="str">
        <f t="shared" si="162"/>
        <v/>
      </c>
      <c r="OIR23" s="50" t="str">
        <f t="shared" si="162"/>
        <v/>
      </c>
      <c r="OIS23" s="50" t="str">
        <f t="shared" si="162"/>
        <v/>
      </c>
      <c r="OIT23" s="50" t="str">
        <f t="shared" si="162"/>
        <v/>
      </c>
      <c r="OIU23" s="50" t="str">
        <f t="shared" si="162"/>
        <v/>
      </c>
      <c r="OIV23" s="50" t="str">
        <f t="shared" si="162"/>
        <v/>
      </c>
      <c r="OIW23" s="50" t="str">
        <f t="shared" si="162"/>
        <v/>
      </c>
      <c r="OIX23" s="50" t="str">
        <f t="shared" si="162"/>
        <v/>
      </c>
      <c r="OIY23" s="50" t="str">
        <f t="shared" si="162"/>
        <v/>
      </c>
      <c r="OIZ23" s="50" t="str">
        <f t="shared" si="162"/>
        <v/>
      </c>
      <c r="OJA23" s="50" t="str">
        <f t="shared" si="162"/>
        <v/>
      </c>
      <c r="OJB23" s="50" t="str">
        <f t="shared" si="162"/>
        <v/>
      </c>
      <c r="OJC23" s="50" t="str">
        <f t="shared" si="162"/>
        <v/>
      </c>
      <c r="OJD23" s="50" t="str">
        <f t="shared" si="162"/>
        <v/>
      </c>
      <c r="OJE23" s="50" t="str">
        <f t="shared" si="162"/>
        <v/>
      </c>
      <c r="OJF23" s="50" t="str">
        <f t="shared" si="162"/>
        <v/>
      </c>
      <c r="OJG23" s="50" t="str">
        <f t="shared" si="162"/>
        <v/>
      </c>
      <c r="OJH23" s="50" t="str">
        <f t="shared" si="162"/>
        <v/>
      </c>
      <c r="OJI23" s="50" t="str">
        <f t="shared" si="162"/>
        <v/>
      </c>
      <c r="OJJ23" s="50" t="str">
        <f t="shared" si="162"/>
        <v/>
      </c>
      <c r="OJK23" s="50" t="str">
        <f t="shared" si="162"/>
        <v/>
      </c>
      <c r="OJL23" s="50" t="str">
        <f t="shared" si="162"/>
        <v/>
      </c>
      <c r="OJM23" s="50" t="str">
        <f t="shared" si="162"/>
        <v/>
      </c>
      <c r="OJN23" s="50" t="str">
        <f t="shared" si="162"/>
        <v/>
      </c>
      <c r="OJO23" s="50" t="str">
        <f t="shared" si="162"/>
        <v/>
      </c>
      <c r="OJP23" s="50" t="str">
        <f t="shared" si="162"/>
        <v/>
      </c>
      <c r="OJQ23" s="50" t="str">
        <f t="shared" ref="OJQ23:OMB23" si="163">IFERROR(IF(OJP23+TIME(1,0,0)&lt;=$G$12,OJP23+TIME(1,0,0),""),"")</f>
        <v/>
      </c>
      <c r="OJR23" s="50" t="str">
        <f t="shared" si="163"/>
        <v/>
      </c>
      <c r="OJS23" s="50" t="str">
        <f t="shared" si="163"/>
        <v/>
      </c>
      <c r="OJT23" s="50" t="str">
        <f t="shared" si="163"/>
        <v/>
      </c>
      <c r="OJU23" s="50" t="str">
        <f t="shared" si="163"/>
        <v/>
      </c>
      <c r="OJV23" s="50" t="str">
        <f t="shared" si="163"/>
        <v/>
      </c>
      <c r="OJW23" s="50" t="str">
        <f t="shared" si="163"/>
        <v/>
      </c>
      <c r="OJX23" s="50" t="str">
        <f t="shared" si="163"/>
        <v/>
      </c>
      <c r="OJY23" s="50" t="str">
        <f t="shared" si="163"/>
        <v/>
      </c>
      <c r="OJZ23" s="50" t="str">
        <f t="shared" si="163"/>
        <v/>
      </c>
      <c r="OKA23" s="50" t="str">
        <f t="shared" si="163"/>
        <v/>
      </c>
      <c r="OKB23" s="50" t="str">
        <f t="shared" si="163"/>
        <v/>
      </c>
      <c r="OKC23" s="50" t="str">
        <f t="shared" si="163"/>
        <v/>
      </c>
      <c r="OKD23" s="50" t="str">
        <f t="shared" si="163"/>
        <v/>
      </c>
      <c r="OKE23" s="50" t="str">
        <f t="shared" si="163"/>
        <v/>
      </c>
      <c r="OKF23" s="50" t="str">
        <f t="shared" si="163"/>
        <v/>
      </c>
      <c r="OKG23" s="50" t="str">
        <f t="shared" si="163"/>
        <v/>
      </c>
      <c r="OKH23" s="50" t="str">
        <f t="shared" si="163"/>
        <v/>
      </c>
      <c r="OKI23" s="50" t="str">
        <f t="shared" si="163"/>
        <v/>
      </c>
      <c r="OKJ23" s="50" t="str">
        <f t="shared" si="163"/>
        <v/>
      </c>
      <c r="OKK23" s="50" t="str">
        <f t="shared" si="163"/>
        <v/>
      </c>
      <c r="OKL23" s="50" t="str">
        <f t="shared" si="163"/>
        <v/>
      </c>
      <c r="OKM23" s="50" t="str">
        <f t="shared" si="163"/>
        <v/>
      </c>
      <c r="OKN23" s="50" t="str">
        <f t="shared" si="163"/>
        <v/>
      </c>
      <c r="OKO23" s="50" t="str">
        <f t="shared" si="163"/>
        <v/>
      </c>
      <c r="OKP23" s="50" t="str">
        <f t="shared" si="163"/>
        <v/>
      </c>
      <c r="OKQ23" s="50" t="str">
        <f t="shared" si="163"/>
        <v/>
      </c>
      <c r="OKR23" s="50" t="str">
        <f t="shared" si="163"/>
        <v/>
      </c>
      <c r="OKS23" s="50" t="str">
        <f t="shared" si="163"/>
        <v/>
      </c>
      <c r="OKT23" s="50" t="str">
        <f t="shared" si="163"/>
        <v/>
      </c>
      <c r="OKU23" s="50" t="str">
        <f t="shared" si="163"/>
        <v/>
      </c>
      <c r="OKV23" s="50" t="str">
        <f t="shared" si="163"/>
        <v/>
      </c>
      <c r="OKW23" s="50" t="str">
        <f t="shared" si="163"/>
        <v/>
      </c>
      <c r="OKX23" s="50" t="str">
        <f t="shared" si="163"/>
        <v/>
      </c>
      <c r="OKY23" s="50" t="str">
        <f t="shared" si="163"/>
        <v/>
      </c>
      <c r="OKZ23" s="50" t="str">
        <f t="shared" si="163"/>
        <v/>
      </c>
      <c r="OLA23" s="50" t="str">
        <f t="shared" si="163"/>
        <v/>
      </c>
      <c r="OLB23" s="50" t="str">
        <f t="shared" si="163"/>
        <v/>
      </c>
      <c r="OLC23" s="50" t="str">
        <f t="shared" si="163"/>
        <v/>
      </c>
      <c r="OLD23" s="50" t="str">
        <f t="shared" si="163"/>
        <v/>
      </c>
      <c r="OLE23" s="50" t="str">
        <f t="shared" si="163"/>
        <v/>
      </c>
      <c r="OLF23" s="50" t="str">
        <f t="shared" si="163"/>
        <v/>
      </c>
      <c r="OLG23" s="50" t="str">
        <f t="shared" si="163"/>
        <v/>
      </c>
      <c r="OLH23" s="50" t="str">
        <f t="shared" si="163"/>
        <v/>
      </c>
      <c r="OLI23" s="50" t="str">
        <f t="shared" si="163"/>
        <v/>
      </c>
      <c r="OLJ23" s="50" t="str">
        <f t="shared" si="163"/>
        <v/>
      </c>
      <c r="OLK23" s="50" t="str">
        <f t="shared" si="163"/>
        <v/>
      </c>
      <c r="OLL23" s="50" t="str">
        <f t="shared" si="163"/>
        <v/>
      </c>
      <c r="OLM23" s="50" t="str">
        <f t="shared" si="163"/>
        <v/>
      </c>
      <c r="OLN23" s="50" t="str">
        <f t="shared" si="163"/>
        <v/>
      </c>
      <c r="OLO23" s="50" t="str">
        <f t="shared" si="163"/>
        <v/>
      </c>
      <c r="OLP23" s="50" t="str">
        <f t="shared" si="163"/>
        <v/>
      </c>
      <c r="OLQ23" s="50" t="str">
        <f t="shared" si="163"/>
        <v/>
      </c>
      <c r="OLR23" s="50" t="str">
        <f t="shared" si="163"/>
        <v/>
      </c>
      <c r="OLS23" s="50" t="str">
        <f t="shared" si="163"/>
        <v/>
      </c>
      <c r="OLT23" s="50" t="str">
        <f t="shared" si="163"/>
        <v/>
      </c>
      <c r="OLU23" s="50" t="str">
        <f t="shared" si="163"/>
        <v/>
      </c>
      <c r="OLV23" s="50" t="str">
        <f t="shared" si="163"/>
        <v/>
      </c>
      <c r="OLW23" s="50" t="str">
        <f t="shared" si="163"/>
        <v/>
      </c>
      <c r="OLX23" s="50" t="str">
        <f t="shared" si="163"/>
        <v/>
      </c>
      <c r="OLY23" s="50" t="str">
        <f t="shared" si="163"/>
        <v/>
      </c>
      <c r="OLZ23" s="50" t="str">
        <f t="shared" si="163"/>
        <v/>
      </c>
      <c r="OMA23" s="50" t="str">
        <f t="shared" si="163"/>
        <v/>
      </c>
      <c r="OMB23" s="50" t="str">
        <f t="shared" si="163"/>
        <v/>
      </c>
      <c r="OMC23" s="50" t="str">
        <f t="shared" ref="OMC23:OON23" si="164">IFERROR(IF(OMB23+TIME(1,0,0)&lt;=$G$12,OMB23+TIME(1,0,0),""),"")</f>
        <v/>
      </c>
      <c r="OMD23" s="50" t="str">
        <f t="shared" si="164"/>
        <v/>
      </c>
      <c r="OME23" s="50" t="str">
        <f t="shared" si="164"/>
        <v/>
      </c>
      <c r="OMF23" s="50" t="str">
        <f t="shared" si="164"/>
        <v/>
      </c>
      <c r="OMG23" s="50" t="str">
        <f t="shared" si="164"/>
        <v/>
      </c>
      <c r="OMH23" s="50" t="str">
        <f t="shared" si="164"/>
        <v/>
      </c>
      <c r="OMI23" s="50" t="str">
        <f t="shared" si="164"/>
        <v/>
      </c>
      <c r="OMJ23" s="50" t="str">
        <f t="shared" si="164"/>
        <v/>
      </c>
      <c r="OMK23" s="50" t="str">
        <f t="shared" si="164"/>
        <v/>
      </c>
      <c r="OML23" s="50" t="str">
        <f t="shared" si="164"/>
        <v/>
      </c>
      <c r="OMM23" s="50" t="str">
        <f t="shared" si="164"/>
        <v/>
      </c>
      <c r="OMN23" s="50" t="str">
        <f t="shared" si="164"/>
        <v/>
      </c>
      <c r="OMO23" s="50" t="str">
        <f t="shared" si="164"/>
        <v/>
      </c>
      <c r="OMP23" s="50" t="str">
        <f t="shared" si="164"/>
        <v/>
      </c>
      <c r="OMQ23" s="50" t="str">
        <f t="shared" si="164"/>
        <v/>
      </c>
      <c r="OMR23" s="50" t="str">
        <f t="shared" si="164"/>
        <v/>
      </c>
      <c r="OMS23" s="50" t="str">
        <f t="shared" si="164"/>
        <v/>
      </c>
      <c r="OMT23" s="50" t="str">
        <f t="shared" si="164"/>
        <v/>
      </c>
      <c r="OMU23" s="50" t="str">
        <f t="shared" si="164"/>
        <v/>
      </c>
      <c r="OMV23" s="50" t="str">
        <f t="shared" si="164"/>
        <v/>
      </c>
      <c r="OMW23" s="50" t="str">
        <f t="shared" si="164"/>
        <v/>
      </c>
      <c r="OMX23" s="50" t="str">
        <f t="shared" si="164"/>
        <v/>
      </c>
      <c r="OMY23" s="50" t="str">
        <f t="shared" si="164"/>
        <v/>
      </c>
      <c r="OMZ23" s="50" t="str">
        <f t="shared" si="164"/>
        <v/>
      </c>
      <c r="ONA23" s="50" t="str">
        <f t="shared" si="164"/>
        <v/>
      </c>
      <c r="ONB23" s="50" t="str">
        <f t="shared" si="164"/>
        <v/>
      </c>
      <c r="ONC23" s="50" t="str">
        <f t="shared" si="164"/>
        <v/>
      </c>
      <c r="OND23" s="50" t="str">
        <f t="shared" si="164"/>
        <v/>
      </c>
      <c r="ONE23" s="50" t="str">
        <f t="shared" si="164"/>
        <v/>
      </c>
      <c r="ONF23" s="50" t="str">
        <f t="shared" si="164"/>
        <v/>
      </c>
      <c r="ONG23" s="50" t="str">
        <f t="shared" si="164"/>
        <v/>
      </c>
      <c r="ONH23" s="50" t="str">
        <f t="shared" si="164"/>
        <v/>
      </c>
      <c r="ONI23" s="50" t="str">
        <f t="shared" si="164"/>
        <v/>
      </c>
      <c r="ONJ23" s="50" t="str">
        <f t="shared" si="164"/>
        <v/>
      </c>
      <c r="ONK23" s="50" t="str">
        <f t="shared" si="164"/>
        <v/>
      </c>
      <c r="ONL23" s="50" t="str">
        <f t="shared" si="164"/>
        <v/>
      </c>
      <c r="ONM23" s="50" t="str">
        <f t="shared" si="164"/>
        <v/>
      </c>
      <c r="ONN23" s="50" t="str">
        <f t="shared" si="164"/>
        <v/>
      </c>
      <c r="ONO23" s="50" t="str">
        <f t="shared" si="164"/>
        <v/>
      </c>
      <c r="ONP23" s="50" t="str">
        <f t="shared" si="164"/>
        <v/>
      </c>
      <c r="ONQ23" s="50" t="str">
        <f t="shared" si="164"/>
        <v/>
      </c>
      <c r="ONR23" s="50" t="str">
        <f t="shared" si="164"/>
        <v/>
      </c>
      <c r="ONS23" s="50" t="str">
        <f t="shared" si="164"/>
        <v/>
      </c>
      <c r="ONT23" s="50" t="str">
        <f t="shared" si="164"/>
        <v/>
      </c>
      <c r="ONU23" s="50" t="str">
        <f t="shared" si="164"/>
        <v/>
      </c>
      <c r="ONV23" s="50" t="str">
        <f t="shared" si="164"/>
        <v/>
      </c>
      <c r="ONW23" s="50" t="str">
        <f t="shared" si="164"/>
        <v/>
      </c>
      <c r="ONX23" s="50" t="str">
        <f t="shared" si="164"/>
        <v/>
      </c>
      <c r="ONY23" s="50" t="str">
        <f t="shared" si="164"/>
        <v/>
      </c>
      <c r="ONZ23" s="50" t="str">
        <f t="shared" si="164"/>
        <v/>
      </c>
      <c r="OOA23" s="50" t="str">
        <f t="shared" si="164"/>
        <v/>
      </c>
      <c r="OOB23" s="50" t="str">
        <f t="shared" si="164"/>
        <v/>
      </c>
      <c r="OOC23" s="50" t="str">
        <f t="shared" si="164"/>
        <v/>
      </c>
      <c r="OOD23" s="50" t="str">
        <f t="shared" si="164"/>
        <v/>
      </c>
      <c r="OOE23" s="50" t="str">
        <f t="shared" si="164"/>
        <v/>
      </c>
      <c r="OOF23" s="50" t="str">
        <f t="shared" si="164"/>
        <v/>
      </c>
      <c r="OOG23" s="50" t="str">
        <f t="shared" si="164"/>
        <v/>
      </c>
      <c r="OOH23" s="50" t="str">
        <f t="shared" si="164"/>
        <v/>
      </c>
      <c r="OOI23" s="50" t="str">
        <f t="shared" si="164"/>
        <v/>
      </c>
      <c r="OOJ23" s="50" t="str">
        <f t="shared" si="164"/>
        <v/>
      </c>
      <c r="OOK23" s="50" t="str">
        <f t="shared" si="164"/>
        <v/>
      </c>
      <c r="OOL23" s="50" t="str">
        <f t="shared" si="164"/>
        <v/>
      </c>
      <c r="OOM23" s="50" t="str">
        <f t="shared" si="164"/>
        <v/>
      </c>
      <c r="OON23" s="50" t="str">
        <f t="shared" si="164"/>
        <v/>
      </c>
      <c r="OOO23" s="50" t="str">
        <f t="shared" ref="OOO23:OQZ23" si="165">IFERROR(IF(OON23+TIME(1,0,0)&lt;=$G$12,OON23+TIME(1,0,0),""),"")</f>
        <v/>
      </c>
      <c r="OOP23" s="50" t="str">
        <f t="shared" si="165"/>
        <v/>
      </c>
      <c r="OOQ23" s="50" t="str">
        <f t="shared" si="165"/>
        <v/>
      </c>
      <c r="OOR23" s="50" t="str">
        <f t="shared" si="165"/>
        <v/>
      </c>
      <c r="OOS23" s="50" t="str">
        <f t="shared" si="165"/>
        <v/>
      </c>
      <c r="OOT23" s="50" t="str">
        <f t="shared" si="165"/>
        <v/>
      </c>
      <c r="OOU23" s="50" t="str">
        <f t="shared" si="165"/>
        <v/>
      </c>
      <c r="OOV23" s="50" t="str">
        <f t="shared" si="165"/>
        <v/>
      </c>
      <c r="OOW23" s="50" t="str">
        <f t="shared" si="165"/>
        <v/>
      </c>
      <c r="OOX23" s="50" t="str">
        <f t="shared" si="165"/>
        <v/>
      </c>
      <c r="OOY23" s="50" t="str">
        <f t="shared" si="165"/>
        <v/>
      </c>
      <c r="OOZ23" s="50" t="str">
        <f t="shared" si="165"/>
        <v/>
      </c>
      <c r="OPA23" s="50" t="str">
        <f t="shared" si="165"/>
        <v/>
      </c>
      <c r="OPB23" s="50" t="str">
        <f t="shared" si="165"/>
        <v/>
      </c>
      <c r="OPC23" s="50" t="str">
        <f t="shared" si="165"/>
        <v/>
      </c>
      <c r="OPD23" s="50" t="str">
        <f t="shared" si="165"/>
        <v/>
      </c>
      <c r="OPE23" s="50" t="str">
        <f t="shared" si="165"/>
        <v/>
      </c>
      <c r="OPF23" s="50" t="str">
        <f t="shared" si="165"/>
        <v/>
      </c>
      <c r="OPG23" s="50" t="str">
        <f t="shared" si="165"/>
        <v/>
      </c>
      <c r="OPH23" s="50" t="str">
        <f t="shared" si="165"/>
        <v/>
      </c>
      <c r="OPI23" s="50" t="str">
        <f t="shared" si="165"/>
        <v/>
      </c>
      <c r="OPJ23" s="50" t="str">
        <f t="shared" si="165"/>
        <v/>
      </c>
      <c r="OPK23" s="50" t="str">
        <f t="shared" si="165"/>
        <v/>
      </c>
      <c r="OPL23" s="50" t="str">
        <f t="shared" si="165"/>
        <v/>
      </c>
      <c r="OPM23" s="50" t="str">
        <f t="shared" si="165"/>
        <v/>
      </c>
      <c r="OPN23" s="50" t="str">
        <f t="shared" si="165"/>
        <v/>
      </c>
      <c r="OPO23" s="50" t="str">
        <f t="shared" si="165"/>
        <v/>
      </c>
      <c r="OPP23" s="50" t="str">
        <f t="shared" si="165"/>
        <v/>
      </c>
      <c r="OPQ23" s="50" t="str">
        <f t="shared" si="165"/>
        <v/>
      </c>
      <c r="OPR23" s="50" t="str">
        <f t="shared" si="165"/>
        <v/>
      </c>
      <c r="OPS23" s="50" t="str">
        <f t="shared" si="165"/>
        <v/>
      </c>
      <c r="OPT23" s="50" t="str">
        <f t="shared" si="165"/>
        <v/>
      </c>
      <c r="OPU23" s="50" t="str">
        <f t="shared" si="165"/>
        <v/>
      </c>
      <c r="OPV23" s="50" t="str">
        <f t="shared" si="165"/>
        <v/>
      </c>
      <c r="OPW23" s="50" t="str">
        <f t="shared" si="165"/>
        <v/>
      </c>
      <c r="OPX23" s="50" t="str">
        <f t="shared" si="165"/>
        <v/>
      </c>
      <c r="OPY23" s="50" t="str">
        <f t="shared" si="165"/>
        <v/>
      </c>
      <c r="OPZ23" s="50" t="str">
        <f t="shared" si="165"/>
        <v/>
      </c>
      <c r="OQA23" s="50" t="str">
        <f t="shared" si="165"/>
        <v/>
      </c>
      <c r="OQB23" s="50" t="str">
        <f t="shared" si="165"/>
        <v/>
      </c>
      <c r="OQC23" s="50" t="str">
        <f t="shared" si="165"/>
        <v/>
      </c>
      <c r="OQD23" s="50" t="str">
        <f t="shared" si="165"/>
        <v/>
      </c>
      <c r="OQE23" s="50" t="str">
        <f t="shared" si="165"/>
        <v/>
      </c>
      <c r="OQF23" s="50" t="str">
        <f t="shared" si="165"/>
        <v/>
      </c>
      <c r="OQG23" s="50" t="str">
        <f t="shared" si="165"/>
        <v/>
      </c>
      <c r="OQH23" s="50" t="str">
        <f t="shared" si="165"/>
        <v/>
      </c>
      <c r="OQI23" s="50" t="str">
        <f t="shared" si="165"/>
        <v/>
      </c>
      <c r="OQJ23" s="50" t="str">
        <f t="shared" si="165"/>
        <v/>
      </c>
      <c r="OQK23" s="50" t="str">
        <f t="shared" si="165"/>
        <v/>
      </c>
      <c r="OQL23" s="50" t="str">
        <f t="shared" si="165"/>
        <v/>
      </c>
      <c r="OQM23" s="50" t="str">
        <f t="shared" si="165"/>
        <v/>
      </c>
      <c r="OQN23" s="50" t="str">
        <f t="shared" si="165"/>
        <v/>
      </c>
      <c r="OQO23" s="50" t="str">
        <f t="shared" si="165"/>
        <v/>
      </c>
      <c r="OQP23" s="50" t="str">
        <f t="shared" si="165"/>
        <v/>
      </c>
      <c r="OQQ23" s="50" t="str">
        <f t="shared" si="165"/>
        <v/>
      </c>
      <c r="OQR23" s="50" t="str">
        <f t="shared" si="165"/>
        <v/>
      </c>
      <c r="OQS23" s="50" t="str">
        <f t="shared" si="165"/>
        <v/>
      </c>
      <c r="OQT23" s="50" t="str">
        <f t="shared" si="165"/>
        <v/>
      </c>
      <c r="OQU23" s="50" t="str">
        <f t="shared" si="165"/>
        <v/>
      </c>
      <c r="OQV23" s="50" t="str">
        <f t="shared" si="165"/>
        <v/>
      </c>
      <c r="OQW23" s="50" t="str">
        <f t="shared" si="165"/>
        <v/>
      </c>
      <c r="OQX23" s="50" t="str">
        <f t="shared" si="165"/>
        <v/>
      </c>
      <c r="OQY23" s="50" t="str">
        <f t="shared" si="165"/>
        <v/>
      </c>
      <c r="OQZ23" s="50" t="str">
        <f t="shared" si="165"/>
        <v/>
      </c>
      <c r="ORA23" s="50" t="str">
        <f t="shared" ref="ORA23:OTL23" si="166">IFERROR(IF(OQZ23+TIME(1,0,0)&lt;=$G$12,OQZ23+TIME(1,0,0),""),"")</f>
        <v/>
      </c>
      <c r="ORB23" s="50" t="str">
        <f t="shared" si="166"/>
        <v/>
      </c>
      <c r="ORC23" s="50" t="str">
        <f t="shared" si="166"/>
        <v/>
      </c>
      <c r="ORD23" s="50" t="str">
        <f t="shared" si="166"/>
        <v/>
      </c>
      <c r="ORE23" s="50" t="str">
        <f t="shared" si="166"/>
        <v/>
      </c>
      <c r="ORF23" s="50" t="str">
        <f t="shared" si="166"/>
        <v/>
      </c>
      <c r="ORG23" s="50" t="str">
        <f t="shared" si="166"/>
        <v/>
      </c>
      <c r="ORH23" s="50" t="str">
        <f t="shared" si="166"/>
        <v/>
      </c>
      <c r="ORI23" s="50" t="str">
        <f t="shared" si="166"/>
        <v/>
      </c>
      <c r="ORJ23" s="50" t="str">
        <f t="shared" si="166"/>
        <v/>
      </c>
      <c r="ORK23" s="50" t="str">
        <f t="shared" si="166"/>
        <v/>
      </c>
      <c r="ORL23" s="50" t="str">
        <f t="shared" si="166"/>
        <v/>
      </c>
      <c r="ORM23" s="50" t="str">
        <f t="shared" si="166"/>
        <v/>
      </c>
      <c r="ORN23" s="50" t="str">
        <f t="shared" si="166"/>
        <v/>
      </c>
      <c r="ORO23" s="50" t="str">
        <f t="shared" si="166"/>
        <v/>
      </c>
      <c r="ORP23" s="50" t="str">
        <f t="shared" si="166"/>
        <v/>
      </c>
      <c r="ORQ23" s="50" t="str">
        <f t="shared" si="166"/>
        <v/>
      </c>
      <c r="ORR23" s="50" t="str">
        <f t="shared" si="166"/>
        <v/>
      </c>
      <c r="ORS23" s="50" t="str">
        <f t="shared" si="166"/>
        <v/>
      </c>
      <c r="ORT23" s="50" t="str">
        <f t="shared" si="166"/>
        <v/>
      </c>
      <c r="ORU23" s="50" t="str">
        <f t="shared" si="166"/>
        <v/>
      </c>
      <c r="ORV23" s="50" t="str">
        <f t="shared" si="166"/>
        <v/>
      </c>
      <c r="ORW23" s="50" t="str">
        <f t="shared" si="166"/>
        <v/>
      </c>
      <c r="ORX23" s="50" t="str">
        <f t="shared" si="166"/>
        <v/>
      </c>
      <c r="ORY23" s="50" t="str">
        <f t="shared" si="166"/>
        <v/>
      </c>
      <c r="ORZ23" s="50" t="str">
        <f t="shared" si="166"/>
        <v/>
      </c>
      <c r="OSA23" s="50" t="str">
        <f t="shared" si="166"/>
        <v/>
      </c>
      <c r="OSB23" s="50" t="str">
        <f t="shared" si="166"/>
        <v/>
      </c>
      <c r="OSC23" s="50" t="str">
        <f t="shared" si="166"/>
        <v/>
      </c>
      <c r="OSD23" s="50" t="str">
        <f t="shared" si="166"/>
        <v/>
      </c>
      <c r="OSE23" s="50" t="str">
        <f t="shared" si="166"/>
        <v/>
      </c>
      <c r="OSF23" s="50" t="str">
        <f t="shared" si="166"/>
        <v/>
      </c>
      <c r="OSG23" s="50" t="str">
        <f t="shared" si="166"/>
        <v/>
      </c>
      <c r="OSH23" s="50" t="str">
        <f t="shared" si="166"/>
        <v/>
      </c>
      <c r="OSI23" s="50" t="str">
        <f t="shared" si="166"/>
        <v/>
      </c>
      <c r="OSJ23" s="50" t="str">
        <f t="shared" si="166"/>
        <v/>
      </c>
      <c r="OSK23" s="50" t="str">
        <f t="shared" si="166"/>
        <v/>
      </c>
      <c r="OSL23" s="50" t="str">
        <f t="shared" si="166"/>
        <v/>
      </c>
      <c r="OSM23" s="50" t="str">
        <f t="shared" si="166"/>
        <v/>
      </c>
      <c r="OSN23" s="50" t="str">
        <f t="shared" si="166"/>
        <v/>
      </c>
      <c r="OSO23" s="50" t="str">
        <f t="shared" si="166"/>
        <v/>
      </c>
      <c r="OSP23" s="50" t="str">
        <f t="shared" si="166"/>
        <v/>
      </c>
      <c r="OSQ23" s="50" t="str">
        <f t="shared" si="166"/>
        <v/>
      </c>
      <c r="OSR23" s="50" t="str">
        <f t="shared" si="166"/>
        <v/>
      </c>
      <c r="OSS23" s="50" t="str">
        <f t="shared" si="166"/>
        <v/>
      </c>
      <c r="OST23" s="50" t="str">
        <f t="shared" si="166"/>
        <v/>
      </c>
      <c r="OSU23" s="50" t="str">
        <f t="shared" si="166"/>
        <v/>
      </c>
      <c r="OSV23" s="50" t="str">
        <f t="shared" si="166"/>
        <v/>
      </c>
      <c r="OSW23" s="50" t="str">
        <f t="shared" si="166"/>
        <v/>
      </c>
      <c r="OSX23" s="50" t="str">
        <f t="shared" si="166"/>
        <v/>
      </c>
      <c r="OSY23" s="50" t="str">
        <f t="shared" si="166"/>
        <v/>
      </c>
      <c r="OSZ23" s="50" t="str">
        <f t="shared" si="166"/>
        <v/>
      </c>
      <c r="OTA23" s="50" t="str">
        <f t="shared" si="166"/>
        <v/>
      </c>
      <c r="OTB23" s="50" t="str">
        <f t="shared" si="166"/>
        <v/>
      </c>
      <c r="OTC23" s="50" t="str">
        <f t="shared" si="166"/>
        <v/>
      </c>
      <c r="OTD23" s="50" t="str">
        <f t="shared" si="166"/>
        <v/>
      </c>
      <c r="OTE23" s="50" t="str">
        <f t="shared" si="166"/>
        <v/>
      </c>
      <c r="OTF23" s="50" t="str">
        <f t="shared" si="166"/>
        <v/>
      </c>
      <c r="OTG23" s="50" t="str">
        <f t="shared" si="166"/>
        <v/>
      </c>
      <c r="OTH23" s="50" t="str">
        <f t="shared" si="166"/>
        <v/>
      </c>
      <c r="OTI23" s="50" t="str">
        <f t="shared" si="166"/>
        <v/>
      </c>
      <c r="OTJ23" s="50" t="str">
        <f t="shared" si="166"/>
        <v/>
      </c>
      <c r="OTK23" s="50" t="str">
        <f t="shared" si="166"/>
        <v/>
      </c>
      <c r="OTL23" s="50" t="str">
        <f t="shared" si="166"/>
        <v/>
      </c>
      <c r="OTM23" s="50" t="str">
        <f t="shared" ref="OTM23:OVX23" si="167">IFERROR(IF(OTL23+TIME(1,0,0)&lt;=$G$12,OTL23+TIME(1,0,0),""),"")</f>
        <v/>
      </c>
      <c r="OTN23" s="50" t="str">
        <f t="shared" si="167"/>
        <v/>
      </c>
      <c r="OTO23" s="50" t="str">
        <f t="shared" si="167"/>
        <v/>
      </c>
      <c r="OTP23" s="50" t="str">
        <f t="shared" si="167"/>
        <v/>
      </c>
      <c r="OTQ23" s="50" t="str">
        <f t="shared" si="167"/>
        <v/>
      </c>
      <c r="OTR23" s="50" t="str">
        <f t="shared" si="167"/>
        <v/>
      </c>
      <c r="OTS23" s="50" t="str">
        <f t="shared" si="167"/>
        <v/>
      </c>
      <c r="OTT23" s="50" t="str">
        <f t="shared" si="167"/>
        <v/>
      </c>
      <c r="OTU23" s="50" t="str">
        <f t="shared" si="167"/>
        <v/>
      </c>
      <c r="OTV23" s="50" t="str">
        <f t="shared" si="167"/>
        <v/>
      </c>
      <c r="OTW23" s="50" t="str">
        <f t="shared" si="167"/>
        <v/>
      </c>
      <c r="OTX23" s="50" t="str">
        <f t="shared" si="167"/>
        <v/>
      </c>
      <c r="OTY23" s="50" t="str">
        <f t="shared" si="167"/>
        <v/>
      </c>
      <c r="OTZ23" s="50" t="str">
        <f t="shared" si="167"/>
        <v/>
      </c>
      <c r="OUA23" s="50" t="str">
        <f t="shared" si="167"/>
        <v/>
      </c>
      <c r="OUB23" s="50" t="str">
        <f t="shared" si="167"/>
        <v/>
      </c>
      <c r="OUC23" s="50" t="str">
        <f t="shared" si="167"/>
        <v/>
      </c>
      <c r="OUD23" s="50" t="str">
        <f t="shared" si="167"/>
        <v/>
      </c>
      <c r="OUE23" s="50" t="str">
        <f t="shared" si="167"/>
        <v/>
      </c>
      <c r="OUF23" s="50" t="str">
        <f t="shared" si="167"/>
        <v/>
      </c>
      <c r="OUG23" s="50" t="str">
        <f t="shared" si="167"/>
        <v/>
      </c>
      <c r="OUH23" s="50" t="str">
        <f t="shared" si="167"/>
        <v/>
      </c>
      <c r="OUI23" s="50" t="str">
        <f t="shared" si="167"/>
        <v/>
      </c>
      <c r="OUJ23" s="50" t="str">
        <f t="shared" si="167"/>
        <v/>
      </c>
      <c r="OUK23" s="50" t="str">
        <f t="shared" si="167"/>
        <v/>
      </c>
      <c r="OUL23" s="50" t="str">
        <f t="shared" si="167"/>
        <v/>
      </c>
      <c r="OUM23" s="50" t="str">
        <f t="shared" si="167"/>
        <v/>
      </c>
      <c r="OUN23" s="50" t="str">
        <f t="shared" si="167"/>
        <v/>
      </c>
      <c r="OUO23" s="50" t="str">
        <f t="shared" si="167"/>
        <v/>
      </c>
      <c r="OUP23" s="50" t="str">
        <f t="shared" si="167"/>
        <v/>
      </c>
      <c r="OUQ23" s="50" t="str">
        <f t="shared" si="167"/>
        <v/>
      </c>
      <c r="OUR23" s="50" t="str">
        <f t="shared" si="167"/>
        <v/>
      </c>
      <c r="OUS23" s="50" t="str">
        <f t="shared" si="167"/>
        <v/>
      </c>
      <c r="OUT23" s="50" t="str">
        <f t="shared" si="167"/>
        <v/>
      </c>
      <c r="OUU23" s="50" t="str">
        <f t="shared" si="167"/>
        <v/>
      </c>
      <c r="OUV23" s="50" t="str">
        <f t="shared" si="167"/>
        <v/>
      </c>
      <c r="OUW23" s="50" t="str">
        <f t="shared" si="167"/>
        <v/>
      </c>
      <c r="OUX23" s="50" t="str">
        <f t="shared" si="167"/>
        <v/>
      </c>
      <c r="OUY23" s="50" t="str">
        <f t="shared" si="167"/>
        <v/>
      </c>
      <c r="OUZ23" s="50" t="str">
        <f t="shared" si="167"/>
        <v/>
      </c>
      <c r="OVA23" s="50" t="str">
        <f t="shared" si="167"/>
        <v/>
      </c>
      <c r="OVB23" s="50" t="str">
        <f t="shared" si="167"/>
        <v/>
      </c>
      <c r="OVC23" s="50" t="str">
        <f t="shared" si="167"/>
        <v/>
      </c>
      <c r="OVD23" s="50" t="str">
        <f t="shared" si="167"/>
        <v/>
      </c>
      <c r="OVE23" s="50" t="str">
        <f t="shared" si="167"/>
        <v/>
      </c>
      <c r="OVF23" s="50" t="str">
        <f t="shared" si="167"/>
        <v/>
      </c>
      <c r="OVG23" s="50" t="str">
        <f t="shared" si="167"/>
        <v/>
      </c>
      <c r="OVH23" s="50" t="str">
        <f t="shared" si="167"/>
        <v/>
      </c>
      <c r="OVI23" s="50" t="str">
        <f t="shared" si="167"/>
        <v/>
      </c>
      <c r="OVJ23" s="50" t="str">
        <f t="shared" si="167"/>
        <v/>
      </c>
      <c r="OVK23" s="50" t="str">
        <f t="shared" si="167"/>
        <v/>
      </c>
      <c r="OVL23" s="50" t="str">
        <f t="shared" si="167"/>
        <v/>
      </c>
      <c r="OVM23" s="50" t="str">
        <f t="shared" si="167"/>
        <v/>
      </c>
      <c r="OVN23" s="50" t="str">
        <f t="shared" si="167"/>
        <v/>
      </c>
      <c r="OVO23" s="50" t="str">
        <f t="shared" si="167"/>
        <v/>
      </c>
      <c r="OVP23" s="50" t="str">
        <f t="shared" si="167"/>
        <v/>
      </c>
      <c r="OVQ23" s="50" t="str">
        <f t="shared" si="167"/>
        <v/>
      </c>
      <c r="OVR23" s="50" t="str">
        <f t="shared" si="167"/>
        <v/>
      </c>
      <c r="OVS23" s="50" t="str">
        <f t="shared" si="167"/>
        <v/>
      </c>
      <c r="OVT23" s="50" t="str">
        <f t="shared" si="167"/>
        <v/>
      </c>
      <c r="OVU23" s="50" t="str">
        <f t="shared" si="167"/>
        <v/>
      </c>
      <c r="OVV23" s="50" t="str">
        <f t="shared" si="167"/>
        <v/>
      </c>
      <c r="OVW23" s="50" t="str">
        <f t="shared" si="167"/>
        <v/>
      </c>
      <c r="OVX23" s="50" t="str">
        <f t="shared" si="167"/>
        <v/>
      </c>
      <c r="OVY23" s="50" t="str">
        <f t="shared" ref="OVY23:OYJ23" si="168">IFERROR(IF(OVX23+TIME(1,0,0)&lt;=$G$12,OVX23+TIME(1,0,0),""),"")</f>
        <v/>
      </c>
      <c r="OVZ23" s="50" t="str">
        <f t="shared" si="168"/>
        <v/>
      </c>
      <c r="OWA23" s="50" t="str">
        <f t="shared" si="168"/>
        <v/>
      </c>
      <c r="OWB23" s="50" t="str">
        <f t="shared" si="168"/>
        <v/>
      </c>
      <c r="OWC23" s="50" t="str">
        <f t="shared" si="168"/>
        <v/>
      </c>
      <c r="OWD23" s="50" t="str">
        <f t="shared" si="168"/>
        <v/>
      </c>
      <c r="OWE23" s="50" t="str">
        <f t="shared" si="168"/>
        <v/>
      </c>
      <c r="OWF23" s="50" t="str">
        <f t="shared" si="168"/>
        <v/>
      </c>
      <c r="OWG23" s="50" t="str">
        <f t="shared" si="168"/>
        <v/>
      </c>
      <c r="OWH23" s="50" t="str">
        <f t="shared" si="168"/>
        <v/>
      </c>
      <c r="OWI23" s="50" t="str">
        <f t="shared" si="168"/>
        <v/>
      </c>
      <c r="OWJ23" s="50" t="str">
        <f t="shared" si="168"/>
        <v/>
      </c>
      <c r="OWK23" s="50" t="str">
        <f t="shared" si="168"/>
        <v/>
      </c>
      <c r="OWL23" s="50" t="str">
        <f t="shared" si="168"/>
        <v/>
      </c>
      <c r="OWM23" s="50" t="str">
        <f t="shared" si="168"/>
        <v/>
      </c>
      <c r="OWN23" s="50" t="str">
        <f t="shared" si="168"/>
        <v/>
      </c>
      <c r="OWO23" s="50" t="str">
        <f t="shared" si="168"/>
        <v/>
      </c>
      <c r="OWP23" s="50" t="str">
        <f t="shared" si="168"/>
        <v/>
      </c>
      <c r="OWQ23" s="50" t="str">
        <f t="shared" si="168"/>
        <v/>
      </c>
      <c r="OWR23" s="50" t="str">
        <f t="shared" si="168"/>
        <v/>
      </c>
      <c r="OWS23" s="50" t="str">
        <f t="shared" si="168"/>
        <v/>
      </c>
      <c r="OWT23" s="50" t="str">
        <f t="shared" si="168"/>
        <v/>
      </c>
      <c r="OWU23" s="50" t="str">
        <f t="shared" si="168"/>
        <v/>
      </c>
      <c r="OWV23" s="50" t="str">
        <f t="shared" si="168"/>
        <v/>
      </c>
      <c r="OWW23" s="50" t="str">
        <f t="shared" si="168"/>
        <v/>
      </c>
      <c r="OWX23" s="50" t="str">
        <f t="shared" si="168"/>
        <v/>
      </c>
      <c r="OWY23" s="50" t="str">
        <f t="shared" si="168"/>
        <v/>
      </c>
      <c r="OWZ23" s="50" t="str">
        <f t="shared" si="168"/>
        <v/>
      </c>
      <c r="OXA23" s="50" t="str">
        <f t="shared" si="168"/>
        <v/>
      </c>
      <c r="OXB23" s="50" t="str">
        <f t="shared" si="168"/>
        <v/>
      </c>
      <c r="OXC23" s="50" t="str">
        <f t="shared" si="168"/>
        <v/>
      </c>
      <c r="OXD23" s="50" t="str">
        <f t="shared" si="168"/>
        <v/>
      </c>
      <c r="OXE23" s="50" t="str">
        <f t="shared" si="168"/>
        <v/>
      </c>
      <c r="OXF23" s="50" t="str">
        <f t="shared" si="168"/>
        <v/>
      </c>
      <c r="OXG23" s="50" t="str">
        <f t="shared" si="168"/>
        <v/>
      </c>
      <c r="OXH23" s="50" t="str">
        <f t="shared" si="168"/>
        <v/>
      </c>
      <c r="OXI23" s="50" t="str">
        <f t="shared" si="168"/>
        <v/>
      </c>
      <c r="OXJ23" s="50" t="str">
        <f t="shared" si="168"/>
        <v/>
      </c>
      <c r="OXK23" s="50" t="str">
        <f t="shared" si="168"/>
        <v/>
      </c>
      <c r="OXL23" s="50" t="str">
        <f t="shared" si="168"/>
        <v/>
      </c>
      <c r="OXM23" s="50" t="str">
        <f t="shared" si="168"/>
        <v/>
      </c>
      <c r="OXN23" s="50" t="str">
        <f t="shared" si="168"/>
        <v/>
      </c>
      <c r="OXO23" s="50" t="str">
        <f t="shared" si="168"/>
        <v/>
      </c>
      <c r="OXP23" s="50" t="str">
        <f t="shared" si="168"/>
        <v/>
      </c>
      <c r="OXQ23" s="50" t="str">
        <f t="shared" si="168"/>
        <v/>
      </c>
      <c r="OXR23" s="50" t="str">
        <f t="shared" si="168"/>
        <v/>
      </c>
      <c r="OXS23" s="50" t="str">
        <f t="shared" si="168"/>
        <v/>
      </c>
      <c r="OXT23" s="50" t="str">
        <f t="shared" si="168"/>
        <v/>
      </c>
      <c r="OXU23" s="50" t="str">
        <f t="shared" si="168"/>
        <v/>
      </c>
      <c r="OXV23" s="50" t="str">
        <f t="shared" si="168"/>
        <v/>
      </c>
      <c r="OXW23" s="50" t="str">
        <f t="shared" si="168"/>
        <v/>
      </c>
      <c r="OXX23" s="50" t="str">
        <f t="shared" si="168"/>
        <v/>
      </c>
      <c r="OXY23" s="50" t="str">
        <f t="shared" si="168"/>
        <v/>
      </c>
      <c r="OXZ23" s="50" t="str">
        <f t="shared" si="168"/>
        <v/>
      </c>
      <c r="OYA23" s="50" t="str">
        <f t="shared" si="168"/>
        <v/>
      </c>
      <c r="OYB23" s="50" t="str">
        <f t="shared" si="168"/>
        <v/>
      </c>
      <c r="OYC23" s="50" t="str">
        <f t="shared" si="168"/>
        <v/>
      </c>
      <c r="OYD23" s="50" t="str">
        <f t="shared" si="168"/>
        <v/>
      </c>
      <c r="OYE23" s="50" t="str">
        <f t="shared" si="168"/>
        <v/>
      </c>
      <c r="OYF23" s="50" t="str">
        <f t="shared" si="168"/>
        <v/>
      </c>
      <c r="OYG23" s="50" t="str">
        <f t="shared" si="168"/>
        <v/>
      </c>
      <c r="OYH23" s="50" t="str">
        <f t="shared" si="168"/>
        <v/>
      </c>
      <c r="OYI23" s="50" t="str">
        <f t="shared" si="168"/>
        <v/>
      </c>
      <c r="OYJ23" s="50" t="str">
        <f t="shared" si="168"/>
        <v/>
      </c>
      <c r="OYK23" s="50" t="str">
        <f t="shared" ref="OYK23:PAV23" si="169">IFERROR(IF(OYJ23+TIME(1,0,0)&lt;=$G$12,OYJ23+TIME(1,0,0),""),"")</f>
        <v/>
      </c>
      <c r="OYL23" s="50" t="str">
        <f t="shared" si="169"/>
        <v/>
      </c>
      <c r="OYM23" s="50" t="str">
        <f t="shared" si="169"/>
        <v/>
      </c>
      <c r="OYN23" s="50" t="str">
        <f t="shared" si="169"/>
        <v/>
      </c>
      <c r="OYO23" s="50" t="str">
        <f t="shared" si="169"/>
        <v/>
      </c>
      <c r="OYP23" s="50" t="str">
        <f t="shared" si="169"/>
        <v/>
      </c>
      <c r="OYQ23" s="50" t="str">
        <f t="shared" si="169"/>
        <v/>
      </c>
      <c r="OYR23" s="50" t="str">
        <f t="shared" si="169"/>
        <v/>
      </c>
      <c r="OYS23" s="50" t="str">
        <f t="shared" si="169"/>
        <v/>
      </c>
      <c r="OYT23" s="50" t="str">
        <f t="shared" si="169"/>
        <v/>
      </c>
      <c r="OYU23" s="50" t="str">
        <f t="shared" si="169"/>
        <v/>
      </c>
      <c r="OYV23" s="50" t="str">
        <f t="shared" si="169"/>
        <v/>
      </c>
      <c r="OYW23" s="50" t="str">
        <f t="shared" si="169"/>
        <v/>
      </c>
      <c r="OYX23" s="50" t="str">
        <f t="shared" si="169"/>
        <v/>
      </c>
      <c r="OYY23" s="50" t="str">
        <f t="shared" si="169"/>
        <v/>
      </c>
      <c r="OYZ23" s="50" t="str">
        <f t="shared" si="169"/>
        <v/>
      </c>
      <c r="OZA23" s="50" t="str">
        <f t="shared" si="169"/>
        <v/>
      </c>
      <c r="OZB23" s="50" t="str">
        <f t="shared" si="169"/>
        <v/>
      </c>
      <c r="OZC23" s="50" t="str">
        <f t="shared" si="169"/>
        <v/>
      </c>
      <c r="OZD23" s="50" t="str">
        <f t="shared" si="169"/>
        <v/>
      </c>
      <c r="OZE23" s="50" t="str">
        <f t="shared" si="169"/>
        <v/>
      </c>
      <c r="OZF23" s="50" t="str">
        <f t="shared" si="169"/>
        <v/>
      </c>
      <c r="OZG23" s="50" t="str">
        <f t="shared" si="169"/>
        <v/>
      </c>
      <c r="OZH23" s="50" t="str">
        <f t="shared" si="169"/>
        <v/>
      </c>
      <c r="OZI23" s="50" t="str">
        <f t="shared" si="169"/>
        <v/>
      </c>
      <c r="OZJ23" s="50" t="str">
        <f t="shared" si="169"/>
        <v/>
      </c>
      <c r="OZK23" s="50" t="str">
        <f t="shared" si="169"/>
        <v/>
      </c>
      <c r="OZL23" s="50" t="str">
        <f t="shared" si="169"/>
        <v/>
      </c>
      <c r="OZM23" s="50" t="str">
        <f t="shared" si="169"/>
        <v/>
      </c>
      <c r="OZN23" s="50" t="str">
        <f t="shared" si="169"/>
        <v/>
      </c>
      <c r="OZO23" s="50" t="str">
        <f t="shared" si="169"/>
        <v/>
      </c>
      <c r="OZP23" s="50" t="str">
        <f t="shared" si="169"/>
        <v/>
      </c>
      <c r="OZQ23" s="50" t="str">
        <f t="shared" si="169"/>
        <v/>
      </c>
      <c r="OZR23" s="50" t="str">
        <f t="shared" si="169"/>
        <v/>
      </c>
      <c r="OZS23" s="50" t="str">
        <f t="shared" si="169"/>
        <v/>
      </c>
      <c r="OZT23" s="50" t="str">
        <f t="shared" si="169"/>
        <v/>
      </c>
      <c r="OZU23" s="50" t="str">
        <f t="shared" si="169"/>
        <v/>
      </c>
      <c r="OZV23" s="50" t="str">
        <f t="shared" si="169"/>
        <v/>
      </c>
      <c r="OZW23" s="50" t="str">
        <f t="shared" si="169"/>
        <v/>
      </c>
      <c r="OZX23" s="50" t="str">
        <f t="shared" si="169"/>
        <v/>
      </c>
      <c r="OZY23" s="50" t="str">
        <f t="shared" si="169"/>
        <v/>
      </c>
      <c r="OZZ23" s="50" t="str">
        <f t="shared" si="169"/>
        <v/>
      </c>
      <c r="PAA23" s="50" t="str">
        <f t="shared" si="169"/>
        <v/>
      </c>
      <c r="PAB23" s="50" t="str">
        <f t="shared" si="169"/>
        <v/>
      </c>
      <c r="PAC23" s="50" t="str">
        <f t="shared" si="169"/>
        <v/>
      </c>
      <c r="PAD23" s="50" t="str">
        <f t="shared" si="169"/>
        <v/>
      </c>
      <c r="PAE23" s="50" t="str">
        <f t="shared" si="169"/>
        <v/>
      </c>
      <c r="PAF23" s="50" t="str">
        <f t="shared" si="169"/>
        <v/>
      </c>
      <c r="PAG23" s="50" t="str">
        <f t="shared" si="169"/>
        <v/>
      </c>
      <c r="PAH23" s="50" t="str">
        <f t="shared" si="169"/>
        <v/>
      </c>
      <c r="PAI23" s="50" t="str">
        <f t="shared" si="169"/>
        <v/>
      </c>
      <c r="PAJ23" s="50" t="str">
        <f t="shared" si="169"/>
        <v/>
      </c>
      <c r="PAK23" s="50" t="str">
        <f t="shared" si="169"/>
        <v/>
      </c>
      <c r="PAL23" s="50" t="str">
        <f t="shared" si="169"/>
        <v/>
      </c>
      <c r="PAM23" s="50" t="str">
        <f t="shared" si="169"/>
        <v/>
      </c>
      <c r="PAN23" s="50" t="str">
        <f t="shared" si="169"/>
        <v/>
      </c>
      <c r="PAO23" s="50" t="str">
        <f t="shared" si="169"/>
        <v/>
      </c>
      <c r="PAP23" s="50" t="str">
        <f t="shared" si="169"/>
        <v/>
      </c>
      <c r="PAQ23" s="50" t="str">
        <f t="shared" si="169"/>
        <v/>
      </c>
      <c r="PAR23" s="50" t="str">
        <f t="shared" si="169"/>
        <v/>
      </c>
      <c r="PAS23" s="50" t="str">
        <f t="shared" si="169"/>
        <v/>
      </c>
      <c r="PAT23" s="50" t="str">
        <f t="shared" si="169"/>
        <v/>
      </c>
      <c r="PAU23" s="50" t="str">
        <f t="shared" si="169"/>
        <v/>
      </c>
      <c r="PAV23" s="50" t="str">
        <f t="shared" si="169"/>
        <v/>
      </c>
      <c r="PAW23" s="50" t="str">
        <f t="shared" ref="PAW23:PDH23" si="170">IFERROR(IF(PAV23+TIME(1,0,0)&lt;=$G$12,PAV23+TIME(1,0,0),""),"")</f>
        <v/>
      </c>
      <c r="PAX23" s="50" t="str">
        <f t="shared" si="170"/>
        <v/>
      </c>
      <c r="PAY23" s="50" t="str">
        <f t="shared" si="170"/>
        <v/>
      </c>
      <c r="PAZ23" s="50" t="str">
        <f t="shared" si="170"/>
        <v/>
      </c>
      <c r="PBA23" s="50" t="str">
        <f t="shared" si="170"/>
        <v/>
      </c>
      <c r="PBB23" s="50" t="str">
        <f t="shared" si="170"/>
        <v/>
      </c>
      <c r="PBC23" s="50" t="str">
        <f t="shared" si="170"/>
        <v/>
      </c>
      <c r="PBD23" s="50" t="str">
        <f t="shared" si="170"/>
        <v/>
      </c>
      <c r="PBE23" s="50" t="str">
        <f t="shared" si="170"/>
        <v/>
      </c>
      <c r="PBF23" s="50" t="str">
        <f t="shared" si="170"/>
        <v/>
      </c>
      <c r="PBG23" s="50" t="str">
        <f t="shared" si="170"/>
        <v/>
      </c>
      <c r="PBH23" s="50" t="str">
        <f t="shared" si="170"/>
        <v/>
      </c>
      <c r="PBI23" s="50" t="str">
        <f t="shared" si="170"/>
        <v/>
      </c>
      <c r="PBJ23" s="50" t="str">
        <f t="shared" si="170"/>
        <v/>
      </c>
      <c r="PBK23" s="50" t="str">
        <f t="shared" si="170"/>
        <v/>
      </c>
      <c r="PBL23" s="50" t="str">
        <f t="shared" si="170"/>
        <v/>
      </c>
      <c r="PBM23" s="50" t="str">
        <f t="shared" si="170"/>
        <v/>
      </c>
      <c r="PBN23" s="50" t="str">
        <f t="shared" si="170"/>
        <v/>
      </c>
      <c r="PBO23" s="50" t="str">
        <f t="shared" si="170"/>
        <v/>
      </c>
      <c r="PBP23" s="50" t="str">
        <f t="shared" si="170"/>
        <v/>
      </c>
      <c r="PBQ23" s="50" t="str">
        <f t="shared" si="170"/>
        <v/>
      </c>
      <c r="PBR23" s="50" t="str">
        <f t="shared" si="170"/>
        <v/>
      </c>
      <c r="PBS23" s="50" t="str">
        <f t="shared" si="170"/>
        <v/>
      </c>
      <c r="PBT23" s="50" t="str">
        <f t="shared" si="170"/>
        <v/>
      </c>
      <c r="PBU23" s="50" t="str">
        <f t="shared" si="170"/>
        <v/>
      </c>
      <c r="PBV23" s="50" t="str">
        <f t="shared" si="170"/>
        <v/>
      </c>
      <c r="PBW23" s="50" t="str">
        <f t="shared" si="170"/>
        <v/>
      </c>
      <c r="PBX23" s="50" t="str">
        <f t="shared" si="170"/>
        <v/>
      </c>
      <c r="PBY23" s="50" t="str">
        <f t="shared" si="170"/>
        <v/>
      </c>
      <c r="PBZ23" s="50" t="str">
        <f t="shared" si="170"/>
        <v/>
      </c>
      <c r="PCA23" s="50" t="str">
        <f t="shared" si="170"/>
        <v/>
      </c>
      <c r="PCB23" s="50" t="str">
        <f t="shared" si="170"/>
        <v/>
      </c>
      <c r="PCC23" s="50" t="str">
        <f t="shared" si="170"/>
        <v/>
      </c>
      <c r="PCD23" s="50" t="str">
        <f t="shared" si="170"/>
        <v/>
      </c>
      <c r="PCE23" s="50" t="str">
        <f t="shared" si="170"/>
        <v/>
      </c>
      <c r="PCF23" s="50" t="str">
        <f t="shared" si="170"/>
        <v/>
      </c>
      <c r="PCG23" s="50" t="str">
        <f t="shared" si="170"/>
        <v/>
      </c>
      <c r="PCH23" s="50" t="str">
        <f t="shared" si="170"/>
        <v/>
      </c>
      <c r="PCI23" s="50" t="str">
        <f t="shared" si="170"/>
        <v/>
      </c>
      <c r="PCJ23" s="50" t="str">
        <f t="shared" si="170"/>
        <v/>
      </c>
      <c r="PCK23" s="50" t="str">
        <f t="shared" si="170"/>
        <v/>
      </c>
      <c r="PCL23" s="50" t="str">
        <f t="shared" si="170"/>
        <v/>
      </c>
      <c r="PCM23" s="50" t="str">
        <f t="shared" si="170"/>
        <v/>
      </c>
      <c r="PCN23" s="50" t="str">
        <f t="shared" si="170"/>
        <v/>
      </c>
      <c r="PCO23" s="50" t="str">
        <f t="shared" si="170"/>
        <v/>
      </c>
      <c r="PCP23" s="50" t="str">
        <f t="shared" si="170"/>
        <v/>
      </c>
      <c r="PCQ23" s="50" t="str">
        <f t="shared" si="170"/>
        <v/>
      </c>
      <c r="PCR23" s="50" t="str">
        <f t="shared" si="170"/>
        <v/>
      </c>
      <c r="PCS23" s="50" t="str">
        <f t="shared" si="170"/>
        <v/>
      </c>
      <c r="PCT23" s="50" t="str">
        <f t="shared" si="170"/>
        <v/>
      </c>
      <c r="PCU23" s="50" t="str">
        <f t="shared" si="170"/>
        <v/>
      </c>
      <c r="PCV23" s="50" t="str">
        <f t="shared" si="170"/>
        <v/>
      </c>
      <c r="PCW23" s="50" t="str">
        <f t="shared" si="170"/>
        <v/>
      </c>
      <c r="PCX23" s="50" t="str">
        <f t="shared" si="170"/>
        <v/>
      </c>
      <c r="PCY23" s="50" t="str">
        <f t="shared" si="170"/>
        <v/>
      </c>
      <c r="PCZ23" s="50" t="str">
        <f t="shared" si="170"/>
        <v/>
      </c>
      <c r="PDA23" s="50" t="str">
        <f t="shared" si="170"/>
        <v/>
      </c>
      <c r="PDB23" s="50" t="str">
        <f t="shared" si="170"/>
        <v/>
      </c>
      <c r="PDC23" s="50" t="str">
        <f t="shared" si="170"/>
        <v/>
      </c>
      <c r="PDD23" s="50" t="str">
        <f t="shared" si="170"/>
        <v/>
      </c>
      <c r="PDE23" s="50" t="str">
        <f t="shared" si="170"/>
        <v/>
      </c>
      <c r="PDF23" s="50" t="str">
        <f t="shared" si="170"/>
        <v/>
      </c>
      <c r="PDG23" s="50" t="str">
        <f t="shared" si="170"/>
        <v/>
      </c>
      <c r="PDH23" s="50" t="str">
        <f t="shared" si="170"/>
        <v/>
      </c>
      <c r="PDI23" s="50" t="str">
        <f t="shared" ref="PDI23:PFT23" si="171">IFERROR(IF(PDH23+TIME(1,0,0)&lt;=$G$12,PDH23+TIME(1,0,0),""),"")</f>
        <v/>
      </c>
      <c r="PDJ23" s="50" t="str">
        <f t="shared" si="171"/>
        <v/>
      </c>
      <c r="PDK23" s="50" t="str">
        <f t="shared" si="171"/>
        <v/>
      </c>
      <c r="PDL23" s="50" t="str">
        <f t="shared" si="171"/>
        <v/>
      </c>
      <c r="PDM23" s="50" t="str">
        <f t="shared" si="171"/>
        <v/>
      </c>
      <c r="PDN23" s="50" t="str">
        <f t="shared" si="171"/>
        <v/>
      </c>
      <c r="PDO23" s="50" t="str">
        <f t="shared" si="171"/>
        <v/>
      </c>
      <c r="PDP23" s="50" t="str">
        <f t="shared" si="171"/>
        <v/>
      </c>
      <c r="PDQ23" s="50" t="str">
        <f t="shared" si="171"/>
        <v/>
      </c>
      <c r="PDR23" s="50" t="str">
        <f t="shared" si="171"/>
        <v/>
      </c>
      <c r="PDS23" s="50" t="str">
        <f t="shared" si="171"/>
        <v/>
      </c>
      <c r="PDT23" s="50" t="str">
        <f t="shared" si="171"/>
        <v/>
      </c>
      <c r="PDU23" s="50" t="str">
        <f t="shared" si="171"/>
        <v/>
      </c>
      <c r="PDV23" s="50" t="str">
        <f t="shared" si="171"/>
        <v/>
      </c>
      <c r="PDW23" s="50" t="str">
        <f t="shared" si="171"/>
        <v/>
      </c>
      <c r="PDX23" s="50" t="str">
        <f t="shared" si="171"/>
        <v/>
      </c>
      <c r="PDY23" s="50" t="str">
        <f t="shared" si="171"/>
        <v/>
      </c>
      <c r="PDZ23" s="50" t="str">
        <f t="shared" si="171"/>
        <v/>
      </c>
      <c r="PEA23" s="50" t="str">
        <f t="shared" si="171"/>
        <v/>
      </c>
      <c r="PEB23" s="50" t="str">
        <f t="shared" si="171"/>
        <v/>
      </c>
      <c r="PEC23" s="50" t="str">
        <f t="shared" si="171"/>
        <v/>
      </c>
      <c r="PED23" s="50" t="str">
        <f t="shared" si="171"/>
        <v/>
      </c>
      <c r="PEE23" s="50" t="str">
        <f t="shared" si="171"/>
        <v/>
      </c>
      <c r="PEF23" s="50" t="str">
        <f t="shared" si="171"/>
        <v/>
      </c>
      <c r="PEG23" s="50" t="str">
        <f t="shared" si="171"/>
        <v/>
      </c>
      <c r="PEH23" s="50" t="str">
        <f t="shared" si="171"/>
        <v/>
      </c>
      <c r="PEI23" s="50" t="str">
        <f t="shared" si="171"/>
        <v/>
      </c>
      <c r="PEJ23" s="50" t="str">
        <f t="shared" si="171"/>
        <v/>
      </c>
      <c r="PEK23" s="50" t="str">
        <f t="shared" si="171"/>
        <v/>
      </c>
      <c r="PEL23" s="50" t="str">
        <f t="shared" si="171"/>
        <v/>
      </c>
      <c r="PEM23" s="50" t="str">
        <f t="shared" si="171"/>
        <v/>
      </c>
      <c r="PEN23" s="50" t="str">
        <f t="shared" si="171"/>
        <v/>
      </c>
      <c r="PEO23" s="50" t="str">
        <f t="shared" si="171"/>
        <v/>
      </c>
      <c r="PEP23" s="50" t="str">
        <f t="shared" si="171"/>
        <v/>
      </c>
      <c r="PEQ23" s="50" t="str">
        <f t="shared" si="171"/>
        <v/>
      </c>
      <c r="PER23" s="50" t="str">
        <f t="shared" si="171"/>
        <v/>
      </c>
      <c r="PES23" s="50" t="str">
        <f t="shared" si="171"/>
        <v/>
      </c>
      <c r="PET23" s="50" t="str">
        <f t="shared" si="171"/>
        <v/>
      </c>
      <c r="PEU23" s="50" t="str">
        <f t="shared" si="171"/>
        <v/>
      </c>
      <c r="PEV23" s="50" t="str">
        <f t="shared" si="171"/>
        <v/>
      </c>
      <c r="PEW23" s="50" t="str">
        <f t="shared" si="171"/>
        <v/>
      </c>
      <c r="PEX23" s="50" t="str">
        <f t="shared" si="171"/>
        <v/>
      </c>
      <c r="PEY23" s="50" t="str">
        <f t="shared" si="171"/>
        <v/>
      </c>
      <c r="PEZ23" s="50" t="str">
        <f t="shared" si="171"/>
        <v/>
      </c>
      <c r="PFA23" s="50" t="str">
        <f t="shared" si="171"/>
        <v/>
      </c>
      <c r="PFB23" s="50" t="str">
        <f t="shared" si="171"/>
        <v/>
      </c>
      <c r="PFC23" s="50" t="str">
        <f t="shared" si="171"/>
        <v/>
      </c>
      <c r="PFD23" s="50" t="str">
        <f t="shared" si="171"/>
        <v/>
      </c>
      <c r="PFE23" s="50" t="str">
        <f t="shared" si="171"/>
        <v/>
      </c>
      <c r="PFF23" s="50" t="str">
        <f t="shared" si="171"/>
        <v/>
      </c>
      <c r="PFG23" s="50" t="str">
        <f t="shared" si="171"/>
        <v/>
      </c>
      <c r="PFH23" s="50" t="str">
        <f t="shared" si="171"/>
        <v/>
      </c>
      <c r="PFI23" s="50" t="str">
        <f t="shared" si="171"/>
        <v/>
      </c>
      <c r="PFJ23" s="50" t="str">
        <f t="shared" si="171"/>
        <v/>
      </c>
      <c r="PFK23" s="50" t="str">
        <f t="shared" si="171"/>
        <v/>
      </c>
      <c r="PFL23" s="50" t="str">
        <f t="shared" si="171"/>
        <v/>
      </c>
      <c r="PFM23" s="50" t="str">
        <f t="shared" si="171"/>
        <v/>
      </c>
      <c r="PFN23" s="50" t="str">
        <f t="shared" si="171"/>
        <v/>
      </c>
      <c r="PFO23" s="50" t="str">
        <f t="shared" si="171"/>
        <v/>
      </c>
      <c r="PFP23" s="50" t="str">
        <f t="shared" si="171"/>
        <v/>
      </c>
      <c r="PFQ23" s="50" t="str">
        <f t="shared" si="171"/>
        <v/>
      </c>
      <c r="PFR23" s="50" t="str">
        <f t="shared" si="171"/>
        <v/>
      </c>
      <c r="PFS23" s="50" t="str">
        <f t="shared" si="171"/>
        <v/>
      </c>
      <c r="PFT23" s="50" t="str">
        <f t="shared" si="171"/>
        <v/>
      </c>
      <c r="PFU23" s="50" t="str">
        <f t="shared" ref="PFU23:PIF23" si="172">IFERROR(IF(PFT23+TIME(1,0,0)&lt;=$G$12,PFT23+TIME(1,0,0),""),"")</f>
        <v/>
      </c>
      <c r="PFV23" s="50" t="str">
        <f t="shared" si="172"/>
        <v/>
      </c>
      <c r="PFW23" s="50" t="str">
        <f t="shared" si="172"/>
        <v/>
      </c>
      <c r="PFX23" s="50" t="str">
        <f t="shared" si="172"/>
        <v/>
      </c>
      <c r="PFY23" s="50" t="str">
        <f t="shared" si="172"/>
        <v/>
      </c>
      <c r="PFZ23" s="50" t="str">
        <f t="shared" si="172"/>
        <v/>
      </c>
      <c r="PGA23" s="50" t="str">
        <f t="shared" si="172"/>
        <v/>
      </c>
      <c r="PGB23" s="50" t="str">
        <f t="shared" si="172"/>
        <v/>
      </c>
      <c r="PGC23" s="50" t="str">
        <f t="shared" si="172"/>
        <v/>
      </c>
      <c r="PGD23" s="50" t="str">
        <f t="shared" si="172"/>
        <v/>
      </c>
      <c r="PGE23" s="50" t="str">
        <f t="shared" si="172"/>
        <v/>
      </c>
      <c r="PGF23" s="50" t="str">
        <f t="shared" si="172"/>
        <v/>
      </c>
      <c r="PGG23" s="50" t="str">
        <f t="shared" si="172"/>
        <v/>
      </c>
      <c r="PGH23" s="50" t="str">
        <f t="shared" si="172"/>
        <v/>
      </c>
      <c r="PGI23" s="50" t="str">
        <f t="shared" si="172"/>
        <v/>
      </c>
      <c r="PGJ23" s="50" t="str">
        <f t="shared" si="172"/>
        <v/>
      </c>
      <c r="PGK23" s="50" t="str">
        <f t="shared" si="172"/>
        <v/>
      </c>
      <c r="PGL23" s="50" t="str">
        <f t="shared" si="172"/>
        <v/>
      </c>
      <c r="PGM23" s="50" t="str">
        <f t="shared" si="172"/>
        <v/>
      </c>
      <c r="PGN23" s="50" t="str">
        <f t="shared" si="172"/>
        <v/>
      </c>
      <c r="PGO23" s="50" t="str">
        <f t="shared" si="172"/>
        <v/>
      </c>
      <c r="PGP23" s="50" t="str">
        <f t="shared" si="172"/>
        <v/>
      </c>
      <c r="PGQ23" s="50" t="str">
        <f t="shared" si="172"/>
        <v/>
      </c>
      <c r="PGR23" s="50" t="str">
        <f t="shared" si="172"/>
        <v/>
      </c>
      <c r="PGS23" s="50" t="str">
        <f t="shared" si="172"/>
        <v/>
      </c>
      <c r="PGT23" s="50" t="str">
        <f t="shared" si="172"/>
        <v/>
      </c>
      <c r="PGU23" s="50" t="str">
        <f t="shared" si="172"/>
        <v/>
      </c>
      <c r="PGV23" s="50" t="str">
        <f t="shared" si="172"/>
        <v/>
      </c>
      <c r="PGW23" s="50" t="str">
        <f t="shared" si="172"/>
        <v/>
      </c>
      <c r="PGX23" s="50" t="str">
        <f t="shared" si="172"/>
        <v/>
      </c>
      <c r="PGY23" s="50" t="str">
        <f t="shared" si="172"/>
        <v/>
      </c>
      <c r="PGZ23" s="50" t="str">
        <f t="shared" si="172"/>
        <v/>
      </c>
      <c r="PHA23" s="50" t="str">
        <f t="shared" si="172"/>
        <v/>
      </c>
      <c r="PHB23" s="50" t="str">
        <f t="shared" si="172"/>
        <v/>
      </c>
      <c r="PHC23" s="50" t="str">
        <f t="shared" si="172"/>
        <v/>
      </c>
      <c r="PHD23" s="50" t="str">
        <f t="shared" si="172"/>
        <v/>
      </c>
      <c r="PHE23" s="50" t="str">
        <f t="shared" si="172"/>
        <v/>
      </c>
      <c r="PHF23" s="50" t="str">
        <f t="shared" si="172"/>
        <v/>
      </c>
      <c r="PHG23" s="50" t="str">
        <f t="shared" si="172"/>
        <v/>
      </c>
      <c r="PHH23" s="50" t="str">
        <f t="shared" si="172"/>
        <v/>
      </c>
      <c r="PHI23" s="50" t="str">
        <f t="shared" si="172"/>
        <v/>
      </c>
      <c r="PHJ23" s="50" t="str">
        <f t="shared" si="172"/>
        <v/>
      </c>
      <c r="PHK23" s="50" t="str">
        <f t="shared" si="172"/>
        <v/>
      </c>
      <c r="PHL23" s="50" t="str">
        <f t="shared" si="172"/>
        <v/>
      </c>
      <c r="PHM23" s="50" t="str">
        <f t="shared" si="172"/>
        <v/>
      </c>
      <c r="PHN23" s="50" t="str">
        <f t="shared" si="172"/>
        <v/>
      </c>
      <c r="PHO23" s="50" t="str">
        <f t="shared" si="172"/>
        <v/>
      </c>
      <c r="PHP23" s="50" t="str">
        <f t="shared" si="172"/>
        <v/>
      </c>
      <c r="PHQ23" s="50" t="str">
        <f t="shared" si="172"/>
        <v/>
      </c>
      <c r="PHR23" s="50" t="str">
        <f t="shared" si="172"/>
        <v/>
      </c>
      <c r="PHS23" s="50" t="str">
        <f t="shared" si="172"/>
        <v/>
      </c>
      <c r="PHT23" s="50" t="str">
        <f t="shared" si="172"/>
        <v/>
      </c>
      <c r="PHU23" s="50" t="str">
        <f t="shared" si="172"/>
        <v/>
      </c>
      <c r="PHV23" s="50" t="str">
        <f t="shared" si="172"/>
        <v/>
      </c>
      <c r="PHW23" s="50" t="str">
        <f t="shared" si="172"/>
        <v/>
      </c>
      <c r="PHX23" s="50" t="str">
        <f t="shared" si="172"/>
        <v/>
      </c>
      <c r="PHY23" s="50" t="str">
        <f t="shared" si="172"/>
        <v/>
      </c>
      <c r="PHZ23" s="50" t="str">
        <f t="shared" si="172"/>
        <v/>
      </c>
      <c r="PIA23" s="50" t="str">
        <f t="shared" si="172"/>
        <v/>
      </c>
      <c r="PIB23" s="50" t="str">
        <f t="shared" si="172"/>
        <v/>
      </c>
      <c r="PIC23" s="50" t="str">
        <f t="shared" si="172"/>
        <v/>
      </c>
      <c r="PID23" s="50" t="str">
        <f t="shared" si="172"/>
        <v/>
      </c>
      <c r="PIE23" s="50" t="str">
        <f t="shared" si="172"/>
        <v/>
      </c>
      <c r="PIF23" s="50" t="str">
        <f t="shared" si="172"/>
        <v/>
      </c>
      <c r="PIG23" s="50" t="str">
        <f t="shared" ref="PIG23:PKR23" si="173">IFERROR(IF(PIF23+TIME(1,0,0)&lt;=$G$12,PIF23+TIME(1,0,0),""),"")</f>
        <v/>
      </c>
      <c r="PIH23" s="50" t="str">
        <f t="shared" si="173"/>
        <v/>
      </c>
      <c r="PII23" s="50" t="str">
        <f t="shared" si="173"/>
        <v/>
      </c>
      <c r="PIJ23" s="50" t="str">
        <f t="shared" si="173"/>
        <v/>
      </c>
      <c r="PIK23" s="50" t="str">
        <f t="shared" si="173"/>
        <v/>
      </c>
      <c r="PIL23" s="50" t="str">
        <f t="shared" si="173"/>
        <v/>
      </c>
      <c r="PIM23" s="50" t="str">
        <f t="shared" si="173"/>
        <v/>
      </c>
      <c r="PIN23" s="50" t="str">
        <f t="shared" si="173"/>
        <v/>
      </c>
      <c r="PIO23" s="50" t="str">
        <f t="shared" si="173"/>
        <v/>
      </c>
      <c r="PIP23" s="50" t="str">
        <f t="shared" si="173"/>
        <v/>
      </c>
      <c r="PIQ23" s="50" t="str">
        <f t="shared" si="173"/>
        <v/>
      </c>
      <c r="PIR23" s="50" t="str">
        <f t="shared" si="173"/>
        <v/>
      </c>
      <c r="PIS23" s="50" t="str">
        <f t="shared" si="173"/>
        <v/>
      </c>
      <c r="PIT23" s="50" t="str">
        <f t="shared" si="173"/>
        <v/>
      </c>
      <c r="PIU23" s="50" t="str">
        <f t="shared" si="173"/>
        <v/>
      </c>
      <c r="PIV23" s="50" t="str">
        <f t="shared" si="173"/>
        <v/>
      </c>
      <c r="PIW23" s="50" t="str">
        <f t="shared" si="173"/>
        <v/>
      </c>
      <c r="PIX23" s="50" t="str">
        <f t="shared" si="173"/>
        <v/>
      </c>
      <c r="PIY23" s="50" t="str">
        <f t="shared" si="173"/>
        <v/>
      </c>
      <c r="PIZ23" s="50" t="str">
        <f t="shared" si="173"/>
        <v/>
      </c>
      <c r="PJA23" s="50" t="str">
        <f t="shared" si="173"/>
        <v/>
      </c>
      <c r="PJB23" s="50" t="str">
        <f t="shared" si="173"/>
        <v/>
      </c>
      <c r="PJC23" s="50" t="str">
        <f t="shared" si="173"/>
        <v/>
      </c>
      <c r="PJD23" s="50" t="str">
        <f t="shared" si="173"/>
        <v/>
      </c>
      <c r="PJE23" s="50" t="str">
        <f t="shared" si="173"/>
        <v/>
      </c>
      <c r="PJF23" s="50" t="str">
        <f t="shared" si="173"/>
        <v/>
      </c>
      <c r="PJG23" s="50" t="str">
        <f t="shared" si="173"/>
        <v/>
      </c>
      <c r="PJH23" s="50" t="str">
        <f t="shared" si="173"/>
        <v/>
      </c>
      <c r="PJI23" s="50" t="str">
        <f t="shared" si="173"/>
        <v/>
      </c>
      <c r="PJJ23" s="50" t="str">
        <f t="shared" si="173"/>
        <v/>
      </c>
      <c r="PJK23" s="50" t="str">
        <f t="shared" si="173"/>
        <v/>
      </c>
      <c r="PJL23" s="50" t="str">
        <f t="shared" si="173"/>
        <v/>
      </c>
      <c r="PJM23" s="50" t="str">
        <f t="shared" si="173"/>
        <v/>
      </c>
      <c r="PJN23" s="50" t="str">
        <f t="shared" si="173"/>
        <v/>
      </c>
      <c r="PJO23" s="50" t="str">
        <f t="shared" si="173"/>
        <v/>
      </c>
      <c r="PJP23" s="50" t="str">
        <f t="shared" si="173"/>
        <v/>
      </c>
      <c r="PJQ23" s="50" t="str">
        <f t="shared" si="173"/>
        <v/>
      </c>
      <c r="PJR23" s="50" t="str">
        <f t="shared" si="173"/>
        <v/>
      </c>
      <c r="PJS23" s="50" t="str">
        <f t="shared" si="173"/>
        <v/>
      </c>
      <c r="PJT23" s="50" t="str">
        <f t="shared" si="173"/>
        <v/>
      </c>
      <c r="PJU23" s="50" t="str">
        <f t="shared" si="173"/>
        <v/>
      </c>
      <c r="PJV23" s="50" t="str">
        <f t="shared" si="173"/>
        <v/>
      </c>
      <c r="PJW23" s="50" t="str">
        <f t="shared" si="173"/>
        <v/>
      </c>
      <c r="PJX23" s="50" t="str">
        <f t="shared" si="173"/>
        <v/>
      </c>
      <c r="PJY23" s="50" t="str">
        <f t="shared" si="173"/>
        <v/>
      </c>
      <c r="PJZ23" s="50" t="str">
        <f t="shared" si="173"/>
        <v/>
      </c>
      <c r="PKA23" s="50" t="str">
        <f t="shared" si="173"/>
        <v/>
      </c>
      <c r="PKB23" s="50" t="str">
        <f t="shared" si="173"/>
        <v/>
      </c>
      <c r="PKC23" s="50" t="str">
        <f t="shared" si="173"/>
        <v/>
      </c>
      <c r="PKD23" s="50" t="str">
        <f t="shared" si="173"/>
        <v/>
      </c>
      <c r="PKE23" s="50" t="str">
        <f t="shared" si="173"/>
        <v/>
      </c>
      <c r="PKF23" s="50" t="str">
        <f t="shared" si="173"/>
        <v/>
      </c>
      <c r="PKG23" s="50" t="str">
        <f t="shared" si="173"/>
        <v/>
      </c>
      <c r="PKH23" s="50" t="str">
        <f t="shared" si="173"/>
        <v/>
      </c>
      <c r="PKI23" s="50" t="str">
        <f t="shared" si="173"/>
        <v/>
      </c>
      <c r="PKJ23" s="50" t="str">
        <f t="shared" si="173"/>
        <v/>
      </c>
      <c r="PKK23" s="50" t="str">
        <f t="shared" si="173"/>
        <v/>
      </c>
      <c r="PKL23" s="50" t="str">
        <f t="shared" si="173"/>
        <v/>
      </c>
      <c r="PKM23" s="50" t="str">
        <f t="shared" si="173"/>
        <v/>
      </c>
      <c r="PKN23" s="50" t="str">
        <f t="shared" si="173"/>
        <v/>
      </c>
      <c r="PKO23" s="50" t="str">
        <f t="shared" si="173"/>
        <v/>
      </c>
      <c r="PKP23" s="50" t="str">
        <f t="shared" si="173"/>
        <v/>
      </c>
      <c r="PKQ23" s="50" t="str">
        <f t="shared" si="173"/>
        <v/>
      </c>
      <c r="PKR23" s="50" t="str">
        <f t="shared" si="173"/>
        <v/>
      </c>
      <c r="PKS23" s="50" t="str">
        <f t="shared" ref="PKS23:PND23" si="174">IFERROR(IF(PKR23+TIME(1,0,0)&lt;=$G$12,PKR23+TIME(1,0,0),""),"")</f>
        <v/>
      </c>
      <c r="PKT23" s="50" t="str">
        <f t="shared" si="174"/>
        <v/>
      </c>
      <c r="PKU23" s="50" t="str">
        <f t="shared" si="174"/>
        <v/>
      </c>
      <c r="PKV23" s="50" t="str">
        <f t="shared" si="174"/>
        <v/>
      </c>
      <c r="PKW23" s="50" t="str">
        <f t="shared" si="174"/>
        <v/>
      </c>
      <c r="PKX23" s="50" t="str">
        <f t="shared" si="174"/>
        <v/>
      </c>
      <c r="PKY23" s="50" t="str">
        <f t="shared" si="174"/>
        <v/>
      </c>
      <c r="PKZ23" s="50" t="str">
        <f t="shared" si="174"/>
        <v/>
      </c>
      <c r="PLA23" s="50" t="str">
        <f t="shared" si="174"/>
        <v/>
      </c>
      <c r="PLB23" s="50" t="str">
        <f t="shared" si="174"/>
        <v/>
      </c>
      <c r="PLC23" s="50" t="str">
        <f t="shared" si="174"/>
        <v/>
      </c>
      <c r="PLD23" s="50" t="str">
        <f t="shared" si="174"/>
        <v/>
      </c>
      <c r="PLE23" s="50" t="str">
        <f t="shared" si="174"/>
        <v/>
      </c>
      <c r="PLF23" s="50" t="str">
        <f t="shared" si="174"/>
        <v/>
      </c>
      <c r="PLG23" s="50" t="str">
        <f t="shared" si="174"/>
        <v/>
      </c>
      <c r="PLH23" s="50" t="str">
        <f t="shared" si="174"/>
        <v/>
      </c>
      <c r="PLI23" s="50" t="str">
        <f t="shared" si="174"/>
        <v/>
      </c>
      <c r="PLJ23" s="50" t="str">
        <f t="shared" si="174"/>
        <v/>
      </c>
      <c r="PLK23" s="50" t="str">
        <f t="shared" si="174"/>
        <v/>
      </c>
      <c r="PLL23" s="50" t="str">
        <f t="shared" si="174"/>
        <v/>
      </c>
      <c r="PLM23" s="50" t="str">
        <f t="shared" si="174"/>
        <v/>
      </c>
      <c r="PLN23" s="50" t="str">
        <f t="shared" si="174"/>
        <v/>
      </c>
      <c r="PLO23" s="50" t="str">
        <f t="shared" si="174"/>
        <v/>
      </c>
      <c r="PLP23" s="50" t="str">
        <f t="shared" si="174"/>
        <v/>
      </c>
      <c r="PLQ23" s="50" t="str">
        <f t="shared" si="174"/>
        <v/>
      </c>
      <c r="PLR23" s="50" t="str">
        <f t="shared" si="174"/>
        <v/>
      </c>
      <c r="PLS23" s="50" t="str">
        <f t="shared" si="174"/>
        <v/>
      </c>
      <c r="PLT23" s="50" t="str">
        <f t="shared" si="174"/>
        <v/>
      </c>
      <c r="PLU23" s="50" t="str">
        <f t="shared" si="174"/>
        <v/>
      </c>
      <c r="PLV23" s="50" t="str">
        <f t="shared" si="174"/>
        <v/>
      </c>
      <c r="PLW23" s="50" t="str">
        <f t="shared" si="174"/>
        <v/>
      </c>
      <c r="PLX23" s="50" t="str">
        <f t="shared" si="174"/>
        <v/>
      </c>
      <c r="PLY23" s="50" t="str">
        <f t="shared" si="174"/>
        <v/>
      </c>
      <c r="PLZ23" s="50" t="str">
        <f t="shared" si="174"/>
        <v/>
      </c>
      <c r="PMA23" s="50" t="str">
        <f t="shared" si="174"/>
        <v/>
      </c>
      <c r="PMB23" s="50" t="str">
        <f t="shared" si="174"/>
        <v/>
      </c>
      <c r="PMC23" s="50" t="str">
        <f t="shared" si="174"/>
        <v/>
      </c>
      <c r="PMD23" s="50" t="str">
        <f t="shared" si="174"/>
        <v/>
      </c>
      <c r="PME23" s="50" t="str">
        <f t="shared" si="174"/>
        <v/>
      </c>
      <c r="PMF23" s="50" t="str">
        <f t="shared" si="174"/>
        <v/>
      </c>
      <c r="PMG23" s="50" t="str">
        <f t="shared" si="174"/>
        <v/>
      </c>
      <c r="PMH23" s="50" t="str">
        <f t="shared" si="174"/>
        <v/>
      </c>
      <c r="PMI23" s="50" t="str">
        <f t="shared" si="174"/>
        <v/>
      </c>
      <c r="PMJ23" s="50" t="str">
        <f t="shared" si="174"/>
        <v/>
      </c>
      <c r="PMK23" s="50" t="str">
        <f t="shared" si="174"/>
        <v/>
      </c>
      <c r="PML23" s="50" t="str">
        <f t="shared" si="174"/>
        <v/>
      </c>
      <c r="PMM23" s="50" t="str">
        <f t="shared" si="174"/>
        <v/>
      </c>
      <c r="PMN23" s="50" t="str">
        <f t="shared" si="174"/>
        <v/>
      </c>
      <c r="PMO23" s="50" t="str">
        <f t="shared" si="174"/>
        <v/>
      </c>
      <c r="PMP23" s="50" t="str">
        <f t="shared" si="174"/>
        <v/>
      </c>
      <c r="PMQ23" s="50" t="str">
        <f t="shared" si="174"/>
        <v/>
      </c>
      <c r="PMR23" s="50" t="str">
        <f t="shared" si="174"/>
        <v/>
      </c>
      <c r="PMS23" s="50" t="str">
        <f t="shared" si="174"/>
        <v/>
      </c>
      <c r="PMT23" s="50" t="str">
        <f t="shared" si="174"/>
        <v/>
      </c>
      <c r="PMU23" s="50" t="str">
        <f t="shared" si="174"/>
        <v/>
      </c>
      <c r="PMV23" s="50" t="str">
        <f t="shared" si="174"/>
        <v/>
      </c>
      <c r="PMW23" s="50" t="str">
        <f t="shared" si="174"/>
        <v/>
      </c>
      <c r="PMX23" s="50" t="str">
        <f t="shared" si="174"/>
        <v/>
      </c>
      <c r="PMY23" s="50" t="str">
        <f t="shared" si="174"/>
        <v/>
      </c>
      <c r="PMZ23" s="50" t="str">
        <f t="shared" si="174"/>
        <v/>
      </c>
      <c r="PNA23" s="50" t="str">
        <f t="shared" si="174"/>
        <v/>
      </c>
      <c r="PNB23" s="50" t="str">
        <f t="shared" si="174"/>
        <v/>
      </c>
      <c r="PNC23" s="50" t="str">
        <f t="shared" si="174"/>
        <v/>
      </c>
      <c r="PND23" s="50" t="str">
        <f t="shared" si="174"/>
        <v/>
      </c>
      <c r="PNE23" s="50" t="str">
        <f t="shared" ref="PNE23:PPP23" si="175">IFERROR(IF(PND23+TIME(1,0,0)&lt;=$G$12,PND23+TIME(1,0,0),""),"")</f>
        <v/>
      </c>
      <c r="PNF23" s="50" t="str">
        <f t="shared" si="175"/>
        <v/>
      </c>
      <c r="PNG23" s="50" t="str">
        <f t="shared" si="175"/>
        <v/>
      </c>
      <c r="PNH23" s="50" t="str">
        <f t="shared" si="175"/>
        <v/>
      </c>
      <c r="PNI23" s="50" t="str">
        <f t="shared" si="175"/>
        <v/>
      </c>
      <c r="PNJ23" s="50" t="str">
        <f t="shared" si="175"/>
        <v/>
      </c>
      <c r="PNK23" s="50" t="str">
        <f t="shared" si="175"/>
        <v/>
      </c>
      <c r="PNL23" s="50" t="str">
        <f t="shared" si="175"/>
        <v/>
      </c>
      <c r="PNM23" s="50" t="str">
        <f t="shared" si="175"/>
        <v/>
      </c>
      <c r="PNN23" s="50" t="str">
        <f t="shared" si="175"/>
        <v/>
      </c>
      <c r="PNO23" s="50" t="str">
        <f t="shared" si="175"/>
        <v/>
      </c>
      <c r="PNP23" s="50" t="str">
        <f t="shared" si="175"/>
        <v/>
      </c>
      <c r="PNQ23" s="50" t="str">
        <f t="shared" si="175"/>
        <v/>
      </c>
      <c r="PNR23" s="50" t="str">
        <f t="shared" si="175"/>
        <v/>
      </c>
      <c r="PNS23" s="50" t="str">
        <f t="shared" si="175"/>
        <v/>
      </c>
      <c r="PNT23" s="50" t="str">
        <f t="shared" si="175"/>
        <v/>
      </c>
      <c r="PNU23" s="50" t="str">
        <f t="shared" si="175"/>
        <v/>
      </c>
      <c r="PNV23" s="50" t="str">
        <f t="shared" si="175"/>
        <v/>
      </c>
      <c r="PNW23" s="50" t="str">
        <f t="shared" si="175"/>
        <v/>
      </c>
      <c r="PNX23" s="50" t="str">
        <f t="shared" si="175"/>
        <v/>
      </c>
      <c r="PNY23" s="50" t="str">
        <f t="shared" si="175"/>
        <v/>
      </c>
      <c r="PNZ23" s="50" t="str">
        <f t="shared" si="175"/>
        <v/>
      </c>
      <c r="POA23" s="50" t="str">
        <f t="shared" si="175"/>
        <v/>
      </c>
      <c r="POB23" s="50" t="str">
        <f t="shared" si="175"/>
        <v/>
      </c>
      <c r="POC23" s="50" t="str">
        <f t="shared" si="175"/>
        <v/>
      </c>
      <c r="POD23" s="50" t="str">
        <f t="shared" si="175"/>
        <v/>
      </c>
      <c r="POE23" s="50" t="str">
        <f t="shared" si="175"/>
        <v/>
      </c>
      <c r="POF23" s="50" t="str">
        <f t="shared" si="175"/>
        <v/>
      </c>
      <c r="POG23" s="50" t="str">
        <f t="shared" si="175"/>
        <v/>
      </c>
      <c r="POH23" s="50" t="str">
        <f t="shared" si="175"/>
        <v/>
      </c>
      <c r="POI23" s="50" t="str">
        <f t="shared" si="175"/>
        <v/>
      </c>
      <c r="POJ23" s="50" t="str">
        <f t="shared" si="175"/>
        <v/>
      </c>
      <c r="POK23" s="50" t="str">
        <f t="shared" si="175"/>
        <v/>
      </c>
      <c r="POL23" s="50" t="str">
        <f t="shared" si="175"/>
        <v/>
      </c>
      <c r="POM23" s="50" t="str">
        <f t="shared" si="175"/>
        <v/>
      </c>
      <c r="PON23" s="50" t="str">
        <f t="shared" si="175"/>
        <v/>
      </c>
      <c r="POO23" s="50" t="str">
        <f t="shared" si="175"/>
        <v/>
      </c>
      <c r="POP23" s="50" t="str">
        <f t="shared" si="175"/>
        <v/>
      </c>
      <c r="POQ23" s="50" t="str">
        <f t="shared" si="175"/>
        <v/>
      </c>
      <c r="POR23" s="50" t="str">
        <f t="shared" si="175"/>
        <v/>
      </c>
      <c r="POS23" s="50" t="str">
        <f t="shared" si="175"/>
        <v/>
      </c>
      <c r="POT23" s="50" t="str">
        <f t="shared" si="175"/>
        <v/>
      </c>
      <c r="POU23" s="50" t="str">
        <f t="shared" si="175"/>
        <v/>
      </c>
      <c r="POV23" s="50" t="str">
        <f t="shared" si="175"/>
        <v/>
      </c>
      <c r="POW23" s="50" t="str">
        <f t="shared" si="175"/>
        <v/>
      </c>
      <c r="POX23" s="50" t="str">
        <f t="shared" si="175"/>
        <v/>
      </c>
      <c r="POY23" s="50" t="str">
        <f t="shared" si="175"/>
        <v/>
      </c>
      <c r="POZ23" s="50" t="str">
        <f t="shared" si="175"/>
        <v/>
      </c>
      <c r="PPA23" s="50" t="str">
        <f t="shared" si="175"/>
        <v/>
      </c>
      <c r="PPB23" s="50" t="str">
        <f t="shared" si="175"/>
        <v/>
      </c>
      <c r="PPC23" s="50" t="str">
        <f t="shared" si="175"/>
        <v/>
      </c>
      <c r="PPD23" s="50" t="str">
        <f t="shared" si="175"/>
        <v/>
      </c>
      <c r="PPE23" s="50" t="str">
        <f t="shared" si="175"/>
        <v/>
      </c>
      <c r="PPF23" s="50" t="str">
        <f t="shared" si="175"/>
        <v/>
      </c>
      <c r="PPG23" s="50" t="str">
        <f t="shared" si="175"/>
        <v/>
      </c>
      <c r="PPH23" s="50" t="str">
        <f t="shared" si="175"/>
        <v/>
      </c>
      <c r="PPI23" s="50" t="str">
        <f t="shared" si="175"/>
        <v/>
      </c>
      <c r="PPJ23" s="50" t="str">
        <f t="shared" si="175"/>
        <v/>
      </c>
      <c r="PPK23" s="50" t="str">
        <f t="shared" si="175"/>
        <v/>
      </c>
      <c r="PPL23" s="50" t="str">
        <f t="shared" si="175"/>
        <v/>
      </c>
      <c r="PPM23" s="50" t="str">
        <f t="shared" si="175"/>
        <v/>
      </c>
      <c r="PPN23" s="50" t="str">
        <f t="shared" si="175"/>
        <v/>
      </c>
      <c r="PPO23" s="50" t="str">
        <f t="shared" si="175"/>
        <v/>
      </c>
      <c r="PPP23" s="50" t="str">
        <f t="shared" si="175"/>
        <v/>
      </c>
      <c r="PPQ23" s="50" t="str">
        <f t="shared" ref="PPQ23:PSB23" si="176">IFERROR(IF(PPP23+TIME(1,0,0)&lt;=$G$12,PPP23+TIME(1,0,0),""),"")</f>
        <v/>
      </c>
      <c r="PPR23" s="50" t="str">
        <f t="shared" si="176"/>
        <v/>
      </c>
      <c r="PPS23" s="50" t="str">
        <f t="shared" si="176"/>
        <v/>
      </c>
      <c r="PPT23" s="50" t="str">
        <f t="shared" si="176"/>
        <v/>
      </c>
      <c r="PPU23" s="50" t="str">
        <f t="shared" si="176"/>
        <v/>
      </c>
      <c r="PPV23" s="50" t="str">
        <f t="shared" si="176"/>
        <v/>
      </c>
      <c r="PPW23" s="50" t="str">
        <f t="shared" si="176"/>
        <v/>
      </c>
      <c r="PPX23" s="50" t="str">
        <f t="shared" si="176"/>
        <v/>
      </c>
      <c r="PPY23" s="50" t="str">
        <f t="shared" si="176"/>
        <v/>
      </c>
      <c r="PPZ23" s="50" t="str">
        <f t="shared" si="176"/>
        <v/>
      </c>
      <c r="PQA23" s="50" t="str">
        <f t="shared" si="176"/>
        <v/>
      </c>
      <c r="PQB23" s="50" t="str">
        <f t="shared" si="176"/>
        <v/>
      </c>
      <c r="PQC23" s="50" t="str">
        <f t="shared" si="176"/>
        <v/>
      </c>
      <c r="PQD23" s="50" t="str">
        <f t="shared" si="176"/>
        <v/>
      </c>
      <c r="PQE23" s="50" t="str">
        <f t="shared" si="176"/>
        <v/>
      </c>
      <c r="PQF23" s="50" t="str">
        <f t="shared" si="176"/>
        <v/>
      </c>
      <c r="PQG23" s="50" t="str">
        <f t="shared" si="176"/>
        <v/>
      </c>
      <c r="PQH23" s="50" t="str">
        <f t="shared" si="176"/>
        <v/>
      </c>
      <c r="PQI23" s="50" t="str">
        <f t="shared" si="176"/>
        <v/>
      </c>
      <c r="PQJ23" s="50" t="str">
        <f t="shared" si="176"/>
        <v/>
      </c>
      <c r="PQK23" s="50" t="str">
        <f t="shared" si="176"/>
        <v/>
      </c>
      <c r="PQL23" s="50" t="str">
        <f t="shared" si="176"/>
        <v/>
      </c>
      <c r="PQM23" s="50" t="str">
        <f t="shared" si="176"/>
        <v/>
      </c>
      <c r="PQN23" s="50" t="str">
        <f t="shared" si="176"/>
        <v/>
      </c>
      <c r="PQO23" s="50" t="str">
        <f t="shared" si="176"/>
        <v/>
      </c>
      <c r="PQP23" s="50" t="str">
        <f t="shared" si="176"/>
        <v/>
      </c>
      <c r="PQQ23" s="50" t="str">
        <f t="shared" si="176"/>
        <v/>
      </c>
      <c r="PQR23" s="50" t="str">
        <f t="shared" si="176"/>
        <v/>
      </c>
      <c r="PQS23" s="50" t="str">
        <f t="shared" si="176"/>
        <v/>
      </c>
      <c r="PQT23" s="50" t="str">
        <f t="shared" si="176"/>
        <v/>
      </c>
      <c r="PQU23" s="50" t="str">
        <f t="shared" si="176"/>
        <v/>
      </c>
      <c r="PQV23" s="50" t="str">
        <f t="shared" si="176"/>
        <v/>
      </c>
      <c r="PQW23" s="50" t="str">
        <f t="shared" si="176"/>
        <v/>
      </c>
      <c r="PQX23" s="50" t="str">
        <f t="shared" si="176"/>
        <v/>
      </c>
      <c r="PQY23" s="50" t="str">
        <f t="shared" si="176"/>
        <v/>
      </c>
      <c r="PQZ23" s="50" t="str">
        <f t="shared" si="176"/>
        <v/>
      </c>
      <c r="PRA23" s="50" t="str">
        <f t="shared" si="176"/>
        <v/>
      </c>
      <c r="PRB23" s="50" t="str">
        <f t="shared" si="176"/>
        <v/>
      </c>
      <c r="PRC23" s="50" t="str">
        <f t="shared" si="176"/>
        <v/>
      </c>
      <c r="PRD23" s="50" t="str">
        <f t="shared" si="176"/>
        <v/>
      </c>
      <c r="PRE23" s="50" t="str">
        <f t="shared" si="176"/>
        <v/>
      </c>
      <c r="PRF23" s="50" t="str">
        <f t="shared" si="176"/>
        <v/>
      </c>
      <c r="PRG23" s="50" t="str">
        <f t="shared" si="176"/>
        <v/>
      </c>
      <c r="PRH23" s="50" t="str">
        <f t="shared" si="176"/>
        <v/>
      </c>
      <c r="PRI23" s="50" t="str">
        <f t="shared" si="176"/>
        <v/>
      </c>
      <c r="PRJ23" s="50" t="str">
        <f t="shared" si="176"/>
        <v/>
      </c>
      <c r="PRK23" s="50" t="str">
        <f t="shared" si="176"/>
        <v/>
      </c>
      <c r="PRL23" s="50" t="str">
        <f t="shared" si="176"/>
        <v/>
      </c>
      <c r="PRM23" s="50" t="str">
        <f t="shared" si="176"/>
        <v/>
      </c>
      <c r="PRN23" s="50" t="str">
        <f t="shared" si="176"/>
        <v/>
      </c>
      <c r="PRO23" s="50" t="str">
        <f t="shared" si="176"/>
        <v/>
      </c>
      <c r="PRP23" s="50" t="str">
        <f t="shared" si="176"/>
        <v/>
      </c>
      <c r="PRQ23" s="50" t="str">
        <f t="shared" si="176"/>
        <v/>
      </c>
      <c r="PRR23" s="50" t="str">
        <f t="shared" si="176"/>
        <v/>
      </c>
      <c r="PRS23" s="50" t="str">
        <f t="shared" si="176"/>
        <v/>
      </c>
      <c r="PRT23" s="50" t="str">
        <f t="shared" si="176"/>
        <v/>
      </c>
      <c r="PRU23" s="50" t="str">
        <f t="shared" si="176"/>
        <v/>
      </c>
      <c r="PRV23" s="50" t="str">
        <f t="shared" si="176"/>
        <v/>
      </c>
      <c r="PRW23" s="50" t="str">
        <f t="shared" si="176"/>
        <v/>
      </c>
      <c r="PRX23" s="50" t="str">
        <f t="shared" si="176"/>
        <v/>
      </c>
      <c r="PRY23" s="50" t="str">
        <f t="shared" si="176"/>
        <v/>
      </c>
      <c r="PRZ23" s="50" t="str">
        <f t="shared" si="176"/>
        <v/>
      </c>
      <c r="PSA23" s="50" t="str">
        <f t="shared" si="176"/>
        <v/>
      </c>
      <c r="PSB23" s="50" t="str">
        <f t="shared" si="176"/>
        <v/>
      </c>
      <c r="PSC23" s="50" t="str">
        <f t="shared" ref="PSC23:PUN23" si="177">IFERROR(IF(PSB23+TIME(1,0,0)&lt;=$G$12,PSB23+TIME(1,0,0),""),"")</f>
        <v/>
      </c>
      <c r="PSD23" s="50" t="str">
        <f t="shared" si="177"/>
        <v/>
      </c>
      <c r="PSE23" s="50" t="str">
        <f t="shared" si="177"/>
        <v/>
      </c>
      <c r="PSF23" s="50" t="str">
        <f t="shared" si="177"/>
        <v/>
      </c>
      <c r="PSG23" s="50" t="str">
        <f t="shared" si="177"/>
        <v/>
      </c>
      <c r="PSH23" s="50" t="str">
        <f t="shared" si="177"/>
        <v/>
      </c>
      <c r="PSI23" s="50" t="str">
        <f t="shared" si="177"/>
        <v/>
      </c>
      <c r="PSJ23" s="50" t="str">
        <f t="shared" si="177"/>
        <v/>
      </c>
      <c r="PSK23" s="50" t="str">
        <f t="shared" si="177"/>
        <v/>
      </c>
      <c r="PSL23" s="50" t="str">
        <f t="shared" si="177"/>
        <v/>
      </c>
      <c r="PSM23" s="50" t="str">
        <f t="shared" si="177"/>
        <v/>
      </c>
      <c r="PSN23" s="50" t="str">
        <f t="shared" si="177"/>
        <v/>
      </c>
      <c r="PSO23" s="50" t="str">
        <f t="shared" si="177"/>
        <v/>
      </c>
      <c r="PSP23" s="50" t="str">
        <f t="shared" si="177"/>
        <v/>
      </c>
      <c r="PSQ23" s="50" t="str">
        <f t="shared" si="177"/>
        <v/>
      </c>
      <c r="PSR23" s="50" t="str">
        <f t="shared" si="177"/>
        <v/>
      </c>
      <c r="PSS23" s="50" t="str">
        <f t="shared" si="177"/>
        <v/>
      </c>
      <c r="PST23" s="50" t="str">
        <f t="shared" si="177"/>
        <v/>
      </c>
      <c r="PSU23" s="50" t="str">
        <f t="shared" si="177"/>
        <v/>
      </c>
      <c r="PSV23" s="50" t="str">
        <f t="shared" si="177"/>
        <v/>
      </c>
      <c r="PSW23" s="50" t="str">
        <f t="shared" si="177"/>
        <v/>
      </c>
      <c r="PSX23" s="50" t="str">
        <f t="shared" si="177"/>
        <v/>
      </c>
      <c r="PSY23" s="50" t="str">
        <f t="shared" si="177"/>
        <v/>
      </c>
      <c r="PSZ23" s="50" t="str">
        <f t="shared" si="177"/>
        <v/>
      </c>
      <c r="PTA23" s="50" t="str">
        <f t="shared" si="177"/>
        <v/>
      </c>
      <c r="PTB23" s="50" t="str">
        <f t="shared" si="177"/>
        <v/>
      </c>
      <c r="PTC23" s="50" t="str">
        <f t="shared" si="177"/>
        <v/>
      </c>
      <c r="PTD23" s="50" t="str">
        <f t="shared" si="177"/>
        <v/>
      </c>
      <c r="PTE23" s="50" t="str">
        <f t="shared" si="177"/>
        <v/>
      </c>
      <c r="PTF23" s="50" t="str">
        <f t="shared" si="177"/>
        <v/>
      </c>
      <c r="PTG23" s="50" t="str">
        <f t="shared" si="177"/>
        <v/>
      </c>
      <c r="PTH23" s="50" t="str">
        <f t="shared" si="177"/>
        <v/>
      </c>
      <c r="PTI23" s="50" t="str">
        <f t="shared" si="177"/>
        <v/>
      </c>
      <c r="PTJ23" s="50" t="str">
        <f t="shared" si="177"/>
        <v/>
      </c>
      <c r="PTK23" s="50" t="str">
        <f t="shared" si="177"/>
        <v/>
      </c>
      <c r="PTL23" s="50" t="str">
        <f t="shared" si="177"/>
        <v/>
      </c>
      <c r="PTM23" s="50" t="str">
        <f t="shared" si="177"/>
        <v/>
      </c>
      <c r="PTN23" s="50" t="str">
        <f t="shared" si="177"/>
        <v/>
      </c>
      <c r="PTO23" s="50" t="str">
        <f t="shared" si="177"/>
        <v/>
      </c>
      <c r="PTP23" s="50" t="str">
        <f t="shared" si="177"/>
        <v/>
      </c>
      <c r="PTQ23" s="50" t="str">
        <f t="shared" si="177"/>
        <v/>
      </c>
      <c r="PTR23" s="50" t="str">
        <f t="shared" si="177"/>
        <v/>
      </c>
      <c r="PTS23" s="50" t="str">
        <f t="shared" si="177"/>
        <v/>
      </c>
      <c r="PTT23" s="50" t="str">
        <f t="shared" si="177"/>
        <v/>
      </c>
      <c r="PTU23" s="50" t="str">
        <f t="shared" si="177"/>
        <v/>
      </c>
      <c r="PTV23" s="50" t="str">
        <f t="shared" si="177"/>
        <v/>
      </c>
      <c r="PTW23" s="50" t="str">
        <f t="shared" si="177"/>
        <v/>
      </c>
      <c r="PTX23" s="50" t="str">
        <f t="shared" si="177"/>
        <v/>
      </c>
      <c r="PTY23" s="50" t="str">
        <f t="shared" si="177"/>
        <v/>
      </c>
      <c r="PTZ23" s="50" t="str">
        <f t="shared" si="177"/>
        <v/>
      </c>
      <c r="PUA23" s="50" t="str">
        <f t="shared" si="177"/>
        <v/>
      </c>
      <c r="PUB23" s="50" t="str">
        <f t="shared" si="177"/>
        <v/>
      </c>
      <c r="PUC23" s="50" t="str">
        <f t="shared" si="177"/>
        <v/>
      </c>
      <c r="PUD23" s="50" t="str">
        <f t="shared" si="177"/>
        <v/>
      </c>
      <c r="PUE23" s="50" t="str">
        <f t="shared" si="177"/>
        <v/>
      </c>
      <c r="PUF23" s="50" t="str">
        <f t="shared" si="177"/>
        <v/>
      </c>
      <c r="PUG23" s="50" t="str">
        <f t="shared" si="177"/>
        <v/>
      </c>
      <c r="PUH23" s="50" t="str">
        <f t="shared" si="177"/>
        <v/>
      </c>
      <c r="PUI23" s="50" t="str">
        <f t="shared" si="177"/>
        <v/>
      </c>
      <c r="PUJ23" s="50" t="str">
        <f t="shared" si="177"/>
        <v/>
      </c>
      <c r="PUK23" s="50" t="str">
        <f t="shared" si="177"/>
        <v/>
      </c>
      <c r="PUL23" s="50" t="str">
        <f t="shared" si="177"/>
        <v/>
      </c>
      <c r="PUM23" s="50" t="str">
        <f t="shared" si="177"/>
        <v/>
      </c>
      <c r="PUN23" s="50" t="str">
        <f t="shared" si="177"/>
        <v/>
      </c>
      <c r="PUO23" s="50" t="str">
        <f t="shared" ref="PUO23:PWZ23" si="178">IFERROR(IF(PUN23+TIME(1,0,0)&lt;=$G$12,PUN23+TIME(1,0,0),""),"")</f>
        <v/>
      </c>
      <c r="PUP23" s="50" t="str">
        <f t="shared" si="178"/>
        <v/>
      </c>
      <c r="PUQ23" s="50" t="str">
        <f t="shared" si="178"/>
        <v/>
      </c>
      <c r="PUR23" s="50" t="str">
        <f t="shared" si="178"/>
        <v/>
      </c>
      <c r="PUS23" s="50" t="str">
        <f t="shared" si="178"/>
        <v/>
      </c>
      <c r="PUT23" s="50" t="str">
        <f t="shared" si="178"/>
        <v/>
      </c>
      <c r="PUU23" s="50" t="str">
        <f t="shared" si="178"/>
        <v/>
      </c>
      <c r="PUV23" s="50" t="str">
        <f t="shared" si="178"/>
        <v/>
      </c>
      <c r="PUW23" s="50" t="str">
        <f t="shared" si="178"/>
        <v/>
      </c>
      <c r="PUX23" s="50" t="str">
        <f t="shared" si="178"/>
        <v/>
      </c>
      <c r="PUY23" s="50" t="str">
        <f t="shared" si="178"/>
        <v/>
      </c>
      <c r="PUZ23" s="50" t="str">
        <f t="shared" si="178"/>
        <v/>
      </c>
      <c r="PVA23" s="50" t="str">
        <f t="shared" si="178"/>
        <v/>
      </c>
      <c r="PVB23" s="50" t="str">
        <f t="shared" si="178"/>
        <v/>
      </c>
      <c r="PVC23" s="50" t="str">
        <f t="shared" si="178"/>
        <v/>
      </c>
      <c r="PVD23" s="50" t="str">
        <f t="shared" si="178"/>
        <v/>
      </c>
      <c r="PVE23" s="50" t="str">
        <f t="shared" si="178"/>
        <v/>
      </c>
      <c r="PVF23" s="50" t="str">
        <f t="shared" si="178"/>
        <v/>
      </c>
      <c r="PVG23" s="50" t="str">
        <f t="shared" si="178"/>
        <v/>
      </c>
      <c r="PVH23" s="50" t="str">
        <f t="shared" si="178"/>
        <v/>
      </c>
      <c r="PVI23" s="50" t="str">
        <f t="shared" si="178"/>
        <v/>
      </c>
      <c r="PVJ23" s="50" t="str">
        <f t="shared" si="178"/>
        <v/>
      </c>
      <c r="PVK23" s="50" t="str">
        <f t="shared" si="178"/>
        <v/>
      </c>
      <c r="PVL23" s="50" t="str">
        <f t="shared" si="178"/>
        <v/>
      </c>
      <c r="PVM23" s="50" t="str">
        <f t="shared" si="178"/>
        <v/>
      </c>
      <c r="PVN23" s="50" t="str">
        <f t="shared" si="178"/>
        <v/>
      </c>
      <c r="PVO23" s="50" t="str">
        <f t="shared" si="178"/>
        <v/>
      </c>
      <c r="PVP23" s="50" t="str">
        <f t="shared" si="178"/>
        <v/>
      </c>
      <c r="PVQ23" s="50" t="str">
        <f t="shared" si="178"/>
        <v/>
      </c>
      <c r="PVR23" s="50" t="str">
        <f t="shared" si="178"/>
        <v/>
      </c>
      <c r="PVS23" s="50" t="str">
        <f t="shared" si="178"/>
        <v/>
      </c>
      <c r="PVT23" s="50" t="str">
        <f t="shared" si="178"/>
        <v/>
      </c>
      <c r="PVU23" s="50" t="str">
        <f t="shared" si="178"/>
        <v/>
      </c>
      <c r="PVV23" s="50" t="str">
        <f t="shared" si="178"/>
        <v/>
      </c>
      <c r="PVW23" s="50" t="str">
        <f t="shared" si="178"/>
        <v/>
      </c>
      <c r="PVX23" s="50" t="str">
        <f t="shared" si="178"/>
        <v/>
      </c>
      <c r="PVY23" s="50" t="str">
        <f t="shared" si="178"/>
        <v/>
      </c>
      <c r="PVZ23" s="50" t="str">
        <f t="shared" si="178"/>
        <v/>
      </c>
      <c r="PWA23" s="50" t="str">
        <f t="shared" si="178"/>
        <v/>
      </c>
      <c r="PWB23" s="50" t="str">
        <f t="shared" si="178"/>
        <v/>
      </c>
      <c r="PWC23" s="50" t="str">
        <f t="shared" si="178"/>
        <v/>
      </c>
      <c r="PWD23" s="50" t="str">
        <f t="shared" si="178"/>
        <v/>
      </c>
      <c r="PWE23" s="50" t="str">
        <f t="shared" si="178"/>
        <v/>
      </c>
      <c r="PWF23" s="50" t="str">
        <f t="shared" si="178"/>
        <v/>
      </c>
      <c r="PWG23" s="50" t="str">
        <f t="shared" si="178"/>
        <v/>
      </c>
      <c r="PWH23" s="50" t="str">
        <f t="shared" si="178"/>
        <v/>
      </c>
      <c r="PWI23" s="50" t="str">
        <f t="shared" si="178"/>
        <v/>
      </c>
      <c r="PWJ23" s="50" t="str">
        <f t="shared" si="178"/>
        <v/>
      </c>
      <c r="PWK23" s="50" t="str">
        <f t="shared" si="178"/>
        <v/>
      </c>
      <c r="PWL23" s="50" t="str">
        <f t="shared" si="178"/>
        <v/>
      </c>
      <c r="PWM23" s="50" t="str">
        <f t="shared" si="178"/>
        <v/>
      </c>
      <c r="PWN23" s="50" t="str">
        <f t="shared" si="178"/>
        <v/>
      </c>
      <c r="PWO23" s="50" t="str">
        <f t="shared" si="178"/>
        <v/>
      </c>
      <c r="PWP23" s="50" t="str">
        <f t="shared" si="178"/>
        <v/>
      </c>
      <c r="PWQ23" s="50" t="str">
        <f t="shared" si="178"/>
        <v/>
      </c>
      <c r="PWR23" s="50" t="str">
        <f t="shared" si="178"/>
        <v/>
      </c>
      <c r="PWS23" s="50" t="str">
        <f t="shared" si="178"/>
        <v/>
      </c>
      <c r="PWT23" s="50" t="str">
        <f t="shared" si="178"/>
        <v/>
      </c>
      <c r="PWU23" s="50" t="str">
        <f t="shared" si="178"/>
        <v/>
      </c>
      <c r="PWV23" s="50" t="str">
        <f t="shared" si="178"/>
        <v/>
      </c>
      <c r="PWW23" s="50" t="str">
        <f t="shared" si="178"/>
        <v/>
      </c>
      <c r="PWX23" s="50" t="str">
        <f t="shared" si="178"/>
        <v/>
      </c>
      <c r="PWY23" s="50" t="str">
        <f t="shared" si="178"/>
        <v/>
      </c>
      <c r="PWZ23" s="50" t="str">
        <f t="shared" si="178"/>
        <v/>
      </c>
      <c r="PXA23" s="50" t="str">
        <f t="shared" ref="PXA23:PZL23" si="179">IFERROR(IF(PWZ23+TIME(1,0,0)&lt;=$G$12,PWZ23+TIME(1,0,0),""),"")</f>
        <v/>
      </c>
      <c r="PXB23" s="50" t="str">
        <f t="shared" si="179"/>
        <v/>
      </c>
      <c r="PXC23" s="50" t="str">
        <f t="shared" si="179"/>
        <v/>
      </c>
      <c r="PXD23" s="50" t="str">
        <f t="shared" si="179"/>
        <v/>
      </c>
      <c r="PXE23" s="50" t="str">
        <f t="shared" si="179"/>
        <v/>
      </c>
      <c r="PXF23" s="50" t="str">
        <f t="shared" si="179"/>
        <v/>
      </c>
      <c r="PXG23" s="50" t="str">
        <f t="shared" si="179"/>
        <v/>
      </c>
      <c r="PXH23" s="50" t="str">
        <f t="shared" si="179"/>
        <v/>
      </c>
      <c r="PXI23" s="50" t="str">
        <f t="shared" si="179"/>
        <v/>
      </c>
      <c r="PXJ23" s="50" t="str">
        <f t="shared" si="179"/>
        <v/>
      </c>
      <c r="PXK23" s="50" t="str">
        <f t="shared" si="179"/>
        <v/>
      </c>
      <c r="PXL23" s="50" t="str">
        <f t="shared" si="179"/>
        <v/>
      </c>
      <c r="PXM23" s="50" t="str">
        <f t="shared" si="179"/>
        <v/>
      </c>
      <c r="PXN23" s="50" t="str">
        <f t="shared" si="179"/>
        <v/>
      </c>
      <c r="PXO23" s="50" t="str">
        <f t="shared" si="179"/>
        <v/>
      </c>
      <c r="PXP23" s="50" t="str">
        <f t="shared" si="179"/>
        <v/>
      </c>
      <c r="PXQ23" s="50" t="str">
        <f t="shared" si="179"/>
        <v/>
      </c>
      <c r="PXR23" s="50" t="str">
        <f t="shared" si="179"/>
        <v/>
      </c>
      <c r="PXS23" s="50" t="str">
        <f t="shared" si="179"/>
        <v/>
      </c>
      <c r="PXT23" s="50" t="str">
        <f t="shared" si="179"/>
        <v/>
      </c>
      <c r="PXU23" s="50" t="str">
        <f t="shared" si="179"/>
        <v/>
      </c>
      <c r="PXV23" s="50" t="str">
        <f t="shared" si="179"/>
        <v/>
      </c>
      <c r="PXW23" s="50" t="str">
        <f t="shared" si="179"/>
        <v/>
      </c>
      <c r="PXX23" s="50" t="str">
        <f t="shared" si="179"/>
        <v/>
      </c>
      <c r="PXY23" s="50" t="str">
        <f t="shared" si="179"/>
        <v/>
      </c>
      <c r="PXZ23" s="50" t="str">
        <f t="shared" si="179"/>
        <v/>
      </c>
      <c r="PYA23" s="50" t="str">
        <f t="shared" si="179"/>
        <v/>
      </c>
      <c r="PYB23" s="50" t="str">
        <f t="shared" si="179"/>
        <v/>
      </c>
      <c r="PYC23" s="50" t="str">
        <f t="shared" si="179"/>
        <v/>
      </c>
      <c r="PYD23" s="50" t="str">
        <f t="shared" si="179"/>
        <v/>
      </c>
      <c r="PYE23" s="50" t="str">
        <f t="shared" si="179"/>
        <v/>
      </c>
      <c r="PYF23" s="50" t="str">
        <f t="shared" si="179"/>
        <v/>
      </c>
      <c r="PYG23" s="50" t="str">
        <f t="shared" si="179"/>
        <v/>
      </c>
      <c r="PYH23" s="50" t="str">
        <f t="shared" si="179"/>
        <v/>
      </c>
      <c r="PYI23" s="50" t="str">
        <f t="shared" si="179"/>
        <v/>
      </c>
      <c r="PYJ23" s="50" t="str">
        <f t="shared" si="179"/>
        <v/>
      </c>
      <c r="PYK23" s="50" t="str">
        <f t="shared" si="179"/>
        <v/>
      </c>
      <c r="PYL23" s="50" t="str">
        <f t="shared" si="179"/>
        <v/>
      </c>
      <c r="PYM23" s="50" t="str">
        <f t="shared" si="179"/>
        <v/>
      </c>
      <c r="PYN23" s="50" t="str">
        <f t="shared" si="179"/>
        <v/>
      </c>
      <c r="PYO23" s="50" t="str">
        <f t="shared" si="179"/>
        <v/>
      </c>
      <c r="PYP23" s="50" t="str">
        <f t="shared" si="179"/>
        <v/>
      </c>
      <c r="PYQ23" s="50" t="str">
        <f t="shared" si="179"/>
        <v/>
      </c>
      <c r="PYR23" s="50" t="str">
        <f t="shared" si="179"/>
        <v/>
      </c>
      <c r="PYS23" s="50" t="str">
        <f t="shared" si="179"/>
        <v/>
      </c>
      <c r="PYT23" s="50" t="str">
        <f t="shared" si="179"/>
        <v/>
      </c>
      <c r="PYU23" s="50" t="str">
        <f t="shared" si="179"/>
        <v/>
      </c>
      <c r="PYV23" s="50" t="str">
        <f t="shared" si="179"/>
        <v/>
      </c>
      <c r="PYW23" s="50" t="str">
        <f t="shared" si="179"/>
        <v/>
      </c>
      <c r="PYX23" s="50" t="str">
        <f t="shared" si="179"/>
        <v/>
      </c>
      <c r="PYY23" s="50" t="str">
        <f t="shared" si="179"/>
        <v/>
      </c>
      <c r="PYZ23" s="50" t="str">
        <f t="shared" si="179"/>
        <v/>
      </c>
      <c r="PZA23" s="50" t="str">
        <f t="shared" si="179"/>
        <v/>
      </c>
      <c r="PZB23" s="50" t="str">
        <f t="shared" si="179"/>
        <v/>
      </c>
      <c r="PZC23" s="50" t="str">
        <f t="shared" si="179"/>
        <v/>
      </c>
      <c r="PZD23" s="50" t="str">
        <f t="shared" si="179"/>
        <v/>
      </c>
      <c r="PZE23" s="50" t="str">
        <f t="shared" si="179"/>
        <v/>
      </c>
      <c r="PZF23" s="50" t="str">
        <f t="shared" si="179"/>
        <v/>
      </c>
      <c r="PZG23" s="50" t="str">
        <f t="shared" si="179"/>
        <v/>
      </c>
      <c r="PZH23" s="50" t="str">
        <f t="shared" si="179"/>
        <v/>
      </c>
      <c r="PZI23" s="50" t="str">
        <f t="shared" si="179"/>
        <v/>
      </c>
      <c r="PZJ23" s="50" t="str">
        <f t="shared" si="179"/>
        <v/>
      </c>
      <c r="PZK23" s="50" t="str">
        <f t="shared" si="179"/>
        <v/>
      </c>
      <c r="PZL23" s="50" t="str">
        <f t="shared" si="179"/>
        <v/>
      </c>
      <c r="PZM23" s="50" t="str">
        <f t="shared" ref="PZM23:QBX23" si="180">IFERROR(IF(PZL23+TIME(1,0,0)&lt;=$G$12,PZL23+TIME(1,0,0),""),"")</f>
        <v/>
      </c>
      <c r="PZN23" s="50" t="str">
        <f t="shared" si="180"/>
        <v/>
      </c>
      <c r="PZO23" s="50" t="str">
        <f t="shared" si="180"/>
        <v/>
      </c>
      <c r="PZP23" s="50" t="str">
        <f t="shared" si="180"/>
        <v/>
      </c>
      <c r="PZQ23" s="50" t="str">
        <f t="shared" si="180"/>
        <v/>
      </c>
      <c r="PZR23" s="50" t="str">
        <f t="shared" si="180"/>
        <v/>
      </c>
      <c r="PZS23" s="50" t="str">
        <f t="shared" si="180"/>
        <v/>
      </c>
      <c r="PZT23" s="50" t="str">
        <f t="shared" si="180"/>
        <v/>
      </c>
      <c r="PZU23" s="50" t="str">
        <f t="shared" si="180"/>
        <v/>
      </c>
      <c r="PZV23" s="50" t="str">
        <f t="shared" si="180"/>
        <v/>
      </c>
      <c r="PZW23" s="50" t="str">
        <f t="shared" si="180"/>
        <v/>
      </c>
      <c r="PZX23" s="50" t="str">
        <f t="shared" si="180"/>
        <v/>
      </c>
      <c r="PZY23" s="50" t="str">
        <f t="shared" si="180"/>
        <v/>
      </c>
      <c r="PZZ23" s="50" t="str">
        <f t="shared" si="180"/>
        <v/>
      </c>
      <c r="QAA23" s="50" t="str">
        <f t="shared" si="180"/>
        <v/>
      </c>
      <c r="QAB23" s="50" t="str">
        <f t="shared" si="180"/>
        <v/>
      </c>
      <c r="QAC23" s="50" t="str">
        <f t="shared" si="180"/>
        <v/>
      </c>
      <c r="QAD23" s="50" t="str">
        <f t="shared" si="180"/>
        <v/>
      </c>
      <c r="QAE23" s="50" t="str">
        <f t="shared" si="180"/>
        <v/>
      </c>
      <c r="QAF23" s="50" t="str">
        <f t="shared" si="180"/>
        <v/>
      </c>
      <c r="QAG23" s="50" t="str">
        <f t="shared" si="180"/>
        <v/>
      </c>
      <c r="QAH23" s="50" t="str">
        <f t="shared" si="180"/>
        <v/>
      </c>
      <c r="QAI23" s="50" t="str">
        <f t="shared" si="180"/>
        <v/>
      </c>
      <c r="QAJ23" s="50" t="str">
        <f t="shared" si="180"/>
        <v/>
      </c>
      <c r="QAK23" s="50" t="str">
        <f t="shared" si="180"/>
        <v/>
      </c>
      <c r="QAL23" s="50" t="str">
        <f t="shared" si="180"/>
        <v/>
      </c>
      <c r="QAM23" s="50" t="str">
        <f t="shared" si="180"/>
        <v/>
      </c>
      <c r="QAN23" s="50" t="str">
        <f t="shared" si="180"/>
        <v/>
      </c>
      <c r="QAO23" s="50" t="str">
        <f t="shared" si="180"/>
        <v/>
      </c>
      <c r="QAP23" s="50" t="str">
        <f t="shared" si="180"/>
        <v/>
      </c>
      <c r="QAQ23" s="50" t="str">
        <f t="shared" si="180"/>
        <v/>
      </c>
      <c r="QAR23" s="50" t="str">
        <f t="shared" si="180"/>
        <v/>
      </c>
      <c r="QAS23" s="50" t="str">
        <f t="shared" si="180"/>
        <v/>
      </c>
      <c r="QAT23" s="50" t="str">
        <f t="shared" si="180"/>
        <v/>
      </c>
      <c r="QAU23" s="50" t="str">
        <f t="shared" si="180"/>
        <v/>
      </c>
      <c r="QAV23" s="50" t="str">
        <f t="shared" si="180"/>
        <v/>
      </c>
      <c r="QAW23" s="50" t="str">
        <f t="shared" si="180"/>
        <v/>
      </c>
      <c r="QAX23" s="50" t="str">
        <f t="shared" si="180"/>
        <v/>
      </c>
      <c r="QAY23" s="50" t="str">
        <f t="shared" si="180"/>
        <v/>
      </c>
      <c r="QAZ23" s="50" t="str">
        <f t="shared" si="180"/>
        <v/>
      </c>
      <c r="QBA23" s="50" t="str">
        <f t="shared" si="180"/>
        <v/>
      </c>
      <c r="QBB23" s="50" t="str">
        <f t="shared" si="180"/>
        <v/>
      </c>
      <c r="QBC23" s="50" t="str">
        <f t="shared" si="180"/>
        <v/>
      </c>
      <c r="QBD23" s="50" t="str">
        <f t="shared" si="180"/>
        <v/>
      </c>
      <c r="QBE23" s="50" t="str">
        <f t="shared" si="180"/>
        <v/>
      </c>
      <c r="QBF23" s="50" t="str">
        <f t="shared" si="180"/>
        <v/>
      </c>
      <c r="QBG23" s="50" t="str">
        <f t="shared" si="180"/>
        <v/>
      </c>
      <c r="QBH23" s="50" t="str">
        <f t="shared" si="180"/>
        <v/>
      </c>
      <c r="QBI23" s="50" t="str">
        <f t="shared" si="180"/>
        <v/>
      </c>
      <c r="QBJ23" s="50" t="str">
        <f t="shared" si="180"/>
        <v/>
      </c>
      <c r="QBK23" s="50" t="str">
        <f t="shared" si="180"/>
        <v/>
      </c>
      <c r="QBL23" s="50" t="str">
        <f t="shared" si="180"/>
        <v/>
      </c>
      <c r="QBM23" s="50" t="str">
        <f t="shared" si="180"/>
        <v/>
      </c>
      <c r="QBN23" s="50" t="str">
        <f t="shared" si="180"/>
        <v/>
      </c>
      <c r="QBO23" s="50" t="str">
        <f t="shared" si="180"/>
        <v/>
      </c>
      <c r="QBP23" s="50" t="str">
        <f t="shared" si="180"/>
        <v/>
      </c>
      <c r="QBQ23" s="50" t="str">
        <f t="shared" si="180"/>
        <v/>
      </c>
      <c r="QBR23" s="50" t="str">
        <f t="shared" si="180"/>
        <v/>
      </c>
      <c r="QBS23" s="50" t="str">
        <f t="shared" si="180"/>
        <v/>
      </c>
      <c r="QBT23" s="50" t="str">
        <f t="shared" si="180"/>
        <v/>
      </c>
      <c r="QBU23" s="50" t="str">
        <f t="shared" si="180"/>
        <v/>
      </c>
      <c r="QBV23" s="50" t="str">
        <f t="shared" si="180"/>
        <v/>
      </c>
      <c r="QBW23" s="50" t="str">
        <f t="shared" si="180"/>
        <v/>
      </c>
      <c r="QBX23" s="50" t="str">
        <f t="shared" si="180"/>
        <v/>
      </c>
      <c r="QBY23" s="50" t="str">
        <f t="shared" ref="QBY23:QEJ23" si="181">IFERROR(IF(QBX23+TIME(1,0,0)&lt;=$G$12,QBX23+TIME(1,0,0),""),"")</f>
        <v/>
      </c>
      <c r="QBZ23" s="50" t="str">
        <f t="shared" si="181"/>
        <v/>
      </c>
      <c r="QCA23" s="50" t="str">
        <f t="shared" si="181"/>
        <v/>
      </c>
      <c r="QCB23" s="50" t="str">
        <f t="shared" si="181"/>
        <v/>
      </c>
      <c r="QCC23" s="50" t="str">
        <f t="shared" si="181"/>
        <v/>
      </c>
      <c r="QCD23" s="50" t="str">
        <f t="shared" si="181"/>
        <v/>
      </c>
      <c r="QCE23" s="50" t="str">
        <f t="shared" si="181"/>
        <v/>
      </c>
      <c r="QCF23" s="50" t="str">
        <f t="shared" si="181"/>
        <v/>
      </c>
      <c r="QCG23" s="50" t="str">
        <f t="shared" si="181"/>
        <v/>
      </c>
      <c r="QCH23" s="50" t="str">
        <f t="shared" si="181"/>
        <v/>
      </c>
      <c r="QCI23" s="50" t="str">
        <f t="shared" si="181"/>
        <v/>
      </c>
      <c r="QCJ23" s="50" t="str">
        <f t="shared" si="181"/>
        <v/>
      </c>
      <c r="QCK23" s="50" t="str">
        <f t="shared" si="181"/>
        <v/>
      </c>
      <c r="QCL23" s="50" t="str">
        <f t="shared" si="181"/>
        <v/>
      </c>
      <c r="QCM23" s="50" t="str">
        <f t="shared" si="181"/>
        <v/>
      </c>
      <c r="QCN23" s="50" t="str">
        <f t="shared" si="181"/>
        <v/>
      </c>
      <c r="QCO23" s="50" t="str">
        <f t="shared" si="181"/>
        <v/>
      </c>
      <c r="QCP23" s="50" t="str">
        <f t="shared" si="181"/>
        <v/>
      </c>
      <c r="QCQ23" s="50" t="str">
        <f t="shared" si="181"/>
        <v/>
      </c>
      <c r="QCR23" s="50" t="str">
        <f t="shared" si="181"/>
        <v/>
      </c>
      <c r="QCS23" s="50" t="str">
        <f t="shared" si="181"/>
        <v/>
      </c>
      <c r="QCT23" s="50" t="str">
        <f t="shared" si="181"/>
        <v/>
      </c>
      <c r="QCU23" s="50" t="str">
        <f t="shared" si="181"/>
        <v/>
      </c>
      <c r="QCV23" s="50" t="str">
        <f t="shared" si="181"/>
        <v/>
      </c>
      <c r="QCW23" s="50" t="str">
        <f t="shared" si="181"/>
        <v/>
      </c>
      <c r="QCX23" s="50" t="str">
        <f t="shared" si="181"/>
        <v/>
      </c>
      <c r="QCY23" s="50" t="str">
        <f t="shared" si="181"/>
        <v/>
      </c>
      <c r="QCZ23" s="50" t="str">
        <f t="shared" si="181"/>
        <v/>
      </c>
      <c r="QDA23" s="50" t="str">
        <f t="shared" si="181"/>
        <v/>
      </c>
      <c r="QDB23" s="50" t="str">
        <f t="shared" si="181"/>
        <v/>
      </c>
      <c r="QDC23" s="50" t="str">
        <f t="shared" si="181"/>
        <v/>
      </c>
      <c r="QDD23" s="50" t="str">
        <f t="shared" si="181"/>
        <v/>
      </c>
      <c r="QDE23" s="50" t="str">
        <f t="shared" si="181"/>
        <v/>
      </c>
      <c r="QDF23" s="50" t="str">
        <f t="shared" si="181"/>
        <v/>
      </c>
      <c r="QDG23" s="50" t="str">
        <f t="shared" si="181"/>
        <v/>
      </c>
      <c r="QDH23" s="50" t="str">
        <f t="shared" si="181"/>
        <v/>
      </c>
      <c r="QDI23" s="50" t="str">
        <f t="shared" si="181"/>
        <v/>
      </c>
      <c r="QDJ23" s="50" t="str">
        <f t="shared" si="181"/>
        <v/>
      </c>
      <c r="QDK23" s="50" t="str">
        <f t="shared" si="181"/>
        <v/>
      </c>
      <c r="QDL23" s="50" t="str">
        <f t="shared" si="181"/>
        <v/>
      </c>
      <c r="QDM23" s="50" t="str">
        <f t="shared" si="181"/>
        <v/>
      </c>
      <c r="QDN23" s="50" t="str">
        <f t="shared" si="181"/>
        <v/>
      </c>
      <c r="QDO23" s="50" t="str">
        <f t="shared" si="181"/>
        <v/>
      </c>
      <c r="QDP23" s="50" t="str">
        <f t="shared" si="181"/>
        <v/>
      </c>
      <c r="QDQ23" s="50" t="str">
        <f t="shared" si="181"/>
        <v/>
      </c>
      <c r="QDR23" s="50" t="str">
        <f t="shared" si="181"/>
        <v/>
      </c>
      <c r="QDS23" s="50" t="str">
        <f t="shared" si="181"/>
        <v/>
      </c>
      <c r="QDT23" s="50" t="str">
        <f t="shared" si="181"/>
        <v/>
      </c>
      <c r="QDU23" s="50" t="str">
        <f t="shared" si="181"/>
        <v/>
      </c>
      <c r="QDV23" s="50" t="str">
        <f t="shared" si="181"/>
        <v/>
      </c>
      <c r="QDW23" s="50" t="str">
        <f t="shared" si="181"/>
        <v/>
      </c>
      <c r="QDX23" s="50" t="str">
        <f t="shared" si="181"/>
        <v/>
      </c>
      <c r="QDY23" s="50" t="str">
        <f t="shared" si="181"/>
        <v/>
      </c>
      <c r="QDZ23" s="50" t="str">
        <f t="shared" si="181"/>
        <v/>
      </c>
      <c r="QEA23" s="50" t="str">
        <f t="shared" si="181"/>
        <v/>
      </c>
      <c r="QEB23" s="50" t="str">
        <f t="shared" si="181"/>
        <v/>
      </c>
      <c r="QEC23" s="50" t="str">
        <f t="shared" si="181"/>
        <v/>
      </c>
      <c r="QED23" s="50" t="str">
        <f t="shared" si="181"/>
        <v/>
      </c>
      <c r="QEE23" s="50" t="str">
        <f t="shared" si="181"/>
        <v/>
      </c>
      <c r="QEF23" s="50" t="str">
        <f t="shared" si="181"/>
        <v/>
      </c>
      <c r="QEG23" s="50" t="str">
        <f t="shared" si="181"/>
        <v/>
      </c>
      <c r="QEH23" s="50" t="str">
        <f t="shared" si="181"/>
        <v/>
      </c>
      <c r="QEI23" s="50" t="str">
        <f t="shared" si="181"/>
        <v/>
      </c>
      <c r="QEJ23" s="50" t="str">
        <f t="shared" si="181"/>
        <v/>
      </c>
      <c r="QEK23" s="50" t="str">
        <f t="shared" ref="QEK23:QGV23" si="182">IFERROR(IF(QEJ23+TIME(1,0,0)&lt;=$G$12,QEJ23+TIME(1,0,0),""),"")</f>
        <v/>
      </c>
      <c r="QEL23" s="50" t="str">
        <f t="shared" si="182"/>
        <v/>
      </c>
      <c r="QEM23" s="50" t="str">
        <f t="shared" si="182"/>
        <v/>
      </c>
      <c r="QEN23" s="50" t="str">
        <f t="shared" si="182"/>
        <v/>
      </c>
      <c r="QEO23" s="50" t="str">
        <f t="shared" si="182"/>
        <v/>
      </c>
      <c r="QEP23" s="50" t="str">
        <f t="shared" si="182"/>
        <v/>
      </c>
      <c r="QEQ23" s="50" t="str">
        <f t="shared" si="182"/>
        <v/>
      </c>
      <c r="QER23" s="50" t="str">
        <f t="shared" si="182"/>
        <v/>
      </c>
      <c r="QES23" s="50" t="str">
        <f t="shared" si="182"/>
        <v/>
      </c>
      <c r="QET23" s="50" t="str">
        <f t="shared" si="182"/>
        <v/>
      </c>
      <c r="QEU23" s="50" t="str">
        <f t="shared" si="182"/>
        <v/>
      </c>
      <c r="QEV23" s="50" t="str">
        <f t="shared" si="182"/>
        <v/>
      </c>
      <c r="QEW23" s="50" t="str">
        <f t="shared" si="182"/>
        <v/>
      </c>
      <c r="QEX23" s="50" t="str">
        <f t="shared" si="182"/>
        <v/>
      </c>
      <c r="QEY23" s="50" t="str">
        <f t="shared" si="182"/>
        <v/>
      </c>
      <c r="QEZ23" s="50" t="str">
        <f t="shared" si="182"/>
        <v/>
      </c>
      <c r="QFA23" s="50" t="str">
        <f t="shared" si="182"/>
        <v/>
      </c>
      <c r="QFB23" s="50" t="str">
        <f t="shared" si="182"/>
        <v/>
      </c>
      <c r="QFC23" s="50" t="str">
        <f t="shared" si="182"/>
        <v/>
      </c>
      <c r="QFD23" s="50" t="str">
        <f t="shared" si="182"/>
        <v/>
      </c>
      <c r="QFE23" s="50" t="str">
        <f t="shared" si="182"/>
        <v/>
      </c>
      <c r="QFF23" s="50" t="str">
        <f t="shared" si="182"/>
        <v/>
      </c>
      <c r="QFG23" s="50" t="str">
        <f t="shared" si="182"/>
        <v/>
      </c>
      <c r="QFH23" s="50" t="str">
        <f t="shared" si="182"/>
        <v/>
      </c>
      <c r="QFI23" s="50" t="str">
        <f t="shared" si="182"/>
        <v/>
      </c>
      <c r="QFJ23" s="50" t="str">
        <f t="shared" si="182"/>
        <v/>
      </c>
      <c r="QFK23" s="50" t="str">
        <f t="shared" si="182"/>
        <v/>
      </c>
      <c r="QFL23" s="50" t="str">
        <f t="shared" si="182"/>
        <v/>
      </c>
      <c r="QFM23" s="50" t="str">
        <f t="shared" si="182"/>
        <v/>
      </c>
      <c r="QFN23" s="50" t="str">
        <f t="shared" si="182"/>
        <v/>
      </c>
      <c r="QFO23" s="50" t="str">
        <f t="shared" si="182"/>
        <v/>
      </c>
      <c r="QFP23" s="50" t="str">
        <f t="shared" si="182"/>
        <v/>
      </c>
      <c r="QFQ23" s="50" t="str">
        <f t="shared" si="182"/>
        <v/>
      </c>
      <c r="QFR23" s="50" t="str">
        <f t="shared" si="182"/>
        <v/>
      </c>
      <c r="QFS23" s="50" t="str">
        <f t="shared" si="182"/>
        <v/>
      </c>
      <c r="QFT23" s="50" t="str">
        <f t="shared" si="182"/>
        <v/>
      </c>
      <c r="QFU23" s="50" t="str">
        <f t="shared" si="182"/>
        <v/>
      </c>
      <c r="QFV23" s="50" t="str">
        <f t="shared" si="182"/>
        <v/>
      </c>
      <c r="QFW23" s="50" t="str">
        <f t="shared" si="182"/>
        <v/>
      </c>
      <c r="QFX23" s="50" t="str">
        <f t="shared" si="182"/>
        <v/>
      </c>
      <c r="QFY23" s="50" t="str">
        <f t="shared" si="182"/>
        <v/>
      </c>
      <c r="QFZ23" s="50" t="str">
        <f t="shared" si="182"/>
        <v/>
      </c>
      <c r="QGA23" s="50" t="str">
        <f t="shared" si="182"/>
        <v/>
      </c>
      <c r="QGB23" s="50" t="str">
        <f t="shared" si="182"/>
        <v/>
      </c>
      <c r="QGC23" s="50" t="str">
        <f t="shared" si="182"/>
        <v/>
      </c>
      <c r="QGD23" s="50" t="str">
        <f t="shared" si="182"/>
        <v/>
      </c>
      <c r="QGE23" s="50" t="str">
        <f t="shared" si="182"/>
        <v/>
      </c>
      <c r="QGF23" s="50" t="str">
        <f t="shared" si="182"/>
        <v/>
      </c>
      <c r="QGG23" s="50" t="str">
        <f t="shared" si="182"/>
        <v/>
      </c>
      <c r="QGH23" s="50" t="str">
        <f t="shared" si="182"/>
        <v/>
      </c>
      <c r="QGI23" s="50" t="str">
        <f t="shared" si="182"/>
        <v/>
      </c>
      <c r="QGJ23" s="50" t="str">
        <f t="shared" si="182"/>
        <v/>
      </c>
      <c r="QGK23" s="50" t="str">
        <f t="shared" si="182"/>
        <v/>
      </c>
      <c r="QGL23" s="50" t="str">
        <f t="shared" si="182"/>
        <v/>
      </c>
      <c r="QGM23" s="50" t="str">
        <f t="shared" si="182"/>
        <v/>
      </c>
      <c r="QGN23" s="50" t="str">
        <f t="shared" si="182"/>
        <v/>
      </c>
      <c r="QGO23" s="50" t="str">
        <f t="shared" si="182"/>
        <v/>
      </c>
      <c r="QGP23" s="50" t="str">
        <f t="shared" si="182"/>
        <v/>
      </c>
      <c r="QGQ23" s="50" t="str">
        <f t="shared" si="182"/>
        <v/>
      </c>
      <c r="QGR23" s="50" t="str">
        <f t="shared" si="182"/>
        <v/>
      </c>
      <c r="QGS23" s="50" t="str">
        <f t="shared" si="182"/>
        <v/>
      </c>
      <c r="QGT23" s="50" t="str">
        <f t="shared" si="182"/>
        <v/>
      </c>
      <c r="QGU23" s="50" t="str">
        <f t="shared" si="182"/>
        <v/>
      </c>
      <c r="QGV23" s="50" t="str">
        <f t="shared" si="182"/>
        <v/>
      </c>
      <c r="QGW23" s="50" t="str">
        <f t="shared" ref="QGW23:QJH23" si="183">IFERROR(IF(QGV23+TIME(1,0,0)&lt;=$G$12,QGV23+TIME(1,0,0),""),"")</f>
        <v/>
      </c>
      <c r="QGX23" s="50" t="str">
        <f t="shared" si="183"/>
        <v/>
      </c>
      <c r="QGY23" s="50" t="str">
        <f t="shared" si="183"/>
        <v/>
      </c>
      <c r="QGZ23" s="50" t="str">
        <f t="shared" si="183"/>
        <v/>
      </c>
      <c r="QHA23" s="50" t="str">
        <f t="shared" si="183"/>
        <v/>
      </c>
      <c r="QHB23" s="50" t="str">
        <f t="shared" si="183"/>
        <v/>
      </c>
      <c r="QHC23" s="50" t="str">
        <f t="shared" si="183"/>
        <v/>
      </c>
      <c r="QHD23" s="50" t="str">
        <f t="shared" si="183"/>
        <v/>
      </c>
      <c r="QHE23" s="50" t="str">
        <f t="shared" si="183"/>
        <v/>
      </c>
      <c r="QHF23" s="50" t="str">
        <f t="shared" si="183"/>
        <v/>
      </c>
      <c r="QHG23" s="50" t="str">
        <f t="shared" si="183"/>
        <v/>
      </c>
      <c r="QHH23" s="50" t="str">
        <f t="shared" si="183"/>
        <v/>
      </c>
      <c r="QHI23" s="50" t="str">
        <f t="shared" si="183"/>
        <v/>
      </c>
      <c r="QHJ23" s="50" t="str">
        <f t="shared" si="183"/>
        <v/>
      </c>
      <c r="QHK23" s="50" t="str">
        <f t="shared" si="183"/>
        <v/>
      </c>
      <c r="QHL23" s="50" t="str">
        <f t="shared" si="183"/>
        <v/>
      </c>
      <c r="QHM23" s="50" t="str">
        <f t="shared" si="183"/>
        <v/>
      </c>
      <c r="QHN23" s="50" t="str">
        <f t="shared" si="183"/>
        <v/>
      </c>
      <c r="QHO23" s="50" t="str">
        <f t="shared" si="183"/>
        <v/>
      </c>
      <c r="QHP23" s="50" t="str">
        <f t="shared" si="183"/>
        <v/>
      </c>
      <c r="QHQ23" s="50" t="str">
        <f t="shared" si="183"/>
        <v/>
      </c>
      <c r="QHR23" s="50" t="str">
        <f t="shared" si="183"/>
        <v/>
      </c>
      <c r="QHS23" s="50" t="str">
        <f t="shared" si="183"/>
        <v/>
      </c>
      <c r="QHT23" s="50" t="str">
        <f t="shared" si="183"/>
        <v/>
      </c>
      <c r="QHU23" s="50" t="str">
        <f t="shared" si="183"/>
        <v/>
      </c>
      <c r="QHV23" s="50" t="str">
        <f t="shared" si="183"/>
        <v/>
      </c>
      <c r="QHW23" s="50" t="str">
        <f t="shared" si="183"/>
        <v/>
      </c>
      <c r="QHX23" s="50" t="str">
        <f t="shared" si="183"/>
        <v/>
      </c>
      <c r="QHY23" s="50" t="str">
        <f t="shared" si="183"/>
        <v/>
      </c>
      <c r="QHZ23" s="50" t="str">
        <f t="shared" si="183"/>
        <v/>
      </c>
      <c r="QIA23" s="50" t="str">
        <f t="shared" si="183"/>
        <v/>
      </c>
      <c r="QIB23" s="50" t="str">
        <f t="shared" si="183"/>
        <v/>
      </c>
      <c r="QIC23" s="50" t="str">
        <f t="shared" si="183"/>
        <v/>
      </c>
      <c r="QID23" s="50" t="str">
        <f t="shared" si="183"/>
        <v/>
      </c>
      <c r="QIE23" s="50" t="str">
        <f t="shared" si="183"/>
        <v/>
      </c>
      <c r="QIF23" s="50" t="str">
        <f t="shared" si="183"/>
        <v/>
      </c>
      <c r="QIG23" s="50" t="str">
        <f t="shared" si="183"/>
        <v/>
      </c>
      <c r="QIH23" s="50" t="str">
        <f t="shared" si="183"/>
        <v/>
      </c>
      <c r="QII23" s="50" t="str">
        <f t="shared" si="183"/>
        <v/>
      </c>
      <c r="QIJ23" s="50" t="str">
        <f t="shared" si="183"/>
        <v/>
      </c>
      <c r="QIK23" s="50" t="str">
        <f t="shared" si="183"/>
        <v/>
      </c>
      <c r="QIL23" s="50" t="str">
        <f t="shared" si="183"/>
        <v/>
      </c>
      <c r="QIM23" s="50" t="str">
        <f t="shared" si="183"/>
        <v/>
      </c>
      <c r="QIN23" s="50" t="str">
        <f t="shared" si="183"/>
        <v/>
      </c>
      <c r="QIO23" s="50" t="str">
        <f t="shared" si="183"/>
        <v/>
      </c>
      <c r="QIP23" s="50" t="str">
        <f t="shared" si="183"/>
        <v/>
      </c>
      <c r="QIQ23" s="50" t="str">
        <f t="shared" si="183"/>
        <v/>
      </c>
      <c r="QIR23" s="50" t="str">
        <f t="shared" si="183"/>
        <v/>
      </c>
      <c r="QIS23" s="50" t="str">
        <f t="shared" si="183"/>
        <v/>
      </c>
      <c r="QIT23" s="50" t="str">
        <f t="shared" si="183"/>
        <v/>
      </c>
      <c r="QIU23" s="50" t="str">
        <f t="shared" si="183"/>
        <v/>
      </c>
      <c r="QIV23" s="50" t="str">
        <f t="shared" si="183"/>
        <v/>
      </c>
      <c r="QIW23" s="50" t="str">
        <f t="shared" si="183"/>
        <v/>
      </c>
      <c r="QIX23" s="50" t="str">
        <f t="shared" si="183"/>
        <v/>
      </c>
      <c r="QIY23" s="50" t="str">
        <f t="shared" si="183"/>
        <v/>
      </c>
      <c r="QIZ23" s="50" t="str">
        <f t="shared" si="183"/>
        <v/>
      </c>
      <c r="QJA23" s="50" t="str">
        <f t="shared" si="183"/>
        <v/>
      </c>
      <c r="QJB23" s="50" t="str">
        <f t="shared" si="183"/>
        <v/>
      </c>
      <c r="QJC23" s="50" t="str">
        <f t="shared" si="183"/>
        <v/>
      </c>
      <c r="QJD23" s="50" t="str">
        <f t="shared" si="183"/>
        <v/>
      </c>
      <c r="QJE23" s="50" t="str">
        <f t="shared" si="183"/>
        <v/>
      </c>
      <c r="QJF23" s="50" t="str">
        <f t="shared" si="183"/>
        <v/>
      </c>
      <c r="QJG23" s="50" t="str">
        <f t="shared" si="183"/>
        <v/>
      </c>
      <c r="QJH23" s="50" t="str">
        <f t="shared" si="183"/>
        <v/>
      </c>
      <c r="QJI23" s="50" t="str">
        <f t="shared" ref="QJI23:QLT23" si="184">IFERROR(IF(QJH23+TIME(1,0,0)&lt;=$G$12,QJH23+TIME(1,0,0),""),"")</f>
        <v/>
      </c>
      <c r="QJJ23" s="50" t="str">
        <f t="shared" si="184"/>
        <v/>
      </c>
      <c r="QJK23" s="50" t="str">
        <f t="shared" si="184"/>
        <v/>
      </c>
      <c r="QJL23" s="50" t="str">
        <f t="shared" si="184"/>
        <v/>
      </c>
      <c r="QJM23" s="50" t="str">
        <f t="shared" si="184"/>
        <v/>
      </c>
      <c r="QJN23" s="50" t="str">
        <f t="shared" si="184"/>
        <v/>
      </c>
      <c r="QJO23" s="50" t="str">
        <f t="shared" si="184"/>
        <v/>
      </c>
      <c r="QJP23" s="50" t="str">
        <f t="shared" si="184"/>
        <v/>
      </c>
      <c r="QJQ23" s="50" t="str">
        <f t="shared" si="184"/>
        <v/>
      </c>
      <c r="QJR23" s="50" t="str">
        <f t="shared" si="184"/>
        <v/>
      </c>
      <c r="QJS23" s="50" t="str">
        <f t="shared" si="184"/>
        <v/>
      </c>
      <c r="QJT23" s="50" t="str">
        <f t="shared" si="184"/>
        <v/>
      </c>
      <c r="QJU23" s="50" t="str">
        <f t="shared" si="184"/>
        <v/>
      </c>
      <c r="QJV23" s="50" t="str">
        <f t="shared" si="184"/>
        <v/>
      </c>
      <c r="QJW23" s="50" t="str">
        <f t="shared" si="184"/>
        <v/>
      </c>
      <c r="QJX23" s="50" t="str">
        <f t="shared" si="184"/>
        <v/>
      </c>
      <c r="QJY23" s="50" t="str">
        <f t="shared" si="184"/>
        <v/>
      </c>
      <c r="QJZ23" s="50" t="str">
        <f t="shared" si="184"/>
        <v/>
      </c>
      <c r="QKA23" s="50" t="str">
        <f t="shared" si="184"/>
        <v/>
      </c>
      <c r="QKB23" s="50" t="str">
        <f t="shared" si="184"/>
        <v/>
      </c>
      <c r="QKC23" s="50" t="str">
        <f t="shared" si="184"/>
        <v/>
      </c>
      <c r="QKD23" s="50" t="str">
        <f t="shared" si="184"/>
        <v/>
      </c>
      <c r="QKE23" s="50" t="str">
        <f t="shared" si="184"/>
        <v/>
      </c>
      <c r="QKF23" s="50" t="str">
        <f t="shared" si="184"/>
        <v/>
      </c>
      <c r="QKG23" s="50" t="str">
        <f t="shared" si="184"/>
        <v/>
      </c>
      <c r="QKH23" s="50" t="str">
        <f t="shared" si="184"/>
        <v/>
      </c>
      <c r="QKI23" s="50" t="str">
        <f t="shared" si="184"/>
        <v/>
      </c>
      <c r="QKJ23" s="50" t="str">
        <f t="shared" si="184"/>
        <v/>
      </c>
      <c r="QKK23" s="50" t="str">
        <f t="shared" si="184"/>
        <v/>
      </c>
      <c r="QKL23" s="50" t="str">
        <f t="shared" si="184"/>
        <v/>
      </c>
      <c r="QKM23" s="50" t="str">
        <f t="shared" si="184"/>
        <v/>
      </c>
      <c r="QKN23" s="50" t="str">
        <f t="shared" si="184"/>
        <v/>
      </c>
      <c r="QKO23" s="50" t="str">
        <f t="shared" si="184"/>
        <v/>
      </c>
      <c r="QKP23" s="50" t="str">
        <f t="shared" si="184"/>
        <v/>
      </c>
      <c r="QKQ23" s="50" t="str">
        <f t="shared" si="184"/>
        <v/>
      </c>
      <c r="QKR23" s="50" t="str">
        <f t="shared" si="184"/>
        <v/>
      </c>
      <c r="QKS23" s="50" t="str">
        <f t="shared" si="184"/>
        <v/>
      </c>
      <c r="QKT23" s="50" t="str">
        <f t="shared" si="184"/>
        <v/>
      </c>
      <c r="QKU23" s="50" t="str">
        <f t="shared" si="184"/>
        <v/>
      </c>
      <c r="QKV23" s="50" t="str">
        <f t="shared" si="184"/>
        <v/>
      </c>
      <c r="QKW23" s="50" t="str">
        <f t="shared" si="184"/>
        <v/>
      </c>
      <c r="QKX23" s="50" t="str">
        <f t="shared" si="184"/>
        <v/>
      </c>
      <c r="QKY23" s="50" t="str">
        <f t="shared" si="184"/>
        <v/>
      </c>
      <c r="QKZ23" s="50" t="str">
        <f t="shared" si="184"/>
        <v/>
      </c>
      <c r="QLA23" s="50" t="str">
        <f t="shared" si="184"/>
        <v/>
      </c>
      <c r="QLB23" s="50" t="str">
        <f t="shared" si="184"/>
        <v/>
      </c>
      <c r="QLC23" s="50" t="str">
        <f t="shared" si="184"/>
        <v/>
      </c>
      <c r="QLD23" s="50" t="str">
        <f t="shared" si="184"/>
        <v/>
      </c>
      <c r="QLE23" s="50" t="str">
        <f t="shared" si="184"/>
        <v/>
      </c>
      <c r="QLF23" s="50" t="str">
        <f t="shared" si="184"/>
        <v/>
      </c>
      <c r="QLG23" s="50" t="str">
        <f t="shared" si="184"/>
        <v/>
      </c>
      <c r="QLH23" s="50" t="str">
        <f t="shared" si="184"/>
        <v/>
      </c>
      <c r="QLI23" s="50" t="str">
        <f t="shared" si="184"/>
        <v/>
      </c>
      <c r="QLJ23" s="50" t="str">
        <f t="shared" si="184"/>
        <v/>
      </c>
      <c r="QLK23" s="50" t="str">
        <f t="shared" si="184"/>
        <v/>
      </c>
      <c r="QLL23" s="50" t="str">
        <f t="shared" si="184"/>
        <v/>
      </c>
      <c r="QLM23" s="50" t="str">
        <f t="shared" si="184"/>
        <v/>
      </c>
      <c r="QLN23" s="50" t="str">
        <f t="shared" si="184"/>
        <v/>
      </c>
      <c r="QLO23" s="50" t="str">
        <f t="shared" si="184"/>
        <v/>
      </c>
      <c r="QLP23" s="50" t="str">
        <f t="shared" si="184"/>
        <v/>
      </c>
      <c r="QLQ23" s="50" t="str">
        <f t="shared" si="184"/>
        <v/>
      </c>
      <c r="QLR23" s="50" t="str">
        <f t="shared" si="184"/>
        <v/>
      </c>
      <c r="QLS23" s="50" t="str">
        <f t="shared" si="184"/>
        <v/>
      </c>
      <c r="QLT23" s="50" t="str">
        <f t="shared" si="184"/>
        <v/>
      </c>
      <c r="QLU23" s="50" t="str">
        <f t="shared" ref="QLU23:QOF23" si="185">IFERROR(IF(QLT23+TIME(1,0,0)&lt;=$G$12,QLT23+TIME(1,0,0),""),"")</f>
        <v/>
      </c>
      <c r="QLV23" s="50" t="str">
        <f t="shared" si="185"/>
        <v/>
      </c>
      <c r="QLW23" s="50" t="str">
        <f t="shared" si="185"/>
        <v/>
      </c>
      <c r="QLX23" s="50" t="str">
        <f t="shared" si="185"/>
        <v/>
      </c>
      <c r="QLY23" s="50" t="str">
        <f t="shared" si="185"/>
        <v/>
      </c>
      <c r="QLZ23" s="50" t="str">
        <f t="shared" si="185"/>
        <v/>
      </c>
      <c r="QMA23" s="50" t="str">
        <f t="shared" si="185"/>
        <v/>
      </c>
      <c r="QMB23" s="50" t="str">
        <f t="shared" si="185"/>
        <v/>
      </c>
      <c r="QMC23" s="50" t="str">
        <f t="shared" si="185"/>
        <v/>
      </c>
      <c r="QMD23" s="50" t="str">
        <f t="shared" si="185"/>
        <v/>
      </c>
      <c r="QME23" s="50" t="str">
        <f t="shared" si="185"/>
        <v/>
      </c>
      <c r="QMF23" s="50" t="str">
        <f t="shared" si="185"/>
        <v/>
      </c>
      <c r="QMG23" s="50" t="str">
        <f t="shared" si="185"/>
        <v/>
      </c>
      <c r="QMH23" s="50" t="str">
        <f t="shared" si="185"/>
        <v/>
      </c>
      <c r="QMI23" s="50" t="str">
        <f t="shared" si="185"/>
        <v/>
      </c>
      <c r="QMJ23" s="50" t="str">
        <f t="shared" si="185"/>
        <v/>
      </c>
      <c r="QMK23" s="50" t="str">
        <f t="shared" si="185"/>
        <v/>
      </c>
      <c r="QML23" s="50" t="str">
        <f t="shared" si="185"/>
        <v/>
      </c>
      <c r="QMM23" s="50" t="str">
        <f t="shared" si="185"/>
        <v/>
      </c>
      <c r="QMN23" s="50" t="str">
        <f t="shared" si="185"/>
        <v/>
      </c>
      <c r="QMO23" s="50" t="str">
        <f t="shared" si="185"/>
        <v/>
      </c>
      <c r="QMP23" s="50" t="str">
        <f t="shared" si="185"/>
        <v/>
      </c>
      <c r="QMQ23" s="50" t="str">
        <f t="shared" si="185"/>
        <v/>
      </c>
      <c r="QMR23" s="50" t="str">
        <f t="shared" si="185"/>
        <v/>
      </c>
      <c r="QMS23" s="50" t="str">
        <f t="shared" si="185"/>
        <v/>
      </c>
      <c r="QMT23" s="50" t="str">
        <f t="shared" si="185"/>
        <v/>
      </c>
      <c r="QMU23" s="50" t="str">
        <f t="shared" si="185"/>
        <v/>
      </c>
      <c r="QMV23" s="50" t="str">
        <f t="shared" si="185"/>
        <v/>
      </c>
      <c r="QMW23" s="50" t="str">
        <f t="shared" si="185"/>
        <v/>
      </c>
      <c r="QMX23" s="50" t="str">
        <f t="shared" si="185"/>
        <v/>
      </c>
      <c r="QMY23" s="50" t="str">
        <f t="shared" si="185"/>
        <v/>
      </c>
      <c r="QMZ23" s="50" t="str">
        <f t="shared" si="185"/>
        <v/>
      </c>
      <c r="QNA23" s="50" t="str">
        <f t="shared" si="185"/>
        <v/>
      </c>
      <c r="QNB23" s="50" t="str">
        <f t="shared" si="185"/>
        <v/>
      </c>
      <c r="QNC23" s="50" t="str">
        <f t="shared" si="185"/>
        <v/>
      </c>
      <c r="QND23" s="50" t="str">
        <f t="shared" si="185"/>
        <v/>
      </c>
      <c r="QNE23" s="50" t="str">
        <f t="shared" si="185"/>
        <v/>
      </c>
      <c r="QNF23" s="50" t="str">
        <f t="shared" si="185"/>
        <v/>
      </c>
      <c r="QNG23" s="50" t="str">
        <f t="shared" si="185"/>
        <v/>
      </c>
      <c r="QNH23" s="50" t="str">
        <f t="shared" si="185"/>
        <v/>
      </c>
      <c r="QNI23" s="50" t="str">
        <f t="shared" si="185"/>
        <v/>
      </c>
      <c r="QNJ23" s="50" t="str">
        <f t="shared" si="185"/>
        <v/>
      </c>
      <c r="QNK23" s="50" t="str">
        <f t="shared" si="185"/>
        <v/>
      </c>
      <c r="QNL23" s="50" t="str">
        <f t="shared" si="185"/>
        <v/>
      </c>
      <c r="QNM23" s="50" t="str">
        <f t="shared" si="185"/>
        <v/>
      </c>
      <c r="QNN23" s="50" t="str">
        <f t="shared" si="185"/>
        <v/>
      </c>
      <c r="QNO23" s="50" t="str">
        <f t="shared" si="185"/>
        <v/>
      </c>
      <c r="QNP23" s="50" t="str">
        <f t="shared" si="185"/>
        <v/>
      </c>
      <c r="QNQ23" s="50" t="str">
        <f t="shared" si="185"/>
        <v/>
      </c>
      <c r="QNR23" s="50" t="str">
        <f t="shared" si="185"/>
        <v/>
      </c>
      <c r="QNS23" s="50" t="str">
        <f t="shared" si="185"/>
        <v/>
      </c>
      <c r="QNT23" s="50" t="str">
        <f t="shared" si="185"/>
        <v/>
      </c>
      <c r="QNU23" s="50" t="str">
        <f t="shared" si="185"/>
        <v/>
      </c>
      <c r="QNV23" s="50" t="str">
        <f t="shared" si="185"/>
        <v/>
      </c>
      <c r="QNW23" s="50" t="str">
        <f t="shared" si="185"/>
        <v/>
      </c>
      <c r="QNX23" s="50" t="str">
        <f t="shared" si="185"/>
        <v/>
      </c>
      <c r="QNY23" s="50" t="str">
        <f t="shared" si="185"/>
        <v/>
      </c>
      <c r="QNZ23" s="50" t="str">
        <f t="shared" si="185"/>
        <v/>
      </c>
      <c r="QOA23" s="50" t="str">
        <f t="shared" si="185"/>
        <v/>
      </c>
      <c r="QOB23" s="50" t="str">
        <f t="shared" si="185"/>
        <v/>
      </c>
      <c r="QOC23" s="50" t="str">
        <f t="shared" si="185"/>
        <v/>
      </c>
      <c r="QOD23" s="50" t="str">
        <f t="shared" si="185"/>
        <v/>
      </c>
      <c r="QOE23" s="50" t="str">
        <f t="shared" si="185"/>
        <v/>
      </c>
      <c r="QOF23" s="50" t="str">
        <f t="shared" si="185"/>
        <v/>
      </c>
      <c r="QOG23" s="50" t="str">
        <f t="shared" ref="QOG23:QQR23" si="186">IFERROR(IF(QOF23+TIME(1,0,0)&lt;=$G$12,QOF23+TIME(1,0,0),""),"")</f>
        <v/>
      </c>
      <c r="QOH23" s="50" t="str">
        <f t="shared" si="186"/>
        <v/>
      </c>
      <c r="QOI23" s="50" t="str">
        <f t="shared" si="186"/>
        <v/>
      </c>
      <c r="QOJ23" s="50" t="str">
        <f t="shared" si="186"/>
        <v/>
      </c>
      <c r="QOK23" s="50" t="str">
        <f t="shared" si="186"/>
        <v/>
      </c>
      <c r="QOL23" s="50" t="str">
        <f t="shared" si="186"/>
        <v/>
      </c>
      <c r="QOM23" s="50" t="str">
        <f t="shared" si="186"/>
        <v/>
      </c>
      <c r="QON23" s="50" t="str">
        <f t="shared" si="186"/>
        <v/>
      </c>
      <c r="QOO23" s="50" t="str">
        <f t="shared" si="186"/>
        <v/>
      </c>
      <c r="QOP23" s="50" t="str">
        <f t="shared" si="186"/>
        <v/>
      </c>
      <c r="QOQ23" s="50" t="str">
        <f t="shared" si="186"/>
        <v/>
      </c>
      <c r="QOR23" s="50" t="str">
        <f t="shared" si="186"/>
        <v/>
      </c>
      <c r="QOS23" s="50" t="str">
        <f t="shared" si="186"/>
        <v/>
      </c>
      <c r="QOT23" s="50" t="str">
        <f t="shared" si="186"/>
        <v/>
      </c>
      <c r="QOU23" s="50" t="str">
        <f t="shared" si="186"/>
        <v/>
      </c>
      <c r="QOV23" s="50" t="str">
        <f t="shared" si="186"/>
        <v/>
      </c>
      <c r="QOW23" s="50" t="str">
        <f t="shared" si="186"/>
        <v/>
      </c>
      <c r="QOX23" s="50" t="str">
        <f t="shared" si="186"/>
        <v/>
      </c>
      <c r="QOY23" s="50" t="str">
        <f t="shared" si="186"/>
        <v/>
      </c>
      <c r="QOZ23" s="50" t="str">
        <f t="shared" si="186"/>
        <v/>
      </c>
      <c r="QPA23" s="50" t="str">
        <f t="shared" si="186"/>
        <v/>
      </c>
      <c r="QPB23" s="50" t="str">
        <f t="shared" si="186"/>
        <v/>
      </c>
      <c r="QPC23" s="50" t="str">
        <f t="shared" si="186"/>
        <v/>
      </c>
      <c r="QPD23" s="50" t="str">
        <f t="shared" si="186"/>
        <v/>
      </c>
      <c r="QPE23" s="50" t="str">
        <f t="shared" si="186"/>
        <v/>
      </c>
      <c r="QPF23" s="50" t="str">
        <f t="shared" si="186"/>
        <v/>
      </c>
      <c r="QPG23" s="50" t="str">
        <f t="shared" si="186"/>
        <v/>
      </c>
      <c r="QPH23" s="50" t="str">
        <f t="shared" si="186"/>
        <v/>
      </c>
      <c r="QPI23" s="50" t="str">
        <f t="shared" si="186"/>
        <v/>
      </c>
      <c r="QPJ23" s="50" t="str">
        <f t="shared" si="186"/>
        <v/>
      </c>
      <c r="QPK23" s="50" t="str">
        <f t="shared" si="186"/>
        <v/>
      </c>
      <c r="QPL23" s="50" t="str">
        <f t="shared" si="186"/>
        <v/>
      </c>
      <c r="QPM23" s="50" t="str">
        <f t="shared" si="186"/>
        <v/>
      </c>
      <c r="QPN23" s="50" t="str">
        <f t="shared" si="186"/>
        <v/>
      </c>
      <c r="QPO23" s="50" t="str">
        <f t="shared" si="186"/>
        <v/>
      </c>
      <c r="QPP23" s="50" t="str">
        <f t="shared" si="186"/>
        <v/>
      </c>
      <c r="QPQ23" s="50" t="str">
        <f t="shared" si="186"/>
        <v/>
      </c>
      <c r="QPR23" s="50" t="str">
        <f t="shared" si="186"/>
        <v/>
      </c>
      <c r="QPS23" s="50" t="str">
        <f t="shared" si="186"/>
        <v/>
      </c>
      <c r="QPT23" s="50" t="str">
        <f t="shared" si="186"/>
        <v/>
      </c>
      <c r="QPU23" s="50" t="str">
        <f t="shared" si="186"/>
        <v/>
      </c>
      <c r="QPV23" s="50" t="str">
        <f t="shared" si="186"/>
        <v/>
      </c>
      <c r="QPW23" s="50" t="str">
        <f t="shared" si="186"/>
        <v/>
      </c>
      <c r="QPX23" s="50" t="str">
        <f t="shared" si="186"/>
        <v/>
      </c>
      <c r="QPY23" s="50" t="str">
        <f t="shared" si="186"/>
        <v/>
      </c>
      <c r="QPZ23" s="50" t="str">
        <f t="shared" si="186"/>
        <v/>
      </c>
      <c r="QQA23" s="50" t="str">
        <f t="shared" si="186"/>
        <v/>
      </c>
      <c r="QQB23" s="50" t="str">
        <f t="shared" si="186"/>
        <v/>
      </c>
      <c r="QQC23" s="50" t="str">
        <f t="shared" si="186"/>
        <v/>
      </c>
      <c r="QQD23" s="50" t="str">
        <f t="shared" si="186"/>
        <v/>
      </c>
      <c r="QQE23" s="50" t="str">
        <f t="shared" si="186"/>
        <v/>
      </c>
      <c r="QQF23" s="50" t="str">
        <f t="shared" si="186"/>
        <v/>
      </c>
      <c r="QQG23" s="50" t="str">
        <f t="shared" si="186"/>
        <v/>
      </c>
      <c r="QQH23" s="50" t="str">
        <f t="shared" si="186"/>
        <v/>
      </c>
      <c r="QQI23" s="50" t="str">
        <f t="shared" si="186"/>
        <v/>
      </c>
      <c r="QQJ23" s="50" t="str">
        <f t="shared" si="186"/>
        <v/>
      </c>
      <c r="QQK23" s="50" t="str">
        <f t="shared" si="186"/>
        <v/>
      </c>
      <c r="QQL23" s="50" t="str">
        <f t="shared" si="186"/>
        <v/>
      </c>
      <c r="QQM23" s="50" t="str">
        <f t="shared" si="186"/>
        <v/>
      </c>
      <c r="QQN23" s="50" t="str">
        <f t="shared" si="186"/>
        <v/>
      </c>
      <c r="QQO23" s="50" t="str">
        <f t="shared" si="186"/>
        <v/>
      </c>
      <c r="QQP23" s="50" t="str">
        <f t="shared" si="186"/>
        <v/>
      </c>
      <c r="QQQ23" s="50" t="str">
        <f t="shared" si="186"/>
        <v/>
      </c>
      <c r="QQR23" s="50" t="str">
        <f t="shared" si="186"/>
        <v/>
      </c>
      <c r="QQS23" s="50" t="str">
        <f t="shared" ref="QQS23:QTD23" si="187">IFERROR(IF(QQR23+TIME(1,0,0)&lt;=$G$12,QQR23+TIME(1,0,0),""),"")</f>
        <v/>
      </c>
      <c r="QQT23" s="50" t="str">
        <f t="shared" si="187"/>
        <v/>
      </c>
      <c r="QQU23" s="50" t="str">
        <f t="shared" si="187"/>
        <v/>
      </c>
      <c r="QQV23" s="50" t="str">
        <f t="shared" si="187"/>
        <v/>
      </c>
      <c r="QQW23" s="50" t="str">
        <f t="shared" si="187"/>
        <v/>
      </c>
      <c r="QQX23" s="50" t="str">
        <f t="shared" si="187"/>
        <v/>
      </c>
      <c r="QQY23" s="50" t="str">
        <f t="shared" si="187"/>
        <v/>
      </c>
      <c r="QQZ23" s="50" t="str">
        <f t="shared" si="187"/>
        <v/>
      </c>
      <c r="QRA23" s="50" t="str">
        <f t="shared" si="187"/>
        <v/>
      </c>
      <c r="QRB23" s="50" t="str">
        <f t="shared" si="187"/>
        <v/>
      </c>
      <c r="QRC23" s="50" t="str">
        <f t="shared" si="187"/>
        <v/>
      </c>
      <c r="QRD23" s="50" t="str">
        <f t="shared" si="187"/>
        <v/>
      </c>
      <c r="QRE23" s="50" t="str">
        <f t="shared" si="187"/>
        <v/>
      </c>
      <c r="QRF23" s="50" t="str">
        <f t="shared" si="187"/>
        <v/>
      </c>
      <c r="QRG23" s="50" t="str">
        <f t="shared" si="187"/>
        <v/>
      </c>
      <c r="QRH23" s="50" t="str">
        <f t="shared" si="187"/>
        <v/>
      </c>
      <c r="QRI23" s="50" t="str">
        <f t="shared" si="187"/>
        <v/>
      </c>
      <c r="QRJ23" s="50" t="str">
        <f t="shared" si="187"/>
        <v/>
      </c>
      <c r="QRK23" s="50" t="str">
        <f t="shared" si="187"/>
        <v/>
      </c>
      <c r="QRL23" s="50" t="str">
        <f t="shared" si="187"/>
        <v/>
      </c>
      <c r="QRM23" s="50" t="str">
        <f t="shared" si="187"/>
        <v/>
      </c>
      <c r="QRN23" s="50" t="str">
        <f t="shared" si="187"/>
        <v/>
      </c>
      <c r="QRO23" s="50" t="str">
        <f t="shared" si="187"/>
        <v/>
      </c>
      <c r="QRP23" s="50" t="str">
        <f t="shared" si="187"/>
        <v/>
      </c>
      <c r="QRQ23" s="50" t="str">
        <f t="shared" si="187"/>
        <v/>
      </c>
      <c r="QRR23" s="50" t="str">
        <f t="shared" si="187"/>
        <v/>
      </c>
      <c r="QRS23" s="50" t="str">
        <f t="shared" si="187"/>
        <v/>
      </c>
      <c r="QRT23" s="50" t="str">
        <f t="shared" si="187"/>
        <v/>
      </c>
      <c r="QRU23" s="50" t="str">
        <f t="shared" si="187"/>
        <v/>
      </c>
      <c r="QRV23" s="50" t="str">
        <f t="shared" si="187"/>
        <v/>
      </c>
      <c r="QRW23" s="50" t="str">
        <f t="shared" si="187"/>
        <v/>
      </c>
      <c r="QRX23" s="50" t="str">
        <f t="shared" si="187"/>
        <v/>
      </c>
      <c r="QRY23" s="50" t="str">
        <f t="shared" si="187"/>
        <v/>
      </c>
      <c r="QRZ23" s="50" t="str">
        <f t="shared" si="187"/>
        <v/>
      </c>
      <c r="QSA23" s="50" t="str">
        <f t="shared" si="187"/>
        <v/>
      </c>
      <c r="QSB23" s="50" t="str">
        <f t="shared" si="187"/>
        <v/>
      </c>
      <c r="QSC23" s="50" t="str">
        <f t="shared" si="187"/>
        <v/>
      </c>
      <c r="QSD23" s="50" t="str">
        <f t="shared" si="187"/>
        <v/>
      </c>
      <c r="QSE23" s="50" t="str">
        <f t="shared" si="187"/>
        <v/>
      </c>
      <c r="QSF23" s="50" t="str">
        <f t="shared" si="187"/>
        <v/>
      </c>
      <c r="QSG23" s="50" t="str">
        <f t="shared" si="187"/>
        <v/>
      </c>
      <c r="QSH23" s="50" t="str">
        <f t="shared" si="187"/>
        <v/>
      </c>
      <c r="QSI23" s="50" t="str">
        <f t="shared" si="187"/>
        <v/>
      </c>
      <c r="QSJ23" s="50" t="str">
        <f t="shared" si="187"/>
        <v/>
      </c>
      <c r="QSK23" s="50" t="str">
        <f t="shared" si="187"/>
        <v/>
      </c>
      <c r="QSL23" s="50" t="str">
        <f t="shared" si="187"/>
        <v/>
      </c>
      <c r="QSM23" s="50" t="str">
        <f t="shared" si="187"/>
        <v/>
      </c>
      <c r="QSN23" s="50" t="str">
        <f t="shared" si="187"/>
        <v/>
      </c>
      <c r="QSO23" s="50" t="str">
        <f t="shared" si="187"/>
        <v/>
      </c>
      <c r="QSP23" s="50" t="str">
        <f t="shared" si="187"/>
        <v/>
      </c>
      <c r="QSQ23" s="50" t="str">
        <f t="shared" si="187"/>
        <v/>
      </c>
      <c r="QSR23" s="50" t="str">
        <f t="shared" si="187"/>
        <v/>
      </c>
      <c r="QSS23" s="50" t="str">
        <f t="shared" si="187"/>
        <v/>
      </c>
      <c r="QST23" s="50" t="str">
        <f t="shared" si="187"/>
        <v/>
      </c>
      <c r="QSU23" s="50" t="str">
        <f t="shared" si="187"/>
        <v/>
      </c>
      <c r="QSV23" s="50" t="str">
        <f t="shared" si="187"/>
        <v/>
      </c>
      <c r="QSW23" s="50" t="str">
        <f t="shared" si="187"/>
        <v/>
      </c>
      <c r="QSX23" s="50" t="str">
        <f t="shared" si="187"/>
        <v/>
      </c>
      <c r="QSY23" s="50" t="str">
        <f t="shared" si="187"/>
        <v/>
      </c>
      <c r="QSZ23" s="50" t="str">
        <f t="shared" si="187"/>
        <v/>
      </c>
      <c r="QTA23" s="50" t="str">
        <f t="shared" si="187"/>
        <v/>
      </c>
      <c r="QTB23" s="50" t="str">
        <f t="shared" si="187"/>
        <v/>
      </c>
      <c r="QTC23" s="50" t="str">
        <f t="shared" si="187"/>
        <v/>
      </c>
      <c r="QTD23" s="50" t="str">
        <f t="shared" si="187"/>
        <v/>
      </c>
      <c r="QTE23" s="50" t="str">
        <f t="shared" ref="QTE23:QVP23" si="188">IFERROR(IF(QTD23+TIME(1,0,0)&lt;=$G$12,QTD23+TIME(1,0,0),""),"")</f>
        <v/>
      </c>
      <c r="QTF23" s="50" t="str">
        <f t="shared" si="188"/>
        <v/>
      </c>
      <c r="QTG23" s="50" t="str">
        <f t="shared" si="188"/>
        <v/>
      </c>
      <c r="QTH23" s="50" t="str">
        <f t="shared" si="188"/>
        <v/>
      </c>
      <c r="QTI23" s="50" t="str">
        <f t="shared" si="188"/>
        <v/>
      </c>
      <c r="QTJ23" s="50" t="str">
        <f t="shared" si="188"/>
        <v/>
      </c>
      <c r="QTK23" s="50" t="str">
        <f t="shared" si="188"/>
        <v/>
      </c>
      <c r="QTL23" s="50" t="str">
        <f t="shared" si="188"/>
        <v/>
      </c>
      <c r="QTM23" s="50" t="str">
        <f t="shared" si="188"/>
        <v/>
      </c>
      <c r="QTN23" s="50" t="str">
        <f t="shared" si="188"/>
        <v/>
      </c>
      <c r="QTO23" s="50" t="str">
        <f t="shared" si="188"/>
        <v/>
      </c>
      <c r="QTP23" s="50" t="str">
        <f t="shared" si="188"/>
        <v/>
      </c>
      <c r="QTQ23" s="50" t="str">
        <f t="shared" si="188"/>
        <v/>
      </c>
      <c r="QTR23" s="50" t="str">
        <f t="shared" si="188"/>
        <v/>
      </c>
      <c r="QTS23" s="50" t="str">
        <f t="shared" si="188"/>
        <v/>
      </c>
      <c r="QTT23" s="50" t="str">
        <f t="shared" si="188"/>
        <v/>
      </c>
      <c r="QTU23" s="50" t="str">
        <f t="shared" si="188"/>
        <v/>
      </c>
      <c r="QTV23" s="50" t="str">
        <f t="shared" si="188"/>
        <v/>
      </c>
      <c r="QTW23" s="50" t="str">
        <f t="shared" si="188"/>
        <v/>
      </c>
      <c r="QTX23" s="50" t="str">
        <f t="shared" si="188"/>
        <v/>
      </c>
      <c r="QTY23" s="50" t="str">
        <f t="shared" si="188"/>
        <v/>
      </c>
      <c r="QTZ23" s="50" t="str">
        <f t="shared" si="188"/>
        <v/>
      </c>
      <c r="QUA23" s="50" t="str">
        <f t="shared" si="188"/>
        <v/>
      </c>
      <c r="QUB23" s="50" t="str">
        <f t="shared" si="188"/>
        <v/>
      </c>
      <c r="QUC23" s="50" t="str">
        <f t="shared" si="188"/>
        <v/>
      </c>
      <c r="QUD23" s="50" t="str">
        <f t="shared" si="188"/>
        <v/>
      </c>
      <c r="QUE23" s="50" t="str">
        <f t="shared" si="188"/>
        <v/>
      </c>
      <c r="QUF23" s="50" t="str">
        <f t="shared" si="188"/>
        <v/>
      </c>
      <c r="QUG23" s="50" t="str">
        <f t="shared" si="188"/>
        <v/>
      </c>
      <c r="QUH23" s="50" t="str">
        <f t="shared" si="188"/>
        <v/>
      </c>
      <c r="QUI23" s="50" t="str">
        <f t="shared" si="188"/>
        <v/>
      </c>
      <c r="QUJ23" s="50" t="str">
        <f t="shared" si="188"/>
        <v/>
      </c>
      <c r="QUK23" s="50" t="str">
        <f t="shared" si="188"/>
        <v/>
      </c>
      <c r="QUL23" s="50" t="str">
        <f t="shared" si="188"/>
        <v/>
      </c>
      <c r="QUM23" s="50" t="str">
        <f t="shared" si="188"/>
        <v/>
      </c>
      <c r="QUN23" s="50" t="str">
        <f t="shared" si="188"/>
        <v/>
      </c>
      <c r="QUO23" s="50" t="str">
        <f t="shared" si="188"/>
        <v/>
      </c>
      <c r="QUP23" s="50" t="str">
        <f t="shared" si="188"/>
        <v/>
      </c>
      <c r="QUQ23" s="50" t="str">
        <f t="shared" si="188"/>
        <v/>
      </c>
      <c r="QUR23" s="50" t="str">
        <f t="shared" si="188"/>
        <v/>
      </c>
      <c r="QUS23" s="50" t="str">
        <f t="shared" si="188"/>
        <v/>
      </c>
      <c r="QUT23" s="50" t="str">
        <f t="shared" si="188"/>
        <v/>
      </c>
      <c r="QUU23" s="50" t="str">
        <f t="shared" si="188"/>
        <v/>
      </c>
      <c r="QUV23" s="50" t="str">
        <f t="shared" si="188"/>
        <v/>
      </c>
      <c r="QUW23" s="50" t="str">
        <f t="shared" si="188"/>
        <v/>
      </c>
      <c r="QUX23" s="50" t="str">
        <f t="shared" si="188"/>
        <v/>
      </c>
      <c r="QUY23" s="50" t="str">
        <f t="shared" si="188"/>
        <v/>
      </c>
      <c r="QUZ23" s="50" t="str">
        <f t="shared" si="188"/>
        <v/>
      </c>
      <c r="QVA23" s="50" t="str">
        <f t="shared" si="188"/>
        <v/>
      </c>
      <c r="QVB23" s="50" t="str">
        <f t="shared" si="188"/>
        <v/>
      </c>
      <c r="QVC23" s="50" t="str">
        <f t="shared" si="188"/>
        <v/>
      </c>
      <c r="QVD23" s="50" t="str">
        <f t="shared" si="188"/>
        <v/>
      </c>
      <c r="QVE23" s="50" t="str">
        <f t="shared" si="188"/>
        <v/>
      </c>
      <c r="QVF23" s="50" t="str">
        <f t="shared" si="188"/>
        <v/>
      </c>
      <c r="QVG23" s="50" t="str">
        <f t="shared" si="188"/>
        <v/>
      </c>
      <c r="QVH23" s="50" t="str">
        <f t="shared" si="188"/>
        <v/>
      </c>
      <c r="QVI23" s="50" t="str">
        <f t="shared" si="188"/>
        <v/>
      </c>
      <c r="QVJ23" s="50" t="str">
        <f t="shared" si="188"/>
        <v/>
      </c>
      <c r="QVK23" s="50" t="str">
        <f t="shared" si="188"/>
        <v/>
      </c>
      <c r="QVL23" s="50" t="str">
        <f t="shared" si="188"/>
        <v/>
      </c>
      <c r="QVM23" s="50" t="str">
        <f t="shared" si="188"/>
        <v/>
      </c>
      <c r="QVN23" s="50" t="str">
        <f t="shared" si="188"/>
        <v/>
      </c>
      <c r="QVO23" s="50" t="str">
        <f t="shared" si="188"/>
        <v/>
      </c>
      <c r="QVP23" s="50" t="str">
        <f t="shared" si="188"/>
        <v/>
      </c>
      <c r="QVQ23" s="50" t="str">
        <f t="shared" ref="QVQ23:QYB23" si="189">IFERROR(IF(QVP23+TIME(1,0,0)&lt;=$G$12,QVP23+TIME(1,0,0),""),"")</f>
        <v/>
      </c>
      <c r="QVR23" s="50" t="str">
        <f t="shared" si="189"/>
        <v/>
      </c>
      <c r="QVS23" s="50" t="str">
        <f t="shared" si="189"/>
        <v/>
      </c>
      <c r="QVT23" s="50" t="str">
        <f t="shared" si="189"/>
        <v/>
      </c>
      <c r="QVU23" s="50" t="str">
        <f t="shared" si="189"/>
        <v/>
      </c>
      <c r="QVV23" s="50" t="str">
        <f t="shared" si="189"/>
        <v/>
      </c>
      <c r="QVW23" s="50" t="str">
        <f t="shared" si="189"/>
        <v/>
      </c>
      <c r="QVX23" s="50" t="str">
        <f t="shared" si="189"/>
        <v/>
      </c>
      <c r="QVY23" s="50" t="str">
        <f t="shared" si="189"/>
        <v/>
      </c>
      <c r="QVZ23" s="50" t="str">
        <f t="shared" si="189"/>
        <v/>
      </c>
      <c r="QWA23" s="50" t="str">
        <f t="shared" si="189"/>
        <v/>
      </c>
      <c r="QWB23" s="50" t="str">
        <f t="shared" si="189"/>
        <v/>
      </c>
      <c r="QWC23" s="50" t="str">
        <f t="shared" si="189"/>
        <v/>
      </c>
      <c r="QWD23" s="50" t="str">
        <f t="shared" si="189"/>
        <v/>
      </c>
      <c r="QWE23" s="50" t="str">
        <f t="shared" si="189"/>
        <v/>
      </c>
      <c r="QWF23" s="50" t="str">
        <f t="shared" si="189"/>
        <v/>
      </c>
      <c r="QWG23" s="50" t="str">
        <f t="shared" si="189"/>
        <v/>
      </c>
      <c r="QWH23" s="50" t="str">
        <f t="shared" si="189"/>
        <v/>
      </c>
      <c r="QWI23" s="50" t="str">
        <f t="shared" si="189"/>
        <v/>
      </c>
      <c r="QWJ23" s="50" t="str">
        <f t="shared" si="189"/>
        <v/>
      </c>
      <c r="QWK23" s="50" t="str">
        <f t="shared" si="189"/>
        <v/>
      </c>
      <c r="QWL23" s="50" t="str">
        <f t="shared" si="189"/>
        <v/>
      </c>
      <c r="QWM23" s="50" t="str">
        <f t="shared" si="189"/>
        <v/>
      </c>
      <c r="QWN23" s="50" t="str">
        <f t="shared" si="189"/>
        <v/>
      </c>
      <c r="QWO23" s="50" t="str">
        <f t="shared" si="189"/>
        <v/>
      </c>
      <c r="QWP23" s="50" t="str">
        <f t="shared" si="189"/>
        <v/>
      </c>
      <c r="QWQ23" s="50" t="str">
        <f t="shared" si="189"/>
        <v/>
      </c>
      <c r="QWR23" s="50" t="str">
        <f t="shared" si="189"/>
        <v/>
      </c>
      <c r="QWS23" s="50" t="str">
        <f t="shared" si="189"/>
        <v/>
      </c>
      <c r="QWT23" s="50" t="str">
        <f t="shared" si="189"/>
        <v/>
      </c>
      <c r="QWU23" s="50" t="str">
        <f t="shared" si="189"/>
        <v/>
      </c>
      <c r="QWV23" s="50" t="str">
        <f t="shared" si="189"/>
        <v/>
      </c>
      <c r="QWW23" s="50" t="str">
        <f t="shared" si="189"/>
        <v/>
      </c>
      <c r="QWX23" s="50" t="str">
        <f t="shared" si="189"/>
        <v/>
      </c>
      <c r="QWY23" s="50" t="str">
        <f t="shared" si="189"/>
        <v/>
      </c>
      <c r="QWZ23" s="50" t="str">
        <f t="shared" si="189"/>
        <v/>
      </c>
      <c r="QXA23" s="50" t="str">
        <f t="shared" si="189"/>
        <v/>
      </c>
      <c r="QXB23" s="50" t="str">
        <f t="shared" si="189"/>
        <v/>
      </c>
      <c r="QXC23" s="50" t="str">
        <f t="shared" si="189"/>
        <v/>
      </c>
      <c r="QXD23" s="50" t="str">
        <f t="shared" si="189"/>
        <v/>
      </c>
      <c r="QXE23" s="50" t="str">
        <f t="shared" si="189"/>
        <v/>
      </c>
      <c r="QXF23" s="50" t="str">
        <f t="shared" si="189"/>
        <v/>
      </c>
      <c r="QXG23" s="50" t="str">
        <f t="shared" si="189"/>
        <v/>
      </c>
      <c r="QXH23" s="50" t="str">
        <f t="shared" si="189"/>
        <v/>
      </c>
      <c r="QXI23" s="50" t="str">
        <f t="shared" si="189"/>
        <v/>
      </c>
      <c r="QXJ23" s="50" t="str">
        <f t="shared" si="189"/>
        <v/>
      </c>
      <c r="QXK23" s="50" t="str">
        <f t="shared" si="189"/>
        <v/>
      </c>
      <c r="QXL23" s="50" t="str">
        <f t="shared" si="189"/>
        <v/>
      </c>
      <c r="QXM23" s="50" t="str">
        <f t="shared" si="189"/>
        <v/>
      </c>
      <c r="QXN23" s="50" t="str">
        <f t="shared" si="189"/>
        <v/>
      </c>
      <c r="QXO23" s="50" t="str">
        <f t="shared" si="189"/>
        <v/>
      </c>
      <c r="QXP23" s="50" t="str">
        <f t="shared" si="189"/>
        <v/>
      </c>
      <c r="QXQ23" s="50" t="str">
        <f t="shared" si="189"/>
        <v/>
      </c>
      <c r="QXR23" s="50" t="str">
        <f t="shared" si="189"/>
        <v/>
      </c>
      <c r="QXS23" s="50" t="str">
        <f t="shared" si="189"/>
        <v/>
      </c>
      <c r="QXT23" s="50" t="str">
        <f t="shared" si="189"/>
        <v/>
      </c>
      <c r="QXU23" s="50" t="str">
        <f t="shared" si="189"/>
        <v/>
      </c>
      <c r="QXV23" s="50" t="str">
        <f t="shared" si="189"/>
        <v/>
      </c>
      <c r="QXW23" s="50" t="str">
        <f t="shared" si="189"/>
        <v/>
      </c>
      <c r="QXX23" s="50" t="str">
        <f t="shared" si="189"/>
        <v/>
      </c>
      <c r="QXY23" s="50" t="str">
        <f t="shared" si="189"/>
        <v/>
      </c>
      <c r="QXZ23" s="50" t="str">
        <f t="shared" si="189"/>
        <v/>
      </c>
      <c r="QYA23" s="50" t="str">
        <f t="shared" si="189"/>
        <v/>
      </c>
      <c r="QYB23" s="50" t="str">
        <f t="shared" si="189"/>
        <v/>
      </c>
      <c r="QYC23" s="50" t="str">
        <f t="shared" ref="QYC23:RAN23" si="190">IFERROR(IF(QYB23+TIME(1,0,0)&lt;=$G$12,QYB23+TIME(1,0,0),""),"")</f>
        <v/>
      </c>
      <c r="QYD23" s="50" t="str">
        <f t="shared" si="190"/>
        <v/>
      </c>
      <c r="QYE23" s="50" t="str">
        <f t="shared" si="190"/>
        <v/>
      </c>
      <c r="QYF23" s="50" t="str">
        <f t="shared" si="190"/>
        <v/>
      </c>
      <c r="QYG23" s="50" t="str">
        <f t="shared" si="190"/>
        <v/>
      </c>
      <c r="QYH23" s="50" t="str">
        <f t="shared" si="190"/>
        <v/>
      </c>
      <c r="QYI23" s="50" t="str">
        <f t="shared" si="190"/>
        <v/>
      </c>
      <c r="QYJ23" s="50" t="str">
        <f t="shared" si="190"/>
        <v/>
      </c>
      <c r="QYK23" s="50" t="str">
        <f t="shared" si="190"/>
        <v/>
      </c>
      <c r="QYL23" s="50" t="str">
        <f t="shared" si="190"/>
        <v/>
      </c>
      <c r="QYM23" s="50" t="str">
        <f t="shared" si="190"/>
        <v/>
      </c>
      <c r="QYN23" s="50" t="str">
        <f t="shared" si="190"/>
        <v/>
      </c>
      <c r="QYO23" s="50" t="str">
        <f t="shared" si="190"/>
        <v/>
      </c>
      <c r="QYP23" s="50" t="str">
        <f t="shared" si="190"/>
        <v/>
      </c>
      <c r="QYQ23" s="50" t="str">
        <f t="shared" si="190"/>
        <v/>
      </c>
      <c r="QYR23" s="50" t="str">
        <f t="shared" si="190"/>
        <v/>
      </c>
      <c r="QYS23" s="50" t="str">
        <f t="shared" si="190"/>
        <v/>
      </c>
      <c r="QYT23" s="50" t="str">
        <f t="shared" si="190"/>
        <v/>
      </c>
      <c r="QYU23" s="50" t="str">
        <f t="shared" si="190"/>
        <v/>
      </c>
      <c r="QYV23" s="50" t="str">
        <f t="shared" si="190"/>
        <v/>
      </c>
      <c r="QYW23" s="50" t="str">
        <f t="shared" si="190"/>
        <v/>
      </c>
      <c r="QYX23" s="50" t="str">
        <f t="shared" si="190"/>
        <v/>
      </c>
      <c r="QYY23" s="50" t="str">
        <f t="shared" si="190"/>
        <v/>
      </c>
      <c r="QYZ23" s="50" t="str">
        <f t="shared" si="190"/>
        <v/>
      </c>
      <c r="QZA23" s="50" t="str">
        <f t="shared" si="190"/>
        <v/>
      </c>
      <c r="QZB23" s="50" t="str">
        <f t="shared" si="190"/>
        <v/>
      </c>
      <c r="QZC23" s="50" t="str">
        <f t="shared" si="190"/>
        <v/>
      </c>
      <c r="QZD23" s="50" t="str">
        <f t="shared" si="190"/>
        <v/>
      </c>
      <c r="QZE23" s="50" t="str">
        <f t="shared" si="190"/>
        <v/>
      </c>
      <c r="QZF23" s="50" t="str">
        <f t="shared" si="190"/>
        <v/>
      </c>
      <c r="QZG23" s="50" t="str">
        <f t="shared" si="190"/>
        <v/>
      </c>
      <c r="QZH23" s="50" t="str">
        <f t="shared" si="190"/>
        <v/>
      </c>
      <c r="QZI23" s="50" t="str">
        <f t="shared" si="190"/>
        <v/>
      </c>
      <c r="QZJ23" s="50" t="str">
        <f t="shared" si="190"/>
        <v/>
      </c>
      <c r="QZK23" s="50" t="str">
        <f t="shared" si="190"/>
        <v/>
      </c>
      <c r="QZL23" s="50" t="str">
        <f t="shared" si="190"/>
        <v/>
      </c>
      <c r="QZM23" s="50" t="str">
        <f t="shared" si="190"/>
        <v/>
      </c>
      <c r="QZN23" s="50" t="str">
        <f t="shared" si="190"/>
        <v/>
      </c>
      <c r="QZO23" s="50" t="str">
        <f t="shared" si="190"/>
        <v/>
      </c>
      <c r="QZP23" s="50" t="str">
        <f t="shared" si="190"/>
        <v/>
      </c>
      <c r="QZQ23" s="50" t="str">
        <f t="shared" si="190"/>
        <v/>
      </c>
      <c r="QZR23" s="50" t="str">
        <f t="shared" si="190"/>
        <v/>
      </c>
      <c r="QZS23" s="50" t="str">
        <f t="shared" si="190"/>
        <v/>
      </c>
      <c r="QZT23" s="50" t="str">
        <f t="shared" si="190"/>
        <v/>
      </c>
      <c r="QZU23" s="50" t="str">
        <f t="shared" si="190"/>
        <v/>
      </c>
      <c r="QZV23" s="50" t="str">
        <f t="shared" si="190"/>
        <v/>
      </c>
      <c r="QZW23" s="50" t="str">
        <f t="shared" si="190"/>
        <v/>
      </c>
      <c r="QZX23" s="50" t="str">
        <f t="shared" si="190"/>
        <v/>
      </c>
      <c r="QZY23" s="50" t="str">
        <f t="shared" si="190"/>
        <v/>
      </c>
      <c r="QZZ23" s="50" t="str">
        <f t="shared" si="190"/>
        <v/>
      </c>
      <c r="RAA23" s="50" t="str">
        <f t="shared" si="190"/>
        <v/>
      </c>
      <c r="RAB23" s="50" t="str">
        <f t="shared" si="190"/>
        <v/>
      </c>
      <c r="RAC23" s="50" t="str">
        <f t="shared" si="190"/>
        <v/>
      </c>
      <c r="RAD23" s="50" t="str">
        <f t="shared" si="190"/>
        <v/>
      </c>
      <c r="RAE23" s="50" t="str">
        <f t="shared" si="190"/>
        <v/>
      </c>
      <c r="RAF23" s="50" t="str">
        <f t="shared" si="190"/>
        <v/>
      </c>
      <c r="RAG23" s="50" t="str">
        <f t="shared" si="190"/>
        <v/>
      </c>
      <c r="RAH23" s="50" t="str">
        <f t="shared" si="190"/>
        <v/>
      </c>
      <c r="RAI23" s="50" t="str">
        <f t="shared" si="190"/>
        <v/>
      </c>
      <c r="RAJ23" s="50" t="str">
        <f t="shared" si="190"/>
        <v/>
      </c>
      <c r="RAK23" s="50" t="str">
        <f t="shared" si="190"/>
        <v/>
      </c>
      <c r="RAL23" s="50" t="str">
        <f t="shared" si="190"/>
        <v/>
      </c>
      <c r="RAM23" s="50" t="str">
        <f t="shared" si="190"/>
        <v/>
      </c>
      <c r="RAN23" s="50" t="str">
        <f t="shared" si="190"/>
        <v/>
      </c>
      <c r="RAO23" s="50" t="str">
        <f t="shared" ref="RAO23:RCZ23" si="191">IFERROR(IF(RAN23+TIME(1,0,0)&lt;=$G$12,RAN23+TIME(1,0,0),""),"")</f>
        <v/>
      </c>
      <c r="RAP23" s="50" t="str">
        <f t="shared" si="191"/>
        <v/>
      </c>
      <c r="RAQ23" s="50" t="str">
        <f t="shared" si="191"/>
        <v/>
      </c>
      <c r="RAR23" s="50" t="str">
        <f t="shared" si="191"/>
        <v/>
      </c>
      <c r="RAS23" s="50" t="str">
        <f t="shared" si="191"/>
        <v/>
      </c>
      <c r="RAT23" s="50" t="str">
        <f t="shared" si="191"/>
        <v/>
      </c>
      <c r="RAU23" s="50" t="str">
        <f t="shared" si="191"/>
        <v/>
      </c>
      <c r="RAV23" s="50" t="str">
        <f t="shared" si="191"/>
        <v/>
      </c>
      <c r="RAW23" s="50" t="str">
        <f t="shared" si="191"/>
        <v/>
      </c>
      <c r="RAX23" s="50" t="str">
        <f t="shared" si="191"/>
        <v/>
      </c>
      <c r="RAY23" s="50" t="str">
        <f t="shared" si="191"/>
        <v/>
      </c>
      <c r="RAZ23" s="50" t="str">
        <f t="shared" si="191"/>
        <v/>
      </c>
      <c r="RBA23" s="50" t="str">
        <f t="shared" si="191"/>
        <v/>
      </c>
      <c r="RBB23" s="50" t="str">
        <f t="shared" si="191"/>
        <v/>
      </c>
      <c r="RBC23" s="50" t="str">
        <f t="shared" si="191"/>
        <v/>
      </c>
      <c r="RBD23" s="50" t="str">
        <f t="shared" si="191"/>
        <v/>
      </c>
      <c r="RBE23" s="50" t="str">
        <f t="shared" si="191"/>
        <v/>
      </c>
      <c r="RBF23" s="50" t="str">
        <f t="shared" si="191"/>
        <v/>
      </c>
      <c r="RBG23" s="50" t="str">
        <f t="shared" si="191"/>
        <v/>
      </c>
      <c r="RBH23" s="50" t="str">
        <f t="shared" si="191"/>
        <v/>
      </c>
      <c r="RBI23" s="50" t="str">
        <f t="shared" si="191"/>
        <v/>
      </c>
      <c r="RBJ23" s="50" t="str">
        <f t="shared" si="191"/>
        <v/>
      </c>
      <c r="RBK23" s="50" t="str">
        <f t="shared" si="191"/>
        <v/>
      </c>
      <c r="RBL23" s="50" t="str">
        <f t="shared" si="191"/>
        <v/>
      </c>
      <c r="RBM23" s="50" t="str">
        <f t="shared" si="191"/>
        <v/>
      </c>
      <c r="RBN23" s="50" t="str">
        <f t="shared" si="191"/>
        <v/>
      </c>
      <c r="RBO23" s="50" t="str">
        <f t="shared" si="191"/>
        <v/>
      </c>
      <c r="RBP23" s="50" t="str">
        <f t="shared" si="191"/>
        <v/>
      </c>
      <c r="RBQ23" s="50" t="str">
        <f t="shared" si="191"/>
        <v/>
      </c>
      <c r="RBR23" s="50" t="str">
        <f t="shared" si="191"/>
        <v/>
      </c>
      <c r="RBS23" s="50" t="str">
        <f t="shared" si="191"/>
        <v/>
      </c>
      <c r="RBT23" s="50" t="str">
        <f t="shared" si="191"/>
        <v/>
      </c>
      <c r="RBU23" s="50" t="str">
        <f t="shared" si="191"/>
        <v/>
      </c>
      <c r="RBV23" s="50" t="str">
        <f t="shared" si="191"/>
        <v/>
      </c>
      <c r="RBW23" s="50" t="str">
        <f t="shared" si="191"/>
        <v/>
      </c>
      <c r="RBX23" s="50" t="str">
        <f t="shared" si="191"/>
        <v/>
      </c>
      <c r="RBY23" s="50" t="str">
        <f t="shared" si="191"/>
        <v/>
      </c>
      <c r="RBZ23" s="50" t="str">
        <f t="shared" si="191"/>
        <v/>
      </c>
      <c r="RCA23" s="50" t="str">
        <f t="shared" si="191"/>
        <v/>
      </c>
      <c r="RCB23" s="50" t="str">
        <f t="shared" si="191"/>
        <v/>
      </c>
      <c r="RCC23" s="50" t="str">
        <f t="shared" si="191"/>
        <v/>
      </c>
      <c r="RCD23" s="50" t="str">
        <f t="shared" si="191"/>
        <v/>
      </c>
      <c r="RCE23" s="50" t="str">
        <f t="shared" si="191"/>
        <v/>
      </c>
      <c r="RCF23" s="50" t="str">
        <f t="shared" si="191"/>
        <v/>
      </c>
      <c r="RCG23" s="50" t="str">
        <f t="shared" si="191"/>
        <v/>
      </c>
      <c r="RCH23" s="50" t="str">
        <f t="shared" si="191"/>
        <v/>
      </c>
      <c r="RCI23" s="50" t="str">
        <f t="shared" si="191"/>
        <v/>
      </c>
      <c r="RCJ23" s="50" t="str">
        <f t="shared" si="191"/>
        <v/>
      </c>
      <c r="RCK23" s="50" t="str">
        <f t="shared" si="191"/>
        <v/>
      </c>
      <c r="RCL23" s="50" t="str">
        <f t="shared" si="191"/>
        <v/>
      </c>
      <c r="RCM23" s="50" t="str">
        <f t="shared" si="191"/>
        <v/>
      </c>
      <c r="RCN23" s="50" t="str">
        <f t="shared" si="191"/>
        <v/>
      </c>
      <c r="RCO23" s="50" t="str">
        <f t="shared" si="191"/>
        <v/>
      </c>
      <c r="RCP23" s="50" t="str">
        <f t="shared" si="191"/>
        <v/>
      </c>
      <c r="RCQ23" s="50" t="str">
        <f t="shared" si="191"/>
        <v/>
      </c>
      <c r="RCR23" s="50" t="str">
        <f t="shared" si="191"/>
        <v/>
      </c>
      <c r="RCS23" s="50" t="str">
        <f t="shared" si="191"/>
        <v/>
      </c>
      <c r="RCT23" s="50" t="str">
        <f t="shared" si="191"/>
        <v/>
      </c>
      <c r="RCU23" s="50" t="str">
        <f t="shared" si="191"/>
        <v/>
      </c>
      <c r="RCV23" s="50" t="str">
        <f t="shared" si="191"/>
        <v/>
      </c>
      <c r="RCW23" s="50" t="str">
        <f t="shared" si="191"/>
        <v/>
      </c>
      <c r="RCX23" s="50" t="str">
        <f t="shared" si="191"/>
        <v/>
      </c>
      <c r="RCY23" s="50" t="str">
        <f t="shared" si="191"/>
        <v/>
      </c>
      <c r="RCZ23" s="50" t="str">
        <f t="shared" si="191"/>
        <v/>
      </c>
      <c r="RDA23" s="50" t="str">
        <f t="shared" ref="RDA23:RFL23" si="192">IFERROR(IF(RCZ23+TIME(1,0,0)&lt;=$G$12,RCZ23+TIME(1,0,0),""),"")</f>
        <v/>
      </c>
      <c r="RDB23" s="50" t="str">
        <f t="shared" si="192"/>
        <v/>
      </c>
      <c r="RDC23" s="50" t="str">
        <f t="shared" si="192"/>
        <v/>
      </c>
      <c r="RDD23" s="50" t="str">
        <f t="shared" si="192"/>
        <v/>
      </c>
      <c r="RDE23" s="50" t="str">
        <f t="shared" si="192"/>
        <v/>
      </c>
      <c r="RDF23" s="50" t="str">
        <f t="shared" si="192"/>
        <v/>
      </c>
      <c r="RDG23" s="50" t="str">
        <f t="shared" si="192"/>
        <v/>
      </c>
      <c r="RDH23" s="50" t="str">
        <f t="shared" si="192"/>
        <v/>
      </c>
      <c r="RDI23" s="50" t="str">
        <f t="shared" si="192"/>
        <v/>
      </c>
      <c r="RDJ23" s="50" t="str">
        <f t="shared" si="192"/>
        <v/>
      </c>
      <c r="RDK23" s="50" t="str">
        <f t="shared" si="192"/>
        <v/>
      </c>
      <c r="RDL23" s="50" t="str">
        <f t="shared" si="192"/>
        <v/>
      </c>
      <c r="RDM23" s="50" t="str">
        <f t="shared" si="192"/>
        <v/>
      </c>
      <c r="RDN23" s="50" t="str">
        <f t="shared" si="192"/>
        <v/>
      </c>
      <c r="RDO23" s="50" t="str">
        <f t="shared" si="192"/>
        <v/>
      </c>
      <c r="RDP23" s="50" t="str">
        <f t="shared" si="192"/>
        <v/>
      </c>
      <c r="RDQ23" s="50" t="str">
        <f t="shared" si="192"/>
        <v/>
      </c>
      <c r="RDR23" s="50" t="str">
        <f t="shared" si="192"/>
        <v/>
      </c>
      <c r="RDS23" s="50" t="str">
        <f t="shared" si="192"/>
        <v/>
      </c>
      <c r="RDT23" s="50" t="str">
        <f t="shared" si="192"/>
        <v/>
      </c>
      <c r="RDU23" s="50" t="str">
        <f t="shared" si="192"/>
        <v/>
      </c>
      <c r="RDV23" s="50" t="str">
        <f t="shared" si="192"/>
        <v/>
      </c>
      <c r="RDW23" s="50" t="str">
        <f t="shared" si="192"/>
        <v/>
      </c>
      <c r="RDX23" s="50" t="str">
        <f t="shared" si="192"/>
        <v/>
      </c>
      <c r="RDY23" s="50" t="str">
        <f t="shared" si="192"/>
        <v/>
      </c>
      <c r="RDZ23" s="50" t="str">
        <f t="shared" si="192"/>
        <v/>
      </c>
      <c r="REA23" s="50" t="str">
        <f t="shared" si="192"/>
        <v/>
      </c>
      <c r="REB23" s="50" t="str">
        <f t="shared" si="192"/>
        <v/>
      </c>
      <c r="REC23" s="50" t="str">
        <f t="shared" si="192"/>
        <v/>
      </c>
      <c r="RED23" s="50" t="str">
        <f t="shared" si="192"/>
        <v/>
      </c>
      <c r="REE23" s="50" t="str">
        <f t="shared" si="192"/>
        <v/>
      </c>
      <c r="REF23" s="50" t="str">
        <f t="shared" si="192"/>
        <v/>
      </c>
      <c r="REG23" s="50" t="str">
        <f t="shared" si="192"/>
        <v/>
      </c>
      <c r="REH23" s="50" t="str">
        <f t="shared" si="192"/>
        <v/>
      </c>
      <c r="REI23" s="50" t="str">
        <f t="shared" si="192"/>
        <v/>
      </c>
      <c r="REJ23" s="50" t="str">
        <f t="shared" si="192"/>
        <v/>
      </c>
      <c r="REK23" s="50" t="str">
        <f t="shared" si="192"/>
        <v/>
      </c>
      <c r="REL23" s="50" t="str">
        <f t="shared" si="192"/>
        <v/>
      </c>
      <c r="REM23" s="50" t="str">
        <f t="shared" si="192"/>
        <v/>
      </c>
      <c r="REN23" s="50" t="str">
        <f t="shared" si="192"/>
        <v/>
      </c>
      <c r="REO23" s="50" t="str">
        <f t="shared" si="192"/>
        <v/>
      </c>
      <c r="REP23" s="50" t="str">
        <f t="shared" si="192"/>
        <v/>
      </c>
      <c r="REQ23" s="50" t="str">
        <f t="shared" si="192"/>
        <v/>
      </c>
      <c r="RER23" s="50" t="str">
        <f t="shared" si="192"/>
        <v/>
      </c>
      <c r="RES23" s="50" t="str">
        <f t="shared" si="192"/>
        <v/>
      </c>
      <c r="RET23" s="50" t="str">
        <f t="shared" si="192"/>
        <v/>
      </c>
      <c r="REU23" s="50" t="str">
        <f t="shared" si="192"/>
        <v/>
      </c>
      <c r="REV23" s="50" t="str">
        <f t="shared" si="192"/>
        <v/>
      </c>
      <c r="REW23" s="50" t="str">
        <f t="shared" si="192"/>
        <v/>
      </c>
      <c r="REX23" s="50" t="str">
        <f t="shared" si="192"/>
        <v/>
      </c>
      <c r="REY23" s="50" t="str">
        <f t="shared" si="192"/>
        <v/>
      </c>
      <c r="REZ23" s="50" t="str">
        <f t="shared" si="192"/>
        <v/>
      </c>
      <c r="RFA23" s="50" t="str">
        <f t="shared" si="192"/>
        <v/>
      </c>
      <c r="RFB23" s="50" t="str">
        <f t="shared" si="192"/>
        <v/>
      </c>
      <c r="RFC23" s="50" t="str">
        <f t="shared" si="192"/>
        <v/>
      </c>
      <c r="RFD23" s="50" t="str">
        <f t="shared" si="192"/>
        <v/>
      </c>
      <c r="RFE23" s="50" t="str">
        <f t="shared" si="192"/>
        <v/>
      </c>
      <c r="RFF23" s="50" t="str">
        <f t="shared" si="192"/>
        <v/>
      </c>
      <c r="RFG23" s="50" t="str">
        <f t="shared" si="192"/>
        <v/>
      </c>
      <c r="RFH23" s="50" t="str">
        <f t="shared" si="192"/>
        <v/>
      </c>
      <c r="RFI23" s="50" t="str">
        <f t="shared" si="192"/>
        <v/>
      </c>
      <c r="RFJ23" s="50" t="str">
        <f t="shared" si="192"/>
        <v/>
      </c>
      <c r="RFK23" s="50" t="str">
        <f t="shared" si="192"/>
        <v/>
      </c>
      <c r="RFL23" s="50" t="str">
        <f t="shared" si="192"/>
        <v/>
      </c>
      <c r="RFM23" s="50" t="str">
        <f t="shared" ref="RFM23:RHX23" si="193">IFERROR(IF(RFL23+TIME(1,0,0)&lt;=$G$12,RFL23+TIME(1,0,0),""),"")</f>
        <v/>
      </c>
      <c r="RFN23" s="50" t="str">
        <f t="shared" si="193"/>
        <v/>
      </c>
      <c r="RFO23" s="50" t="str">
        <f t="shared" si="193"/>
        <v/>
      </c>
      <c r="RFP23" s="50" t="str">
        <f t="shared" si="193"/>
        <v/>
      </c>
      <c r="RFQ23" s="50" t="str">
        <f t="shared" si="193"/>
        <v/>
      </c>
      <c r="RFR23" s="50" t="str">
        <f t="shared" si="193"/>
        <v/>
      </c>
      <c r="RFS23" s="50" t="str">
        <f t="shared" si="193"/>
        <v/>
      </c>
      <c r="RFT23" s="50" t="str">
        <f t="shared" si="193"/>
        <v/>
      </c>
      <c r="RFU23" s="50" t="str">
        <f t="shared" si="193"/>
        <v/>
      </c>
      <c r="RFV23" s="50" t="str">
        <f t="shared" si="193"/>
        <v/>
      </c>
      <c r="RFW23" s="50" t="str">
        <f t="shared" si="193"/>
        <v/>
      </c>
      <c r="RFX23" s="50" t="str">
        <f t="shared" si="193"/>
        <v/>
      </c>
      <c r="RFY23" s="50" t="str">
        <f t="shared" si="193"/>
        <v/>
      </c>
      <c r="RFZ23" s="50" t="str">
        <f t="shared" si="193"/>
        <v/>
      </c>
      <c r="RGA23" s="50" t="str">
        <f t="shared" si="193"/>
        <v/>
      </c>
      <c r="RGB23" s="50" t="str">
        <f t="shared" si="193"/>
        <v/>
      </c>
      <c r="RGC23" s="50" t="str">
        <f t="shared" si="193"/>
        <v/>
      </c>
      <c r="RGD23" s="50" t="str">
        <f t="shared" si="193"/>
        <v/>
      </c>
      <c r="RGE23" s="50" t="str">
        <f t="shared" si="193"/>
        <v/>
      </c>
      <c r="RGF23" s="50" t="str">
        <f t="shared" si="193"/>
        <v/>
      </c>
      <c r="RGG23" s="50" t="str">
        <f t="shared" si="193"/>
        <v/>
      </c>
      <c r="RGH23" s="50" t="str">
        <f t="shared" si="193"/>
        <v/>
      </c>
      <c r="RGI23" s="50" t="str">
        <f t="shared" si="193"/>
        <v/>
      </c>
      <c r="RGJ23" s="50" t="str">
        <f t="shared" si="193"/>
        <v/>
      </c>
      <c r="RGK23" s="50" t="str">
        <f t="shared" si="193"/>
        <v/>
      </c>
      <c r="RGL23" s="50" t="str">
        <f t="shared" si="193"/>
        <v/>
      </c>
      <c r="RGM23" s="50" t="str">
        <f t="shared" si="193"/>
        <v/>
      </c>
      <c r="RGN23" s="50" t="str">
        <f t="shared" si="193"/>
        <v/>
      </c>
      <c r="RGO23" s="50" t="str">
        <f t="shared" si="193"/>
        <v/>
      </c>
      <c r="RGP23" s="50" t="str">
        <f t="shared" si="193"/>
        <v/>
      </c>
      <c r="RGQ23" s="50" t="str">
        <f t="shared" si="193"/>
        <v/>
      </c>
      <c r="RGR23" s="50" t="str">
        <f t="shared" si="193"/>
        <v/>
      </c>
      <c r="RGS23" s="50" t="str">
        <f t="shared" si="193"/>
        <v/>
      </c>
      <c r="RGT23" s="50" t="str">
        <f t="shared" si="193"/>
        <v/>
      </c>
      <c r="RGU23" s="50" t="str">
        <f t="shared" si="193"/>
        <v/>
      </c>
      <c r="RGV23" s="50" t="str">
        <f t="shared" si="193"/>
        <v/>
      </c>
      <c r="RGW23" s="50" t="str">
        <f t="shared" si="193"/>
        <v/>
      </c>
      <c r="RGX23" s="50" t="str">
        <f t="shared" si="193"/>
        <v/>
      </c>
      <c r="RGY23" s="50" t="str">
        <f t="shared" si="193"/>
        <v/>
      </c>
      <c r="RGZ23" s="50" t="str">
        <f t="shared" si="193"/>
        <v/>
      </c>
      <c r="RHA23" s="50" t="str">
        <f t="shared" si="193"/>
        <v/>
      </c>
      <c r="RHB23" s="50" t="str">
        <f t="shared" si="193"/>
        <v/>
      </c>
      <c r="RHC23" s="50" t="str">
        <f t="shared" si="193"/>
        <v/>
      </c>
      <c r="RHD23" s="50" t="str">
        <f t="shared" si="193"/>
        <v/>
      </c>
      <c r="RHE23" s="50" t="str">
        <f t="shared" si="193"/>
        <v/>
      </c>
      <c r="RHF23" s="50" t="str">
        <f t="shared" si="193"/>
        <v/>
      </c>
      <c r="RHG23" s="50" t="str">
        <f t="shared" si="193"/>
        <v/>
      </c>
      <c r="RHH23" s="50" t="str">
        <f t="shared" si="193"/>
        <v/>
      </c>
      <c r="RHI23" s="50" t="str">
        <f t="shared" si="193"/>
        <v/>
      </c>
      <c r="RHJ23" s="50" t="str">
        <f t="shared" si="193"/>
        <v/>
      </c>
      <c r="RHK23" s="50" t="str">
        <f t="shared" si="193"/>
        <v/>
      </c>
      <c r="RHL23" s="50" t="str">
        <f t="shared" si="193"/>
        <v/>
      </c>
      <c r="RHM23" s="50" t="str">
        <f t="shared" si="193"/>
        <v/>
      </c>
      <c r="RHN23" s="50" t="str">
        <f t="shared" si="193"/>
        <v/>
      </c>
      <c r="RHO23" s="50" t="str">
        <f t="shared" si="193"/>
        <v/>
      </c>
      <c r="RHP23" s="50" t="str">
        <f t="shared" si="193"/>
        <v/>
      </c>
      <c r="RHQ23" s="50" t="str">
        <f t="shared" si="193"/>
        <v/>
      </c>
      <c r="RHR23" s="50" t="str">
        <f t="shared" si="193"/>
        <v/>
      </c>
      <c r="RHS23" s="50" t="str">
        <f t="shared" si="193"/>
        <v/>
      </c>
      <c r="RHT23" s="50" t="str">
        <f t="shared" si="193"/>
        <v/>
      </c>
      <c r="RHU23" s="50" t="str">
        <f t="shared" si="193"/>
        <v/>
      </c>
      <c r="RHV23" s="50" t="str">
        <f t="shared" si="193"/>
        <v/>
      </c>
      <c r="RHW23" s="50" t="str">
        <f t="shared" si="193"/>
        <v/>
      </c>
      <c r="RHX23" s="50" t="str">
        <f t="shared" si="193"/>
        <v/>
      </c>
      <c r="RHY23" s="50" t="str">
        <f t="shared" ref="RHY23:RKJ23" si="194">IFERROR(IF(RHX23+TIME(1,0,0)&lt;=$G$12,RHX23+TIME(1,0,0),""),"")</f>
        <v/>
      </c>
      <c r="RHZ23" s="50" t="str">
        <f t="shared" si="194"/>
        <v/>
      </c>
      <c r="RIA23" s="50" t="str">
        <f t="shared" si="194"/>
        <v/>
      </c>
      <c r="RIB23" s="50" t="str">
        <f t="shared" si="194"/>
        <v/>
      </c>
      <c r="RIC23" s="50" t="str">
        <f t="shared" si="194"/>
        <v/>
      </c>
      <c r="RID23" s="50" t="str">
        <f t="shared" si="194"/>
        <v/>
      </c>
      <c r="RIE23" s="50" t="str">
        <f t="shared" si="194"/>
        <v/>
      </c>
      <c r="RIF23" s="50" t="str">
        <f t="shared" si="194"/>
        <v/>
      </c>
      <c r="RIG23" s="50" t="str">
        <f t="shared" si="194"/>
        <v/>
      </c>
      <c r="RIH23" s="50" t="str">
        <f t="shared" si="194"/>
        <v/>
      </c>
      <c r="RII23" s="50" t="str">
        <f t="shared" si="194"/>
        <v/>
      </c>
      <c r="RIJ23" s="50" t="str">
        <f t="shared" si="194"/>
        <v/>
      </c>
      <c r="RIK23" s="50" t="str">
        <f t="shared" si="194"/>
        <v/>
      </c>
      <c r="RIL23" s="50" t="str">
        <f t="shared" si="194"/>
        <v/>
      </c>
      <c r="RIM23" s="50" t="str">
        <f t="shared" si="194"/>
        <v/>
      </c>
      <c r="RIN23" s="50" t="str">
        <f t="shared" si="194"/>
        <v/>
      </c>
      <c r="RIO23" s="50" t="str">
        <f t="shared" si="194"/>
        <v/>
      </c>
      <c r="RIP23" s="50" t="str">
        <f t="shared" si="194"/>
        <v/>
      </c>
      <c r="RIQ23" s="50" t="str">
        <f t="shared" si="194"/>
        <v/>
      </c>
      <c r="RIR23" s="50" t="str">
        <f t="shared" si="194"/>
        <v/>
      </c>
      <c r="RIS23" s="50" t="str">
        <f t="shared" si="194"/>
        <v/>
      </c>
      <c r="RIT23" s="50" t="str">
        <f t="shared" si="194"/>
        <v/>
      </c>
      <c r="RIU23" s="50" t="str">
        <f t="shared" si="194"/>
        <v/>
      </c>
      <c r="RIV23" s="50" t="str">
        <f t="shared" si="194"/>
        <v/>
      </c>
      <c r="RIW23" s="50" t="str">
        <f t="shared" si="194"/>
        <v/>
      </c>
      <c r="RIX23" s="50" t="str">
        <f t="shared" si="194"/>
        <v/>
      </c>
      <c r="RIY23" s="50" t="str">
        <f t="shared" si="194"/>
        <v/>
      </c>
      <c r="RIZ23" s="50" t="str">
        <f t="shared" si="194"/>
        <v/>
      </c>
      <c r="RJA23" s="50" t="str">
        <f t="shared" si="194"/>
        <v/>
      </c>
      <c r="RJB23" s="50" t="str">
        <f t="shared" si="194"/>
        <v/>
      </c>
      <c r="RJC23" s="50" t="str">
        <f t="shared" si="194"/>
        <v/>
      </c>
      <c r="RJD23" s="50" t="str">
        <f t="shared" si="194"/>
        <v/>
      </c>
      <c r="RJE23" s="50" t="str">
        <f t="shared" si="194"/>
        <v/>
      </c>
      <c r="RJF23" s="50" t="str">
        <f t="shared" si="194"/>
        <v/>
      </c>
      <c r="RJG23" s="50" t="str">
        <f t="shared" si="194"/>
        <v/>
      </c>
      <c r="RJH23" s="50" t="str">
        <f t="shared" si="194"/>
        <v/>
      </c>
      <c r="RJI23" s="50" t="str">
        <f t="shared" si="194"/>
        <v/>
      </c>
      <c r="RJJ23" s="50" t="str">
        <f t="shared" si="194"/>
        <v/>
      </c>
      <c r="RJK23" s="50" t="str">
        <f t="shared" si="194"/>
        <v/>
      </c>
      <c r="RJL23" s="50" t="str">
        <f t="shared" si="194"/>
        <v/>
      </c>
      <c r="RJM23" s="50" t="str">
        <f t="shared" si="194"/>
        <v/>
      </c>
      <c r="RJN23" s="50" t="str">
        <f t="shared" si="194"/>
        <v/>
      </c>
      <c r="RJO23" s="50" t="str">
        <f t="shared" si="194"/>
        <v/>
      </c>
      <c r="RJP23" s="50" t="str">
        <f t="shared" si="194"/>
        <v/>
      </c>
      <c r="RJQ23" s="50" t="str">
        <f t="shared" si="194"/>
        <v/>
      </c>
      <c r="RJR23" s="50" t="str">
        <f t="shared" si="194"/>
        <v/>
      </c>
      <c r="RJS23" s="50" t="str">
        <f t="shared" si="194"/>
        <v/>
      </c>
      <c r="RJT23" s="50" t="str">
        <f t="shared" si="194"/>
        <v/>
      </c>
      <c r="RJU23" s="50" t="str">
        <f t="shared" si="194"/>
        <v/>
      </c>
      <c r="RJV23" s="50" t="str">
        <f t="shared" si="194"/>
        <v/>
      </c>
      <c r="RJW23" s="50" t="str">
        <f t="shared" si="194"/>
        <v/>
      </c>
      <c r="RJX23" s="50" t="str">
        <f t="shared" si="194"/>
        <v/>
      </c>
      <c r="RJY23" s="50" t="str">
        <f t="shared" si="194"/>
        <v/>
      </c>
      <c r="RJZ23" s="50" t="str">
        <f t="shared" si="194"/>
        <v/>
      </c>
      <c r="RKA23" s="50" t="str">
        <f t="shared" si="194"/>
        <v/>
      </c>
      <c r="RKB23" s="50" t="str">
        <f t="shared" si="194"/>
        <v/>
      </c>
      <c r="RKC23" s="50" t="str">
        <f t="shared" si="194"/>
        <v/>
      </c>
      <c r="RKD23" s="50" t="str">
        <f t="shared" si="194"/>
        <v/>
      </c>
      <c r="RKE23" s="50" t="str">
        <f t="shared" si="194"/>
        <v/>
      </c>
      <c r="RKF23" s="50" t="str">
        <f t="shared" si="194"/>
        <v/>
      </c>
      <c r="RKG23" s="50" t="str">
        <f t="shared" si="194"/>
        <v/>
      </c>
      <c r="RKH23" s="50" t="str">
        <f t="shared" si="194"/>
        <v/>
      </c>
      <c r="RKI23" s="50" t="str">
        <f t="shared" si="194"/>
        <v/>
      </c>
      <c r="RKJ23" s="50" t="str">
        <f t="shared" si="194"/>
        <v/>
      </c>
      <c r="RKK23" s="50" t="str">
        <f t="shared" ref="RKK23:RMV23" si="195">IFERROR(IF(RKJ23+TIME(1,0,0)&lt;=$G$12,RKJ23+TIME(1,0,0),""),"")</f>
        <v/>
      </c>
      <c r="RKL23" s="50" t="str">
        <f t="shared" si="195"/>
        <v/>
      </c>
      <c r="RKM23" s="50" t="str">
        <f t="shared" si="195"/>
        <v/>
      </c>
      <c r="RKN23" s="50" t="str">
        <f t="shared" si="195"/>
        <v/>
      </c>
      <c r="RKO23" s="50" t="str">
        <f t="shared" si="195"/>
        <v/>
      </c>
      <c r="RKP23" s="50" t="str">
        <f t="shared" si="195"/>
        <v/>
      </c>
      <c r="RKQ23" s="50" t="str">
        <f t="shared" si="195"/>
        <v/>
      </c>
      <c r="RKR23" s="50" t="str">
        <f t="shared" si="195"/>
        <v/>
      </c>
      <c r="RKS23" s="50" t="str">
        <f t="shared" si="195"/>
        <v/>
      </c>
      <c r="RKT23" s="50" t="str">
        <f t="shared" si="195"/>
        <v/>
      </c>
      <c r="RKU23" s="50" t="str">
        <f t="shared" si="195"/>
        <v/>
      </c>
      <c r="RKV23" s="50" t="str">
        <f t="shared" si="195"/>
        <v/>
      </c>
      <c r="RKW23" s="50" t="str">
        <f t="shared" si="195"/>
        <v/>
      </c>
      <c r="RKX23" s="50" t="str">
        <f t="shared" si="195"/>
        <v/>
      </c>
      <c r="RKY23" s="50" t="str">
        <f t="shared" si="195"/>
        <v/>
      </c>
      <c r="RKZ23" s="50" t="str">
        <f t="shared" si="195"/>
        <v/>
      </c>
      <c r="RLA23" s="50" t="str">
        <f t="shared" si="195"/>
        <v/>
      </c>
      <c r="RLB23" s="50" t="str">
        <f t="shared" si="195"/>
        <v/>
      </c>
      <c r="RLC23" s="50" t="str">
        <f t="shared" si="195"/>
        <v/>
      </c>
      <c r="RLD23" s="50" t="str">
        <f t="shared" si="195"/>
        <v/>
      </c>
      <c r="RLE23" s="50" t="str">
        <f t="shared" si="195"/>
        <v/>
      </c>
      <c r="RLF23" s="50" t="str">
        <f t="shared" si="195"/>
        <v/>
      </c>
      <c r="RLG23" s="50" t="str">
        <f t="shared" si="195"/>
        <v/>
      </c>
      <c r="RLH23" s="50" t="str">
        <f t="shared" si="195"/>
        <v/>
      </c>
      <c r="RLI23" s="50" t="str">
        <f t="shared" si="195"/>
        <v/>
      </c>
      <c r="RLJ23" s="50" t="str">
        <f t="shared" si="195"/>
        <v/>
      </c>
      <c r="RLK23" s="50" t="str">
        <f t="shared" si="195"/>
        <v/>
      </c>
      <c r="RLL23" s="50" t="str">
        <f t="shared" si="195"/>
        <v/>
      </c>
      <c r="RLM23" s="50" t="str">
        <f t="shared" si="195"/>
        <v/>
      </c>
      <c r="RLN23" s="50" t="str">
        <f t="shared" si="195"/>
        <v/>
      </c>
      <c r="RLO23" s="50" t="str">
        <f t="shared" si="195"/>
        <v/>
      </c>
      <c r="RLP23" s="50" t="str">
        <f t="shared" si="195"/>
        <v/>
      </c>
      <c r="RLQ23" s="50" t="str">
        <f t="shared" si="195"/>
        <v/>
      </c>
      <c r="RLR23" s="50" t="str">
        <f t="shared" si="195"/>
        <v/>
      </c>
      <c r="RLS23" s="50" t="str">
        <f t="shared" si="195"/>
        <v/>
      </c>
      <c r="RLT23" s="50" t="str">
        <f t="shared" si="195"/>
        <v/>
      </c>
      <c r="RLU23" s="50" t="str">
        <f t="shared" si="195"/>
        <v/>
      </c>
      <c r="RLV23" s="50" t="str">
        <f t="shared" si="195"/>
        <v/>
      </c>
      <c r="RLW23" s="50" t="str">
        <f t="shared" si="195"/>
        <v/>
      </c>
      <c r="RLX23" s="50" t="str">
        <f t="shared" si="195"/>
        <v/>
      </c>
      <c r="RLY23" s="50" t="str">
        <f t="shared" si="195"/>
        <v/>
      </c>
      <c r="RLZ23" s="50" t="str">
        <f t="shared" si="195"/>
        <v/>
      </c>
      <c r="RMA23" s="50" t="str">
        <f t="shared" si="195"/>
        <v/>
      </c>
      <c r="RMB23" s="50" t="str">
        <f t="shared" si="195"/>
        <v/>
      </c>
      <c r="RMC23" s="50" t="str">
        <f t="shared" si="195"/>
        <v/>
      </c>
      <c r="RMD23" s="50" t="str">
        <f t="shared" si="195"/>
        <v/>
      </c>
      <c r="RME23" s="50" t="str">
        <f t="shared" si="195"/>
        <v/>
      </c>
      <c r="RMF23" s="50" t="str">
        <f t="shared" si="195"/>
        <v/>
      </c>
      <c r="RMG23" s="50" t="str">
        <f t="shared" si="195"/>
        <v/>
      </c>
      <c r="RMH23" s="50" t="str">
        <f t="shared" si="195"/>
        <v/>
      </c>
      <c r="RMI23" s="50" t="str">
        <f t="shared" si="195"/>
        <v/>
      </c>
      <c r="RMJ23" s="50" t="str">
        <f t="shared" si="195"/>
        <v/>
      </c>
      <c r="RMK23" s="50" t="str">
        <f t="shared" si="195"/>
        <v/>
      </c>
      <c r="RML23" s="50" t="str">
        <f t="shared" si="195"/>
        <v/>
      </c>
      <c r="RMM23" s="50" t="str">
        <f t="shared" si="195"/>
        <v/>
      </c>
      <c r="RMN23" s="50" t="str">
        <f t="shared" si="195"/>
        <v/>
      </c>
      <c r="RMO23" s="50" t="str">
        <f t="shared" si="195"/>
        <v/>
      </c>
      <c r="RMP23" s="50" t="str">
        <f t="shared" si="195"/>
        <v/>
      </c>
      <c r="RMQ23" s="50" t="str">
        <f t="shared" si="195"/>
        <v/>
      </c>
      <c r="RMR23" s="50" t="str">
        <f t="shared" si="195"/>
        <v/>
      </c>
      <c r="RMS23" s="50" t="str">
        <f t="shared" si="195"/>
        <v/>
      </c>
      <c r="RMT23" s="50" t="str">
        <f t="shared" si="195"/>
        <v/>
      </c>
      <c r="RMU23" s="50" t="str">
        <f t="shared" si="195"/>
        <v/>
      </c>
      <c r="RMV23" s="50" t="str">
        <f t="shared" si="195"/>
        <v/>
      </c>
      <c r="RMW23" s="50" t="str">
        <f t="shared" ref="RMW23:RPH23" si="196">IFERROR(IF(RMV23+TIME(1,0,0)&lt;=$G$12,RMV23+TIME(1,0,0),""),"")</f>
        <v/>
      </c>
      <c r="RMX23" s="50" t="str">
        <f t="shared" si="196"/>
        <v/>
      </c>
      <c r="RMY23" s="50" t="str">
        <f t="shared" si="196"/>
        <v/>
      </c>
      <c r="RMZ23" s="50" t="str">
        <f t="shared" si="196"/>
        <v/>
      </c>
      <c r="RNA23" s="50" t="str">
        <f t="shared" si="196"/>
        <v/>
      </c>
      <c r="RNB23" s="50" t="str">
        <f t="shared" si="196"/>
        <v/>
      </c>
      <c r="RNC23" s="50" t="str">
        <f t="shared" si="196"/>
        <v/>
      </c>
      <c r="RND23" s="50" t="str">
        <f t="shared" si="196"/>
        <v/>
      </c>
      <c r="RNE23" s="50" t="str">
        <f t="shared" si="196"/>
        <v/>
      </c>
      <c r="RNF23" s="50" t="str">
        <f t="shared" si="196"/>
        <v/>
      </c>
      <c r="RNG23" s="50" t="str">
        <f t="shared" si="196"/>
        <v/>
      </c>
      <c r="RNH23" s="50" t="str">
        <f t="shared" si="196"/>
        <v/>
      </c>
      <c r="RNI23" s="50" t="str">
        <f t="shared" si="196"/>
        <v/>
      </c>
      <c r="RNJ23" s="50" t="str">
        <f t="shared" si="196"/>
        <v/>
      </c>
      <c r="RNK23" s="50" t="str">
        <f t="shared" si="196"/>
        <v/>
      </c>
      <c r="RNL23" s="50" t="str">
        <f t="shared" si="196"/>
        <v/>
      </c>
      <c r="RNM23" s="50" t="str">
        <f t="shared" si="196"/>
        <v/>
      </c>
      <c r="RNN23" s="50" t="str">
        <f t="shared" si="196"/>
        <v/>
      </c>
      <c r="RNO23" s="50" t="str">
        <f t="shared" si="196"/>
        <v/>
      </c>
      <c r="RNP23" s="50" t="str">
        <f t="shared" si="196"/>
        <v/>
      </c>
      <c r="RNQ23" s="50" t="str">
        <f t="shared" si="196"/>
        <v/>
      </c>
      <c r="RNR23" s="50" t="str">
        <f t="shared" si="196"/>
        <v/>
      </c>
      <c r="RNS23" s="50" t="str">
        <f t="shared" si="196"/>
        <v/>
      </c>
      <c r="RNT23" s="50" t="str">
        <f t="shared" si="196"/>
        <v/>
      </c>
      <c r="RNU23" s="50" t="str">
        <f t="shared" si="196"/>
        <v/>
      </c>
      <c r="RNV23" s="50" t="str">
        <f t="shared" si="196"/>
        <v/>
      </c>
      <c r="RNW23" s="50" t="str">
        <f t="shared" si="196"/>
        <v/>
      </c>
      <c r="RNX23" s="50" t="str">
        <f t="shared" si="196"/>
        <v/>
      </c>
      <c r="RNY23" s="50" t="str">
        <f t="shared" si="196"/>
        <v/>
      </c>
      <c r="RNZ23" s="50" t="str">
        <f t="shared" si="196"/>
        <v/>
      </c>
      <c r="ROA23" s="50" t="str">
        <f t="shared" si="196"/>
        <v/>
      </c>
      <c r="ROB23" s="50" t="str">
        <f t="shared" si="196"/>
        <v/>
      </c>
      <c r="ROC23" s="50" t="str">
        <f t="shared" si="196"/>
        <v/>
      </c>
      <c r="ROD23" s="50" t="str">
        <f t="shared" si="196"/>
        <v/>
      </c>
      <c r="ROE23" s="50" t="str">
        <f t="shared" si="196"/>
        <v/>
      </c>
      <c r="ROF23" s="50" t="str">
        <f t="shared" si="196"/>
        <v/>
      </c>
      <c r="ROG23" s="50" t="str">
        <f t="shared" si="196"/>
        <v/>
      </c>
      <c r="ROH23" s="50" t="str">
        <f t="shared" si="196"/>
        <v/>
      </c>
      <c r="ROI23" s="50" t="str">
        <f t="shared" si="196"/>
        <v/>
      </c>
      <c r="ROJ23" s="50" t="str">
        <f t="shared" si="196"/>
        <v/>
      </c>
      <c r="ROK23" s="50" t="str">
        <f t="shared" si="196"/>
        <v/>
      </c>
      <c r="ROL23" s="50" t="str">
        <f t="shared" si="196"/>
        <v/>
      </c>
      <c r="ROM23" s="50" t="str">
        <f t="shared" si="196"/>
        <v/>
      </c>
      <c r="RON23" s="50" t="str">
        <f t="shared" si="196"/>
        <v/>
      </c>
      <c r="ROO23" s="50" t="str">
        <f t="shared" si="196"/>
        <v/>
      </c>
      <c r="ROP23" s="50" t="str">
        <f t="shared" si="196"/>
        <v/>
      </c>
      <c r="ROQ23" s="50" t="str">
        <f t="shared" si="196"/>
        <v/>
      </c>
      <c r="ROR23" s="50" t="str">
        <f t="shared" si="196"/>
        <v/>
      </c>
      <c r="ROS23" s="50" t="str">
        <f t="shared" si="196"/>
        <v/>
      </c>
      <c r="ROT23" s="50" t="str">
        <f t="shared" si="196"/>
        <v/>
      </c>
      <c r="ROU23" s="50" t="str">
        <f t="shared" si="196"/>
        <v/>
      </c>
      <c r="ROV23" s="50" t="str">
        <f t="shared" si="196"/>
        <v/>
      </c>
      <c r="ROW23" s="50" t="str">
        <f t="shared" si="196"/>
        <v/>
      </c>
      <c r="ROX23" s="50" t="str">
        <f t="shared" si="196"/>
        <v/>
      </c>
      <c r="ROY23" s="50" t="str">
        <f t="shared" si="196"/>
        <v/>
      </c>
      <c r="ROZ23" s="50" t="str">
        <f t="shared" si="196"/>
        <v/>
      </c>
      <c r="RPA23" s="50" t="str">
        <f t="shared" si="196"/>
        <v/>
      </c>
      <c r="RPB23" s="50" t="str">
        <f t="shared" si="196"/>
        <v/>
      </c>
      <c r="RPC23" s="50" t="str">
        <f t="shared" si="196"/>
        <v/>
      </c>
      <c r="RPD23" s="50" t="str">
        <f t="shared" si="196"/>
        <v/>
      </c>
      <c r="RPE23" s="50" t="str">
        <f t="shared" si="196"/>
        <v/>
      </c>
      <c r="RPF23" s="50" t="str">
        <f t="shared" si="196"/>
        <v/>
      </c>
      <c r="RPG23" s="50" t="str">
        <f t="shared" si="196"/>
        <v/>
      </c>
      <c r="RPH23" s="50" t="str">
        <f t="shared" si="196"/>
        <v/>
      </c>
      <c r="RPI23" s="50" t="str">
        <f t="shared" ref="RPI23:RRT23" si="197">IFERROR(IF(RPH23+TIME(1,0,0)&lt;=$G$12,RPH23+TIME(1,0,0),""),"")</f>
        <v/>
      </c>
      <c r="RPJ23" s="50" t="str">
        <f t="shared" si="197"/>
        <v/>
      </c>
      <c r="RPK23" s="50" t="str">
        <f t="shared" si="197"/>
        <v/>
      </c>
      <c r="RPL23" s="50" t="str">
        <f t="shared" si="197"/>
        <v/>
      </c>
      <c r="RPM23" s="50" t="str">
        <f t="shared" si="197"/>
        <v/>
      </c>
      <c r="RPN23" s="50" t="str">
        <f t="shared" si="197"/>
        <v/>
      </c>
      <c r="RPO23" s="50" t="str">
        <f t="shared" si="197"/>
        <v/>
      </c>
      <c r="RPP23" s="50" t="str">
        <f t="shared" si="197"/>
        <v/>
      </c>
      <c r="RPQ23" s="50" t="str">
        <f t="shared" si="197"/>
        <v/>
      </c>
      <c r="RPR23" s="50" t="str">
        <f t="shared" si="197"/>
        <v/>
      </c>
      <c r="RPS23" s="50" t="str">
        <f t="shared" si="197"/>
        <v/>
      </c>
      <c r="RPT23" s="50" t="str">
        <f t="shared" si="197"/>
        <v/>
      </c>
      <c r="RPU23" s="50" t="str">
        <f t="shared" si="197"/>
        <v/>
      </c>
      <c r="RPV23" s="50" t="str">
        <f t="shared" si="197"/>
        <v/>
      </c>
      <c r="RPW23" s="50" t="str">
        <f t="shared" si="197"/>
        <v/>
      </c>
      <c r="RPX23" s="50" t="str">
        <f t="shared" si="197"/>
        <v/>
      </c>
      <c r="RPY23" s="50" t="str">
        <f t="shared" si="197"/>
        <v/>
      </c>
      <c r="RPZ23" s="50" t="str">
        <f t="shared" si="197"/>
        <v/>
      </c>
      <c r="RQA23" s="50" t="str">
        <f t="shared" si="197"/>
        <v/>
      </c>
      <c r="RQB23" s="50" t="str">
        <f t="shared" si="197"/>
        <v/>
      </c>
      <c r="RQC23" s="50" t="str">
        <f t="shared" si="197"/>
        <v/>
      </c>
      <c r="RQD23" s="50" t="str">
        <f t="shared" si="197"/>
        <v/>
      </c>
      <c r="RQE23" s="50" t="str">
        <f t="shared" si="197"/>
        <v/>
      </c>
      <c r="RQF23" s="50" t="str">
        <f t="shared" si="197"/>
        <v/>
      </c>
      <c r="RQG23" s="50" t="str">
        <f t="shared" si="197"/>
        <v/>
      </c>
      <c r="RQH23" s="50" t="str">
        <f t="shared" si="197"/>
        <v/>
      </c>
      <c r="RQI23" s="50" t="str">
        <f t="shared" si="197"/>
        <v/>
      </c>
      <c r="RQJ23" s="50" t="str">
        <f t="shared" si="197"/>
        <v/>
      </c>
      <c r="RQK23" s="50" t="str">
        <f t="shared" si="197"/>
        <v/>
      </c>
      <c r="RQL23" s="50" t="str">
        <f t="shared" si="197"/>
        <v/>
      </c>
      <c r="RQM23" s="50" t="str">
        <f t="shared" si="197"/>
        <v/>
      </c>
      <c r="RQN23" s="50" t="str">
        <f t="shared" si="197"/>
        <v/>
      </c>
      <c r="RQO23" s="50" t="str">
        <f t="shared" si="197"/>
        <v/>
      </c>
      <c r="RQP23" s="50" t="str">
        <f t="shared" si="197"/>
        <v/>
      </c>
      <c r="RQQ23" s="50" t="str">
        <f t="shared" si="197"/>
        <v/>
      </c>
      <c r="RQR23" s="50" t="str">
        <f t="shared" si="197"/>
        <v/>
      </c>
      <c r="RQS23" s="50" t="str">
        <f t="shared" si="197"/>
        <v/>
      </c>
      <c r="RQT23" s="50" t="str">
        <f t="shared" si="197"/>
        <v/>
      </c>
      <c r="RQU23" s="50" t="str">
        <f t="shared" si="197"/>
        <v/>
      </c>
      <c r="RQV23" s="50" t="str">
        <f t="shared" si="197"/>
        <v/>
      </c>
      <c r="RQW23" s="50" t="str">
        <f t="shared" si="197"/>
        <v/>
      </c>
      <c r="RQX23" s="50" t="str">
        <f t="shared" si="197"/>
        <v/>
      </c>
      <c r="RQY23" s="50" t="str">
        <f t="shared" si="197"/>
        <v/>
      </c>
      <c r="RQZ23" s="50" t="str">
        <f t="shared" si="197"/>
        <v/>
      </c>
      <c r="RRA23" s="50" t="str">
        <f t="shared" si="197"/>
        <v/>
      </c>
      <c r="RRB23" s="50" t="str">
        <f t="shared" si="197"/>
        <v/>
      </c>
      <c r="RRC23" s="50" t="str">
        <f t="shared" si="197"/>
        <v/>
      </c>
      <c r="RRD23" s="50" t="str">
        <f t="shared" si="197"/>
        <v/>
      </c>
      <c r="RRE23" s="50" t="str">
        <f t="shared" si="197"/>
        <v/>
      </c>
      <c r="RRF23" s="50" t="str">
        <f t="shared" si="197"/>
        <v/>
      </c>
      <c r="RRG23" s="50" t="str">
        <f t="shared" si="197"/>
        <v/>
      </c>
      <c r="RRH23" s="50" t="str">
        <f t="shared" si="197"/>
        <v/>
      </c>
      <c r="RRI23" s="50" t="str">
        <f t="shared" si="197"/>
        <v/>
      </c>
      <c r="RRJ23" s="50" t="str">
        <f t="shared" si="197"/>
        <v/>
      </c>
      <c r="RRK23" s="50" t="str">
        <f t="shared" si="197"/>
        <v/>
      </c>
      <c r="RRL23" s="50" t="str">
        <f t="shared" si="197"/>
        <v/>
      </c>
      <c r="RRM23" s="50" t="str">
        <f t="shared" si="197"/>
        <v/>
      </c>
      <c r="RRN23" s="50" t="str">
        <f t="shared" si="197"/>
        <v/>
      </c>
      <c r="RRO23" s="50" t="str">
        <f t="shared" si="197"/>
        <v/>
      </c>
      <c r="RRP23" s="50" t="str">
        <f t="shared" si="197"/>
        <v/>
      </c>
      <c r="RRQ23" s="50" t="str">
        <f t="shared" si="197"/>
        <v/>
      </c>
      <c r="RRR23" s="50" t="str">
        <f t="shared" si="197"/>
        <v/>
      </c>
      <c r="RRS23" s="50" t="str">
        <f t="shared" si="197"/>
        <v/>
      </c>
      <c r="RRT23" s="50" t="str">
        <f t="shared" si="197"/>
        <v/>
      </c>
      <c r="RRU23" s="50" t="str">
        <f t="shared" ref="RRU23:RUF23" si="198">IFERROR(IF(RRT23+TIME(1,0,0)&lt;=$G$12,RRT23+TIME(1,0,0),""),"")</f>
        <v/>
      </c>
      <c r="RRV23" s="50" t="str">
        <f t="shared" si="198"/>
        <v/>
      </c>
      <c r="RRW23" s="50" t="str">
        <f t="shared" si="198"/>
        <v/>
      </c>
      <c r="RRX23" s="50" t="str">
        <f t="shared" si="198"/>
        <v/>
      </c>
      <c r="RRY23" s="50" t="str">
        <f t="shared" si="198"/>
        <v/>
      </c>
      <c r="RRZ23" s="50" t="str">
        <f t="shared" si="198"/>
        <v/>
      </c>
      <c r="RSA23" s="50" t="str">
        <f t="shared" si="198"/>
        <v/>
      </c>
      <c r="RSB23" s="50" t="str">
        <f t="shared" si="198"/>
        <v/>
      </c>
      <c r="RSC23" s="50" t="str">
        <f t="shared" si="198"/>
        <v/>
      </c>
      <c r="RSD23" s="50" t="str">
        <f t="shared" si="198"/>
        <v/>
      </c>
      <c r="RSE23" s="50" t="str">
        <f t="shared" si="198"/>
        <v/>
      </c>
      <c r="RSF23" s="50" t="str">
        <f t="shared" si="198"/>
        <v/>
      </c>
      <c r="RSG23" s="50" t="str">
        <f t="shared" si="198"/>
        <v/>
      </c>
      <c r="RSH23" s="50" t="str">
        <f t="shared" si="198"/>
        <v/>
      </c>
      <c r="RSI23" s="50" t="str">
        <f t="shared" si="198"/>
        <v/>
      </c>
      <c r="RSJ23" s="50" t="str">
        <f t="shared" si="198"/>
        <v/>
      </c>
      <c r="RSK23" s="50" t="str">
        <f t="shared" si="198"/>
        <v/>
      </c>
      <c r="RSL23" s="50" t="str">
        <f t="shared" si="198"/>
        <v/>
      </c>
      <c r="RSM23" s="50" t="str">
        <f t="shared" si="198"/>
        <v/>
      </c>
      <c r="RSN23" s="50" t="str">
        <f t="shared" si="198"/>
        <v/>
      </c>
      <c r="RSO23" s="50" t="str">
        <f t="shared" si="198"/>
        <v/>
      </c>
      <c r="RSP23" s="50" t="str">
        <f t="shared" si="198"/>
        <v/>
      </c>
      <c r="RSQ23" s="50" t="str">
        <f t="shared" si="198"/>
        <v/>
      </c>
      <c r="RSR23" s="50" t="str">
        <f t="shared" si="198"/>
        <v/>
      </c>
      <c r="RSS23" s="50" t="str">
        <f t="shared" si="198"/>
        <v/>
      </c>
      <c r="RST23" s="50" t="str">
        <f t="shared" si="198"/>
        <v/>
      </c>
      <c r="RSU23" s="50" t="str">
        <f t="shared" si="198"/>
        <v/>
      </c>
      <c r="RSV23" s="50" t="str">
        <f t="shared" si="198"/>
        <v/>
      </c>
      <c r="RSW23" s="50" t="str">
        <f t="shared" si="198"/>
        <v/>
      </c>
      <c r="RSX23" s="50" t="str">
        <f t="shared" si="198"/>
        <v/>
      </c>
      <c r="RSY23" s="50" t="str">
        <f t="shared" si="198"/>
        <v/>
      </c>
      <c r="RSZ23" s="50" t="str">
        <f t="shared" si="198"/>
        <v/>
      </c>
      <c r="RTA23" s="50" t="str">
        <f t="shared" si="198"/>
        <v/>
      </c>
      <c r="RTB23" s="50" t="str">
        <f t="shared" si="198"/>
        <v/>
      </c>
      <c r="RTC23" s="50" t="str">
        <f t="shared" si="198"/>
        <v/>
      </c>
      <c r="RTD23" s="50" t="str">
        <f t="shared" si="198"/>
        <v/>
      </c>
      <c r="RTE23" s="50" t="str">
        <f t="shared" si="198"/>
        <v/>
      </c>
      <c r="RTF23" s="50" t="str">
        <f t="shared" si="198"/>
        <v/>
      </c>
      <c r="RTG23" s="50" t="str">
        <f t="shared" si="198"/>
        <v/>
      </c>
      <c r="RTH23" s="50" t="str">
        <f t="shared" si="198"/>
        <v/>
      </c>
      <c r="RTI23" s="50" t="str">
        <f t="shared" si="198"/>
        <v/>
      </c>
      <c r="RTJ23" s="50" t="str">
        <f t="shared" si="198"/>
        <v/>
      </c>
      <c r="RTK23" s="50" t="str">
        <f t="shared" si="198"/>
        <v/>
      </c>
      <c r="RTL23" s="50" t="str">
        <f t="shared" si="198"/>
        <v/>
      </c>
      <c r="RTM23" s="50" t="str">
        <f t="shared" si="198"/>
        <v/>
      </c>
      <c r="RTN23" s="50" t="str">
        <f t="shared" si="198"/>
        <v/>
      </c>
      <c r="RTO23" s="50" t="str">
        <f t="shared" si="198"/>
        <v/>
      </c>
      <c r="RTP23" s="50" t="str">
        <f t="shared" si="198"/>
        <v/>
      </c>
      <c r="RTQ23" s="50" t="str">
        <f t="shared" si="198"/>
        <v/>
      </c>
      <c r="RTR23" s="50" t="str">
        <f t="shared" si="198"/>
        <v/>
      </c>
      <c r="RTS23" s="50" t="str">
        <f t="shared" si="198"/>
        <v/>
      </c>
      <c r="RTT23" s="50" t="str">
        <f t="shared" si="198"/>
        <v/>
      </c>
      <c r="RTU23" s="50" t="str">
        <f t="shared" si="198"/>
        <v/>
      </c>
      <c r="RTV23" s="50" t="str">
        <f t="shared" si="198"/>
        <v/>
      </c>
      <c r="RTW23" s="50" t="str">
        <f t="shared" si="198"/>
        <v/>
      </c>
      <c r="RTX23" s="50" t="str">
        <f t="shared" si="198"/>
        <v/>
      </c>
      <c r="RTY23" s="50" t="str">
        <f t="shared" si="198"/>
        <v/>
      </c>
      <c r="RTZ23" s="50" t="str">
        <f t="shared" si="198"/>
        <v/>
      </c>
      <c r="RUA23" s="50" t="str">
        <f t="shared" si="198"/>
        <v/>
      </c>
      <c r="RUB23" s="50" t="str">
        <f t="shared" si="198"/>
        <v/>
      </c>
      <c r="RUC23" s="50" t="str">
        <f t="shared" si="198"/>
        <v/>
      </c>
      <c r="RUD23" s="50" t="str">
        <f t="shared" si="198"/>
        <v/>
      </c>
      <c r="RUE23" s="50" t="str">
        <f t="shared" si="198"/>
        <v/>
      </c>
      <c r="RUF23" s="50" t="str">
        <f t="shared" si="198"/>
        <v/>
      </c>
      <c r="RUG23" s="50" t="str">
        <f t="shared" ref="RUG23:RWR23" si="199">IFERROR(IF(RUF23+TIME(1,0,0)&lt;=$G$12,RUF23+TIME(1,0,0),""),"")</f>
        <v/>
      </c>
      <c r="RUH23" s="50" t="str">
        <f t="shared" si="199"/>
        <v/>
      </c>
      <c r="RUI23" s="50" t="str">
        <f t="shared" si="199"/>
        <v/>
      </c>
      <c r="RUJ23" s="50" t="str">
        <f t="shared" si="199"/>
        <v/>
      </c>
      <c r="RUK23" s="50" t="str">
        <f t="shared" si="199"/>
        <v/>
      </c>
      <c r="RUL23" s="50" t="str">
        <f t="shared" si="199"/>
        <v/>
      </c>
      <c r="RUM23" s="50" t="str">
        <f t="shared" si="199"/>
        <v/>
      </c>
      <c r="RUN23" s="50" t="str">
        <f t="shared" si="199"/>
        <v/>
      </c>
      <c r="RUO23" s="50" t="str">
        <f t="shared" si="199"/>
        <v/>
      </c>
      <c r="RUP23" s="50" t="str">
        <f t="shared" si="199"/>
        <v/>
      </c>
      <c r="RUQ23" s="50" t="str">
        <f t="shared" si="199"/>
        <v/>
      </c>
      <c r="RUR23" s="50" t="str">
        <f t="shared" si="199"/>
        <v/>
      </c>
      <c r="RUS23" s="50" t="str">
        <f t="shared" si="199"/>
        <v/>
      </c>
      <c r="RUT23" s="50" t="str">
        <f t="shared" si="199"/>
        <v/>
      </c>
      <c r="RUU23" s="50" t="str">
        <f t="shared" si="199"/>
        <v/>
      </c>
      <c r="RUV23" s="50" t="str">
        <f t="shared" si="199"/>
        <v/>
      </c>
      <c r="RUW23" s="50" t="str">
        <f t="shared" si="199"/>
        <v/>
      </c>
      <c r="RUX23" s="50" t="str">
        <f t="shared" si="199"/>
        <v/>
      </c>
      <c r="RUY23" s="50" t="str">
        <f t="shared" si="199"/>
        <v/>
      </c>
      <c r="RUZ23" s="50" t="str">
        <f t="shared" si="199"/>
        <v/>
      </c>
      <c r="RVA23" s="50" t="str">
        <f t="shared" si="199"/>
        <v/>
      </c>
      <c r="RVB23" s="50" t="str">
        <f t="shared" si="199"/>
        <v/>
      </c>
      <c r="RVC23" s="50" t="str">
        <f t="shared" si="199"/>
        <v/>
      </c>
      <c r="RVD23" s="50" t="str">
        <f t="shared" si="199"/>
        <v/>
      </c>
      <c r="RVE23" s="50" t="str">
        <f t="shared" si="199"/>
        <v/>
      </c>
      <c r="RVF23" s="50" t="str">
        <f t="shared" si="199"/>
        <v/>
      </c>
      <c r="RVG23" s="50" t="str">
        <f t="shared" si="199"/>
        <v/>
      </c>
      <c r="RVH23" s="50" t="str">
        <f t="shared" si="199"/>
        <v/>
      </c>
      <c r="RVI23" s="50" t="str">
        <f t="shared" si="199"/>
        <v/>
      </c>
      <c r="RVJ23" s="50" t="str">
        <f t="shared" si="199"/>
        <v/>
      </c>
      <c r="RVK23" s="50" t="str">
        <f t="shared" si="199"/>
        <v/>
      </c>
      <c r="RVL23" s="50" t="str">
        <f t="shared" si="199"/>
        <v/>
      </c>
      <c r="RVM23" s="50" t="str">
        <f t="shared" si="199"/>
        <v/>
      </c>
      <c r="RVN23" s="50" t="str">
        <f t="shared" si="199"/>
        <v/>
      </c>
      <c r="RVO23" s="50" t="str">
        <f t="shared" si="199"/>
        <v/>
      </c>
      <c r="RVP23" s="50" t="str">
        <f t="shared" si="199"/>
        <v/>
      </c>
      <c r="RVQ23" s="50" t="str">
        <f t="shared" si="199"/>
        <v/>
      </c>
      <c r="RVR23" s="50" t="str">
        <f t="shared" si="199"/>
        <v/>
      </c>
      <c r="RVS23" s="50" t="str">
        <f t="shared" si="199"/>
        <v/>
      </c>
      <c r="RVT23" s="50" t="str">
        <f t="shared" si="199"/>
        <v/>
      </c>
      <c r="RVU23" s="50" t="str">
        <f t="shared" si="199"/>
        <v/>
      </c>
      <c r="RVV23" s="50" t="str">
        <f t="shared" si="199"/>
        <v/>
      </c>
      <c r="RVW23" s="50" t="str">
        <f t="shared" si="199"/>
        <v/>
      </c>
      <c r="RVX23" s="50" t="str">
        <f t="shared" si="199"/>
        <v/>
      </c>
      <c r="RVY23" s="50" t="str">
        <f t="shared" si="199"/>
        <v/>
      </c>
      <c r="RVZ23" s="50" t="str">
        <f t="shared" si="199"/>
        <v/>
      </c>
      <c r="RWA23" s="50" t="str">
        <f t="shared" si="199"/>
        <v/>
      </c>
      <c r="RWB23" s="50" t="str">
        <f t="shared" si="199"/>
        <v/>
      </c>
      <c r="RWC23" s="50" t="str">
        <f t="shared" si="199"/>
        <v/>
      </c>
      <c r="RWD23" s="50" t="str">
        <f t="shared" si="199"/>
        <v/>
      </c>
      <c r="RWE23" s="50" t="str">
        <f t="shared" si="199"/>
        <v/>
      </c>
      <c r="RWF23" s="50" t="str">
        <f t="shared" si="199"/>
        <v/>
      </c>
      <c r="RWG23" s="50" t="str">
        <f t="shared" si="199"/>
        <v/>
      </c>
      <c r="RWH23" s="50" t="str">
        <f t="shared" si="199"/>
        <v/>
      </c>
      <c r="RWI23" s="50" t="str">
        <f t="shared" si="199"/>
        <v/>
      </c>
      <c r="RWJ23" s="50" t="str">
        <f t="shared" si="199"/>
        <v/>
      </c>
      <c r="RWK23" s="50" t="str">
        <f t="shared" si="199"/>
        <v/>
      </c>
      <c r="RWL23" s="50" t="str">
        <f t="shared" si="199"/>
        <v/>
      </c>
      <c r="RWM23" s="50" t="str">
        <f t="shared" si="199"/>
        <v/>
      </c>
      <c r="RWN23" s="50" t="str">
        <f t="shared" si="199"/>
        <v/>
      </c>
      <c r="RWO23" s="50" t="str">
        <f t="shared" si="199"/>
        <v/>
      </c>
      <c r="RWP23" s="50" t="str">
        <f t="shared" si="199"/>
        <v/>
      </c>
      <c r="RWQ23" s="50" t="str">
        <f t="shared" si="199"/>
        <v/>
      </c>
      <c r="RWR23" s="50" t="str">
        <f t="shared" si="199"/>
        <v/>
      </c>
      <c r="RWS23" s="50" t="str">
        <f t="shared" ref="RWS23:RZD23" si="200">IFERROR(IF(RWR23+TIME(1,0,0)&lt;=$G$12,RWR23+TIME(1,0,0),""),"")</f>
        <v/>
      </c>
      <c r="RWT23" s="50" t="str">
        <f t="shared" si="200"/>
        <v/>
      </c>
      <c r="RWU23" s="50" t="str">
        <f t="shared" si="200"/>
        <v/>
      </c>
      <c r="RWV23" s="50" t="str">
        <f t="shared" si="200"/>
        <v/>
      </c>
      <c r="RWW23" s="50" t="str">
        <f t="shared" si="200"/>
        <v/>
      </c>
      <c r="RWX23" s="50" t="str">
        <f t="shared" si="200"/>
        <v/>
      </c>
      <c r="RWY23" s="50" t="str">
        <f t="shared" si="200"/>
        <v/>
      </c>
      <c r="RWZ23" s="50" t="str">
        <f t="shared" si="200"/>
        <v/>
      </c>
      <c r="RXA23" s="50" t="str">
        <f t="shared" si="200"/>
        <v/>
      </c>
      <c r="RXB23" s="50" t="str">
        <f t="shared" si="200"/>
        <v/>
      </c>
      <c r="RXC23" s="50" t="str">
        <f t="shared" si="200"/>
        <v/>
      </c>
      <c r="RXD23" s="50" t="str">
        <f t="shared" si="200"/>
        <v/>
      </c>
      <c r="RXE23" s="50" t="str">
        <f t="shared" si="200"/>
        <v/>
      </c>
      <c r="RXF23" s="50" t="str">
        <f t="shared" si="200"/>
        <v/>
      </c>
      <c r="RXG23" s="50" t="str">
        <f t="shared" si="200"/>
        <v/>
      </c>
      <c r="RXH23" s="50" t="str">
        <f t="shared" si="200"/>
        <v/>
      </c>
      <c r="RXI23" s="50" t="str">
        <f t="shared" si="200"/>
        <v/>
      </c>
      <c r="RXJ23" s="50" t="str">
        <f t="shared" si="200"/>
        <v/>
      </c>
      <c r="RXK23" s="50" t="str">
        <f t="shared" si="200"/>
        <v/>
      </c>
      <c r="RXL23" s="50" t="str">
        <f t="shared" si="200"/>
        <v/>
      </c>
      <c r="RXM23" s="50" t="str">
        <f t="shared" si="200"/>
        <v/>
      </c>
      <c r="RXN23" s="50" t="str">
        <f t="shared" si="200"/>
        <v/>
      </c>
      <c r="RXO23" s="50" t="str">
        <f t="shared" si="200"/>
        <v/>
      </c>
      <c r="RXP23" s="50" t="str">
        <f t="shared" si="200"/>
        <v/>
      </c>
      <c r="RXQ23" s="50" t="str">
        <f t="shared" si="200"/>
        <v/>
      </c>
      <c r="RXR23" s="50" t="str">
        <f t="shared" si="200"/>
        <v/>
      </c>
      <c r="RXS23" s="50" t="str">
        <f t="shared" si="200"/>
        <v/>
      </c>
      <c r="RXT23" s="50" t="str">
        <f t="shared" si="200"/>
        <v/>
      </c>
      <c r="RXU23" s="50" t="str">
        <f t="shared" si="200"/>
        <v/>
      </c>
      <c r="RXV23" s="50" t="str">
        <f t="shared" si="200"/>
        <v/>
      </c>
      <c r="RXW23" s="50" t="str">
        <f t="shared" si="200"/>
        <v/>
      </c>
      <c r="RXX23" s="50" t="str">
        <f t="shared" si="200"/>
        <v/>
      </c>
      <c r="RXY23" s="50" t="str">
        <f t="shared" si="200"/>
        <v/>
      </c>
      <c r="RXZ23" s="50" t="str">
        <f t="shared" si="200"/>
        <v/>
      </c>
      <c r="RYA23" s="50" t="str">
        <f t="shared" si="200"/>
        <v/>
      </c>
      <c r="RYB23" s="50" t="str">
        <f t="shared" si="200"/>
        <v/>
      </c>
      <c r="RYC23" s="50" t="str">
        <f t="shared" si="200"/>
        <v/>
      </c>
      <c r="RYD23" s="50" t="str">
        <f t="shared" si="200"/>
        <v/>
      </c>
      <c r="RYE23" s="50" t="str">
        <f t="shared" si="200"/>
        <v/>
      </c>
      <c r="RYF23" s="50" t="str">
        <f t="shared" si="200"/>
        <v/>
      </c>
      <c r="RYG23" s="50" t="str">
        <f t="shared" si="200"/>
        <v/>
      </c>
      <c r="RYH23" s="50" t="str">
        <f t="shared" si="200"/>
        <v/>
      </c>
      <c r="RYI23" s="50" t="str">
        <f t="shared" si="200"/>
        <v/>
      </c>
      <c r="RYJ23" s="50" t="str">
        <f t="shared" si="200"/>
        <v/>
      </c>
      <c r="RYK23" s="50" t="str">
        <f t="shared" si="200"/>
        <v/>
      </c>
      <c r="RYL23" s="50" t="str">
        <f t="shared" si="200"/>
        <v/>
      </c>
      <c r="RYM23" s="50" t="str">
        <f t="shared" si="200"/>
        <v/>
      </c>
      <c r="RYN23" s="50" t="str">
        <f t="shared" si="200"/>
        <v/>
      </c>
      <c r="RYO23" s="50" t="str">
        <f t="shared" si="200"/>
        <v/>
      </c>
      <c r="RYP23" s="50" t="str">
        <f t="shared" si="200"/>
        <v/>
      </c>
      <c r="RYQ23" s="50" t="str">
        <f t="shared" si="200"/>
        <v/>
      </c>
      <c r="RYR23" s="50" t="str">
        <f t="shared" si="200"/>
        <v/>
      </c>
      <c r="RYS23" s="50" t="str">
        <f t="shared" si="200"/>
        <v/>
      </c>
      <c r="RYT23" s="50" t="str">
        <f t="shared" si="200"/>
        <v/>
      </c>
      <c r="RYU23" s="50" t="str">
        <f t="shared" si="200"/>
        <v/>
      </c>
      <c r="RYV23" s="50" t="str">
        <f t="shared" si="200"/>
        <v/>
      </c>
      <c r="RYW23" s="50" t="str">
        <f t="shared" si="200"/>
        <v/>
      </c>
      <c r="RYX23" s="50" t="str">
        <f t="shared" si="200"/>
        <v/>
      </c>
      <c r="RYY23" s="50" t="str">
        <f t="shared" si="200"/>
        <v/>
      </c>
      <c r="RYZ23" s="50" t="str">
        <f t="shared" si="200"/>
        <v/>
      </c>
      <c r="RZA23" s="50" t="str">
        <f t="shared" si="200"/>
        <v/>
      </c>
      <c r="RZB23" s="50" t="str">
        <f t="shared" si="200"/>
        <v/>
      </c>
      <c r="RZC23" s="50" t="str">
        <f t="shared" si="200"/>
        <v/>
      </c>
      <c r="RZD23" s="50" t="str">
        <f t="shared" si="200"/>
        <v/>
      </c>
      <c r="RZE23" s="50" t="str">
        <f t="shared" ref="RZE23:SBP23" si="201">IFERROR(IF(RZD23+TIME(1,0,0)&lt;=$G$12,RZD23+TIME(1,0,0),""),"")</f>
        <v/>
      </c>
      <c r="RZF23" s="50" t="str">
        <f t="shared" si="201"/>
        <v/>
      </c>
      <c r="RZG23" s="50" t="str">
        <f t="shared" si="201"/>
        <v/>
      </c>
      <c r="RZH23" s="50" t="str">
        <f t="shared" si="201"/>
        <v/>
      </c>
      <c r="RZI23" s="50" t="str">
        <f t="shared" si="201"/>
        <v/>
      </c>
      <c r="RZJ23" s="50" t="str">
        <f t="shared" si="201"/>
        <v/>
      </c>
      <c r="RZK23" s="50" t="str">
        <f t="shared" si="201"/>
        <v/>
      </c>
      <c r="RZL23" s="50" t="str">
        <f t="shared" si="201"/>
        <v/>
      </c>
      <c r="RZM23" s="50" t="str">
        <f t="shared" si="201"/>
        <v/>
      </c>
      <c r="RZN23" s="50" t="str">
        <f t="shared" si="201"/>
        <v/>
      </c>
      <c r="RZO23" s="50" t="str">
        <f t="shared" si="201"/>
        <v/>
      </c>
      <c r="RZP23" s="50" t="str">
        <f t="shared" si="201"/>
        <v/>
      </c>
      <c r="RZQ23" s="50" t="str">
        <f t="shared" si="201"/>
        <v/>
      </c>
      <c r="RZR23" s="50" t="str">
        <f t="shared" si="201"/>
        <v/>
      </c>
      <c r="RZS23" s="50" t="str">
        <f t="shared" si="201"/>
        <v/>
      </c>
      <c r="RZT23" s="50" t="str">
        <f t="shared" si="201"/>
        <v/>
      </c>
      <c r="RZU23" s="50" t="str">
        <f t="shared" si="201"/>
        <v/>
      </c>
      <c r="RZV23" s="50" t="str">
        <f t="shared" si="201"/>
        <v/>
      </c>
      <c r="RZW23" s="50" t="str">
        <f t="shared" si="201"/>
        <v/>
      </c>
      <c r="RZX23" s="50" t="str">
        <f t="shared" si="201"/>
        <v/>
      </c>
      <c r="RZY23" s="50" t="str">
        <f t="shared" si="201"/>
        <v/>
      </c>
      <c r="RZZ23" s="50" t="str">
        <f t="shared" si="201"/>
        <v/>
      </c>
      <c r="SAA23" s="50" t="str">
        <f t="shared" si="201"/>
        <v/>
      </c>
      <c r="SAB23" s="50" t="str">
        <f t="shared" si="201"/>
        <v/>
      </c>
      <c r="SAC23" s="50" t="str">
        <f t="shared" si="201"/>
        <v/>
      </c>
      <c r="SAD23" s="50" t="str">
        <f t="shared" si="201"/>
        <v/>
      </c>
      <c r="SAE23" s="50" t="str">
        <f t="shared" si="201"/>
        <v/>
      </c>
      <c r="SAF23" s="50" t="str">
        <f t="shared" si="201"/>
        <v/>
      </c>
      <c r="SAG23" s="50" t="str">
        <f t="shared" si="201"/>
        <v/>
      </c>
      <c r="SAH23" s="50" t="str">
        <f t="shared" si="201"/>
        <v/>
      </c>
      <c r="SAI23" s="50" t="str">
        <f t="shared" si="201"/>
        <v/>
      </c>
      <c r="SAJ23" s="50" t="str">
        <f t="shared" si="201"/>
        <v/>
      </c>
      <c r="SAK23" s="50" t="str">
        <f t="shared" si="201"/>
        <v/>
      </c>
      <c r="SAL23" s="50" t="str">
        <f t="shared" si="201"/>
        <v/>
      </c>
      <c r="SAM23" s="50" t="str">
        <f t="shared" si="201"/>
        <v/>
      </c>
      <c r="SAN23" s="50" t="str">
        <f t="shared" si="201"/>
        <v/>
      </c>
      <c r="SAO23" s="50" t="str">
        <f t="shared" si="201"/>
        <v/>
      </c>
      <c r="SAP23" s="50" t="str">
        <f t="shared" si="201"/>
        <v/>
      </c>
      <c r="SAQ23" s="50" t="str">
        <f t="shared" si="201"/>
        <v/>
      </c>
      <c r="SAR23" s="50" t="str">
        <f t="shared" si="201"/>
        <v/>
      </c>
      <c r="SAS23" s="50" t="str">
        <f t="shared" si="201"/>
        <v/>
      </c>
      <c r="SAT23" s="50" t="str">
        <f t="shared" si="201"/>
        <v/>
      </c>
      <c r="SAU23" s="50" t="str">
        <f t="shared" si="201"/>
        <v/>
      </c>
      <c r="SAV23" s="50" t="str">
        <f t="shared" si="201"/>
        <v/>
      </c>
      <c r="SAW23" s="50" t="str">
        <f t="shared" si="201"/>
        <v/>
      </c>
      <c r="SAX23" s="50" t="str">
        <f t="shared" si="201"/>
        <v/>
      </c>
      <c r="SAY23" s="50" t="str">
        <f t="shared" si="201"/>
        <v/>
      </c>
      <c r="SAZ23" s="50" t="str">
        <f t="shared" si="201"/>
        <v/>
      </c>
      <c r="SBA23" s="50" t="str">
        <f t="shared" si="201"/>
        <v/>
      </c>
      <c r="SBB23" s="50" t="str">
        <f t="shared" si="201"/>
        <v/>
      </c>
      <c r="SBC23" s="50" t="str">
        <f t="shared" si="201"/>
        <v/>
      </c>
      <c r="SBD23" s="50" t="str">
        <f t="shared" si="201"/>
        <v/>
      </c>
      <c r="SBE23" s="50" t="str">
        <f t="shared" si="201"/>
        <v/>
      </c>
      <c r="SBF23" s="50" t="str">
        <f t="shared" si="201"/>
        <v/>
      </c>
      <c r="SBG23" s="50" t="str">
        <f t="shared" si="201"/>
        <v/>
      </c>
      <c r="SBH23" s="50" t="str">
        <f t="shared" si="201"/>
        <v/>
      </c>
      <c r="SBI23" s="50" t="str">
        <f t="shared" si="201"/>
        <v/>
      </c>
      <c r="SBJ23" s="50" t="str">
        <f t="shared" si="201"/>
        <v/>
      </c>
      <c r="SBK23" s="50" t="str">
        <f t="shared" si="201"/>
        <v/>
      </c>
      <c r="SBL23" s="50" t="str">
        <f t="shared" si="201"/>
        <v/>
      </c>
      <c r="SBM23" s="50" t="str">
        <f t="shared" si="201"/>
        <v/>
      </c>
      <c r="SBN23" s="50" t="str">
        <f t="shared" si="201"/>
        <v/>
      </c>
      <c r="SBO23" s="50" t="str">
        <f t="shared" si="201"/>
        <v/>
      </c>
      <c r="SBP23" s="50" t="str">
        <f t="shared" si="201"/>
        <v/>
      </c>
      <c r="SBQ23" s="50" t="str">
        <f t="shared" ref="SBQ23:SEB23" si="202">IFERROR(IF(SBP23+TIME(1,0,0)&lt;=$G$12,SBP23+TIME(1,0,0),""),"")</f>
        <v/>
      </c>
      <c r="SBR23" s="50" t="str">
        <f t="shared" si="202"/>
        <v/>
      </c>
      <c r="SBS23" s="50" t="str">
        <f t="shared" si="202"/>
        <v/>
      </c>
      <c r="SBT23" s="50" t="str">
        <f t="shared" si="202"/>
        <v/>
      </c>
      <c r="SBU23" s="50" t="str">
        <f t="shared" si="202"/>
        <v/>
      </c>
      <c r="SBV23" s="50" t="str">
        <f t="shared" si="202"/>
        <v/>
      </c>
      <c r="SBW23" s="50" t="str">
        <f t="shared" si="202"/>
        <v/>
      </c>
      <c r="SBX23" s="50" t="str">
        <f t="shared" si="202"/>
        <v/>
      </c>
      <c r="SBY23" s="50" t="str">
        <f t="shared" si="202"/>
        <v/>
      </c>
      <c r="SBZ23" s="50" t="str">
        <f t="shared" si="202"/>
        <v/>
      </c>
      <c r="SCA23" s="50" t="str">
        <f t="shared" si="202"/>
        <v/>
      </c>
      <c r="SCB23" s="50" t="str">
        <f t="shared" si="202"/>
        <v/>
      </c>
      <c r="SCC23" s="50" t="str">
        <f t="shared" si="202"/>
        <v/>
      </c>
      <c r="SCD23" s="50" t="str">
        <f t="shared" si="202"/>
        <v/>
      </c>
      <c r="SCE23" s="50" t="str">
        <f t="shared" si="202"/>
        <v/>
      </c>
      <c r="SCF23" s="50" t="str">
        <f t="shared" si="202"/>
        <v/>
      </c>
      <c r="SCG23" s="50" t="str">
        <f t="shared" si="202"/>
        <v/>
      </c>
      <c r="SCH23" s="50" t="str">
        <f t="shared" si="202"/>
        <v/>
      </c>
      <c r="SCI23" s="50" t="str">
        <f t="shared" si="202"/>
        <v/>
      </c>
      <c r="SCJ23" s="50" t="str">
        <f t="shared" si="202"/>
        <v/>
      </c>
      <c r="SCK23" s="50" t="str">
        <f t="shared" si="202"/>
        <v/>
      </c>
      <c r="SCL23" s="50" t="str">
        <f t="shared" si="202"/>
        <v/>
      </c>
      <c r="SCM23" s="50" t="str">
        <f t="shared" si="202"/>
        <v/>
      </c>
      <c r="SCN23" s="50" t="str">
        <f t="shared" si="202"/>
        <v/>
      </c>
      <c r="SCO23" s="50" t="str">
        <f t="shared" si="202"/>
        <v/>
      </c>
      <c r="SCP23" s="50" t="str">
        <f t="shared" si="202"/>
        <v/>
      </c>
      <c r="SCQ23" s="50" t="str">
        <f t="shared" si="202"/>
        <v/>
      </c>
      <c r="SCR23" s="50" t="str">
        <f t="shared" si="202"/>
        <v/>
      </c>
      <c r="SCS23" s="50" t="str">
        <f t="shared" si="202"/>
        <v/>
      </c>
      <c r="SCT23" s="50" t="str">
        <f t="shared" si="202"/>
        <v/>
      </c>
      <c r="SCU23" s="50" t="str">
        <f t="shared" si="202"/>
        <v/>
      </c>
      <c r="SCV23" s="50" t="str">
        <f t="shared" si="202"/>
        <v/>
      </c>
      <c r="SCW23" s="50" t="str">
        <f t="shared" si="202"/>
        <v/>
      </c>
      <c r="SCX23" s="50" t="str">
        <f t="shared" si="202"/>
        <v/>
      </c>
      <c r="SCY23" s="50" t="str">
        <f t="shared" si="202"/>
        <v/>
      </c>
      <c r="SCZ23" s="50" t="str">
        <f t="shared" si="202"/>
        <v/>
      </c>
      <c r="SDA23" s="50" t="str">
        <f t="shared" si="202"/>
        <v/>
      </c>
      <c r="SDB23" s="50" t="str">
        <f t="shared" si="202"/>
        <v/>
      </c>
      <c r="SDC23" s="50" t="str">
        <f t="shared" si="202"/>
        <v/>
      </c>
      <c r="SDD23" s="50" t="str">
        <f t="shared" si="202"/>
        <v/>
      </c>
      <c r="SDE23" s="50" t="str">
        <f t="shared" si="202"/>
        <v/>
      </c>
      <c r="SDF23" s="50" t="str">
        <f t="shared" si="202"/>
        <v/>
      </c>
      <c r="SDG23" s="50" t="str">
        <f t="shared" si="202"/>
        <v/>
      </c>
      <c r="SDH23" s="50" t="str">
        <f t="shared" si="202"/>
        <v/>
      </c>
      <c r="SDI23" s="50" t="str">
        <f t="shared" si="202"/>
        <v/>
      </c>
      <c r="SDJ23" s="50" t="str">
        <f t="shared" si="202"/>
        <v/>
      </c>
      <c r="SDK23" s="50" t="str">
        <f t="shared" si="202"/>
        <v/>
      </c>
      <c r="SDL23" s="50" t="str">
        <f t="shared" si="202"/>
        <v/>
      </c>
      <c r="SDM23" s="50" t="str">
        <f t="shared" si="202"/>
        <v/>
      </c>
      <c r="SDN23" s="50" t="str">
        <f t="shared" si="202"/>
        <v/>
      </c>
      <c r="SDO23" s="50" t="str">
        <f t="shared" si="202"/>
        <v/>
      </c>
      <c r="SDP23" s="50" t="str">
        <f t="shared" si="202"/>
        <v/>
      </c>
      <c r="SDQ23" s="50" t="str">
        <f t="shared" si="202"/>
        <v/>
      </c>
      <c r="SDR23" s="50" t="str">
        <f t="shared" si="202"/>
        <v/>
      </c>
      <c r="SDS23" s="50" t="str">
        <f t="shared" si="202"/>
        <v/>
      </c>
      <c r="SDT23" s="50" t="str">
        <f t="shared" si="202"/>
        <v/>
      </c>
      <c r="SDU23" s="50" t="str">
        <f t="shared" si="202"/>
        <v/>
      </c>
      <c r="SDV23" s="50" t="str">
        <f t="shared" si="202"/>
        <v/>
      </c>
      <c r="SDW23" s="50" t="str">
        <f t="shared" si="202"/>
        <v/>
      </c>
      <c r="SDX23" s="50" t="str">
        <f t="shared" si="202"/>
        <v/>
      </c>
      <c r="SDY23" s="50" t="str">
        <f t="shared" si="202"/>
        <v/>
      </c>
      <c r="SDZ23" s="50" t="str">
        <f t="shared" si="202"/>
        <v/>
      </c>
      <c r="SEA23" s="50" t="str">
        <f t="shared" si="202"/>
        <v/>
      </c>
      <c r="SEB23" s="50" t="str">
        <f t="shared" si="202"/>
        <v/>
      </c>
      <c r="SEC23" s="50" t="str">
        <f t="shared" ref="SEC23:SGN23" si="203">IFERROR(IF(SEB23+TIME(1,0,0)&lt;=$G$12,SEB23+TIME(1,0,0),""),"")</f>
        <v/>
      </c>
      <c r="SED23" s="50" t="str">
        <f t="shared" si="203"/>
        <v/>
      </c>
      <c r="SEE23" s="50" t="str">
        <f t="shared" si="203"/>
        <v/>
      </c>
      <c r="SEF23" s="50" t="str">
        <f t="shared" si="203"/>
        <v/>
      </c>
      <c r="SEG23" s="50" t="str">
        <f t="shared" si="203"/>
        <v/>
      </c>
      <c r="SEH23" s="50" t="str">
        <f t="shared" si="203"/>
        <v/>
      </c>
      <c r="SEI23" s="50" t="str">
        <f t="shared" si="203"/>
        <v/>
      </c>
      <c r="SEJ23" s="50" t="str">
        <f t="shared" si="203"/>
        <v/>
      </c>
      <c r="SEK23" s="50" t="str">
        <f t="shared" si="203"/>
        <v/>
      </c>
      <c r="SEL23" s="50" t="str">
        <f t="shared" si="203"/>
        <v/>
      </c>
      <c r="SEM23" s="50" t="str">
        <f t="shared" si="203"/>
        <v/>
      </c>
      <c r="SEN23" s="50" t="str">
        <f t="shared" si="203"/>
        <v/>
      </c>
      <c r="SEO23" s="50" t="str">
        <f t="shared" si="203"/>
        <v/>
      </c>
      <c r="SEP23" s="50" t="str">
        <f t="shared" si="203"/>
        <v/>
      </c>
      <c r="SEQ23" s="50" t="str">
        <f t="shared" si="203"/>
        <v/>
      </c>
      <c r="SER23" s="50" t="str">
        <f t="shared" si="203"/>
        <v/>
      </c>
      <c r="SES23" s="50" t="str">
        <f t="shared" si="203"/>
        <v/>
      </c>
      <c r="SET23" s="50" t="str">
        <f t="shared" si="203"/>
        <v/>
      </c>
      <c r="SEU23" s="50" t="str">
        <f t="shared" si="203"/>
        <v/>
      </c>
      <c r="SEV23" s="50" t="str">
        <f t="shared" si="203"/>
        <v/>
      </c>
      <c r="SEW23" s="50" t="str">
        <f t="shared" si="203"/>
        <v/>
      </c>
      <c r="SEX23" s="50" t="str">
        <f t="shared" si="203"/>
        <v/>
      </c>
      <c r="SEY23" s="50" t="str">
        <f t="shared" si="203"/>
        <v/>
      </c>
      <c r="SEZ23" s="50" t="str">
        <f t="shared" si="203"/>
        <v/>
      </c>
      <c r="SFA23" s="50" t="str">
        <f t="shared" si="203"/>
        <v/>
      </c>
      <c r="SFB23" s="50" t="str">
        <f t="shared" si="203"/>
        <v/>
      </c>
      <c r="SFC23" s="50" t="str">
        <f t="shared" si="203"/>
        <v/>
      </c>
      <c r="SFD23" s="50" t="str">
        <f t="shared" si="203"/>
        <v/>
      </c>
      <c r="SFE23" s="50" t="str">
        <f t="shared" si="203"/>
        <v/>
      </c>
      <c r="SFF23" s="50" t="str">
        <f t="shared" si="203"/>
        <v/>
      </c>
      <c r="SFG23" s="50" t="str">
        <f t="shared" si="203"/>
        <v/>
      </c>
      <c r="SFH23" s="50" t="str">
        <f t="shared" si="203"/>
        <v/>
      </c>
      <c r="SFI23" s="50" t="str">
        <f t="shared" si="203"/>
        <v/>
      </c>
      <c r="SFJ23" s="50" t="str">
        <f t="shared" si="203"/>
        <v/>
      </c>
      <c r="SFK23" s="50" t="str">
        <f t="shared" si="203"/>
        <v/>
      </c>
      <c r="SFL23" s="50" t="str">
        <f t="shared" si="203"/>
        <v/>
      </c>
      <c r="SFM23" s="50" t="str">
        <f t="shared" si="203"/>
        <v/>
      </c>
      <c r="SFN23" s="50" t="str">
        <f t="shared" si="203"/>
        <v/>
      </c>
      <c r="SFO23" s="50" t="str">
        <f t="shared" si="203"/>
        <v/>
      </c>
      <c r="SFP23" s="50" t="str">
        <f t="shared" si="203"/>
        <v/>
      </c>
      <c r="SFQ23" s="50" t="str">
        <f t="shared" si="203"/>
        <v/>
      </c>
      <c r="SFR23" s="50" t="str">
        <f t="shared" si="203"/>
        <v/>
      </c>
      <c r="SFS23" s="50" t="str">
        <f t="shared" si="203"/>
        <v/>
      </c>
      <c r="SFT23" s="50" t="str">
        <f t="shared" si="203"/>
        <v/>
      </c>
      <c r="SFU23" s="50" t="str">
        <f t="shared" si="203"/>
        <v/>
      </c>
      <c r="SFV23" s="50" t="str">
        <f t="shared" si="203"/>
        <v/>
      </c>
      <c r="SFW23" s="50" t="str">
        <f t="shared" si="203"/>
        <v/>
      </c>
      <c r="SFX23" s="50" t="str">
        <f t="shared" si="203"/>
        <v/>
      </c>
      <c r="SFY23" s="50" t="str">
        <f t="shared" si="203"/>
        <v/>
      </c>
      <c r="SFZ23" s="50" t="str">
        <f t="shared" si="203"/>
        <v/>
      </c>
      <c r="SGA23" s="50" t="str">
        <f t="shared" si="203"/>
        <v/>
      </c>
      <c r="SGB23" s="50" t="str">
        <f t="shared" si="203"/>
        <v/>
      </c>
      <c r="SGC23" s="50" t="str">
        <f t="shared" si="203"/>
        <v/>
      </c>
      <c r="SGD23" s="50" t="str">
        <f t="shared" si="203"/>
        <v/>
      </c>
      <c r="SGE23" s="50" t="str">
        <f t="shared" si="203"/>
        <v/>
      </c>
      <c r="SGF23" s="50" t="str">
        <f t="shared" si="203"/>
        <v/>
      </c>
      <c r="SGG23" s="50" t="str">
        <f t="shared" si="203"/>
        <v/>
      </c>
      <c r="SGH23" s="50" t="str">
        <f t="shared" si="203"/>
        <v/>
      </c>
      <c r="SGI23" s="50" t="str">
        <f t="shared" si="203"/>
        <v/>
      </c>
      <c r="SGJ23" s="50" t="str">
        <f t="shared" si="203"/>
        <v/>
      </c>
      <c r="SGK23" s="50" t="str">
        <f t="shared" si="203"/>
        <v/>
      </c>
      <c r="SGL23" s="50" t="str">
        <f t="shared" si="203"/>
        <v/>
      </c>
      <c r="SGM23" s="50" t="str">
        <f t="shared" si="203"/>
        <v/>
      </c>
      <c r="SGN23" s="50" t="str">
        <f t="shared" si="203"/>
        <v/>
      </c>
      <c r="SGO23" s="50" t="str">
        <f t="shared" ref="SGO23:SIZ23" si="204">IFERROR(IF(SGN23+TIME(1,0,0)&lt;=$G$12,SGN23+TIME(1,0,0),""),"")</f>
        <v/>
      </c>
      <c r="SGP23" s="50" t="str">
        <f t="shared" si="204"/>
        <v/>
      </c>
      <c r="SGQ23" s="50" t="str">
        <f t="shared" si="204"/>
        <v/>
      </c>
      <c r="SGR23" s="50" t="str">
        <f t="shared" si="204"/>
        <v/>
      </c>
      <c r="SGS23" s="50" t="str">
        <f t="shared" si="204"/>
        <v/>
      </c>
      <c r="SGT23" s="50" t="str">
        <f t="shared" si="204"/>
        <v/>
      </c>
      <c r="SGU23" s="50" t="str">
        <f t="shared" si="204"/>
        <v/>
      </c>
      <c r="SGV23" s="50" t="str">
        <f t="shared" si="204"/>
        <v/>
      </c>
      <c r="SGW23" s="50" t="str">
        <f t="shared" si="204"/>
        <v/>
      </c>
      <c r="SGX23" s="50" t="str">
        <f t="shared" si="204"/>
        <v/>
      </c>
      <c r="SGY23" s="50" t="str">
        <f t="shared" si="204"/>
        <v/>
      </c>
      <c r="SGZ23" s="50" t="str">
        <f t="shared" si="204"/>
        <v/>
      </c>
      <c r="SHA23" s="50" t="str">
        <f t="shared" si="204"/>
        <v/>
      </c>
      <c r="SHB23" s="50" t="str">
        <f t="shared" si="204"/>
        <v/>
      </c>
      <c r="SHC23" s="50" t="str">
        <f t="shared" si="204"/>
        <v/>
      </c>
      <c r="SHD23" s="50" t="str">
        <f t="shared" si="204"/>
        <v/>
      </c>
      <c r="SHE23" s="50" t="str">
        <f t="shared" si="204"/>
        <v/>
      </c>
      <c r="SHF23" s="50" t="str">
        <f t="shared" si="204"/>
        <v/>
      </c>
      <c r="SHG23" s="50" t="str">
        <f t="shared" si="204"/>
        <v/>
      </c>
      <c r="SHH23" s="50" t="str">
        <f t="shared" si="204"/>
        <v/>
      </c>
      <c r="SHI23" s="50" t="str">
        <f t="shared" si="204"/>
        <v/>
      </c>
      <c r="SHJ23" s="50" t="str">
        <f t="shared" si="204"/>
        <v/>
      </c>
      <c r="SHK23" s="50" t="str">
        <f t="shared" si="204"/>
        <v/>
      </c>
      <c r="SHL23" s="50" t="str">
        <f t="shared" si="204"/>
        <v/>
      </c>
      <c r="SHM23" s="50" t="str">
        <f t="shared" si="204"/>
        <v/>
      </c>
      <c r="SHN23" s="50" t="str">
        <f t="shared" si="204"/>
        <v/>
      </c>
      <c r="SHO23" s="50" t="str">
        <f t="shared" si="204"/>
        <v/>
      </c>
      <c r="SHP23" s="50" t="str">
        <f t="shared" si="204"/>
        <v/>
      </c>
      <c r="SHQ23" s="50" t="str">
        <f t="shared" si="204"/>
        <v/>
      </c>
      <c r="SHR23" s="50" t="str">
        <f t="shared" si="204"/>
        <v/>
      </c>
      <c r="SHS23" s="50" t="str">
        <f t="shared" si="204"/>
        <v/>
      </c>
      <c r="SHT23" s="50" t="str">
        <f t="shared" si="204"/>
        <v/>
      </c>
      <c r="SHU23" s="50" t="str">
        <f t="shared" si="204"/>
        <v/>
      </c>
      <c r="SHV23" s="50" t="str">
        <f t="shared" si="204"/>
        <v/>
      </c>
      <c r="SHW23" s="50" t="str">
        <f t="shared" si="204"/>
        <v/>
      </c>
      <c r="SHX23" s="50" t="str">
        <f t="shared" si="204"/>
        <v/>
      </c>
      <c r="SHY23" s="50" t="str">
        <f t="shared" si="204"/>
        <v/>
      </c>
      <c r="SHZ23" s="50" t="str">
        <f t="shared" si="204"/>
        <v/>
      </c>
      <c r="SIA23" s="50" t="str">
        <f t="shared" si="204"/>
        <v/>
      </c>
      <c r="SIB23" s="50" t="str">
        <f t="shared" si="204"/>
        <v/>
      </c>
      <c r="SIC23" s="50" t="str">
        <f t="shared" si="204"/>
        <v/>
      </c>
      <c r="SID23" s="50" t="str">
        <f t="shared" si="204"/>
        <v/>
      </c>
      <c r="SIE23" s="50" t="str">
        <f t="shared" si="204"/>
        <v/>
      </c>
      <c r="SIF23" s="50" t="str">
        <f t="shared" si="204"/>
        <v/>
      </c>
      <c r="SIG23" s="50" t="str">
        <f t="shared" si="204"/>
        <v/>
      </c>
      <c r="SIH23" s="50" t="str">
        <f t="shared" si="204"/>
        <v/>
      </c>
      <c r="SII23" s="50" t="str">
        <f t="shared" si="204"/>
        <v/>
      </c>
      <c r="SIJ23" s="50" t="str">
        <f t="shared" si="204"/>
        <v/>
      </c>
      <c r="SIK23" s="50" t="str">
        <f t="shared" si="204"/>
        <v/>
      </c>
      <c r="SIL23" s="50" t="str">
        <f t="shared" si="204"/>
        <v/>
      </c>
      <c r="SIM23" s="50" t="str">
        <f t="shared" si="204"/>
        <v/>
      </c>
      <c r="SIN23" s="50" t="str">
        <f t="shared" si="204"/>
        <v/>
      </c>
      <c r="SIO23" s="50" t="str">
        <f t="shared" si="204"/>
        <v/>
      </c>
      <c r="SIP23" s="50" t="str">
        <f t="shared" si="204"/>
        <v/>
      </c>
      <c r="SIQ23" s="50" t="str">
        <f t="shared" si="204"/>
        <v/>
      </c>
      <c r="SIR23" s="50" t="str">
        <f t="shared" si="204"/>
        <v/>
      </c>
      <c r="SIS23" s="50" t="str">
        <f t="shared" si="204"/>
        <v/>
      </c>
      <c r="SIT23" s="50" t="str">
        <f t="shared" si="204"/>
        <v/>
      </c>
      <c r="SIU23" s="50" t="str">
        <f t="shared" si="204"/>
        <v/>
      </c>
      <c r="SIV23" s="50" t="str">
        <f t="shared" si="204"/>
        <v/>
      </c>
      <c r="SIW23" s="50" t="str">
        <f t="shared" si="204"/>
        <v/>
      </c>
      <c r="SIX23" s="50" t="str">
        <f t="shared" si="204"/>
        <v/>
      </c>
      <c r="SIY23" s="50" t="str">
        <f t="shared" si="204"/>
        <v/>
      </c>
      <c r="SIZ23" s="50" t="str">
        <f t="shared" si="204"/>
        <v/>
      </c>
      <c r="SJA23" s="50" t="str">
        <f t="shared" ref="SJA23:SLL23" si="205">IFERROR(IF(SIZ23+TIME(1,0,0)&lt;=$G$12,SIZ23+TIME(1,0,0),""),"")</f>
        <v/>
      </c>
      <c r="SJB23" s="50" t="str">
        <f t="shared" si="205"/>
        <v/>
      </c>
      <c r="SJC23" s="50" t="str">
        <f t="shared" si="205"/>
        <v/>
      </c>
      <c r="SJD23" s="50" t="str">
        <f t="shared" si="205"/>
        <v/>
      </c>
      <c r="SJE23" s="50" t="str">
        <f t="shared" si="205"/>
        <v/>
      </c>
      <c r="SJF23" s="50" t="str">
        <f t="shared" si="205"/>
        <v/>
      </c>
      <c r="SJG23" s="50" t="str">
        <f t="shared" si="205"/>
        <v/>
      </c>
      <c r="SJH23" s="50" t="str">
        <f t="shared" si="205"/>
        <v/>
      </c>
      <c r="SJI23" s="50" t="str">
        <f t="shared" si="205"/>
        <v/>
      </c>
      <c r="SJJ23" s="50" t="str">
        <f t="shared" si="205"/>
        <v/>
      </c>
      <c r="SJK23" s="50" t="str">
        <f t="shared" si="205"/>
        <v/>
      </c>
      <c r="SJL23" s="50" t="str">
        <f t="shared" si="205"/>
        <v/>
      </c>
      <c r="SJM23" s="50" t="str">
        <f t="shared" si="205"/>
        <v/>
      </c>
      <c r="SJN23" s="50" t="str">
        <f t="shared" si="205"/>
        <v/>
      </c>
      <c r="SJO23" s="50" t="str">
        <f t="shared" si="205"/>
        <v/>
      </c>
      <c r="SJP23" s="50" t="str">
        <f t="shared" si="205"/>
        <v/>
      </c>
      <c r="SJQ23" s="50" t="str">
        <f t="shared" si="205"/>
        <v/>
      </c>
      <c r="SJR23" s="50" t="str">
        <f t="shared" si="205"/>
        <v/>
      </c>
      <c r="SJS23" s="50" t="str">
        <f t="shared" si="205"/>
        <v/>
      </c>
      <c r="SJT23" s="50" t="str">
        <f t="shared" si="205"/>
        <v/>
      </c>
      <c r="SJU23" s="50" t="str">
        <f t="shared" si="205"/>
        <v/>
      </c>
      <c r="SJV23" s="50" t="str">
        <f t="shared" si="205"/>
        <v/>
      </c>
      <c r="SJW23" s="50" t="str">
        <f t="shared" si="205"/>
        <v/>
      </c>
      <c r="SJX23" s="50" t="str">
        <f t="shared" si="205"/>
        <v/>
      </c>
      <c r="SJY23" s="50" t="str">
        <f t="shared" si="205"/>
        <v/>
      </c>
      <c r="SJZ23" s="50" t="str">
        <f t="shared" si="205"/>
        <v/>
      </c>
      <c r="SKA23" s="50" t="str">
        <f t="shared" si="205"/>
        <v/>
      </c>
      <c r="SKB23" s="50" t="str">
        <f t="shared" si="205"/>
        <v/>
      </c>
      <c r="SKC23" s="50" t="str">
        <f t="shared" si="205"/>
        <v/>
      </c>
      <c r="SKD23" s="50" t="str">
        <f t="shared" si="205"/>
        <v/>
      </c>
      <c r="SKE23" s="50" t="str">
        <f t="shared" si="205"/>
        <v/>
      </c>
      <c r="SKF23" s="50" t="str">
        <f t="shared" si="205"/>
        <v/>
      </c>
      <c r="SKG23" s="50" t="str">
        <f t="shared" si="205"/>
        <v/>
      </c>
      <c r="SKH23" s="50" t="str">
        <f t="shared" si="205"/>
        <v/>
      </c>
      <c r="SKI23" s="50" t="str">
        <f t="shared" si="205"/>
        <v/>
      </c>
      <c r="SKJ23" s="50" t="str">
        <f t="shared" si="205"/>
        <v/>
      </c>
      <c r="SKK23" s="50" t="str">
        <f t="shared" si="205"/>
        <v/>
      </c>
      <c r="SKL23" s="50" t="str">
        <f t="shared" si="205"/>
        <v/>
      </c>
      <c r="SKM23" s="50" t="str">
        <f t="shared" si="205"/>
        <v/>
      </c>
      <c r="SKN23" s="50" t="str">
        <f t="shared" si="205"/>
        <v/>
      </c>
      <c r="SKO23" s="50" t="str">
        <f t="shared" si="205"/>
        <v/>
      </c>
      <c r="SKP23" s="50" t="str">
        <f t="shared" si="205"/>
        <v/>
      </c>
      <c r="SKQ23" s="50" t="str">
        <f t="shared" si="205"/>
        <v/>
      </c>
      <c r="SKR23" s="50" t="str">
        <f t="shared" si="205"/>
        <v/>
      </c>
      <c r="SKS23" s="50" t="str">
        <f t="shared" si="205"/>
        <v/>
      </c>
      <c r="SKT23" s="50" t="str">
        <f t="shared" si="205"/>
        <v/>
      </c>
      <c r="SKU23" s="50" t="str">
        <f t="shared" si="205"/>
        <v/>
      </c>
      <c r="SKV23" s="50" t="str">
        <f t="shared" si="205"/>
        <v/>
      </c>
      <c r="SKW23" s="50" t="str">
        <f t="shared" si="205"/>
        <v/>
      </c>
      <c r="SKX23" s="50" t="str">
        <f t="shared" si="205"/>
        <v/>
      </c>
      <c r="SKY23" s="50" t="str">
        <f t="shared" si="205"/>
        <v/>
      </c>
      <c r="SKZ23" s="50" t="str">
        <f t="shared" si="205"/>
        <v/>
      </c>
      <c r="SLA23" s="50" t="str">
        <f t="shared" si="205"/>
        <v/>
      </c>
      <c r="SLB23" s="50" t="str">
        <f t="shared" si="205"/>
        <v/>
      </c>
      <c r="SLC23" s="50" t="str">
        <f t="shared" si="205"/>
        <v/>
      </c>
      <c r="SLD23" s="50" t="str">
        <f t="shared" si="205"/>
        <v/>
      </c>
      <c r="SLE23" s="50" t="str">
        <f t="shared" si="205"/>
        <v/>
      </c>
      <c r="SLF23" s="50" t="str">
        <f t="shared" si="205"/>
        <v/>
      </c>
      <c r="SLG23" s="50" t="str">
        <f t="shared" si="205"/>
        <v/>
      </c>
      <c r="SLH23" s="50" t="str">
        <f t="shared" si="205"/>
        <v/>
      </c>
      <c r="SLI23" s="50" t="str">
        <f t="shared" si="205"/>
        <v/>
      </c>
      <c r="SLJ23" s="50" t="str">
        <f t="shared" si="205"/>
        <v/>
      </c>
      <c r="SLK23" s="50" t="str">
        <f t="shared" si="205"/>
        <v/>
      </c>
      <c r="SLL23" s="50" t="str">
        <f t="shared" si="205"/>
        <v/>
      </c>
      <c r="SLM23" s="50" t="str">
        <f t="shared" ref="SLM23:SNX23" si="206">IFERROR(IF(SLL23+TIME(1,0,0)&lt;=$G$12,SLL23+TIME(1,0,0),""),"")</f>
        <v/>
      </c>
      <c r="SLN23" s="50" t="str">
        <f t="shared" si="206"/>
        <v/>
      </c>
      <c r="SLO23" s="50" t="str">
        <f t="shared" si="206"/>
        <v/>
      </c>
      <c r="SLP23" s="50" t="str">
        <f t="shared" si="206"/>
        <v/>
      </c>
      <c r="SLQ23" s="50" t="str">
        <f t="shared" si="206"/>
        <v/>
      </c>
      <c r="SLR23" s="50" t="str">
        <f t="shared" si="206"/>
        <v/>
      </c>
      <c r="SLS23" s="50" t="str">
        <f t="shared" si="206"/>
        <v/>
      </c>
      <c r="SLT23" s="50" t="str">
        <f t="shared" si="206"/>
        <v/>
      </c>
      <c r="SLU23" s="50" t="str">
        <f t="shared" si="206"/>
        <v/>
      </c>
      <c r="SLV23" s="50" t="str">
        <f t="shared" si="206"/>
        <v/>
      </c>
      <c r="SLW23" s="50" t="str">
        <f t="shared" si="206"/>
        <v/>
      </c>
      <c r="SLX23" s="50" t="str">
        <f t="shared" si="206"/>
        <v/>
      </c>
      <c r="SLY23" s="50" t="str">
        <f t="shared" si="206"/>
        <v/>
      </c>
      <c r="SLZ23" s="50" t="str">
        <f t="shared" si="206"/>
        <v/>
      </c>
      <c r="SMA23" s="50" t="str">
        <f t="shared" si="206"/>
        <v/>
      </c>
      <c r="SMB23" s="50" t="str">
        <f t="shared" si="206"/>
        <v/>
      </c>
      <c r="SMC23" s="50" t="str">
        <f t="shared" si="206"/>
        <v/>
      </c>
      <c r="SMD23" s="50" t="str">
        <f t="shared" si="206"/>
        <v/>
      </c>
      <c r="SME23" s="50" t="str">
        <f t="shared" si="206"/>
        <v/>
      </c>
      <c r="SMF23" s="50" t="str">
        <f t="shared" si="206"/>
        <v/>
      </c>
      <c r="SMG23" s="50" t="str">
        <f t="shared" si="206"/>
        <v/>
      </c>
      <c r="SMH23" s="50" t="str">
        <f t="shared" si="206"/>
        <v/>
      </c>
      <c r="SMI23" s="50" t="str">
        <f t="shared" si="206"/>
        <v/>
      </c>
      <c r="SMJ23" s="50" t="str">
        <f t="shared" si="206"/>
        <v/>
      </c>
      <c r="SMK23" s="50" t="str">
        <f t="shared" si="206"/>
        <v/>
      </c>
      <c r="SML23" s="50" t="str">
        <f t="shared" si="206"/>
        <v/>
      </c>
      <c r="SMM23" s="50" t="str">
        <f t="shared" si="206"/>
        <v/>
      </c>
      <c r="SMN23" s="50" t="str">
        <f t="shared" si="206"/>
        <v/>
      </c>
      <c r="SMO23" s="50" t="str">
        <f t="shared" si="206"/>
        <v/>
      </c>
      <c r="SMP23" s="50" t="str">
        <f t="shared" si="206"/>
        <v/>
      </c>
      <c r="SMQ23" s="50" t="str">
        <f t="shared" si="206"/>
        <v/>
      </c>
      <c r="SMR23" s="50" t="str">
        <f t="shared" si="206"/>
        <v/>
      </c>
      <c r="SMS23" s="50" t="str">
        <f t="shared" si="206"/>
        <v/>
      </c>
      <c r="SMT23" s="50" t="str">
        <f t="shared" si="206"/>
        <v/>
      </c>
      <c r="SMU23" s="50" t="str">
        <f t="shared" si="206"/>
        <v/>
      </c>
      <c r="SMV23" s="50" t="str">
        <f t="shared" si="206"/>
        <v/>
      </c>
      <c r="SMW23" s="50" t="str">
        <f t="shared" si="206"/>
        <v/>
      </c>
      <c r="SMX23" s="50" t="str">
        <f t="shared" si="206"/>
        <v/>
      </c>
      <c r="SMY23" s="50" t="str">
        <f t="shared" si="206"/>
        <v/>
      </c>
      <c r="SMZ23" s="50" t="str">
        <f t="shared" si="206"/>
        <v/>
      </c>
      <c r="SNA23" s="50" t="str">
        <f t="shared" si="206"/>
        <v/>
      </c>
      <c r="SNB23" s="50" t="str">
        <f t="shared" si="206"/>
        <v/>
      </c>
      <c r="SNC23" s="50" t="str">
        <f t="shared" si="206"/>
        <v/>
      </c>
      <c r="SND23" s="50" t="str">
        <f t="shared" si="206"/>
        <v/>
      </c>
      <c r="SNE23" s="50" t="str">
        <f t="shared" si="206"/>
        <v/>
      </c>
      <c r="SNF23" s="50" t="str">
        <f t="shared" si="206"/>
        <v/>
      </c>
      <c r="SNG23" s="50" t="str">
        <f t="shared" si="206"/>
        <v/>
      </c>
      <c r="SNH23" s="50" t="str">
        <f t="shared" si="206"/>
        <v/>
      </c>
      <c r="SNI23" s="50" t="str">
        <f t="shared" si="206"/>
        <v/>
      </c>
      <c r="SNJ23" s="50" t="str">
        <f t="shared" si="206"/>
        <v/>
      </c>
      <c r="SNK23" s="50" t="str">
        <f t="shared" si="206"/>
        <v/>
      </c>
      <c r="SNL23" s="50" t="str">
        <f t="shared" si="206"/>
        <v/>
      </c>
      <c r="SNM23" s="50" t="str">
        <f t="shared" si="206"/>
        <v/>
      </c>
      <c r="SNN23" s="50" t="str">
        <f t="shared" si="206"/>
        <v/>
      </c>
      <c r="SNO23" s="50" t="str">
        <f t="shared" si="206"/>
        <v/>
      </c>
      <c r="SNP23" s="50" t="str">
        <f t="shared" si="206"/>
        <v/>
      </c>
      <c r="SNQ23" s="50" t="str">
        <f t="shared" si="206"/>
        <v/>
      </c>
      <c r="SNR23" s="50" t="str">
        <f t="shared" si="206"/>
        <v/>
      </c>
      <c r="SNS23" s="50" t="str">
        <f t="shared" si="206"/>
        <v/>
      </c>
      <c r="SNT23" s="50" t="str">
        <f t="shared" si="206"/>
        <v/>
      </c>
      <c r="SNU23" s="50" t="str">
        <f t="shared" si="206"/>
        <v/>
      </c>
      <c r="SNV23" s="50" t="str">
        <f t="shared" si="206"/>
        <v/>
      </c>
      <c r="SNW23" s="50" t="str">
        <f t="shared" si="206"/>
        <v/>
      </c>
      <c r="SNX23" s="50" t="str">
        <f t="shared" si="206"/>
        <v/>
      </c>
      <c r="SNY23" s="50" t="str">
        <f t="shared" ref="SNY23:SQJ23" si="207">IFERROR(IF(SNX23+TIME(1,0,0)&lt;=$G$12,SNX23+TIME(1,0,0),""),"")</f>
        <v/>
      </c>
      <c r="SNZ23" s="50" t="str">
        <f t="shared" si="207"/>
        <v/>
      </c>
      <c r="SOA23" s="50" t="str">
        <f t="shared" si="207"/>
        <v/>
      </c>
      <c r="SOB23" s="50" t="str">
        <f t="shared" si="207"/>
        <v/>
      </c>
      <c r="SOC23" s="50" t="str">
        <f t="shared" si="207"/>
        <v/>
      </c>
      <c r="SOD23" s="50" t="str">
        <f t="shared" si="207"/>
        <v/>
      </c>
      <c r="SOE23" s="50" t="str">
        <f t="shared" si="207"/>
        <v/>
      </c>
      <c r="SOF23" s="50" t="str">
        <f t="shared" si="207"/>
        <v/>
      </c>
      <c r="SOG23" s="50" t="str">
        <f t="shared" si="207"/>
        <v/>
      </c>
      <c r="SOH23" s="50" t="str">
        <f t="shared" si="207"/>
        <v/>
      </c>
      <c r="SOI23" s="50" t="str">
        <f t="shared" si="207"/>
        <v/>
      </c>
      <c r="SOJ23" s="50" t="str">
        <f t="shared" si="207"/>
        <v/>
      </c>
      <c r="SOK23" s="50" t="str">
        <f t="shared" si="207"/>
        <v/>
      </c>
      <c r="SOL23" s="50" t="str">
        <f t="shared" si="207"/>
        <v/>
      </c>
      <c r="SOM23" s="50" t="str">
        <f t="shared" si="207"/>
        <v/>
      </c>
      <c r="SON23" s="50" t="str">
        <f t="shared" si="207"/>
        <v/>
      </c>
      <c r="SOO23" s="50" t="str">
        <f t="shared" si="207"/>
        <v/>
      </c>
      <c r="SOP23" s="50" t="str">
        <f t="shared" si="207"/>
        <v/>
      </c>
      <c r="SOQ23" s="50" t="str">
        <f t="shared" si="207"/>
        <v/>
      </c>
      <c r="SOR23" s="50" t="str">
        <f t="shared" si="207"/>
        <v/>
      </c>
      <c r="SOS23" s="50" t="str">
        <f t="shared" si="207"/>
        <v/>
      </c>
      <c r="SOT23" s="50" t="str">
        <f t="shared" si="207"/>
        <v/>
      </c>
      <c r="SOU23" s="50" t="str">
        <f t="shared" si="207"/>
        <v/>
      </c>
      <c r="SOV23" s="50" t="str">
        <f t="shared" si="207"/>
        <v/>
      </c>
      <c r="SOW23" s="50" t="str">
        <f t="shared" si="207"/>
        <v/>
      </c>
      <c r="SOX23" s="50" t="str">
        <f t="shared" si="207"/>
        <v/>
      </c>
      <c r="SOY23" s="50" t="str">
        <f t="shared" si="207"/>
        <v/>
      </c>
      <c r="SOZ23" s="50" t="str">
        <f t="shared" si="207"/>
        <v/>
      </c>
      <c r="SPA23" s="50" t="str">
        <f t="shared" si="207"/>
        <v/>
      </c>
      <c r="SPB23" s="50" t="str">
        <f t="shared" si="207"/>
        <v/>
      </c>
      <c r="SPC23" s="50" t="str">
        <f t="shared" si="207"/>
        <v/>
      </c>
      <c r="SPD23" s="50" t="str">
        <f t="shared" si="207"/>
        <v/>
      </c>
      <c r="SPE23" s="50" t="str">
        <f t="shared" si="207"/>
        <v/>
      </c>
      <c r="SPF23" s="50" t="str">
        <f t="shared" si="207"/>
        <v/>
      </c>
      <c r="SPG23" s="50" t="str">
        <f t="shared" si="207"/>
        <v/>
      </c>
      <c r="SPH23" s="50" t="str">
        <f t="shared" si="207"/>
        <v/>
      </c>
      <c r="SPI23" s="50" t="str">
        <f t="shared" si="207"/>
        <v/>
      </c>
      <c r="SPJ23" s="50" t="str">
        <f t="shared" si="207"/>
        <v/>
      </c>
      <c r="SPK23" s="50" t="str">
        <f t="shared" si="207"/>
        <v/>
      </c>
      <c r="SPL23" s="50" t="str">
        <f t="shared" si="207"/>
        <v/>
      </c>
      <c r="SPM23" s="50" t="str">
        <f t="shared" si="207"/>
        <v/>
      </c>
      <c r="SPN23" s="50" t="str">
        <f t="shared" si="207"/>
        <v/>
      </c>
      <c r="SPO23" s="50" t="str">
        <f t="shared" si="207"/>
        <v/>
      </c>
      <c r="SPP23" s="50" t="str">
        <f t="shared" si="207"/>
        <v/>
      </c>
      <c r="SPQ23" s="50" t="str">
        <f t="shared" si="207"/>
        <v/>
      </c>
      <c r="SPR23" s="50" t="str">
        <f t="shared" si="207"/>
        <v/>
      </c>
      <c r="SPS23" s="50" t="str">
        <f t="shared" si="207"/>
        <v/>
      </c>
      <c r="SPT23" s="50" t="str">
        <f t="shared" si="207"/>
        <v/>
      </c>
      <c r="SPU23" s="50" t="str">
        <f t="shared" si="207"/>
        <v/>
      </c>
      <c r="SPV23" s="50" t="str">
        <f t="shared" si="207"/>
        <v/>
      </c>
      <c r="SPW23" s="50" t="str">
        <f t="shared" si="207"/>
        <v/>
      </c>
      <c r="SPX23" s="50" t="str">
        <f t="shared" si="207"/>
        <v/>
      </c>
      <c r="SPY23" s="50" t="str">
        <f t="shared" si="207"/>
        <v/>
      </c>
      <c r="SPZ23" s="50" t="str">
        <f t="shared" si="207"/>
        <v/>
      </c>
      <c r="SQA23" s="50" t="str">
        <f t="shared" si="207"/>
        <v/>
      </c>
      <c r="SQB23" s="50" t="str">
        <f t="shared" si="207"/>
        <v/>
      </c>
      <c r="SQC23" s="50" t="str">
        <f t="shared" si="207"/>
        <v/>
      </c>
      <c r="SQD23" s="50" t="str">
        <f t="shared" si="207"/>
        <v/>
      </c>
      <c r="SQE23" s="50" t="str">
        <f t="shared" si="207"/>
        <v/>
      </c>
      <c r="SQF23" s="50" t="str">
        <f t="shared" si="207"/>
        <v/>
      </c>
      <c r="SQG23" s="50" t="str">
        <f t="shared" si="207"/>
        <v/>
      </c>
      <c r="SQH23" s="50" t="str">
        <f t="shared" si="207"/>
        <v/>
      </c>
      <c r="SQI23" s="50" t="str">
        <f t="shared" si="207"/>
        <v/>
      </c>
      <c r="SQJ23" s="50" t="str">
        <f t="shared" si="207"/>
        <v/>
      </c>
      <c r="SQK23" s="50" t="str">
        <f t="shared" ref="SQK23:SSV23" si="208">IFERROR(IF(SQJ23+TIME(1,0,0)&lt;=$G$12,SQJ23+TIME(1,0,0),""),"")</f>
        <v/>
      </c>
      <c r="SQL23" s="50" t="str">
        <f t="shared" si="208"/>
        <v/>
      </c>
      <c r="SQM23" s="50" t="str">
        <f t="shared" si="208"/>
        <v/>
      </c>
      <c r="SQN23" s="50" t="str">
        <f t="shared" si="208"/>
        <v/>
      </c>
      <c r="SQO23" s="50" t="str">
        <f t="shared" si="208"/>
        <v/>
      </c>
      <c r="SQP23" s="50" t="str">
        <f t="shared" si="208"/>
        <v/>
      </c>
      <c r="SQQ23" s="50" t="str">
        <f t="shared" si="208"/>
        <v/>
      </c>
      <c r="SQR23" s="50" t="str">
        <f t="shared" si="208"/>
        <v/>
      </c>
      <c r="SQS23" s="50" t="str">
        <f t="shared" si="208"/>
        <v/>
      </c>
      <c r="SQT23" s="50" t="str">
        <f t="shared" si="208"/>
        <v/>
      </c>
      <c r="SQU23" s="50" t="str">
        <f t="shared" si="208"/>
        <v/>
      </c>
      <c r="SQV23" s="50" t="str">
        <f t="shared" si="208"/>
        <v/>
      </c>
      <c r="SQW23" s="50" t="str">
        <f t="shared" si="208"/>
        <v/>
      </c>
      <c r="SQX23" s="50" t="str">
        <f t="shared" si="208"/>
        <v/>
      </c>
      <c r="SQY23" s="50" t="str">
        <f t="shared" si="208"/>
        <v/>
      </c>
      <c r="SQZ23" s="50" t="str">
        <f t="shared" si="208"/>
        <v/>
      </c>
      <c r="SRA23" s="50" t="str">
        <f t="shared" si="208"/>
        <v/>
      </c>
      <c r="SRB23" s="50" t="str">
        <f t="shared" si="208"/>
        <v/>
      </c>
      <c r="SRC23" s="50" t="str">
        <f t="shared" si="208"/>
        <v/>
      </c>
      <c r="SRD23" s="50" t="str">
        <f t="shared" si="208"/>
        <v/>
      </c>
      <c r="SRE23" s="50" t="str">
        <f t="shared" si="208"/>
        <v/>
      </c>
      <c r="SRF23" s="50" t="str">
        <f t="shared" si="208"/>
        <v/>
      </c>
      <c r="SRG23" s="50" t="str">
        <f t="shared" si="208"/>
        <v/>
      </c>
      <c r="SRH23" s="50" t="str">
        <f t="shared" si="208"/>
        <v/>
      </c>
      <c r="SRI23" s="50" t="str">
        <f t="shared" si="208"/>
        <v/>
      </c>
      <c r="SRJ23" s="50" t="str">
        <f t="shared" si="208"/>
        <v/>
      </c>
      <c r="SRK23" s="50" t="str">
        <f t="shared" si="208"/>
        <v/>
      </c>
      <c r="SRL23" s="50" t="str">
        <f t="shared" si="208"/>
        <v/>
      </c>
      <c r="SRM23" s="50" t="str">
        <f t="shared" si="208"/>
        <v/>
      </c>
      <c r="SRN23" s="50" t="str">
        <f t="shared" si="208"/>
        <v/>
      </c>
      <c r="SRO23" s="50" t="str">
        <f t="shared" si="208"/>
        <v/>
      </c>
      <c r="SRP23" s="50" t="str">
        <f t="shared" si="208"/>
        <v/>
      </c>
      <c r="SRQ23" s="50" t="str">
        <f t="shared" si="208"/>
        <v/>
      </c>
      <c r="SRR23" s="50" t="str">
        <f t="shared" si="208"/>
        <v/>
      </c>
      <c r="SRS23" s="50" t="str">
        <f t="shared" si="208"/>
        <v/>
      </c>
      <c r="SRT23" s="50" t="str">
        <f t="shared" si="208"/>
        <v/>
      </c>
      <c r="SRU23" s="50" t="str">
        <f t="shared" si="208"/>
        <v/>
      </c>
      <c r="SRV23" s="50" t="str">
        <f t="shared" si="208"/>
        <v/>
      </c>
      <c r="SRW23" s="50" t="str">
        <f t="shared" si="208"/>
        <v/>
      </c>
      <c r="SRX23" s="50" t="str">
        <f t="shared" si="208"/>
        <v/>
      </c>
      <c r="SRY23" s="50" t="str">
        <f t="shared" si="208"/>
        <v/>
      </c>
      <c r="SRZ23" s="50" t="str">
        <f t="shared" si="208"/>
        <v/>
      </c>
      <c r="SSA23" s="50" t="str">
        <f t="shared" si="208"/>
        <v/>
      </c>
      <c r="SSB23" s="50" t="str">
        <f t="shared" si="208"/>
        <v/>
      </c>
      <c r="SSC23" s="50" t="str">
        <f t="shared" si="208"/>
        <v/>
      </c>
      <c r="SSD23" s="50" t="str">
        <f t="shared" si="208"/>
        <v/>
      </c>
      <c r="SSE23" s="50" t="str">
        <f t="shared" si="208"/>
        <v/>
      </c>
      <c r="SSF23" s="50" t="str">
        <f t="shared" si="208"/>
        <v/>
      </c>
      <c r="SSG23" s="50" t="str">
        <f t="shared" si="208"/>
        <v/>
      </c>
      <c r="SSH23" s="50" t="str">
        <f t="shared" si="208"/>
        <v/>
      </c>
      <c r="SSI23" s="50" t="str">
        <f t="shared" si="208"/>
        <v/>
      </c>
      <c r="SSJ23" s="50" t="str">
        <f t="shared" si="208"/>
        <v/>
      </c>
      <c r="SSK23" s="50" t="str">
        <f t="shared" si="208"/>
        <v/>
      </c>
      <c r="SSL23" s="50" t="str">
        <f t="shared" si="208"/>
        <v/>
      </c>
      <c r="SSM23" s="50" t="str">
        <f t="shared" si="208"/>
        <v/>
      </c>
      <c r="SSN23" s="50" t="str">
        <f t="shared" si="208"/>
        <v/>
      </c>
      <c r="SSO23" s="50" t="str">
        <f t="shared" si="208"/>
        <v/>
      </c>
      <c r="SSP23" s="50" t="str">
        <f t="shared" si="208"/>
        <v/>
      </c>
      <c r="SSQ23" s="50" t="str">
        <f t="shared" si="208"/>
        <v/>
      </c>
      <c r="SSR23" s="50" t="str">
        <f t="shared" si="208"/>
        <v/>
      </c>
      <c r="SSS23" s="50" t="str">
        <f t="shared" si="208"/>
        <v/>
      </c>
      <c r="SST23" s="50" t="str">
        <f t="shared" si="208"/>
        <v/>
      </c>
      <c r="SSU23" s="50" t="str">
        <f t="shared" si="208"/>
        <v/>
      </c>
      <c r="SSV23" s="50" t="str">
        <f t="shared" si="208"/>
        <v/>
      </c>
      <c r="SSW23" s="50" t="str">
        <f t="shared" ref="SSW23:SVH23" si="209">IFERROR(IF(SSV23+TIME(1,0,0)&lt;=$G$12,SSV23+TIME(1,0,0),""),"")</f>
        <v/>
      </c>
      <c r="SSX23" s="50" t="str">
        <f t="shared" si="209"/>
        <v/>
      </c>
      <c r="SSY23" s="50" t="str">
        <f t="shared" si="209"/>
        <v/>
      </c>
      <c r="SSZ23" s="50" t="str">
        <f t="shared" si="209"/>
        <v/>
      </c>
      <c r="STA23" s="50" t="str">
        <f t="shared" si="209"/>
        <v/>
      </c>
      <c r="STB23" s="50" t="str">
        <f t="shared" si="209"/>
        <v/>
      </c>
      <c r="STC23" s="50" t="str">
        <f t="shared" si="209"/>
        <v/>
      </c>
      <c r="STD23" s="50" t="str">
        <f t="shared" si="209"/>
        <v/>
      </c>
      <c r="STE23" s="50" t="str">
        <f t="shared" si="209"/>
        <v/>
      </c>
      <c r="STF23" s="50" t="str">
        <f t="shared" si="209"/>
        <v/>
      </c>
      <c r="STG23" s="50" t="str">
        <f t="shared" si="209"/>
        <v/>
      </c>
      <c r="STH23" s="50" t="str">
        <f t="shared" si="209"/>
        <v/>
      </c>
      <c r="STI23" s="50" t="str">
        <f t="shared" si="209"/>
        <v/>
      </c>
      <c r="STJ23" s="50" t="str">
        <f t="shared" si="209"/>
        <v/>
      </c>
      <c r="STK23" s="50" t="str">
        <f t="shared" si="209"/>
        <v/>
      </c>
      <c r="STL23" s="50" t="str">
        <f t="shared" si="209"/>
        <v/>
      </c>
      <c r="STM23" s="50" t="str">
        <f t="shared" si="209"/>
        <v/>
      </c>
      <c r="STN23" s="50" t="str">
        <f t="shared" si="209"/>
        <v/>
      </c>
      <c r="STO23" s="50" t="str">
        <f t="shared" si="209"/>
        <v/>
      </c>
      <c r="STP23" s="50" t="str">
        <f t="shared" si="209"/>
        <v/>
      </c>
      <c r="STQ23" s="50" t="str">
        <f t="shared" si="209"/>
        <v/>
      </c>
      <c r="STR23" s="50" t="str">
        <f t="shared" si="209"/>
        <v/>
      </c>
      <c r="STS23" s="50" t="str">
        <f t="shared" si="209"/>
        <v/>
      </c>
      <c r="STT23" s="50" t="str">
        <f t="shared" si="209"/>
        <v/>
      </c>
      <c r="STU23" s="50" t="str">
        <f t="shared" si="209"/>
        <v/>
      </c>
      <c r="STV23" s="50" t="str">
        <f t="shared" si="209"/>
        <v/>
      </c>
      <c r="STW23" s="50" t="str">
        <f t="shared" si="209"/>
        <v/>
      </c>
      <c r="STX23" s="50" t="str">
        <f t="shared" si="209"/>
        <v/>
      </c>
      <c r="STY23" s="50" t="str">
        <f t="shared" si="209"/>
        <v/>
      </c>
      <c r="STZ23" s="50" t="str">
        <f t="shared" si="209"/>
        <v/>
      </c>
      <c r="SUA23" s="50" t="str">
        <f t="shared" si="209"/>
        <v/>
      </c>
      <c r="SUB23" s="50" t="str">
        <f t="shared" si="209"/>
        <v/>
      </c>
      <c r="SUC23" s="50" t="str">
        <f t="shared" si="209"/>
        <v/>
      </c>
      <c r="SUD23" s="50" t="str">
        <f t="shared" si="209"/>
        <v/>
      </c>
      <c r="SUE23" s="50" t="str">
        <f t="shared" si="209"/>
        <v/>
      </c>
      <c r="SUF23" s="50" t="str">
        <f t="shared" si="209"/>
        <v/>
      </c>
      <c r="SUG23" s="50" t="str">
        <f t="shared" si="209"/>
        <v/>
      </c>
      <c r="SUH23" s="50" t="str">
        <f t="shared" si="209"/>
        <v/>
      </c>
      <c r="SUI23" s="50" t="str">
        <f t="shared" si="209"/>
        <v/>
      </c>
      <c r="SUJ23" s="50" t="str">
        <f t="shared" si="209"/>
        <v/>
      </c>
      <c r="SUK23" s="50" t="str">
        <f t="shared" si="209"/>
        <v/>
      </c>
      <c r="SUL23" s="50" t="str">
        <f t="shared" si="209"/>
        <v/>
      </c>
      <c r="SUM23" s="50" t="str">
        <f t="shared" si="209"/>
        <v/>
      </c>
      <c r="SUN23" s="50" t="str">
        <f t="shared" si="209"/>
        <v/>
      </c>
      <c r="SUO23" s="50" t="str">
        <f t="shared" si="209"/>
        <v/>
      </c>
      <c r="SUP23" s="50" t="str">
        <f t="shared" si="209"/>
        <v/>
      </c>
      <c r="SUQ23" s="50" t="str">
        <f t="shared" si="209"/>
        <v/>
      </c>
      <c r="SUR23" s="50" t="str">
        <f t="shared" si="209"/>
        <v/>
      </c>
      <c r="SUS23" s="50" t="str">
        <f t="shared" si="209"/>
        <v/>
      </c>
      <c r="SUT23" s="50" t="str">
        <f t="shared" si="209"/>
        <v/>
      </c>
      <c r="SUU23" s="50" t="str">
        <f t="shared" si="209"/>
        <v/>
      </c>
      <c r="SUV23" s="50" t="str">
        <f t="shared" si="209"/>
        <v/>
      </c>
      <c r="SUW23" s="50" t="str">
        <f t="shared" si="209"/>
        <v/>
      </c>
      <c r="SUX23" s="50" t="str">
        <f t="shared" si="209"/>
        <v/>
      </c>
      <c r="SUY23" s="50" t="str">
        <f t="shared" si="209"/>
        <v/>
      </c>
      <c r="SUZ23" s="50" t="str">
        <f t="shared" si="209"/>
        <v/>
      </c>
      <c r="SVA23" s="50" t="str">
        <f t="shared" si="209"/>
        <v/>
      </c>
      <c r="SVB23" s="50" t="str">
        <f t="shared" si="209"/>
        <v/>
      </c>
      <c r="SVC23" s="50" t="str">
        <f t="shared" si="209"/>
        <v/>
      </c>
      <c r="SVD23" s="50" t="str">
        <f t="shared" si="209"/>
        <v/>
      </c>
      <c r="SVE23" s="50" t="str">
        <f t="shared" si="209"/>
        <v/>
      </c>
      <c r="SVF23" s="50" t="str">
        <f t="shared" si="209"/>
        <v/>
      </c>
      <c r="SVG23" s="50" t="str">
        <f t="shared" si="209"/>
        <v/>
      </c>
      <c r="SVH23" s="50" t="str">
        <f t="shared" si="209"/>
        <v/>
      </c>
      <c r="SVI23" s="50" t="str">
        <f t="shared" ref="SVI23:SXT23" si="210">IFERROR(IF(SVH23+TIME(1,0,0)&lt;=$G$12,SVH23+TIME(1,0,0),""),"")</f>
        <v/>
      </c>
      <c r="SVJ23" s="50" t="str">
        <f t="shared" si="210"/>
        <v/>
      </c>
      <c r="SVK23" s="50" t="str">
        <f t="shared" si="210"/>
        <v/>
      </c>
      <c r="SVL23" s="50" t="str">
        <f t="shared" si="210"/>
        <v/>
      </c>
      <c r="SVM23" s="50" t="str">
        <f t="shared" si="210"/>
        <v/>
      </c>
      <c r="SVN23" s="50" t="str">
        <f t="shared" si="210"/>
        <v/>
      </c>
      <c r="SVO23" s="50" t="str">
        <f t="shared" si="210"/>
        <v/>
      </c>
      <c r="SVP23" s="50" t="str">
        <f t="shared" si="210"/>
        <v/>
      </c>
      <c r="SVQ23" s="50" t="str">
        <f t="shared" si="210"/>
        <v/>
      </c>
      <c r="SVR23" s="50" t="str">
        <f t="shared" si="210"/>
        <v/>
      </c>
      <c r="SVS23" s="50" t="str">
        <f t="shared" si="210"/>
        <v/>
      </c>
      <c r="SVT23" s="50" t="str">
        <f t="shared" si="210"/>
        <v/>
      </c>
      <c r="SVU23" s="50" t="str">
        <f t="shared" si="210"/>
        <v/>
      </c>
      <c r="SVV23" s="50" t="str">
        <f t="shared" si="210"/>
        <v/>
      </c>
      <c r="SVW23" s="50" t="str">
        <f t="shared" si="210"/>
        <v/>
      </c>
      <c r="SVX23" s="50" t="str">
        <f t="shared" si="210"/>
        <v/>
      </c>
      <c r="SVY23" s="50" t="str">
        <f t="shared" si="210"/>
        <v/>
      </c>
      <c r="SVZ23" s="50" t="str">
        <f t="shared" si="210"/>
        <v/>
      </c>
      <c r="SWA23" s="50" t="str">
        <f t="shared" si="210"/>
        <v/>
      </c>
      <c r="SWB23" s="50" t="str">
        <f t="shared" si="210"/>
        <v/>
      </c>
      <c r="SWC23" s="50" t="str">
        <f t="shared" si="210"/>
        <v/>
      </c>
      <c r="SWD23" s="50" t="str">
        <f t="shared" si="210"/>
        <v/>
      </c>
      <c r="SWE23" s="50" t="str">
        <f t="shared" si="210"/>
        <v/>
      </c>
      <c r="SWF23" s="50" t="str">
        <f t="shared" si="210"/>
        <v/>
      </c>
      <c r="SWG23" s="50" t="str">
        <f t="shared" si="210"/>
        <v/>
      </c>
      <c r="SWH23" s="50" t="str">
        <f t="shared" si="210"/>
        <v/>
      </c>
      <c r="SWI23" s="50" t="str">
        <f t="shared" si="210"/>
        <v/>
      </c>
      <c r="SWJ23" s="50" t="str">
        <f t="shared" si="210"/>
        <v/>
      </c>
      <c r="SWK23" s="50" t="str">
        <f t="shared" si="210"/>
        <v/>
      </c>
      <c r="SWL23" s="50" t="str">
        <f t="shared" si="210"/>
        <v/>
      </c>
      <c r="SWM23" s="50" t="str">
        <f t="shared" si="210"/>
        <v/>
      </c>
      <c r="SWN23" s="50" t="str">
        <f t="shared" si="210"/>
        <v/>
      </c>
      <c r="SWO23" s="50" t="str">
        <f t="shared" si="210"/>
        <v/>
      </c>
      <c r="SWP23" s="50" t="str">
        <f t="shared" si="210"/>
        <v/>
      </c>
      <c r="SWQ23" s="50" t="str">
        <f t="shared" si="210"/>
        <v/>
      </c>
      <c r="SWR23" s="50" t="str">
        <f t="shared" si="210"/>
        <v/>
      </c>
      <c r="SWS23" s="50" t="str">
        <f t="shared" si="210"/>
        <v/>
      </c>
      <c r="SWT23" s="50" t="str">
        <f t="shared" si="210"/>
        <v/>
      </c>
      <c r="SWU23" s="50" t="str">
        <f t="shared" si="210"/>
        <v/>
      </c>
      <c r="SWV23" s="50" t="str">
        <f t="shared" si="210"/>
        <v/>
      </c>
      <c r="SWW23" s="50" t="str">
        <f t="shared" si="210"/>
        <v/>
      </c>
      <c r="SWX23" s="50" t="str">
        <f t="shared" si="210"/>
        <v/>
      </c>
      <c r="SWY23" s="50" t="str">
        <f t="shared" si="210"/>
        <v/>
      </c>
      <c r="SWZ23" s="50" t="str">
        <f t="shared" si="210"/>
        <v/>
      </c>
      <c r="SXA23" s="50" t="str">
        <f t="shared" si="210"/>
        <v/>
      </c>
      <c r="SXB23" s="50" t="str">
        <f t="shared" si="210"/>
        <v/>
      </c>
      <c r="SXC23" s="50" t="str">
        <f t="shared" si="210"/>
        <v/>
      </c>
      <c r="SXD23" s="50" t="str">
        <f t="shared" si="210"/>
        <v/>
      </c>
      <c r="SXE23" s="50" t="str">
        <f t="shared" si="210"/>
        <v/>
      </c>
      <c r="SXF23" s="50" t="str">
        <f t="shared" si="210"/>
        <v/>
      </c>
      <c r="SXG23" s="50" t="str">
        <f t="shared" si="210"/>
        <v/>
      </c>
      <c r="SXH23" s="50" t="str">
        <f t="shared" si="210"/>
        <v/>
      </c>
      <c r="SXI23" s="50" t="str">
        <f t="shared" si="210"/>
        <v/>
      </c>
      <c r="SXJ23" s="50" t="str">
        <f t="shared" si="210"/>
        <v/>
      </c>
      <c r="SXK23" s="50" t="str">
        <f t="shared" si="210"/>
        <v/>
      </c>
      <c r="SXL23" s="50" t="str">
        <f t="shared" si="210"/>
        <v/>
      </c>
      <c r="SXM23" s="50" t="str">
        <f t="shared" si="210"/>
        <v/>
      </c>
      <c r="SXN23" s="50" t="str">
        <f t="shared" si="210"/>
        <v/>
      </c>
      <c r="SXO23" s="50" t="str">
        <f t="shared" si="210"/>
        <v/>
      </c>
      <c r="SXP23" s="50" t="str">
        <f t="shared" si="210"/>
        <v/>
      </c>
      <c r="SXQ23" s="50" t="str">
        <f t="shared" si="210"/>
        <v/>
      </c>
      <c r="SXR23" s="50" t="str">
        <f t="shared" si="210"/>
        <v/>
      </c>
      <c r="SXS23" s="50" t="str">
        <f t="shared" si="210"/>
        <v/>
      </c>
      <c r="SXT23" s="50" t="str">
        <f t="shared" si="210"/>
        <v/>
      </c>
      <c r="SXU23" s="50" t="str">
        <f t="shared" ref="SXU23:TAF23" si="211">IFERROR(IF(SXT23+TIME(1,0,0)&lt;=$G$12,SXT23+TIME(1,0,0),""),"")</f>
        <v/>
      </c>
      <c r="SXV23" s="50" t="str">
        <f t="shared" si="211"/>
        <v/>
      </c>
      <c r="SXW23" s="50" t="str">
        <f t="shared" si="211"/>
        <v/>
      </c>
      <c r="SXX23" s="50" t="str">
        <f t="shared" si="211"/>
        <v/>
      </c>
      <c r="SXY23" s="50" t="str">
        <f t="shared" si="211"/>
        <v/>
      </c>
      <c r="SXZ23" s="50" t="str">
        <f t="shared" si="211"/>
        <v/>
      </c>
      <c r="SYA23" s="50" t="str">
        <f t="shared" si="211"/>
        <v/>
      </c>
      <c r="SYB23" s="50" t="str">
        <f t="shared" si="211"/>
        <v/>
      </c>
      <c r="SYC23" s="50" t="str">
        <f t="shared" si="211"/>
        <v/>
      </c>
      <c r="SYD23" s="50" t="str">
        <f t="shared" si="211"/>
        <v/>
      </c>
      <c r="SYE23" s="50" t="str">
        <f t="shared" si="211"/>
        <v/>
      </c>
      <c r="SYF23" s="50" t="str">
        <f t="shared" si="211"/>
        <v/>
      </c>
      <c r="SYG23" s="50" t="str">
        <f t="shared" si="211"/>
        <v/>
      </c>
      <c r="SYH23" s="50" t="str">
        <f t="shared" si="211"/>
        <v/>
      </c>
      <c r="SYI23" s="50" t="str">
        <f t="shared" si="211"/>
        <v/>
      </c>
      <c r="SYJ23" s="50" t="str">
        <f t="shared" si="211"/>
        <v/>
      </c>
      <c r="SYK23" s="50" t="str">
        <f t="shared" si="211"/>
        <v/>
      </c>
      <c r="SYL23" s="50" t="str">
        <f t="shared" si="211"/>
        <v/>
      </c>
      <c r="SYM23" s="50" t="str">
        <f t="shared" si="211"/>
        <v/>
      </c>
      <c r="SYN23" s="50" t="str">
        <f t="shared" si="211"/>
        <v/>
      </c>
      <c r="SYO23" s="50" t="str">
        <f t="shared" si="211"/>
        <v/>
      </c>
      <c r="SYP23" s="50" t="str">
        <f t="shared" si="211"/>
        <v/>
      </c>
      <c r="SYQ23" s="50" t="str">
        <f t="shared" si="211"/>
        <v/>
      </c>
      <c r="SYR23" s="50" t="str">
        <f t="shared" si="211"/>
        <v/>
      </c>
      <c r="SYS23" s="50" t="str">
        <f t="shared" si="211"/>
        <v/>
      </c>
      <c r="SYT23" s="50" t="str">
        <f t="shared" si="211"/>
        <v/>
      </c>
      <c r="SYU23" s="50" t="str">
        <f t="shared" si="211"/>
        <v/>
      </c>
      <c r="SYV23" s="50" t="str">
        <f t="shared" si="211"/>
        <v/>
      </c>
      <c r="SYW23" s="50" t="str">
        <f t="shared" si="211"/>
        <v/>
      </c>
      <c r="SYX23" s="50" t="str">
        <f t="shared" si="211"/>
        <v/>
      </c>
      <c r="SYY23" s="50" t="str">
        <f t="shared" si="211"/>
        <v/>
      </c>
      <c r="SYZ23" s="50" t="str">
        <f t="shared" si="211"/>
        <v/>
      </c>
      <c r="SZA23" s="50" t="str">
        <f t="shared" si="211"/>
        <v/>
      </c>
      <c r="SZB23" s="50" t="str">
        <f t="shared" si="211"/>
        <v/>
      </c>
      <c r="SZC23" s="50" t="str">
        <f t="shared" si="211"/>
        <v/>
      </c>
      <c r="SZD23" s="50" t="str">
        <f t="shared" si="211"/>
        <v/>
      </c>
      <c r="SZE23" s="50" t="str">
        <f t="shared" si="211"/>
        <v/>
      </c>
      <c r="SZF23" s="50" t="str">
        <f t="shared" si="211"/>
        <v/>
      </c>
      <c r="SZG23" s="50" t="str">
        <f t="shared" si="211"/>
        <v/>
      </c>
      <c r="SZH23" s="50" t="str">
        <f t="shared" si="211"/>
        <v/>
      </c>
      <c r="SZI23" s="50" t="str">
        <f t="shared" si="211"/>
        <v/>
      </c>
      <c r="SZJ23" s="50" t="str">
        <f t="shared" si="211"/>
        <v/>
      </c>
      <c r="SZK23" s="50" t="str">
        <f t="shared" si="211"/>
        <v/>
      </c>
      <c r="SZL23" s="50" t="str">
        <f t="shared" si="211"/>
        <v/>
      </c>
      <c r="SZM23" s="50" t="str">
        <f t="shared" si="211"/>
        <v/>
      </c>
      <c r="SZN23" s="50" t="str">
        <f t="shared" si="211"/>
        <v/>
      </c>
      <c r="SZO23" s="50" t="str">
        <f t="shared" si="211"/>
        <v/>
      </c>
      <c r="SZP23" s="50" t="str">
        <f t="shared" si="211"/>
        <v/>
      </c>
      <c r="SZQ23" s="50" t="str">
        <f t="shared" si="211"/>
        <v/>
      </c>
      <c r="SZR23" s="50" t="str">
        <f t="shared" si="211"/>
        <v/>
      </c>
      <c r="SZS23" s="50" t="str">
        <f t="shared" si="211"/>
        <v/>
      </c>
      <c r="SZT23" s="50" t="str">
        <f t="shared" si="211"/>
        <v/>
      </c>
      <c r="SZU23" s="50" t="str">
        <f t="shared" si="211"/>
        <v/>
      </c>
      <c r="SZV23" s="50" t="str">
        <f t="shared" si="211"/>
        <v/>
      </c>
      <c r="SZW23" s="50" t="str">
        <f t="shared" si="211"/>
        <v/>
      </c>
      <c r="SZX23" s="50" t="str">
        <f t="shared" si="211"/>
        <v/>
      </c>
      <c r="SZY23" s="50" t="str">
        <f t="shared" si="211"/>
        <v/>
      </c>
      <c r="SZZ23" s="50" t="str">
        <f t="shared" si="211"/>
        <v/>
      </c>
      <c r="TAA23" s="50" t="str">
        <f t="shared" si="211"/>
        <v/>
      </c>
      <c r="TAB23" s="50" t="str">
        <f t="shared" si="211"/>
        <v/>
      </c>
      <c r="TAC23" s="50" t="str">
        <f t="shared" si="211"/>
        <v/>
      </c>
      <c r="TAD23" s="50" t="str">
        <f t="shared" si="211"/>
        <v/>
      </c>
      <c r="TAE23" s="50" t="str">
        <f t="shared" si="211"/>
        <v/>
      </c>
      <c r="TAF23" s="50" t="str">
        <f t="shared" si="211"/>
        <v/>
      </c>
      <c r="TAG23" s="50" t="str">
        <f t="shared" ref="TAG23:TCR23" si="212">IFERROR(IF(TAF23+TIME(1,0,0)&lt;=$G$12,TAF23+TIME(1,0,0),""),"")</f>
        <v/>
      </c>
      <c r="TAH23" s="50" t="str">
        <f t="shared" si="212"/>
        <v/>
      </c>
      <c r="TAI23" s="50" t="str">
        <f t="shared" si="212"/>
        <v/>
      </c>
      <c r="TAJ23" s="50" t="str">
        <f t="shared" si="212"/>
        <v/>
      </c>
      <c r="TAK23" s="50" t="str">
        <f t="shared" si="212"/>
        <v/>
      </c>
      <c r="TAL23" s="50" t="str">
        <f t="shared" si="212"/>
        <v/>
      </c>
      <c r="TAM23" s="50" t="str">
        <f t="shared" si="212"/>
        <v/>
      </c>
      <c r="TAN23" s="50" t="str">
        <f t="shared" si="212"/>
        <v/>
      </c>
      <c r="TAO23" s="50" t="str">
        <f t="shared" si="212"/>
        <v/>
      </c>
      <c r="TAP23" s="50" t="str">
        <f t="shared" si="212"/>
        <v/>
      </c>
      <c r="TAQ23" s="50" t="str">
        <f t="shared" si="212"/>
        <v/>
      </c>
      <c r="TAR23" s="50" t="str">
        <f t="shared" si="212"/>
        <v/>
      </c>
      <c r="TAS23" s="50" t="str">
        <f t="shared" si="212"/>
        <v/>
      </c>
      <c r="TAT23" s="50" t="str">
        <f t="shared" si="212"/>
        <v/>
      </c>
      <c r="TAU23" s="50" t="str">
        <f t="shared" si="212"/>
        <v/>
      </c>
      <c r="TAV23" s="50" t="str">
        <f t="shared" si="212"/>
        <v/>
      </c>
      <c r="TAW23" s="50" t="str">
        <f t="shared" si="212"/>
        <v/>
      </c>
      <c r="TAX23" s="50" t="str">
        <f t="shared" si="212"/>
        <v/>
      </c>
      <c r="TAY23" s="50" t="str">
        <f t="shared" si="212"/>
        <v/>
      </c>
      <c r="TAZ23" s="50" t="str">
        <f t="shared" si="212"/>
        <v/>
      </c>
      <c r="TBA23" s="50" t="str">
        <f t="shared" si="212"/>
        <v/>
      </c>
      <c r="TBB23" s="50" t="str">
        <f t="shared" si="212"/>
        <v/>
      </c>
      <c r="TBC23" s="50" t="str">
        <f t="shared" si="212"/>
        <v/>
      </c>
      <c r="TBD23" s="50" t="str">
        <f t="shared" si="212"/>
        <v/>
      </c>
      <c r="TBE23" s="50" t="str">
        <f t="shared" si="212"/>
        <v/>
      </c>
      <c r="TBF23" s="50" t="str">
        <f t="shared" si="212"/>
        <v/>
      </c>
      <c r="TBG23" s="50" t="str">
        <f t="shared" si="212"/>
        <v/>
      </c>
      <c r="TBH23" s="50" t="str">
        <f t="shared" si="212"/>
        <v/>
      </c>
      <c r="TBI23" s="50" t="str">
        <f t="shared" si="212"/>
        <v/>
      </c>
      <c r="TBJ23" s="50" t="str">
        <f t="shared" si="212"/>
        <v/>
      </c>
      <c r="TBK23" s="50" t="str">
        <f t="shared" si="212"/>
        <v/>
      </c>
      <c r="TBL23" s="50" t="str">
        <f t="shared" si="212"/>
        <v/>
      </c>
      <c r="TBM23" s="50" t="str">
        <f t="shared" si="212"/>
        <v/>
      </c>
      <c r="TBN23" s="50" t="str">
        <f t="shared" si="212"/>
        <v/>
      </c>
      <c r="TBO23" s="50" t="str">
        <f t="shared" si="212"/>
        <v/>
      </c>
      <c r="TBP23" s="50" t="str">
        <f t="shared" si="212"/>
        <v/>
      </c>
      <c r="TBQ23" s="50" t="str">
        <f t="shared" si="212"/>
        <v/>
      </c>
      <c r="TBR23" s="50" t="str">
        <f t="shared" si="212"/>
        <v/>
      </c>
      <c r="TBS23" s="50" t="str">
        <f t="shared" si="212"/>
        <v/>
      </c>
      <c r="TBT23" s="50" t="str">
        <f t="shared" si="212"/>
        <v/>
      </c>
      <c r="TBU23" s="50" t="str">
        <f t="shared" si="212"/>
        <v/>
      </c>
      <c r="TBV23" s="50" t="str">
        <f t="shared" si="212"/>
        <v/>
      </c>
      <c r="TBW23" s="50" t="str">
        <f t="shared" si="212"/>
        <v/>
      </c>
      <c r="TBX23" s="50" t="str">
        <f t="shared" si="212"/>
        <v/>
      </c>
      <c r="TBY23" s="50" t="str">
        <f t="shared" si="212"/>
        <v/>
      </c>
      <c r="TBZ23" s="50" t="str">
        <f t="shared" si="212"/>
        <v/>
      </c>
      <c r="TCA23" s="50" t="str">
        <f t="shared" si="212"/>
        <v/>
      </c>
      <c r="TCB23" s="50" t="str">
        <f t="shared" si="212"/>
        <v/>
      </c>
      <c r="TCC23" s="50" t="str">
        <f t="shared" si="212"/>
        <v/>
      </c>
      <c r="TCD23" s="50" t="str">
        <f t="shared" si="212"/>
        <v/>
      </c>
      <c r="TCE23" s="50" t="str">
        <f t="shared" si="212"/>
        <v/>
      </c>
      <c r="TCF23" s="50" t="str">
        <f t="shared" si="212"/>
        <v/>
      </c>
      <c r="TCG23" s="50" t="str">
        <f t="shared" si="212"/>
        <v/>
      </c>
      <c r="TCH23" s="50" t="str">
        <f t="shared" si="212"/>
        <v/>
      </c>
      <c r="TCI23" s="50" t="str">
        <f t="shared" si="212"/>
        <v/>
      </c>
      <c r="TCJ23" s="50" t="str">
        <f t="shared" si="212"/>
        <v/>
      </c>
      <c r="TCK23" s="50" t="str">
        <f t="shared" si="212"/>
        <v/>
      </c>
      <c r="TCL23" s="50" t="str">
        <f t="shared" si="212"/>
        <v/>
      </c>
      <c r="TCM23" s="50" t="str">
        <f t="shared" si="212"/>
        <v/>
      </c>
      <c r="TCN23" s="50" t="str">
        <f t="shared" si="212"/>
        <v/>
      </c>
      <c r="TCO23" s="50" t="str">
        <f t="shared" si="212"/>
        <v/>
      </c>
      <c r="TCP23" s="50" t="str">
        <f t="shared" si="212"/>
        <v/>
      </c>
      <c r="TCQ23" s="50" t="str">
        <f t="shared" si="212"/>
        <v/>
      </c>
      <c r="TCR23" s="50" t="str">
        <f t="shared" si="212"/>
        <v/>
      </c>
      <c r="TCS23" s="50" t="str">
        <f t="shared" ref="TCS23:TFD23" si="213">IFERROR(IF(TCR23+TIME(1,0,0)&lt;=$G$12,TCR23+TIME(1,0,0),""),"")</f>
        <v/>
      </c>
      <c r="TCT23" s="50" t="str">
        <f t="shared" si="213"/>
        <v/>
      </c>
      <c r="TCU23" s="50" t="str">
        <f t="shared" si="213"/>
        <v/>
      </c>
      <c r="TCV23" s="50" t="str">
        <f t="shared" si="213"/>
        <v/>
      </c>
      <c r="TCW23" s="50" t="str">
        <f t="shared" si="213"/>
        <v/>
      </c>
      <c r="TCX23" s="50" t="str">
        <f t="shared" si="213"/>
        <v/>
      </c>
      <c r="TCY23" s="50" t="str">
        <f t="shared" si="213"/>
        <v/>
      </c>
      <c r="TCZ23" s="50" t="str">
        <f t="shared" si="213"/>
        <v/>
      </c>
      <c r="TDA23" s="50" t="str">
        <f t="shared" si="213"/>
        <v/>
      </c>
      <c r="TDB23" s="50" t="str">
        <f t="shared" si="213"/>
        <v/>
      </c>
      <c r="TDC23" s="50" t="str">
        <f t="shared" si="213"/>
        <v/>
      </c>
      <c r="TDD23" s="50" t="str">
        <f t="shared" si="213"/>
        <v/>
      </c>
      <c r="TDE23" s="50" t="str">
        <f t="shared" si="213"/>
        <v/>
      </c>
      <c r="TDF23" s="50" t="str">
        <f t="shared" si="213"/>
        <v/>
      </c>
      <c r="TDG23" s="50" t="str">
        <f t="shared" si="213"/>
        <v/>
      </c>
      <c r="TDH23" s="50" t="str">
        <f t="shared" si="213"/>
        <v/>
      </c>
      <c r="TDI23" s="50" t="str">
        <f t="shared" si="213"/>
        <v/>
      </c>
      <c r="TDJ23" s="50" t="str">
        <f t="shared" si="213"/>
        <v/>
      </c>
      <c r="TDK23" s="50" t="str">
        <f t="shared" si="213"/>
        <v/>
      </c>
      <c r="TDL23" s="50" t="str">
        <f t="shared" si="213"/>
        <v/>
      </c>
      <c r="TDM23" s="50" t="str">
        <f t="shared" si="213"/>
        <v/>
      </c>
      <c r="TDN23" s="50" t="str">
        <f t="shared" si="213"/>
        <v/>
      </c>
      <c r="TDO23" s="50" t="str">
        <f t="shared" si="213"/>
        <v/>
      </c>
      <c r="TDP23" s="50" t="str">
        <f t="shared" si="213"/>
        <v/>
      </c>
      <c r="TDQ23" s="50" t="str">
        <f t="shared" si="213"/>
        <v/>
      </c>
      <c r="TDR23" s="50" t="str">
        <f t="shared" si="213"/>
        <v/>
      </c>
      <c r="TDS23" s="50" t="str">
        <f t="shared" si="213"/>
        <v/>
      </c>
      <c r="TDT23" s="50" t="str">
        <f t="shared" si="213"/>
        <v/>
      </c>
      <c r="TDU23" s="50" t="str">
        <f t="shared" si="213"/>
        <v/>
      </c>
      <c r="TDV23" s="50" t="str">
        <f t="shared" si="213"/>
        <v/>
      </c>
      <c r="TDW23" s="50" t="str">
        <f t="shared" si="213"/>
        <v/>
      </c>
      <c r="TDX23" s="50" t="str">
        <f t="shared" si="213"/>
        <v/>
      </c>
      <c r="TDY23" s="50" t="str">
        <f t="shared" si="213"/>
        <v/>
      </c>
      <c r="TDZ23" s="50" t="str">
        <f t="shared" si="213"/>
        <v/>
      </c>
      <c r="TEA23" s="50" t="str">
        <f t="shared" si="213"/>
        <v/>
      </c>
      <c r="TEB23" s="50" t="str">
        <f t="shared" si="213"/>
        <v/>
      </c>
      <c r="TEC23" s="50" t="str">
        <f t="shared" si="213"/>
        <v/>
      </c>
      <c r="TED23" s="50" t="str">
        <f t="shared" si="213"/>
        <v/>
      </c>
      <c r="TEE23" s="50" t="str">
        <f t="shared" si="213"/>
        <v/>
      </c>
      <c r="TEF23" s="50" t="str">
        <f t="shared" si="213"/>
        <v/>
      </c>
      <c r="TEG23" s="50" t="str">
        <f t="shared" si="213"/>
        <v/>
      </c>
      <c r="TEH23" s="50" t="str">
        <f t="shared" si="213"/>
        <v/>
      </c>
      <c r="TEI23" s="50" t="str">
        <f t="shared" si="213"/>
        <v/>
      </c>
      <c r="TEJ23" s="50" t="str">
        <f t="shared" si="213"/>
        <v/>
      </c>
      <c r="TEK23" s="50" t="str">
        <f t="shared" si="213"/>
        <v/>
      </c>
      <c r="TEL23" s="50" t="str">
        <f t="shared" si="213"/>
        <v/>
      </c>
      <c r="TEM23" s="50" t="str">
        <f t="shared" si="213"/>
        <v/>
      </c>
      <c r="TEN23" s="50" t="str">
        <f t="shared" si="213"/>
        <v/>
      </c>
      <c r="TEO23" s="50" t="str">
        <f t="shared" si="213"/>
        <v/>
      </c>
      <c r="TEP23" s="50" t="str">
        <f t="shared" si="213"/>
        <v/>
      </c>
      <c r="TEQ23" s="50" t="str">
        <f t="shared" si="213"/>
        <v/>
      </c>
      <c r="TER23" s="50" t="str">
        <f t="shared" si="213"/>
        <v/>
      </c>
      <c r="TES23" s="50" t="str">
        <f t="shared" si="213"/>
        <v/>
      </c>
      <c r="TET23" s="50" t="str">
        <f t="shared" si="213"/>
        <v/>
      </c>
      <c r="TEU23" s="50" t="str">
        <f t="shared" si="213"/>
        <v/>
      </c>
      <c r="TEV23" s="50" t="str">
        <f t="shared" si="213"/>
        <v/>
      </c>
      <c r="TEW23" s="50" t="str">
        <f t="shared" si="213"/>
        <v/>
      </c>
      <c r="TEX23" s="50" t="str">
        <f t="shared" si="213"/>
        <v/>
      </c>
      <c r="TEY23" s="50" t="str">
        <f t="shared" si="213"/>
        <v/>
      </c>
      <c r="TEZ23" s="50" t="str">
        <f t="shared" si="213"/>
        <v/>
      </c>
      <c r="TFA23" s="50" t="str">
        <f t="shared" si="213"/>
        <v/>
      </c>
      <c r="TFB23" s="50" t="str">
        <f t="shared" si="213"/>
        <v/>
      </c>
      <c r="TFC23" s="50" t="str">
        <f t="shared" si="213"/>
        <v/>
      </c>
      <c r="TFD23" s="50" t="str">
        <f t="shared" si="213"/>
        <v/>
      </c>
      <c r="TFE23" s="50" t="str">
        <f t="shared" ref="TFE23:THP23" si="214">IFERROR(IF(TFD23+TIME(1,0,0)&lt;=$G$12,TFD23+TIME(1,0,0),""),"")</f>
        <v/>
      </c>
      <c r="TFF23" s="50" t="str">
        <f t="shared" si="214"/>
        <v/>
      </c>
      <c r="TFG23" s="50" t="str">
        <f t="shared" si="214"/>
        <v/>
      </c>
      <c r="TFH23" s="50" t="str">
        <f t="shared" si="214"/>
        <v/>
      </c>
      <c r="TFI23" s="50" t="str">
        <f t="shared" si="214"/>
        <v/>
      </c>
      <c r="TFJ23" s="50" t="str">
        <f t="shared" si="214"/>
        <v/>
      </c>
      <c r="TFK23" s="50" t="str">
        <f t="shared" si="214"/>
        <v/>
      </c>
      <c r="TFL23" s="50" t="str">
        <f t="shared" si="214"/>
        <v/>
      </c>
      <c r="TFM23" s="50" t="str">
        <f t="shared" si="214"/>
        <v/>
      </c>
      <c r="TFN23" s="50" t="str">
        <f t="shared" si="214"/>
        <v/>
      </c>
      <c r="TFO23" s="50" t="str">
        <f t="shared" si="214"/>
        <v/>
      </c>
      <c r="TFP23" s="50" t="str">
        <f t="shared" si="214"/>
        <v/>
      </c>
      <c r="TFQ23" s="50" t="str">
        <f t="shared" si="214"/>
        <v/>
      </c>
      <c r="TFR23" s="50" t="str">
        <f t="shared" si="214"/>
        <v/>
      </c>
      <c r="TFS23" s="50" t="str">
        <f t="shared" si="214"/>
        <v/>
      </c>
      <c r="TFT23" s="50" t="str">
        <f t="shared" si="214"/>
        <v/>
      </c>
      <c r="TFU23" s="50" t="str">
        <f t="shared" si="214"/>
        <v/>
      </c>
      <c r="TFV23" s="50" t="str">
        <f t="shared" si="214"/>
        <v/>
      </c>
      <c r="TFW23" s="50" t="str">
        <f t="shared" si="214"/>
        <v/>
      </c>
      <c r="TFX23" s="50" t="str">
        <f t="shared" si="214"/>
        <v/>
      </c>
      <c r="TFY23" s="50" t="str">
        <f t="shared" si="214"/>
        <v/>
      </c>
      <c r="TFZ23" s="50" t="str">
        <f t="shared" si="214"/>
        <v/>
      </c>
      <c r="TGA23" s="50" t="str">
        <f t="shared" si="214"/>
        <v/>
      </c>
      <c r="TGB23" s="50" t="str">
        <f t="shared" si="214"/>
        <v/>
      </c>
      <c r="TGC23" s="50" t="str">
        <f t="shared" si="214"/>
        <v/>
      </c>
      <c r="TGD23" s="50" t="str">
        <f t="shared" si="214"/>
        <v/>
      </c>
      <c r="TGE23" s="50" t="str">
        <f t="shared" si="214"/>
        <v/>
      </c>
      <c r="TGF23" s="50" t="str">
        <f t="shared" si="214"/>
        <v/>
      </c>
      <c r="TGG23" s="50" t="str">
        <f t="shared" si="214"/>
        <v/>
      </c>
      <c r="TGH23" s="50" t="str">
        <f t="shared" si="214"/>
        <v/>
      </c>
      <c r="TGI23" s="50" t="str">
        <f t="shared" si="214"/>
        <v/>
      </c>
      <c r="TGJ23" s="50" t="str">
        <f t="shared" si="214"/>
        <v/>
      </c>
      <c r="TGK23" s="50" t="str">
        <f t="shared" si="214"/>
        <v/>
      </c>
      <c r="TGL23" s="50" t="str">
        <f t="shared" si="214"/>
        <v/>
      </c>
      <c r="TGM23" s="50" t="str">
        <f t="shared" si="214"/>
        <v/>
      </c>
      <c r="TGN23" s="50" t="str">
        <f t="shared" si="214"/>
        <v/>
      </c>
      <c r="TGO23" s="50" t="str">
        <f t="shared" si="214"/>
        <v/>
      </c>
      <c r="TGP23" s="50" t="str">
        <f t="shared" si="214"/>
        <v/>
      </c>
      <c r="TGQ23" s="50" t="str">
        <f t="shared" si="214"/>
        <v/>
      </c>
      <c r="TGR23" s="50" t="str">
        <f t="shared" si="214"/>
        <v/>
      </c>
      <c r="TGS23" s="50" t="str">
        <f t="shared" si="214"/>
        <v/>
      </c>
      <c r="TGT23" s="50" t="str">
        <f t="shared" si="214"/>
        <v/>
      </c>
      <c r="TGU23" s="50" t="str">
        <f t="shared" si="214"/>
        <v/>
      </c>
      <c r="TGV23" s="50" t="str">
        <f t="shared" si="214"/>
        <v/>
      </c>
      <c r="TGW23" s="50" t="str">
        <f t="shared" si="214"/>
        <v/>
      </c>
      <c r="TGX23" s="50" t="str">
        <f t="shared" si="214"/>
        <v/>
      </c>
      <c r="TGY23" s="50" t="str">
        <f t="shared" si="214"/>
        <v/>
      </c>
      <c r="TGZ23" s="50" t="str">
        <f t="shared" si="214"/>
        <v/>
      </c>
      <c r="THA23" s="50" t="str">
        <f t="shared" si="214"/>
        <v/>
      </c>
      <c r="THB23" s="50" t="str">
        <f t="shared" si="214"/>
        <v/>
      </c>
      <c r="THC23" s="50" t="str">
        <f t="shared" si="214"/>
        <v/>
      </c>
      <c r="THD23" s="50" t="str">
        <f t="shared" si="214"/>
        <v/>
      </c>
      <c r="THE23" s="50" t="str">
        <f t="shared" si="214"/>
        <v/>
      </c>
      <c r="THF23" s="50" t="str">
        <f t="shared" si="214"/>
        <v/>
      </c>
      <c r="THG23" s="50" t="str">
        <f t="shared" si="214"/>
        <v/>
      </c>
      <c r="THH23" s="50" t="str">
        <f t="shared" si="214"/>
        <v/>
      </c>
      <c r="THI23" s="50" t="str">
        <f t="shared" si="214"/>
        <v/>
      </c>
      <c r="THJ23" s="50" t="str">
        <f t="shared" si="214"/>
        <v/>
      </c>
      <c r="THK23" s="50" t="str">
        <f t="shared" si="214"/>
        <v/>
      </c>
      <c r="THL23" s="50" t="str">
        <f t="shared" si="214"/>
        <v/>
      </c>
      <c r="THM23" s="50" t="str">
        <f t="shared" si="214"/>
        <v/>
      </c>
      <c r="THN23" s="50" t="str">
        <f t="shared" si="214"/>
        <v/>
      </c>
      <c r="THO23" s="50" t="str">
        <f t="shared" si="214"/>
        <v/>
      </c>
      <c r="THP23" s="50" t="str">
        <f t="shared" si="214"/>
        <v/>
      </c>
      <c r="THQ23" s="50" t="str">
        <f t="shared" ref="THQ23:TKB23" si="215">IFERROR(IF(THP23+TIME(1,0,0)&lt;=$G$12,THP23+TIME(1,0,0),""),"")</f>
        <v/>
      </c>
      <c r="THR23" s="50" t="str">
        <f t="shared" si="215"/>
        <v/>
      </c>
      <c r="THS23" s="50" t="str">
        <f t="shared" si="215"/>
        <v/>
      </c>
      <c r="THT23" s="50" t="str">
        <f t="shared" si="215"/>
        <v/>
      </c>
      <c r="THU23" s="50" t="str">
        <f t="shared" si="215"/>
        <v/>
      </c>
      <c r="THV23" s="50" t="str">
        <f t="shared" si="215"/>
        <v/>
      </c>
      <c r="THW23" s="50" t="str">
        <f t="shared" si="215"/>
        <v/>
      </c>
      <c r="THX23" s="50" t="str">
        <f t="shared" si="215"/>
        <v/>
      </c>
      <c r="THY23" s="50" t="str">
        <f t="shared" si="215"/>
        <v/>
      </c>
      <c r="THZ23" s="50" t="str">
        <f t="shared" si="215"/>
        <v/>
      </c>
      <c r="TIA23" s="50" t="str">
        <f t="shared" si="215"/>
        <v/>
      </c>
      <c r="TIB23" s="50" t="str">
        <f t="shared" si="215"/>
        <v/>
      </c>
      <c r="TIC23" s="50" t="str">
        <f t="shared" si="215"/>
        <v/>
      </c>
      <c r="TID23" s="50" t="str">
        <f t="shared" si="215"/>
        <v/>
      </c>
      <c r="TIE23" s="50" t="str">
        <f t="shared" si="215"/>
        <v/>
      </c>
      <c r="TIF23" s="50" t="str">
        <f t="shared" si="215"/>
        <v/>
      </c>
      <c r="TIG23" s="50" t="str">
        <f t="shared" si="215"/>
        <v/>
      </c>
      <c r="TIH23" s="50" t="str">
        <f t="shared" si="215"/>
        <v/>
      </c>
      <c r="TII23" s="50" t="str">
        <f t="shared" si="215"/>
        <v/>
      </c>
      <c r="TIJ23" s="50" t="str">
        <f t="shared" si="215"/>
        <v/>
      </c>
      <c r="TIK23" s="50" t="str">
        <f t="shared" si="215"/>
        <v/>
      </c>
      <c r="TIL23" s="50" t="str">
        <f t="shared" si="215"/>
        <v/>
      </c>
      <c r="TIM23" s="50" t="str">
        <f t="shared" si="215"/>
        <v/>
      </c>
      <c r="TIN23" s="50" t="str">
        <f t="shared" si="215"/>
        <v/>
      </c>
      <c r="TIO23" s="50" t="str">
        <f t="shared" si="215"/>
        <v/>
      </c>
      <c r="TIP23" s="50" t="str">
        <f t="shared" si="215"/>
        <v/>
      </c>
      <c r="TIQ23" s="50" t="str">
        <f t="shared" si="215"/>
        <v/>
      </c>
      <c r="TIR23" s="50" t="str">
        <f t="shared" si="215"/>
        <v/>
      </c>
      <c r="TIS23" s="50" t="str">
        <f t="shared" si="215"/>
        <v/>
      </c>
      <c r="TIT23" s="50" t="str">
        <f t="shared" si="215"/>
        <v/>
      </c>
      <c r="TIU23" s="50" t="str">
        <f t="shared" si="215"/>
        <v/>
      </c>
      <c r="TIV23" s="50" t="str">
        <f t="shared" si="215"/>
        <v/>
      </c>
      <c r="TIW23" s="50" t="str">
        <f t="shared" si="215"/>
        <v/>
      </c>
      <c r="TIX23" s="50" t="str">
        <f t="shared" si="215"/>
        <v/>
      </c>
      <c r="TIY23" s="50" t="str">
        <f t="shared" si="215"/>
        <v/>
      </c>
      <c r="TIZ23" s="50" t="str">
        <f t="shared" si="215"/>
        <v/>
      </c>
      <c r="TJA23" s="50" t="str">
        <f t="shared" si="215"/>
        <v/>
      </c>
      <c r="TJB23" s="50" t="str">
        <f t="shared" si="215"/>
        <v/>
      </c>
      <c r="TJC23" s="50" t="str">
        <f t="shared" si="215"/>
        <v/>
      </c>
      <c r="TJD23" s="50" t="str">
        <f t="shared" si="215"/>
        <v/>
      </c>
      <c r="TJE23" s="50" t="str">
        <f t="shared" si="215"/>
        <v/>
      </c>
      <c r="TJF23" s="50" t="str">
        <f t="shared" si="215"/>
        <v/>
      </c>
      <c r="TJG23" s="50" t="str">
        <f t="shared" si="215"/>
        <v/>
      </c>
      <c r="TJH23" s="50" t="str">
        <f t="shared" si="215"/>
        <v/>
      </c>
      <c r="TJI23" s="50" t="str">
        <f t="shared" si="215"/>
        <v/>
      </c>
      <c r="TJJ23" s="50" t="str">
        <f t="shared" si="215"/>
        <v/>
      </c>
      <c r="TJK23" s="50" t="str">
        <f t="shared" si="215"/>
        <v/>
      </c>
      <c r="TJL23" s="50" t="str">
        <f t="shared" si="215"/>
        <v/>
      </c>
      <c r="TJM23" s="50" t="str">
        <f t="shared" si="215"/>
        <v/>
      </c>
      <c r="TJN23" s="50" t="str">
        <f t="shared" si="215"/>
        <v/>
      </c>
      <c r="TJO23" s="50" t="str">
        <f t="shared" si="215"/>
        <v/>
      </c>
      <c r="TJP23" s="50" t="str">
        <f t="shared" si="215"/>
        <v/>
      </c>
      <c r="TJQ23" s="50" t="str">
        <f t="shared" si="215"/>
        <v/>
      </c>
      <c r="TJR23" s="50" t="str">
        <f t="shared" si="215"/>
        <v/>
      </c>
      <c r="TJS23" s="50" t="str">
        <f t="shared" si="215"/>
        <v/>
      </c>
      <c r="TJT23" s="50" t="str">
        <f t="shared" si="215"/>
        <v/>
      </c>
      <c r="TJU23" s="50" t="str">
        <f t="shared" si="215"/>
        <v/>
      </c>
      <c r="TJV23" s="50" t="str">
        <f t="shared" si="215"/>
        <v/>
      </c>
      <c r="TJW23" s="50" t="str">
        <f t="shared" si="215"/>
        <v/>
      </c>
      <c r="TJX23" s="50" t="str">
        <f t="shared" si="215"/>
        <v/>
      </c>
      <c r="TJY23" s="50" t="str">
        <f t="shared" si="215"/>
        <v/>
      </c>
      <c r="TJZ23" s="50" t="str">
        <f t="shared" si="215"/>
        <v/>
      </c>
      <c r="TKA23" s="50" t="str">
        <f t="shared" si="215"/>
        <v/>
      </c>
      <c r="TKB23" s="50" t="str">
        <f t="shared" si="215"/>
        <v/>
      </c>
      <c r="TKC23" s="50" t="str">
        <f t="shared" ref="TKC23:TMN23" si="216">IFERROR(IF(TKB23+TIME(1,0,0)&lt;=$G$12,TKB23+TIME(1,0,0),""),"")</f>
        <v/>
      </c>
      <c r="TKD23" s="50" t="str">
        <f t="shared" si="216"/>
        <v/>
      </c>
      <c r="TKE23" s="50" t="str">
        <f t="shared" si="216"/>
        <v/>
      </c>
      <c r="TKF23" s="50" t="str">
        <f t="shared" si="216"/>
        <v/>
      </c>
      <c r="TKG23" s="50" t="str">
        <f t="shared" si="216"/>
        <v/>
      </c>
      <c r="TKH23" s="50" t="str">
        <f t="shared" si="216"/>
        <v/>
      </c>
      <c r="TKI23" s="50" t="str">
        <f t="shared" si="216"/>
        <v/>
      </c>
      <c r="TKJ23" s="50" t="str">
        <f t="shared" si="216"/>
        <v/>
      </c>
      <c r="TKK23" s="50" t="str">
        <f t="shared" si="216"/>
        <v/>
      </c>
      <c r="TKL23" s="50" t="str">
        <f t="shared" si="216"/>
        <v/>
      </c>
      <c r="TKM23" s="50" t="str">
        <f t="shared" si="216"/>
        <v/>
      </c>
      <c r="TKN23" s="50" t="str">
        <f t="shared" si="216"/>
        <v/>
      </c>
      <c r="TKO23" s="50" t="str">
        <f t="shared" si="216"/>
        <v/>
      </c>
      <c r="TKP23" s="50" t="str">
        <f t="shared" si="216"/>
        <v/>
      </c>
      <c r="TKQ23" s="50" t="str">
        <f t="shared" si="216"/>
        <v/>
      </c>
      <c r="TKR23" s="50" t="str">
        <f t="shared" si="216"/>
        <v/>
      </c>
      <c r="TKS23" s="50" t="str">
        <f t="shared" si="216"/>
        <v/>
      </c>
      <c r="TKT23" s="50" t="str">
        <f t="shared" si="216"/>
        <v/>
      </c>
      <c r="TKU23" s="50" t="str">
        <f t="shared" si="216"/>
        <v/>
      </c>
      <c r="TKV23" s="50" t="str">
        <f t="shared" si="216"/>
        <v/>
      </c>
      <c r="TKW23" s="50" t="str">
        <f t="shared" si="216"/>
        <v/>
      </c>
      <c r="TKX23" s="50" t="str">
        <f t="shared" si="216"/>
        <v/>
      </c>
      <c r="TKY23" s="50" t="str">
        <f t="shared" si="216"/>
        <v/>
      </c>
      <c r="TKZ23" s="50" t="str">
        <f t="shared" si="216"/>
        <v/>
      </c>
      <c r="TLA23" s="50" t="str">
        <f t="shared" si="216"/>
        <v/>
      </c>
      <c r="TLB23" s="50" t="str">
        <f t="shared" si="216"/>
        <v/>
      </c>
      <c r="TLC23" s="50" t="str">
        <f t="shared" si="216"/>
        <v/>
      </c>
      <c r="TLD23" s="50" t="str">
        <f t="shared" si="216"/>
        <v/>
      </c>
      <c r="TLE23" s="50" t="str">
        <f t="shared" si="216"/>
        <v/>
      </c>
      <c r="TLF23" s="50" t="str">
        <f t="shared" si="216"/>
        <v/>
      </c>
      <c r="TLG23" s="50" t="str">
        <f t="shared" si="216"/>
        <v/>
      </c>
      <c r="TLH23" s="50" t="str">
        <f t="shared" si="216"/>
        <v/>
      </c>
      <c r="TLI23" s="50" t="str">
        <f t="shared" si="216"/>
        <v/>
      </c>
      <c r="TLJ23" s="50" t="str">
        <f t="shared" si="216"/>
        <v/>
      </c>
      <c r="TLK23" s="50" t="str">
        <f t="shared" si="216"/>
        <v/>
      </c>
      <c r="TLL23" s="50" t="str">
        <f t="shared" si="216"/>
        <v/>
      </c>
      <c r="TLM23" s="50" t="str">
        <f t="shared" si="216"/>
        <v/>
      </c>
      <c r="TLN23" s="50" t="str">
        <f t="shared" si="216"/>
        <v/>
      </c>
      <c r="TLO23" s="50" t="str">
        <f t="shared" si="216"/>
        <v/>
      </c>
      <c r="TLP23" s="50" t="str">
        <f t="shared" si="216"/>
        <v/>
      </c>
      <c r="TLQ23" s="50" t="str">
        <f t="shared" si="216"/>
        <v/>
      </c>
      <c r="TLR23" s="50" t="str">
        <f t="shared" si="216"/>
        <v/>
      </c>
      <c r="TLS23" s="50" t="str">
        <f t="shared" si="216"/>
        <v/>
      </c>
      <c r="TLT23" s="50" t="str">
        <f t="shared" si="216"/>
        <v/>
      </c>
      <c r="TLU23" s="50" t="str">
        <f t="shared" si="216"/>
        <v/>
      </c>
      <c r="TLV23" s="50" t="str">
        <f t="shared" si="216"/>
        <v/>
      </c>
      <c r="TLW23" s="50" t="str">
        <f t="shared" si="216"/>
        <v/>
      </c>
      <c r="TLX23" s="50" t="str">
        <f t="shared" si="216"/>
        <v/>
      </c>
      <c r="TLY23" s="50" t="str">
        <f t="shared" si="216"/>
        <v/>
      </c>
      <c r="TLZ23" s="50" t="str">
        <f t="shared" si="216"/>
        <v/>
      </c>
      <c r="TMA23" s="50" t="str">
        <f t="shared" si="216"/>
        <v/>
      </c>
      <c r="TMB23" s="50" t="str">
        <f t="shared" si="216"/>
        <v/>
      </c>
      <c r="TMC23" s="50" t="str">
        <f t="shared" si="216"/>
        <v/>
      </c>
      <c r="TMD23" s="50" t="str">
        <f t="shared" si="216"/>
        <v/>
      </c>
      <c r="TME23" s="50" t="str">
        <f t="shared" si="216"/>
        <v/>
      </c>
      <c r="TMF23" s="50" t="str">
        <f t="shared" si="216"/>
        <v/>
      </c>
      <c r="TMG23" s="50" t="str">
        <f t="shared" si="216"/>
        <v/>
      </c>
      <c r="TMH23" s="50" t="str">
        <f t="shared" si="216"/>
        <v/>
      </c>
      <c r="TMI23" s="50" t="str">
        <f t="shared" si="216"/>
        <v/>
      </c>
      <c r="TMJ23" s="50" t="str">
        <f t="shared" si="216"/>
        <v/>
      </c>
      <c r="TMK23" s="50" t="str">
        <f t="shared" si="216"/>
        <v/>
      </c>
      <c r="TML23" s="50" t="str">
        <f t="shared" si="216"/>
        <v/>
      </c>
      <c r="TMM23" s="50" t="str">
        <f t="shared" si="216"/>
        <v/>
      </c>
      <c r="TMN23" s="50" t="str">
        <f t="shared" si="216"/>
        <v/>
      </c>
      <c r="TMO23" s="50" t="str">
        <f t="shared" ref="TMO23:TOZ23" si="217">IFERROR(IF(TMN23+TIME(1,0,0)&lt;=$G$12,TMN23+TIME(1,0,0),""),"")</f>
        <v/>
      </c>
      <c r="TMP23" s="50" t="str">
        <f t="shared" si="217"/>
        <v/>
      </c>
      <c r="TMQ23" s="50" t="str">
        <f t="shared" si="217"/>
        <v/>
      </c>
      <c r="TMR23" s="50" t="str">
        <f t="shared" si="217"/>
        <v/>
      </c>
      <c r="TMS23" s="50" t="str">
        <f t="shared" si="217"/>
        <v/>
      </c>
      <c r="TMT23" s="50" t="str">
        <f t="shared" si="217"/>
        <v/>
      </c>
      <c r="TMU23" s="50" t="str">
        <f t="shared" si="217"/>
        <v/>
      </c>
      <c r="TMV23" s="50" t="str">
        <f t="shared" si="217"/>
        <v/>
      </c>
      <c r="TMW23" s="50" t="str">
        <f t="shared" si="217"/>
        <v/>
      </c>
      <c r="TMX23" s="50" t="str">
        <f t="shared" si="217"/>
        <v/>
      </c>
      <c r="TMY23" s="50" t="str">
        <f t="shared" si="217"/>
        <v/>
      </c>
      <c r="TMZ23" s="50" t="str">
        <f t="shared" si="217"/>
        <v/>
      </c>
      <c r="TNA23" s="50" t="str">
        <f t="shared" si="217"/>
        <v/>
      </c>
      <c r="TNB23" s="50" t="str">
        <f t="shared" si="217"/>
        <v/>
      </c>
      <c r="TNC23" s="50" t="str">
        <f t="shared" si="217"/>
        <v/>
      </c>
      <c r="TND23" s="50" t="str">
        <f t="shared" si="217"/>
        <v/>
      </c>
      <c r="TNE23" s="50" t="str">
        <f t="shared" si="217"/>
        <v/>
      </c>
      <c r="TNF23" s="50" t="str">
        <f t="shared" si="217"/>
        <v/>
      </c>
      <c r="TNG23" s="50" t="str">
        <f t="shared" si="217"/>
        <v/>
      </c>
      <c r="TNH23" s="50" t="str">
        <f t="shared" si="217"/>
        <v/>
      </c>
      <c r="TNI23" s="50" t="str">
        <f t="shared" si="217"/>
        <v/>
      </c>
      <c r="TNJ23" s="50" t="str">
        <f t="shared" si="217"/>
        <v/>
      </c>
      <c r="TNK23" s="50" t="str">
        <f t="shared" si="217"/>
        <v/>
      </c>
      <c r="TNL23" s="50" t="str">
        <f t="shared" si="217"/>
        <v/>
      </c>
      <c r="TNM23" s="50" t="str">
        <f t="shared" si="217"/>
        <v/>
      </c>
      <c r="TNN23" s="50" t="str">
        <f t="shared" si="217"/>
        <v/>
      </c>
      <c r="TNO23" s="50" t="str">
        <f t="shared" si="217"/>
        <v/>
      </c>
      <c r="TNP23" s="50" t="str">
        <f t="shared" si="217"/>
        <v/>
      </c>
      <c r="TNQ23" s="50" t="str">
        <f t="shared" si="217"/>
        <v/>
      </c>
      <c r="TNR23" s="50" t="str">
        <f t="shared" si="217"/>
        <v/>
      </c>
      <c r="TNS23" s="50" t="str">
        <f t="shared" si="217"/>
        <v/>
      </c>
      <c r="TNT23" s="50" t="str">
        <f t="shared" si="217"/>
        <v/>
      </c>
      <c r="TNU23" s="50" t="str">
        <f t="shared" si="217"/>
        <v/>
      </c>
      <c r="TNV23" s="50" t="str">
        <f t="shared" si="217"/>
        <v/>
      </c>
      <c r="TNW23" s="50" t="str">
        <f t="shared" si="217"/>
        <v/>
      </c>
      <c r="TNX23" s="50" t="str">
        <f t="shared" si="217"/>
        <v/>
      </c>
      <c r="TNY23" s="50" t="str">
        <f t="shared" si="217"/>
        <v/>
      </c>
      <c r="TNZ23" s="50" t="str">
        <f t="shared" si="217"/>
        <v/>
      </c>
      <c r="TOA23" s="50" t="str">
        <f t="shared" si="217"/>
        <v/>
      </c>
      <c r="TOB23" s="50" t="str">
        <f t="shared" si="217"/>
        <v/>
      </c>
      <c r="TOC23" s="50" t="str">
        <f t="shared" si="217"/>
        <v/>
      </c>
      <c r="TOD23" s="50" t="str">
        <f t="shared" si="217"/>
        <v/>
      </c>
      <c r="TOE23" s="50" t="str">
        <f t="shared" si="217"/>
        <v/>
      </c>
      <c r="TOF23" s="50" t="str">
        <f t="shared" si="217"/>
        <v/>
      </c>
      <c r="TOG23" s="50" t="str">
        <f t="shared" si="217"/>
        <v/>
      </c>
      <c r="TOH23" s="50" t="str">
        <f t="shared" si="217"/>
        <v/>
      </c>
      <c r="TOI23" s="50" t="str">
        <f t="shared" si="217"/>
        <v/>
      </c>
      <c r="TOJ23" s="50" t="str">
        <f t="shared" si="217"/>
        <v/>
      </c>
      <c r="TOK23" s="50" t="str">
        <f t="shared" si="217"/>
        <v/>
      </c>
      <c r="TOL23" s="50" t="str">
        <f t="shared" si="217"/>
        <v/>
      </c>
      <c r="TOM23" s="50" t="str">
        <f t="shared" si="217"/>
        <v/>
      </c>
      <c r="TON23" s="50" t="str">
        <f t="shared" si="217"/>
        <v/>
      </c>
      <c r="TOO23" s="50" t="str">
        <f t="shared" si="217"/>
        <v/>
      </c>
      <c r="TOP23" s="50" t="str">
        <f t="shared" si="217"/>
        <v/>
      </c>
      <c r="TOQ23" s="50" t="str">
        <f t="shared" si="217"/>
        <v/>
      </c>
      <c r="TOR23" s="50" t="str">
        <f t="shared" si="217"/>
        <v/>
      </c>
      <c r="TOS23" s="50" t="str">
        <f t="shared" si="217"/>
        <v/>
      </c>
      <c r="TOT23" s="50" t="str">
        <f t="shared" si="217"/>
        <v/>
      </c>
      <c r="TOU23" s="50" t="str">
        <f t="shared" si="217"/>
        <v/>
      </c>
      <c r="TOV23" s="50" t="str">
        <f t="shared" si="217"/>
        <v/>
      </c>
      <c r="TOW23" s="50" t="str">
        <f t="shared" si="217"/>
        <v/>
      </c>
      <c r="TOX23" s="50" t="str">
        <f t="shared" si="217"/>
        <v/>
      </c>
      <c r="TOY23" s="50" t="str">
        <f t="shared" si="217"/>
        <v/>
      </c>
      <c r="TOZ23" s="50" t="str">
        <f t="shared" si="217"/>
        <v/>
      </c>
      <c r="TPA23" s="50" t="str">
        <f t="shared" ref="TPA23:TRL23" si="218">IFERROR(IF(TOZ23+TIME(1,0,0)&lt;=$G$12,TOZ23+TIME(1,0,0),""),"")</f>
        <v/>
      </c>
      <c r="TPB23" s="50" t="str">
        <f t="shared" si="218"/>
        <v/>
      </c>
      <c r="TPC23" s="50" t="str">
        <f t="shared" si="218"/>
        <v/>
      </c>
      <c r="TPD23" s="50" t="str">
        <f t="shared" si="218"/>
        <v/>
      </c>
      <c r="TPE23" s="50" t="str">
        <f t="shared" si="218"/>
        <v/>
      </c>
      <c r="TPF23" s="50" t="str">
        <f t="shared" si="218"/>
        <v/>
      </c>
      <c r="TPG23" s="50" t="str">
        <f t="shared" si="218"/>
        <v/>
      </c>
      <c r="TPH23" s="50" t="str">
        <f t="shared" si="218"/>
        <v/>
      </c>
      <c r="TPI23" s="50" t="str">
        <f t="shared" si="218"/>
        <v/>
      </c>
      <c r="TPJ23" s="50" t="str">
        <f t="shared" si="218"/>
        <v/>
      </c>
      <c r="TPK23" s="50" t="str">
        <f t="shared" si="218"/>
        <v/>
      </c>
      <c r="TPL23" s="50" t="str">
        <f t="shared" si="218"/>
        <v/>
      </c>
      <c r="TPM23" s="50" t="str">
        <f t="shared" si="218"/>
        <v/>
      </c>
      <c r="TPN23" s="50" t="str">
        <f t="shared" si="218"/>
        <v/>
      </c>
      <c r="TPO23" s="50" t="str">
        <f t="shared" si="218"/>
        <v/>
      </c>
      <c r="TPP23" s="50" t="str">
        <f t="shared" si="218"/>
        <v/>
      </c>
      <c r="TPQ23" s="50" t="str">
        <f t="shared" si="218"/>
        <v/>
      </c>
      <c r="TPR23" s="50" t="str">
        <f t="shared" si="218"/>
        <v/>
      </c>
      <c r="TPS23" s="50" t="str">
        <f t="shared" si="218"/>
        <v/>
      </c>
      <c r="TPT23" s="50" t="str">
        <f t="shared" si="218"/>
        <v/>
      </c>
      <c r="TPU23" s="50" t="str">
        <f t="shared" si="218"/>
        <v/>
      </c>
      <c r="TPV23" s="50" t="str">
        <f t="shared" si="218"/>
        <v/>
      </c>
      <c r="TPW23" s="50" t="str">
        <f t="shared" si="218"/>
        <v/>
      </c>
      <c r="TPX23" s="50" t="str">
        <f t="shared" si="218"/>
        <v/>
      </c>
      <c r="TPY23" s="50" t="str">
        <f t="shared" si="218"/>
        <v/>
      </c>
      <c r="TPZ23" s="50" t="str">
        <f t="shared" si="218"/>
        <v/>
      </c>
      <c r="TQA23" s="50" t="str">
        <f t="shared" si="218"/>
        <v/>
      </c>
      <c r="TQB23" s="50" t="str">
        <f t="shared" si="218"/>
        <v/>
      </c>
      <c r="TQC23" s="50" t="str">
        <f t="shared" si="218"/>
        <v/>
      </c>
      <c r="TQD23" s="50" t="str">
        <f t="shared" si="218"/>
        <v/>
      </c>
      <c r="TQE23" s="50" t="str">
        <f t="shared" si="218"/>
        <v/>
      </c>
      <c r="TQF23" s="50" t="str">
        <f t="shared" si="218"/>
        <v/>
      </c>
      <c r="TQG23" s="50" t="str">
        <f t="shared" si="218"/>
        <v/>
      </c>
      <c r="TQH23" s="50" t="str">
        <f t="shared" si="218"/>
        <v/>
      </c>
      <c r="TQI23" s="50" t="str">
        <f t="shared" si="218"/>
        <v/>
      </c>
      <c r="TQJ23" s="50" t="str">
        <f t="shared" si="218"/>
        <v/>
      </c>
      <c r="TQK23" s="50" t="str">
        <f t="shared" si="218"/>
        <v/>
      </c>
      <c r="TQL23" s="50" t="str">
        <f t="shared" si="218"/>
        <v/>
      </c>
      <c r="TQM23" s="50" t="str">
        <f t="shared" si="218"/>
        <v/>
      </c>
      <c r="TQN23" s="50" t="str">
        <f t="shared" si="218"/>
        <v/>
      </c>
      <c r="TQO23" s="50" t="str">
        <f t="shared" si="218"/>
        <v/>
      </c>
      <c r="TQP23" s="50" t="str">
        <f t="shared" si="218"/>
        <v/>
      </c>
      <c r="TQQ23" s="50" t="str">
        <f t="shared" si="218"/>
        <v/>
      </c>
      <c r="TQR23" s="50" t="str">
        <f t="shared" si="218"/>
        <v/>
      </c>
      <c r="TQS23" s="50" t="str">
        <f t="shared" si="218"/>
        <v/>
      </c>
      <c r="TQT23" s="50" t="str">
        <f t="shared" si="218"/>
        <v/>
      </c>
      <c r="TQU23" s="50" t="str">
        <f t="shared" si="218"/>
        <v/>
      </c>
      <c r="TQV23" s="50" t="str">
        <f t="shared" si="218"/>
        <v/>
      </c>
      <c r="TQW23" s="50" t="str">
        <f t="shared" si="218"/>
        <v/>
      </c>
      <c r="TQX23" s="50" t="str">
        <f t="shared" si="218"/>
        <v/>
      </c>
      <c r="TQY23" s="50" t="str">
        <f t="shared" si="218"/>
        <v/>
      </c>
      <c r="TQZ23" s="50" t="str">
        <f t="shared" si="218"/>
        <v/>
      </c>
      <c r="TRA23" s="50" t="str">
        <f t="shared" si="218"/>
        <v/>
      </c>
      <c r="TRB23" s="50" t="str">
        <f t="shared" si="218"/>
        <v/>
      </c>
      <c r="TRC23" s="50" t="str">
        <f t="shared" si="218"/>
        <v/>
      </c>
      <c r="TRD23" s="50" t="str">
        <f t="shared" si="218"/>
        <v/>
      </c>
      <c r="TRE23" s="50" t="str">
        <f t="shared" si="218"/>
        <v/>
      </c>
      <c r="TRF23" s="50" t="str">
        <f t="shared" si="218"/>
        <v/>
      </c>
      <c r="TRG23" s="50" t="str">
        <f t="shared" si="218"/>
        <v/>
      </c>
      <c r="TRH23" s="50" t="str">
        <f t="shared" si="218"/>
        <v/>
      </c>
      <c r="TRI23" s="50" t="str">
        <f t="shared" si="218"/>
        <v/>
      </c>
      <c r="TRJ23" s="50" t="str">
        <f t="shared" si="218"/>
        <v/>
      </c>
      <c r="TRK23" s="50" t="str">
        <f t="shared" si="218"/>
        <v/>
      </c>
      <c r="TRL23" s="50" t="str">
        <f t="shared" si="218"/>
        <v/>
      </c>
      <c r="TRM23" s="50" t="str">
        <f t="shared" ref="TRM23:TTX23" si="219">IFERROR(IF(TRL23+TIME(1,0,0)&lt;=$G$12,TRL23+TIME(1,0,0),""),"")</f>
        <v/>
      </c>
      <c r="TRN23" s="50" t="str">
        <f t="shared" si="219"/>
        <v/>
      </c>
      <c r="TRO23" s="50" t="str">
        <f t="shared" si="219"/>
        <v/>
      </c>
      <c r="TRP23" s="50" t="str">
        <f t="shared" si="219"/>
        <v/>
      </c>
      <c r="TRQ23" s="50" t="str">
        <f t="shared" si="219"/>
        <v/>
      </c>
      <c r="TRR23" s="50" t="str">
        <f t="shared" si="219"/>
        <v/>
      </c>
      <c r="TRS23" s="50" t="str">
        <f t="shared" si="219"/>
        <v/>
      </c>
      <c r="TRT23" s="50" t="str">
        <f t="shared" si="219"/>
        <v/>
      </c>
      <c r="TRU23" s="50" t="str">
        <f t="shared" si="219"/>
        <v/>
      </c>
      <c r="TRV23" s="50" t="str">
        <f t="shared" si="219"/>
        <v/>
      </c>
      <c r="TRW23" s="50" t="str">
        <f t="shared" si="219"/>
        <v/>
      </c>
      <c r="TRX23" s="50" t="str">
        <f t="shared" si="219"/>
        <v/>
      </c>
      <c r="TRY23" s="50" t="str">
        <f t="shared" si="219"/>
        <v/>
      </c>
      <c r="TRZ23" s="50" t="str">
        <f t="shared" si="219"/>
        <v/>
      </c>
      <c r="TSA23" s="50" t="str">
        <f t="shared" si="219"/>
        <v/>
      </c>
      <c r="TSB23" s="50" t="str">
        <f t="shared" si="219"/>
        <v/>
      </c>
      <c r="TSC23" s="50" t="str">
        <f t="shared" si="219"/>
        <v/>
      </c>
      <c r="TSD23" s="50" t="str">
        <f t="shared" si="219"/>
        <v/>
      </c>
      <c r="TSE23" s="50" t="str">
        <f t="shared" si="219"/>
        <v/>
      </c>
      <c r="TSF23" s="50" t="str">
        <f t="shared" si="219"/>
        <v/>
      </c>
      <c r="TSG23" s="50" t="str">
        <f t="shared" si="219"/>
        <v/>
      </c>
      <c r="TSH23" s="50" t="str">
        <f t="shared" si="219"/>
        <v/>
      </c>
      <c r="TSI23" s="50" t="str">
        <f t="shared" si="219"/>
        <v/>
      </c>
      <c r="TSJ23" s="50" t="str">
        <f t="shared" si="219"/>
        <v/>
      </c>
      <c r="TSK23" s="50" t="str">
        <f t="shared" si="219"/>
        <v/>
      </c>
      <c r="TSL23" s="50" t="str">
        <f t="shared" si="219"/>
        <v/>
      </c>
      <c r="TSM23" s="50" t="str">
        <f t="shared" si="219"/>
        <v/>
      </c>
      <c r="TSN23" s="50" t="str">
        <f t="shared" si="219"/>
        <v/>
      </c>
      <c r="TSO23" s="50" t="str">
        <f t="shared" si="219"/>
        <v/>
      </c>
      <c r="TSP23" s="50" t="str">
        <f t="shared" si="219"/>
        <v/>
      </c>
      <c r="TSQ23" s="50" t="str">
        <f t="shared" si="219"/>
        <v/>
      </c>
      <c r="TSR23" s="50" t="str">
        <f t="shared" si="219"/>
        <v/>
      </c>
      <c r="TSS23" s="50" t="str">
        <f t="shared" si="219"/>
        <v/>
      </c>
      <c r="TST23" s="50" t="str">
        <f t="shared" si="219"/>
        <v/>
      </c>
      <c r="TSU23" s="50" t="str">
        <f t="shared" si="219"/>
        <v/>
      </c>
      <c r="TSV23" s="50" t="str">
        <f t="shared" si="219"/>
        <v/>
      </c>
      <c r="TSW23" s="50" t="str">
        <f t="shared" si="219"/>
        <v/>
      </c>
      <c r="TSX23" s="50" t="str">
        <f t="shared" si="219"/>
        <v/>
      </c>
      <c r="TSY23" s="50" t="str">
        <f t="shared" si="219"/>
        <v/>
      </c>
      <c r="TSZ23" s="50" t="str">
        <f t="shared" si="219"/>
        <v/>
      </c>
      <c r="TTA23" s="50" t="str">
        <f t="shared" si="219"/>
        <v/>
      </c>
      <c r="TTB23" s="50" t="str">
        <f t="shared" si="219"/>
        <v/>
      </c>
      <c r="TTC23" s="50" t="str">
        <f t="shared" si="219"/>
        <v/>
      </c>
      <c r="TTD23" s="50" t="str">
        <f t="shared" si="219"/>
        <v/>
      </c>
      <c r="TTE23" s="50" t="str">
        <f t="shared" si="219"/>
        <v/>
      </c>
      <c r="TTF23" s="50" t="str">
        <f t="shared" si="219"/>
        <v/>
      </c>
      <c r="TTG23" s="50" t="str">
        <f t="shared" si="219"/>
        <v/>
      </c>
      <c r="TTH23" s="50" t="str">
        <f t="shared" si="219"/>
        <v/>
      </c>
      <c r="TTI23" s="50" t="str">
        <f t="shared" si="219"/>
        <v/>
      </c>
      <c r="TTJ23" s="50" t="str">
        <f t="shared" si="219"/>
        <v/>
      </c>
      <c r="TTK23" s="50" t="str">
        <f t="shared" si="219"/>
        <v/>
      </c>
      <c r="TTL23" s="50" t="str">
        <f t="shared" si="219"/>
        <v/>
      </c>
      <c r="TTM23" s="50" t="str">
        <f t="shared" si="219"/>
        <v/>
      </c>
      <c r="TTN23" s="50" t="str">
        <f t="shared" si="219"/>
        <v/>
      </c>
      <c r="TTO23" s="50" t="str">
        <f t="shared" si="219"/>
        <v/>
      </c>
      <c r="TTP23" s="50" t="str">
        <f t="shared" si="219"/>
        <v/>
      </c>
      <c r="TTQ23" s="50" t="str">
        <f t="shared" si="219"/>
        <v/>
      </c>
      <c r="TTR23" s="50" t="str">
        <f t="shared" si="219"/>
        <v/>
      </c>
      <c r="TTS23" s="50" t="str">
        <f t="shared" si="219"/>
        <v/>
      </c>
      <c r="TTT23" s="50" t="str">
        <f t="shared" si="219"/>
        <v/>
      </c>
      <c r="TTU23" s="50" t="str">
        <f t="shared" si="219"/>
        <v/>
      </c>
      <c r="TTV23" s="50" t="str">
        <f t="shared" si="219"/>
        <v/>
      </c>
      <c r="TTW23" s="50" t="str">
        <f t="shared" si="219"/>
        <v/>
      </c>
      <c r="TTX23" s="50" t="str">
        <f t="shared" si="219"/>
        <v/>
      </c>
      <c r="TTY23" s="50" t="str">
        <f t="shared" ref="TTY23:TWJ23" si="220">IFERROR(IF(TTX23+TIME(1,0,0)&lt;=$G$12,TTX23+TIME(1,0,0),""),"")</f>
        <v/>
      </c>
      <c r="TTZ23" s="50" t="str">
        <f t="shared" si="220"/>
        <v/>
      </c>
      <c r="TUA23" s="50" t="str">
        <f t="shared" si="220"/>
        <v/>
      </c>
      <c r="TUB23" s="50" t="str">
        <f t="shared" si="220"/>
        <v/>
      </c>
      <c r="TUC23" s="50" t="str">
        <f t="shared" si="220"/>
        <v/>
      </c>
      <c r="TUD23" s="50" t="str">
        <f t="shared" si="220"/>
        <v/>
      </c>
      <c r="TUE23" s="50" t="str">
        <f t="shared" si="220"/>
        <v/>
      </c>
      <c r="TUF23" s="50" t="str">
        <f t="shared" si="220"/>
        <v/>
      </c>
      <c r="TUG23" s="50" t="str">
        <f t="shared" si="220"/>
        <v/>
      </c>
      <c r="TUH23" s="50" t="str">
        <f t="shared" si="220"/>
        <v/>
      </c>
      <c r="TUI23" s="50" t="str">
        <f t="shared" si="220"/>
        <v/>
      </c>
      <c r="TUJ23" s="50" t="str">
        <f t="shared" si="220"/>
        <v/>
      </c>
      <c r="TUK23" s="50" t="str">
        <f t="shared" si="220"/>
        <v/>
      </c>
      <c r="TUL23" s="50" t="str">
        <f t="shared" si="220"/>
        <v/>
      </c>
      <c r="TUM23" s="50" t="str">
        <f t="shared" si="220"/>
        <v/>
      </c>
      <c r="TUN23" s="50" t="str">
        <f t="shared" si="220"/>
        <v/>
      </c>
      <c r="TUO23" s="50" t="str">
        <f t="shared" si="220"/>
        <v/>
      </c>
      <c r="TUP23" s="50" t="str">
        <f t="shared" si="220"/>
        <v/>
      </c>
      <c r="TUQ23" s="50" t="str">
        <f t="shared" si="220"/>
        <v/>
      </c>
      <c r="TUR23" s="50" t="str">
        <f t="shared" si="220"/>
        <v/>
      </c>
      <c r="TUS23" s="50" t="str">
        <f t="shared" si="220"/>
        <v/>
      </c>
      <c r="TUT23" s="50" t="str">
        <f t="shared" si="220"/>
        <v/>
      </c>
      <c r="TUU23" s="50" t="str">
        <f t="shared" si="220"/>
        <v/>
      </c>
      <c r="TUV23" s="50" t="str">
        <f t="shared" si="220"/>
        <v/>
      </c>
      <c r="TUW23" s="50" t="str">
        <f t="shared" si="220"/>
        <v/>
      </c>
      <c r="TUX23" s="50" t="str">
        <f t="shared" si="220"/>
        <v/>
      </c>
      <c r="TUY23" s="50" t="str">
        <f t="shared" si="220"/>
        <v/>
      </c>
      <c r="TUZ23" s="50" t="str">
        <f t="shared" si="220"/>
        <v/>
      </c>
      <c r="TVA23" s="50" t="str">
        <f t="shared" si="220"/>
        <v/>
      </c>
      <c r="TVB23" s="50" t="str">
        <f t="shared" si="220"/>
        <v/>
      </c>
      <c r="TVC23" s="50" t="str">
        <f t="shared" si="220"/>
        <v/>
      </c>
      <c r="TVD23" s="50" t="str">
        <f t="shared" si="220"/>
        <v/>
      </c>
      <c r="TVE23" s="50" t="str">
        <f t="shared" si="220"/>
        <v/>
      </c>
      <c r="TVF23" s="50" t="str">
        <f t="shared" si="220"/>
        <v/>
      </c>
      <c r="TVG23" s="50" t="str">
        <f t="shared" si="220"/>
        <v/>
      </c>
      <c r="TVH23" s="50" t="str">
        <f t="shared" si="220"/>
        <v/>
      </c>
      <c r="TVI23" s="50" t="str">
        <f t="shared" si="220"/>
        <v/>
      </c>
      <c r="TVJ23" s="50" t="str">
        <f t="shared" si="220"/>
        <v/>
      </c>
      <c r="TVK23" s="50" t="str">
        <f t="shared" si="220"/>
        <v/>
      </c>
      <c r="TVL23" s="50" t="str">
        <f t="shared" si="220"/>
        <v/>
      </c>
      <c r="TVM23" s="50" t="str">
        <f t="shared" si="220"/>
        <v/>
      </c>
      <c r="TVN23" s="50" t="str">
        <f t="shared" si="220"/>
        <v/>
      </c>
      <c r="TVO23" s="50" t="str">
        <f t="shared" si="220"/>
        <v/>
      </c>
      <c r="TVP23" s="50" t="str">
        <f t="shared" si="220"/>
        <v/>
      </c>
      <c r="TVQ23" s="50" t="str">
        <f t="shared" si="220"/>
        <v/>
      </c>
      <c r="TVR23" s="50" t="str">
        <f t="shared" si="220"/>
        <v/>
      </c>
      <c r="TVS23" s="50" t="str">
        <f t="shared" si="220"/>
        <v/>
      </c>
      <c r="TVT23" s="50" t="str">
        <f t="shared" si="220"/>
        <v/>
      </c>
      <c r="TVU23" s="50" t="str">
        <f t="shared" si="220"/>
        <v/>
      </c>
      <c r="TVV23" s="50" t="str">
        <f t="shared" si="220"/>
        <v/>
      </c>
      <c r="TVW23" s="50" t="str">
        <f t="shared" si="220"/>
        <v/>
      </c>
      <c r="TVX23" s="50" t="str">
        <f t="shared" si="220"/>
        <v/>
      </c>
      <c r="TVY23" s="50" t="str">
        <f t="shared" si="220"/>
        <v/>
      </c>
      <c r="TVZ23" s="50" t="str">
        <f t="shared" si="220"/>
        <v/>
      </c>
      <c r="TWA23" s="50" t="str">
        <f t="shared" si="220"/>
        <v/>
      </c>
      <c r="TWB23" s="50" t="str">
        <f t="shared" si="220"/>
        <v/>
      </c>
      <c r="TWC23" s="50" t="str">
        <f t="shared" si="220"/>
        <v/>
      </c>
      <c r="TWD23" s="50" t="str">
        <f t="shared" si="220"/>
        <v/>
      </c>
      <c r="TWE23" s="50" t="str">
        <f t="shared" si="220"/>
        <v/>
      </c>
      <c r="TWF23" s="50" t="str">
        <f t="shared" si="220"/>
        <v/>
      </c>
      <c r="TWG23" s="50" t="str">
        <f t="shared" si="220"/>
        <v/>
      </c>
      <c r="TWH23" s="50" t="str">
        <f t="shared" si="220"/>
        <v/>
      </c>
      <c r="TWI23" s="50" t="str">
        <f t="shared" si="220"/>
        <v/>
      </c>
      <c r="TWJ23" s="50" t="str">
        <f t="shared" si="220"/>
        <v/>
      </c>
      <c r="TWK23" s="50" t="str">
        <f t="shared" ref="TWK23:TYV23" si="221">IFERROR(IF(TWJ23+TIME(1,0,0)&lt;=$G$12,TWJ23+TIME(1,0,0),""),"")</f>
        <v/>
      </c>
      <c r="TWL23" s="50" t="str">
        <f t="shared" si="221"/>
        <v/>
      </c>
      <c r="TWM23" s="50" t="str">
        <f t="shared" si="221"/>
        <v/>
      </c>
      <c r="TWN23" s="50" t="str">
        <f t="shared" si="221"/>
        <v/>
      </c>
      <c r="TWO23" s="50" t="str">
        <f t="shared" si="221"/>
        <v/>
      </c>
      <c r="TWP23" s="50" t="str">
        <f t="shared" si="221"/>
        <v/>
      </c>
      <c r="TWQ23" s="50" t="str">
        <f t="shared" si="221"/>
        <v/>
      </c>
      <c r="TWR23" s="50" t="str">
        <f t="shared" si="221"/>
        <v/>
      </c>
      <c r="TWS23" s="50" t="str">
        <f t="shared" si="221"/>
        <v/>
      </c>
      <c r="TWT23" s="50" t="str">
        <f t="shared" si="221"/>
        <v/>
      </c>
      <c r="TWU23" s="50" t="str">
        <f t="shared" si="221"/>
        <v/>
      </c>
      <c r="TWV23" s="50" t="str">
        <f t="shared" si="221"/>
        <v/>
      </c>
      <c r="TWW23" s="50" t="str">
        <f t="shared" si="221"/>
        <v/>
      </c>
      <c r="TWX23" s="50" t="str">
        <f t="shared" si="221"/>
        <v/>
      </c>
      <c r="TWY23" s="50" t="str">
        <f t="shared" si="221"/>
        <v/>
      </c>
      <c r="TWZ23" s="50" t="str">
        <f t="shared" si="221"/>
        <v/>
      </c>
      <c r="TXA23" s="50" t="str">
        <f t="shared" si="221"/>
        <v/>
      </c>
      <c r="TXB23" s="50" t="str">
        <f t="shared" si="221"/>
        <v/>
      </c>
      <c r="TXC23" s="50" t="str">
        <f t="shared" si="221"/>
        <v/>
      </c>
      <c r="TXD23" s="50" t="str">
        <f t="shared" si="221"/>
        <v/>
      </c>
      <c r="TXE23" s="50" t="str">
        <f t="shared" si="221"/>
        <v/>
      </c>
      <c r="TXF23" s="50" t="str">
        <f t="shared" si="221"/>
        <v/>
      </c>
      <c r="TXG23" s="50" t="str">
        <f t="shared" si="221"/>
        <v/>
      </c>
      <c r="TXH23" s="50" t="str">
        <f t="shared" si="221"/>
        <v/>
      </c>
      <c r="TXI23" s="50" t="str">
        <f t="shared" si="221"/>
        <v/>
      </c>
      <c r="TXJ23" s="50" t="str">
        <f t="shared" si="221"/>
        <v/>
      </c>
      <c r="TXK23" s="50" t="str">
        <f t="shared" si="221"/>
        <v/>
      </c>
      <c r="TXL23" s="50" t="str">
        <f t="shared" si="221"/>
        <v/>
      </c>
      <c r="TXM23" s="50" t="str">
        <f t="shared" si="221"/>
        <v/>
      </c>
      <c r="TXN23" s="50" t="str">
        <f t="shared" si="221"/>
        <v/>
      </c>
      <c r="TXO23" s="50" t="str">
        <f t="shared" si="221"/>
        <v/>
      </c>
      <c r="TXP23" s="50" t="str">
        <f t="shared" si="221"/>
        <v/>
      </c>
      <c r="TXQ23" s="50" t="str">
        <f t="shared" si="221"/>
        <v/>
      </c>
      <c r="TXR23" s="50" t="str">
        <f t="shared" si="221"/>
        <v/>
      </c>
      <c r="TXS23" s="50" t="str">
        <f t="shared" si="221"/>
        <v/>
      </c>
      <c r="TXT23" s="50" t="str">
        <f t="shared" si="221"/>
        <v/>
      </c>
      <c r="TXU23" s="50" t="str">
        <f t="shared" si="221"/>
        <v/>
      </c>
      <c r="TXV23" s="50" t="str">
        <f t="shared" si="221"/>
        <v/>
      </c>
      <c r="TXW23" s="50" t="str">
        <f t="shared" si="221"/>
        <v/>
      </c>
      <c r="TXX23" s="50" t="str">
        <f t="shared" si="221"/>
        <v/>
      </c>
      <c r="TXY23" s="50" t="str">
        <f t="shared" si="221"/>
        <v/>
      </c>
      <c r="TXZ23" s="50" t="str">
        <f t="shared" si="221"/>
        <v/>
      </c>
      <c r="TYA23" s="50" t="str">
        <f t="shared" si="221"/>
        <v/>
      </c>
      <c r="TYB23" s="50" t="str">
        <f t="shared" si="221"/>
        <v/>
      </c>
      <c r="TYC23" s="50" t="str">
        <f t="shared" si="221"/>
        <v/>
      </c>
      <c r="TYD23" s="50" t="str">
        <f t="shared" si="221"/>
        <v/>
      </c>
      <c r="TYE23" s="50" t="str">
        <f t="shared" si="221"/>
        <v/>
      </c>
      <c r="TYF23" s="50" t="str">
        <f t="shared" si="221"/>
        <v/>
      </c>
      <c r="TYG23" s="50" t="str">
        <f t="shared" si="221"/>
        <v/>
      </c>
      <c r="TYH23" s="50" t="str">
        <f t="shared" si="221"/>
        <v/>
      </c>
      <c r="TYI23" s="50" t="str">
        <f t="shared" si="221"/>
        <v/>
      </c>
      <c r="TYJ23" s="50" t="str">
        <f t="shared" si="221"/>
        <v/>
      </c>
      <c r="TYK23" s="50" t="str">
        <f t="shared" si="221"/>
        <v/>
      </c>
      <c r="TYL23" s="50" t="str">
        <f t="shared" si="221"/>
        <v/>
      </c>
      <c r="TYM23" s="50" t="str">
        <f t="shared" si="221"/>
        <v/>
      </c>
      <c r="TYN23" s="50" t="str">
        <f t="shared" si="221"/>
        <v/>
      </c>
      <c r="TYO23" s="50" t="str">
        <f t="shared" si="221"/>
        <v/>
      </c>
      <c r="TYP23" s="50" t="str">
        <f t="shared" si="221"/>
        <v/>
      </c>
      <c r="TYQ23" s="50" t="str">
        <f t="shared" si="221"/>
        <v/>
      </c>
      <c r="TYR23" s="50" t="str">
        <f t="shared" si="221"/>
        <v/>
      </c>
      <c r="TYS23" s="50" t="str">
        <f t="shared" si="221"/>
        <v/>
      </c>
      <c r="TYT23" s="50" t="str">
        <f t="shared" si="221"/>
        <v/>
      </c>
      <c r="TYU23" s="50" t="str">
        <f t="shared" si="221"/>
        <v/>
      </c>
      <c r="TYV23" s="50" t="str">
        <f t="shared" si="221"/>
        <v/>
      </c>
      <c r="TYW23" s="50" t="str">
        <f t="shared" ref="TYW23:UBH23" si="222">IFERROR(IF(TYV23+TIME(1,0,0)&lt;=$G$12,TYV23+TIME(1,0,0),""),"")</f>
        <v/>
      </c>
      <c r="TYX23" s="50" t="str">
        <f t="shared" si="222"/>
        <v/>
      </c>
      <c r="TYY23" s="50" t="str">
        <f t="shared" si="222"/>
        <v/>
      </c>
      <c r="TYZ23" s="50" t="str">
        <f t="shared" si="222"/>
        <v/>
      </c>
      <c r="TZA23" s="50" t="str">
        <f t="shared" si="222"/>
        <v/>
      </c>
      <c r="TZB23" s="50" t="str">
        <f t="shared" si="222"/>
        <v/>
      </c>
      <c r="TZC23" s="50" t="str">
        <f t="shared" si="222"/>
        <v/>
      </c>
      <c r="TZD23" s="50" t="str">
        <f t="shared" si="222"/>
        <v/>
      </c>
      <c r="TZE23" s="50" t="str">
        <f t="shared" si="222"/>
        <v/>
      </c>
      <c r="TZF23" s="50" t="str">
        <f t="shared" si="222"/>
        <v/>
      </c>
      <c r="TZG23" s="50" t="str">
        <f t="shared" si="222"/>
        <v/>
      </c>
      <c r="TZH23" s="50" t="str">
        <f t="shared" si="222"/>
        <v/>
      </c>
      <c r="TZI23" s="50" t="str">
        <f t="shared" si="222"/>
        <v/>
      </c>
      <c r="TZJ23" s="50" t="str">
        <f t="shared" si="222"/>
        <v/>
      </c>
      <c r="TZK23" s="50" t="str">
        <f t="shared" si="222"/>
        <v/>
      </c>
      <c r="TZL23" s="50" t="str">
        <f t="shared" si="222"/>
        <v/>
      </c>
      <c r="TZM23" s="50" t="str">
        <f t="shared" si="222"/>
        <v/>
      </c>
      <c r="TZN23" s="50" t="str">
        <f t="shared" si="222"/>
        <v/>
      </c>
      <c r="TZO23" s="50" t="str">
        <f t="shared" si="222"/>
        <v/>
      </c>
      <c r="TZP23" s="50" t="str">
        <f t="shared" si="222"/>
        <v/>
      </c>
      <c r="TZQ23" s="50" t="str">
        <f t="shared" si="222"/>
        <v/>
      </c>
      <c r="TZR23" s="50" t="str">
        <f t="shared" si="222"/>
        <v/>
      </c>
      <c r="TZS23" s="50" t="str">
        <f t="shared" si="222"/>
        <v/>
      </c>
      <c r="TZT23" s="50" t="str">
        <f t="shared" si="222"/>
        <v/>
      </c>
      <c r="TZU23" s="50" t="str">
        <f t="shared" si="222"/>
        <v/>
      </c>
      <c r="TZV23" s="50" t="str">
        <f t="shared" si="222"/>
        <v/>
      </c>
      <c r="TZW23" s="50" t="str">
        <f t="shared" si="222"/>
        <v/>
      </c>
      <c r="TZX23" s="50" t="str">
        <f t="shared" si="222"/>
        <v/>
      </c>
      <c r="TZY23" s="50" t="str">
        <f t="shared" si="222"/>
        <v/>
      </c>
      <c r="TZZ23" s="50" t="str">
        <f t="shared" si="222"/>
        <v/>
      </c>
      <c r="UAA23" s="50" t="str">
        <f t="shared" si="222"/>
        <v/>
      </c>
      <c r="UAB23" s="50" t="str">
        <f t="shared" si="222"/>
        <v/>
      </c>
      <c r="UAC23" s="50" t="str">
        <f t="shared" si="222"/>
        <v/>
      </c>
      <c r="UAD23" s="50" t="str">
        <f t="shared" si="222"/>
        <v/>
      </c>
      <c r="UAE23" s="50" t="str">
        <f t="shared" si="222"/>
        <v/>
      </c>
      <c r="UAF23" s="50" t="str">
        <f t="shared" si="222"/>
        <v/>
      </c>
      <c r="UAG23" s="50" t="str">
        <f t="shared" si="222"/>
        <v/>
      </c>
      <c r="UAH23" s="50" t="str">
        <f t="shared" si="222"/>
        <v/>
      </c>
      <c r="UAI23" s="50" t="str">
        <f t="shared" si="222"/>
        <v/>
      </c>
      <c r="UAJ23" s="50" t="str">
        <f t="shared" si="222"/>
        <v/>
      </c>
      <c r="UAK23" s="50" t="str">
        <f t="shared" si="222"/>
        <v/>
      </c>
      <c r="UAL23" s="50" t="str">
        <f t="shared" si="222"/>
        <v/>
      </c>
      <c r="UAM23" s="50" t="str">
        <f t="shared" si="222"/>
        <v/>
      </c>
      <c r="UAN23" s="50" t="str">
        <f t="shared" si="222"/>
        <v/>
      </c>
      <c r="UAO23" s="50" t="str">
        <f t="shared" si="222"/>
        <v/>
      </c>
      <c r="UAP23" s="50" t="str">
        <f t="shared" si="222"/>
        <v/>
      </c>
      <c r="UAQ23" s="50" t="str">
        <f t="shared" si="222"/>
        <v/>
      </c>
      <c r="UAR23" s="50" t="str">
        <f t="shared" si="222"/>
        <v/>
      </c>
      <c r="UAS23" s="50" t="str">
        <f t="shared" si="222"/>
        <v/>
      </c>
      <c r="UAT23" s="50" t="str">
        <f t="shared" si="222"/>
        <v/>
      </c>
      <c r="UAU23" s="50" t="str">
        <f t="shared" si="222"/>
        <v/>
      </c>
      <c r="UAV23" s="50" t="str">
        <f t="shared" si="222"/>
        <v/>
      </c>
      <c r="UAW23" s="50" t="str">
        <f t="shared" si="222"/>
        <v/>
      </c>
      <c r="UAX23" s="50" t="str">
        <f t="shared" si="222"/>
        <v/>
      </c>
      <c r="UAY23" s="50" t="str">
        <f t="shared" si="222"/>
        <v/>
      </c>
      <c r="UAZ23" s="50" t="str">
        <f t="shared" si="222"/>
        <v/>
      </c>
      <c r="UBA23" s="50" t="str">
        <f t="shared" si="222"/>
        <v/>
      </c>
      <c r="UBB23" s="50" t="str">
        <f t="shared" si="222"/>
        <v/>
      </c>
      <c r="UBC23" s="50" t="str">
        <f t="shared" si="222"/>
        <v/>
      </c>
      <c r="UBD23" s="50" t="str">
        <f t="shared" si="222"/>
        <v/>
      </c>
      <c r="UBE23" s="50" t="str">
        <f t="shared" si="222"/>
        <v/>
      </c>
      <c r="UBF23" s="50" t="str">
        <f t="shared" si="222"/>
        <v/>
      </c>
      <c r="UBG23" s="50" t="str">
        <f t="shared" si="222"/>
        <v/>
      </c>
      <c r="UBH23" s="50" t="str">
        <f t="shared" si="222"/>
        <v/>
      </c>
      <c r="UBI23" s="50" t="str">
        <f t="shared" ref="UBI23:UDT23" si="223">IFERROR(IF(UBH23+TIME(1,0,0)&lt;=$G$12,UBH23+TIME(1,0,0),""),"")</f>
        <v/>
      </c>
      <c r="UBJ23" s="50" t="str">
        <f t="shared" si="223"/>
        <v/>
      </c>
      <c r="UBK23" s="50" t="str">
        <f t="shared" si="223"/>
        <v/>
      </c>
      <c r="UBL23" s="50" t="str">
        <f t="shared" si="223"/>
        <v/>
      </c>
      <c r="UBM23" s="50" t="str">
        <f t="shared" si="223"/>
        <v/>
      </c>
      <c r="UBN23" s="50" t="str">
        <f t="shared" si="223"/>
        <v/>
      </c>
      <c r="UBO23" s="50" t="str">
        <f t="shared" si="223"/>
        <v/>
      </c>
      <c r="UBP23" s="50" t="str">
        <f t="shared" si="223"/>
        <v/>
      </c>
      <c r="UBQ23" s="50" t="str">
        <f t="shared" si="223"/>
        <v/>
      </c>
      <c r="UBR23" s="50" t="str">
        <f t="shared" si="223"/>
        <v/>
      </c>
      <c r="UBS23" s="50" t="str">
        <f t="shared" si="223"/>
        <v/>
      </c>
      <c r="UBT23" s="50" t="str">
        <f t="shared" si="223"/>
        <v/>
      </c>
      <c r="UBU23" s="50" t="str">
        <f t="shared" si="223"/>
        <v/>
      </c>
      <c r="UBV23" s="50" t="str">
        <f t="shared" si="223"/>
        <v/>
      </c>
      <c r="UBW23" s="50" t="str">
        <f t="shared" si="223"/>
        <v/>
      </c>
      <c r="UBX23" s="50" t="str">
        <f t="shared" si="223"/>
        <v/>
      </c>
      <c r="UBY23" s="50" t="str">
        <f t="shared" si="223"/>
        <v/>
      </c>
      <c r="UBZ23" s="50" t="str">
        <f t="shared" si="223"/>
        <v/>
      </c>
      <c r="UCA23" s="50" t="str">
        <f t="shared" si="223"/>
        <v/>
      </c>
      <c r="UCB23" s="50" t="str">
        <f t="shared" si="223"/>
        <v/>
      </c>
      <c r="UCC23" s="50" t="str">
        <f t="shared" si="223"/>
        <v/>
      </c>
      <c r="UCD23" s="50" t="str">
        <f t="shared" si="223"/>
        <v/>
      </c>
      <c r="UCE23" s="50" t="str">
        <f t="shared" si="223"/>
        <v/>
      </c>
      <c r="UCF23" s="50" t="str">
        <f t="shared" si="223"/>
        <v/>
      </c>
      <c r="UCG23" s="50" t="str">
        <f t="shared" si="223"/>
        <v/>
      </c>
      <c r="UCH23" s="50" t="str">
        <f t="shared" si="223"/>
        <v/>
      </c>
      <c r="UCI23" s="50" t="str">
        <f t="shared" si="223"/>
        <v/>
      </c>
      <c r="UCJ23" s="50" t="str">
        <f t="shared" si="223"/>
        <v/>
      </c>
      <c r="UCK23" s="50" t="str">
        <f t="shared" si="223"/>
        <v/>
      </c>
      <c r="UCL23" s="50" t="str">
        <f t="shared" si="223"/>
        <v/>
      </c>
      <c r="UCM23" s="50" t="str">
        <f t="shared" si="223"/>
        <v/>
      </c>
      <c r="UCN23" s="50" t="str">
        <f t="shared" si="223"/>
        <v/>
      </c>
      <c r="UCO23" s="50" t="str">
        <f t="shared" si="223"/>
        <v/>
      </c>
      <c r="UCP23" s="50" t="str">
        <f t="shared" si="223"/>
        <v/>
      </c>
      <c r="UCQ23" s="50" t="str">
        <f t="shared" si="223"/>
        <v/>
      </c>
      <c r="UCR23" s="50" t="str">
        <f t="shared" si="223"/>
        <v/>
      </c>
      <c r="UCS23" s="50" t="str">
        <f t="shared" si="223"/>
        <v/>
      </c>
      <c r="UCT23" s="50" t="str">
        <f t="shared" si="223"/>
        <v/>
      </c>
      <c r="UCU23" s="50" t="str">
        <f t="shared" si="223"/>
        <v/>
      </c>
      <c r="UCV23" s="50" t="str">
        <f t="shared" si="223"/>
        <v/>
      </c>
      <c r="UCW23" s="50" t="str">
        <f t="shared" si="223"/>
        <v/>
      </c>
      <c r="UCX23" s="50" t="str">
        <f t="shared" si="223"/>
        <v/>
      </c>
      <c r="UCY23" s="50" t="str">
        <f t="shared" si="223"/>
        <v/>
      </c>
      <c r="UCZ23" s="50" t="str">
        <f t="shared" si="223"/>
        <v/>
      </c>
      <c r="UDA23" s="50" t="str">
        <f t="shared" si="223"/>
        <v/>
      </c>
      <c r="UDB23" s="50" t="str">
        <f t="shared" si="223"/>
        <v/>
      </c>
      <c r="UDC23" s="50" t="str">
        <f t="shared" si="223"/>
        <v/>
      </c>
      <c r="UDD23" s="50" t="str">
        <f t="shared" si="223"/>
        <v/>
      </c>
      <c r="UDE23" s="50" t="str">
        <f t="shared" si="223"/>
        <v/>
      </c>
      <c r="UDF23" s="50" t="str">
        <f t="shared" si="223"/>
        <v/>
      </c>
      <c r="UDG23" s="50" t="str">
        <f t="shared" si="223"/>
        <v/>
      </c>
      <c r="UDH23" s="50" t="str">
        <f t="shared" si="223"/>
        <v/>
      </c>
      <c r="UDI23" s="50" t="str">
        <f t="shared" si="223"/>
        <v/>
      </c>
      <c r="UDJ23" s="50" t="str">
        <f t="shared" si="223"/>
        <v/>
      </c>
      <c r="UDK23" s="50" t="str">
        <f t="shared" si="223"/>
        <v/>
      </c>
      <c r="UDL23" s="50" t="str">
        <f t="shared" si="223"/>
        <v/>
      </c>
      <c r="UDM23" s="50" t="str">
        <f t="shared" si="223"/>
        <v/>
      </c>
      <c r="UDN23" s="50" t="str">
        <f t="shared" si="223"/>
        <v/>
      </c>
      <c r="UDO23" s="50" t="str">
        <f t="shared" si="223"/>
        <v/>
      </c>
      <c r="UDP23" s="50" t="str">
        <f t="shared" si="223"/>
        <v/>
      </c>
      <c r="UDQ23" s="50" t="str">
        <f t="shared" si="223"/>
        <v/>
      </c>
      <c r="UDR23" s="50" t="str">
        <f t="shared" si="223"/>
        <v/>
      </c>
      <c r="UDS23" s="50" t="str">
        <f t="shared" si="223"/>
        <v/>
      </c>
      <c r="UDT23" s="50" t="str">
        <f t="shared" si="223"/>
        <v/>
      </c>
      <c r="UDU23" s="50" t="str">
        <f t="shared" ref="UDU23:UGF23" si="224">IFERROR(IF(UDT23+TIME(1,0,0)&lt;=$G$12,UDT23+TIME(1,0,0),""),"")</f>
        <v/>
      </c>
      <c r="UDV23" s="50" t="str">
        <f t="shared" si="224"/>
        <v/>
      </c>
      <c r="UDW23" s="50" t="str">
        <f t="shared" si="224"/>
        <v/>
      </c>
      <c r="UDX23" s="50" t="str">
        <f t="shared" si="224"/>
        <v/>
      </c>
      <c r="UDY23" s="50" t="str">
        <f t="shared" si="224"/>
        <v/>
      </c>
      <c r="UDZ23" s="50" t="str">
        <f t="shared" si="224"/>
        <v/>
      </c>
      <c r="UEA23" s="50" t="str">
        <f t="shared" si="224"/>
        <v/>
      </c>
      <c r="UEB23" s="50" t="str">
        <f t="shared" si="224"/>
        <v/>
      </c>
      <c r="UEC23" s="50" t="str">
        <f t="shared" si="224"/>
        <v/>
      </c>
      <c r="UED23" s="50" t="str">
        <f t="shared" si="224"/>
        <v/>
      </c>
      <c r="UEE23" s="50" t="str">
        <f t="shared" si="224"/>
        <v/>
      </c>
      <c r="UEF23" s="50" t="str">
        <f t="shared" si="224"/>
        <v/>
      </c>
      <c r="UEG23" s="50" t="str">
        <f t="shared" si="224"/>
        <v/>
      </c>
      <c r="UEH23" s="50" t="str">
        <f t="shared" si="224"/>
        <v/>
      </c>
      <c r="UEI23" s="50" t="str">
        <f t="shared" si="224"/>
        <v/>
      </c>
      <c r="UEJ23" s="50" t="str">
        <f t="shared" si="224"/>
        <v/>
      </c>
      <c r="UEK23" s="50" t="str">
        <f t="shared" si="224"/>
        <v/>
      </c>
      <c r="UEL23" s="50" t="str">
        <f t="shared" si="224"/>
        <v/>
      </c>
      <c r="UEM23" s="50" t="str">
        <f t="shared" si="224"/>
        <v/>
      </c>
      <c r="UEN23" s="50" t="str">
        <f t="shared" si="224"/>
        <v/>
      </c>
      <c r="UEO23" s="50" t="str">
        <f t="shared" si="224"/>
        <v/>
      </c>
      <c r="UEP23" s="50" t="str">
        <f t="shared" si="224"/>
        <v/>
      </c>
      <c r="UEQ23" s="50" t="str">
        <f t="shared" si="224"/>
        <v/>
      </c>
      <c r="UER23" s="50" t="str">
        <f t="shared" si="224"/>
        <v/>
      </c>
      <c r="UES23" s="50" t="str">
        <f t="shared" si="224"/>
        <v/>
      </c>
      <c r="UET23" s="50" t="str">
        <f t="shared" si="224"/>
        <v/>
      </c>
      <c r="UEU23" s="50" t="str">
        <f t="shared" si="224"/>
        <v/>
      </c>
      <c r="UEV23" s="50" t="str">
        <f t="shared" si="224"/>
        <v/>
      </c>
      <c r="UEW23" s="50" t="str">
        <f t="shared" si="224"/>
        <v/>
      </c>
      <c r="UEX23" s="50" t="str">
        <f t="shared" si="224"/>
        <v/>
      </c>
      <c r="UEY23" s="50" t="str">
        <f t="shared" si="224"/>
        <v/>
      </c>
      <c r="UEZ23" s="50" t="str">
        <f t="shared" si="224"/>
        <v/>
      </c>
      <c r="UFA23" s="50" t="str">
        <f t="shared" si="224"/>
        <v/>
      </c>
      <c r="UFB23" s="50" t="str">
        <f t="shared" si="224"/>
        <v/>
      </c>
      <c r="UFC23" s="50" t="str">
        <f t="shared" si="224"/>
        <v/>
      </c>
      <c r="UFD23" s="50" t="str">
        <f t="shared" si="224"/>
        <v/>
      </c>
      <c r="UFE23" s="50" t="str">
        <f t="shared" si="224"/>
        <v/>
      </c>
      <c r="UFF23" s="50" t="str">
        <f t="shared" si="224"/>
        <v/>
      </c>
      <c r="UFG23" s="50" t="str">
        <f t="shared" si="224"/>
        <v/>
      </c>
      <c r="UFH23" s="50" t="str">
        <f t="shared" si="224"/>
        <v/>
      </c>
      <c r="UFI23" s="50" t="str">
        <f t="shared" si="224"/>
        <v/>
      </c>
      <c r="UFJ23" s="50" t="str">
        <f t="shared" si="224"/>
        <v/>
      </c>
      <c r="UFK23" s="50" t="str">
        <f t="shared" si="224"/>
        <v/>
      </c>
      <c r="UFL23" s="50" t="str">
        <f t="shared" si="224"/>
        <v/>
      </c>
      <c r="UFM23" s="50" t="str">
        <f t="shared" si="224"/>
        <v/>
      </c>
      <c r="UFN23" s="50" t="str">
        <f t="shared" si="224"/>
        <v/>
      </c>
      <c r="UFO23" s="50" t="str">
        <f t="shared" si="224"/>
        <v/>
      </c>
      <c r="UFP23" s="50" t="str">
        <f t="shared" si="224"/>
        <v/>
      </c>
      <c r="UFQ23" s="50" t="str">
        <f t="shared" si="224"/>
        <v/>
      </c>
      <c r="UFR23" s="50" t="str">
        <f t="shared" si="224"/>
        <v/>
      </c>
      <c r="UFS23" s="50" t="str">
        <f t="shared" si="224"/>
        <v/>
      </c>
      <c r="UFT23" s="50" t="str">
        <f t="shared" si="224"/>
        <v/>
      </c>
      <c r="UFU23" s="50" t="str">
        <f t="shared" si="224"/>
        <v/>
      </c>
      <c r="UFV23" s="50" t="str">
        <f t="shared" si="224"/>
        <v/>
      </c>
      <c r="UFW23" s="50" t="str">
        <f t="shared" si="224"/>
        <v/>
      </c>
      <c r="UFX23" s="50" t="str">
        <f t="shared" si="224"/>
        <v/>
      </c>
      <c r="UFY23" s="50" t="str">
        <f t="shared" si="224"/>
        <v/>
      </c>
      <c r="UFZ23" s="50" t="str">
        <f t="shared" si="224"/>
        <v/>
      </c>
      <c r="UGA23" s="50" t="str">
        <f t="shared" si="224"/>
        <v/>
      </c>
      <c r="UGB23" s="50" t="str">
        <f t="shared" si="224"/>
        <v/>
      </c>
      <c r="UGC23" s="50" t="str">
        <f t="shared" si="224"/>
        <v/>
      </c>
      <c r="UGD23" s="50" t="str">
        <f t="shared" si="224"/>
        <v/>
      </c>
      <c r="UGE23" s="50" t="str">
        <f t="shared" si="224"/>
        <v/>
      </c>
      <c r="UGF23" s="50" t="str">
        <f t="shared" si="224"/>
        <v/>
      </c>
      <c r="UGG23" s="50" t="str">
        <f t="shared" ref="UGG23:UIR23" si="225">IFERROR(IF(UGF23+TIME(1,0,0)&lt;=$G$12,UGF23+TIME(1,0,0),""),"")</f>
        <v/>
      </c>
      <c r="UGH23" s="50" t="str">
        <f t="shared" si="225"/>
        <v/>
      </c>
      <c r="UGI23" s="50" t="str">
        <f t="shared" si="225"/>
        <v/>
      </c>
      <c r="UGJ23" s="50" t="str">
        <f t="shared" si="225"/>
        <v/>
      </c>
      <c r="UGK23" s="50" t="str">
        <f t="shared" si="225"/>
        <v/>
      </c>
      <c r="UGL23" s="50" t="str">
        <f t="shared" si="225"/>
        <v/>
      </c>
      <c r="UGM23" s="50" t="str">
        <f t="shared" si="225"/>
        <v/>
      </c>
      <c r="UGN23" s="50" t="str">
        <f t="shared" si="225"/>
        <v/>
      </c>
      <c r="UGO23" s="50" t="str">
        <f t="shared" si="225"/>
        <v/>
      </c>
      <c r="UGP23" s="50" t="str">
        <f t="shared" si="225"/>
        <v/>
      </c>
      <c r="UGQ23" s="50" t="str">
        <f t="shared" si="225"/>
        <v/>
      </c>
      <c r="UGR23" s="50" t="str">
        <f t="shared" si="225"/>
        <v/>
      </c>
      <c r="UGS23" s="50" t="str">
        <f t="shared" si="225"/>
        <v/>
      </c>
      <c r="UGT23" s="50" t="str">
        <f t="shared" si="225"/>
        <v/>
      </c>
      <c r="UGU23" s="50" t="str">
        <f t="shared" si="225"/>
        <v/>
      </c>
      <c r="UGV23" s="50" t="str">
        <f t="shared" si="225"/>
        <v/>
      </c>
      <c r="UGW23" s="50" t="str">
        <f t="shared" si="225"/>
        <v/>
      </c>
      <c r="UGX23" s="50" t="str">
        <f t="shared" si="225"/>
        <v/>
      </c>
      <c r="UGY23" s="50" t="str">
        <f t="shared" si="225"/>
        <v/>
      </c>
      <c r="UGZ23" s="50" t="str">
        <f t="shared" si="225"/>
        <v/>
      </c>
      <c r="UHA23" s="50" t="str">
        <f t="shared" si="225"/>
        <v/>
      </c>
      <c r="UHB23" s="50" t="str">
        <f t="shared" si="225"/>
        <v/>
      </c>
      <c r="UHC23" s="50" t="str">
        <f t="shared" si="225"/>
        <v/>
      </c>
      <c r="UHD23" s="50" t="str">
        <f t="shared" si="225"/>
        <v/>
      </c>
      <c r="UHE23" s="50" t="str">
        <f t="shared" si="225"/>
        <v/>
      </c>
      <c r="UHF23" s="50" t="str">
        <f t="shared" si="225"/>
        <v/>
      </c>
      <c r="UHG23" s="50" t="str">
        <f t="shared" si="225"/>
        <v/>
      </c>
      <c r="UHH23" s="50" t="str">
        <f t="shared" si="225"/>
        <v/>
      </c>
      <c r="UHI23" s="50" t="str">
        <f t="shared" si="225"/>
        <v/>
      </c>
      <c r="UHJ23" s="50" t="str">
        <f t="shared" si="225"/>
        <v/>
      </c>
      <c r="UHK23" s="50" t="str">
        <f t="shared" si="225"/>
        <v/>
      </c>
      <c r="UHL23" s="50" t="str">
        <f t="shared" si="225"/>
        <v/>
      </c>
      <c r="UHM23" s="50" t="str">
        <f t="shared" si="225"/>
        <v/>
      </c>
      <c r="UHN23" s="50" t="str">
        <f t="shared" si="225"/>
        <v/>
      </c>
      <c r="UHO23" s="50" t="str">
        <f t="shared" si="225"/>
        <v/>
      </c>
      <c r="UHP23" s="50" t="str">
        <f t="shared" si="225"/>
        <v/>
      </c>
      <c r="UHQ23" s="50" t="str">
        <f t="shared" si="225"/>
        <v/>
      </c>
      <c r="UHR23" s="50" t="str">
        <f t="shared" si="225"/>
        <v/>
      </c>
      <c r="UHS23" s="50" t="str">
        <f t="shared" si="225"/>
        <v/>
      </c>
      <c r="UHT23" s="50" t="str">
        <f t="shared" si="225"/>
        <v/>
      </c>
      <c r="UHU23" s="50" t="str">
        <f t="shared" si="225"/>
        <v/>
      </c>
      <c r="UHV23" s="50" t="str">
        <f t="shared" si="225"/>
        <v/>
      </c>
      <c r="UHW23" s="50" t="str">
        <f t="shared" si="225"/>
        <v/>
      </c>
      <c r="UHX23" s="50" t="str">
        <f t="shared" si="225"/>
        <v/>
      </c>
      <c r="UHY23" s="50" t="str">
        <f t="shared" si="225"/>
        <v/>
      </c>
      <c r="UHZ23" s="50" t="str">
        <f t="shared" si="225"/>
        <v/>
      </c>
      <c r="UIA23" s="50" t="str">
        <f t="shared" si="225"/>
        <v/>
      </c>
      <c r="UIB23" s="50" t="str">
        <f t="shared" si="225"/>
        <v/>
      </c>
      <c r="UIC23" s="50" t="str">
        <f t="shared" si="225"/>
        <v/>
      </c>
      <c r="UID23" s="50" t="str">
        <f t="shared" si="225"/>
        <v/>
      </c>
      <c r="UIE23" s="50" t="str">
        <f t="shared" si="225"/>
        <v/>
      </c>
      <c r="UIF23" s="50" t="str">
        <f t="shared" si="225"/>
        <v/>
      </c>
      <c r="UIG23" s="50" t="str">
        <f t="shared" si="225"/>
        <v/>
      </c>
      <c r="UIH23" s="50" t="str">
        <f t="shared" si="225"/>
        <v/>
      </c>
      <c r="UII23" s="50" t="str">
        <f t="shared" si="225"/>
        <v/>
      </c>
      <c r="UIJ23" s="50" t="str">
        <f t="shared" si="225"/>
        <v/>
      </c>
      <c r="UIK23" s="50" t="str">
        <f t="shared" si="225"/>
        <v/>
      </c>
      <c r="UIL23" s="50" t="str">
        <f t="shared" si="225"/>
        <v/>
      </c>
      <c r="UIM23" s="50" t="str">
        <f t="shared" si="225"/>
        <v/>
      </c>
      <c r="UIN23" s="50" t="str">
        <f t="shared" si="225"/>
        <v/>
      </c>
      <c r="UIO23" s="50" t="str">
        <f t="shared" si="225"/>
        <v/>
      </c>
      <c r="UIP23" s="50" t="str">
        <f t="shared" si="225"/>
        <v/>
      </c>
      <c r="UIQ23" s="50" t="str">
        <f t="shared" si="225"/>
        <v/>
      </c>
      <c r="UIR23" s="50" t="str">
        <f t="shared" si="225"/>
        <v/>
      </c>
      <c r="UIS23" s="50" t="str">
        <f t="shared" ref="UIS23:ULD23" si="226">IFERROR(IF(UIR23+TIME(1,0,0)&lt;=$G$12,UIR23+TIME(1,0,0),""),"")</f>
        <v/>
      </c>
      <c r="UIT23" s="50" t="str">
        <f t="shared" si="226"/>
        <v/>
      </c>
      <c r="UIU23" s="50" t="str">
        <f t="shared" si="226"/>
        <v/>
      </c>
      <c r="UIV23" s="50" t="str">
        <f t="shared" si="226"/>
        <v/>
      </c>
      <c r="UIW23" s="50" t="str">
        <f t="shared" si="226"/>
        <v/>
      </c>
      <c r="UIX23" s="50" t="str">
        <f t="shared" si="226"/>
        <v/>
      </c>
      <c r="UIY23" s="50" t="str">
        <f t="shared" si="226"/>
        <v/>
      </c>
      <c r="UIZ23" s="50" t="str">
        <f t="shared" si="226"/>
        <v/>
      </c>
      <c r="UJA23" s="50" t="str">
        <f t="shared" si="226"/>
        <v/>
      </c>
      <c r="UJB23" s="50" t="str">
        <f t="shared" si="226"/>
        <v/>
      </c>
      <c r="UJC23" s="50" t="str">
        <f t="shared" si="226"/>
        <v/>
      </c>
      <c r="UJD23" s="50" t="str">
        <f t="shared" si="226"/>
        <v/>
      </c>
      <c r="UJE23" s="50" t="str">
        <f t="shared" si="226"/>
        <v/>
      </c>
      <c r="UJF23" s="50" t="str">
        <f t="shared" si="226"/>
        <v/>
      </c>
      <c r="UJG23" s="50" t="str">
        <f t="shared" si="226"/>
        <v/>
      </c>
      <c r="UJH23" s="50" t="str">
        <f t="shared" si="226"/>
        <v/>
      </c>
      <c r="UJI23" s="50" t="str">
        <f t="shared" si="226"/>
        <v/>
      </c>
      <c r="UJJ23" s="50" t="str">
        <f t="shared" si="226"/>
        <v/>
      </c>
      <c r="UJK23" s="50" t="str">
        <f t="shared" si="226"/>
        <v/>
      </c>
      <c r="UJL23" s="50" t="str">
        <f t="shared" si="226"/>
        <v/>
      </c>
      <c r="UJM23" s="50" t="str">
        <f t="shared" si="226"/>
        <v/>
      </c>
      <c r="UJN23" s="50" t="str">
        <f t="shared" si="226"/>
        <v/>
      </c>
      <c r="UJO23" s="50" t="str">
        <f t="shared" si="226"/>
        <v/>
      </c>
      <c r="UJP23" s="50" t="str">
        <f t="shared" si="226"/>
        <v/>
      </c>
      <c r="UJQ23" s="50" t="str">
        <f t="shared" si="226"/>
        <v/>
      </c>
      <c r="UJR23" s="50" t="str">
        <f t="shared" si="226"/>
        <v/>
      </c>
      <c r="UJS23" s="50" t="str">
        <f t="shared" si="226"/>
        <v/>
      </c>
      <c r="UJT23" s="50" t="str">
        <f t="shared" si="226"/>
        <v/>
      </c>
      <c r="UJU23" s="50" t="str">
        <f t="shared" si="226"/>
        <v/>
      </c>
      <c r="UJV23" s="50" t="str">
        <f t="shared" si="226"/>
        <v/>
      </c>
      <c r="UJW23" s="50" t="str">
        <f t="shared" si="226"/>
        <v/>
      </c>
      <c r="UJX23" s="50" t="str">
        <f t="shared" si="226"/>
        <v/>
      </c>
      <c r="UJY23" s="50" t="str">
        <f t="shared" si="226"/>
        <v/>
      </c>
      <c r="UJZ23" s="50" t="str">
        <f t="shared" si="226"/>
        <v/>
      </c>
      <c r="UKA23" s="50" t="str">
        <f t="shared" si="226"/>
        <v/>
      </c>
      <c r="UKB23" s="50" t="str">
        <f t="shared" si="226"/>
        <v/>
      </c>
      <c r="UKC23" s="50" t="str">
        <f t="shared" si="226"/>
        <v/>
      </c>
      <c r="UKD23" s="50" t="str">
        <f t="shared" si="226"/>
        <v/>
      </c>
      <c r="UKE23" s="50" t="str">
        <f t="shared" si="226"/>
        <v/>
      </c>
      <c r="UKF23" s="50" t="str">
        <f t="shared" si="226"/>
        <v/>
      </c>
      <c r="UKG23" s="50" t="str">
        <f t="shared" si="226"/>
        <v/>
      </c>
      <c r="UKH23" s="50" t="str">
        <f t="shared" si="226"/>
        <v/>
      </c>
      <c r="UKI23" s="50" t="str">
        <f t="shared" si="226"/>
        <v/>
      </c>
      <c r="UKJ23" s="50" t="str">
        <f t="shared" si="226"/>
        <v/>
      </c>
      <c r="UKK23" s="50" t="str">
        <f t="shared" si="226"/>
        <v/>
      </c>
      <c r="UKL23" s="50" t="str">
        <f t="shared" si="226"/>
        <v/>
      </c>
      <c r="UKM23" s="50" t="str">
        <f t="shared" si="226"/>
        <v/>
      </c>
      <c r="UKN23" s="50" t="str">
        <f t="shared" si="226"/>
        <v/>
      </c>
      <c r="UKO23" s="50" t="str">
        <f t="shared" si="226"/>
        <v/>
      </c>
      <c r="UKP23" s="50" t="str">
        <f t="shared" si="226"/>
        <v/>
      </c>
      <c r="UKQ23" s="50" t="str">
        <f t="shared" si="226"/>
        <v/>
      </c>
      <c r="UKR23" s="50" t="str">
        <f t="shared" si="226"/>
        <v/>
      </c>
      <c r="UKS23" s="50" t="str">
        <f t="shared" si="226"/>
        <v/>
      </c>
      <c r="UKT23" s="50" t="str">
        <f t="shared" si="226"/>
        <v/>
      </c>
      <c r="UKU23" s="50" t="str">
        <f t="shared" si="226"/>
        <v/>
      </c>
      <c r="UKV23" s="50" t="str">
        <f t="shared" si="226"/>
        <v/>
      </c>
      <c r="UKW23" s="50" t="str">
        <f t="shared" si="226"/>
        <v/>
      </c>
      <c r="UKX23" s="50" t="str">
        <f t="shared" si="226"/>
        <v/>
      </c>
      <c r="UKY23" s="50" t="str">
        <f t="shared" si="226"/>
        <v/>
      </c>
      <c r="UKZ23" s="50" t="str">
        <f t="shared" si="226"/>
        <v/>
      </c>
      <c r="ULA23" s="50" t="str">
        <f t="shared" si="226"/>
        <v/>
      </c>
      <c r="ULB23" s="50" t="str">
        <f t="shared" si="226"/>
        <v/>
      </c>
      <c r="ULC23" s="50" t="str">
        <f t="shared" si="226"/>
        <v/>
      </c>
      <c r="ULD23" s="50" t="str">
        <f t="shared" si="226"/>
        <v/>
      </c>
      <c r="ULE23" s="50" t="str">
        <f t="shared" ref="ULE23:UNP23" si="227">IFERROR(IF(ULD23+TIME(1,0,0)&lt;=$G$12,ULD23+TIME(1,0,0),""),"")</f>
        <v/>
      </c>
      <c r="ULF23" s="50" t="str">
        <f t="shared" si="227"/>
        <v/>
      </c>
      <c r="ULG23" s="50" t="str">
        <f t="shared" si="227"/>
        <v/>
      </c>
      <c r="ULH23" s="50" t="str">
        <f t="shared" si="227"/>
        <v/>
      </c>
      <c r="ULI23" s="50" t="str">
        <f t="shared" si="227"/>
        <v/>
      </c>
      <c r="ULJ23" s="50" t="str">
        <f t="shared" si="227"/>
        <v/>
      </c>
      <c r="ULK23" s="50" t="str">
        <f t="shared" si="227"/>
        <v/>
      </c>
      <c r="ULL23" s="50" t="str">
        <f t="shared" si="227"/>
        <v/>
      </c>
      <c r="ULM23" s="50" t="str">
        <f t="shared" si="227"/>
        <v/>
      </c>
      <c r="ULN23" s="50" t="str">
        <f t="shared" si="227"/>
        <v/>
      </c>
      <c r="ULO23" s="50" t="str">
        <f t="shared" si="227"/>
        <v/>
      </c>
      <c r="ULP23" s="50" t="str">
        <f t="shared" si="227"/>
        <v/>
      </c>
      <c r="ULQ23" s="50" t="str">
        <f t="shared" si="227"/>
        <v/>
      </c>
      <c r="ULR23" s="50" t="str">
        <f t="shared" si="227"/>
        <v/>
      </c>
      <c r="ULS23" s="50" t="str">
        <f t="shared" si="227"/>
        <v/>
      </c>
      <c r="ULT23" s="50" t="str">
        <f t="shared" si="227"/>
        <v/>
      </c>
      <c r="ULU23" s="50" t="str">
        <f t="shared" si="227"/>
        <v/>
      </c>
      <c r="ULV23" s="50" t="str">
        <f t="shared" si="227"/>
        <v/>
      </c>
      <c r="ULW23" s="50" t="str">
        <f t="shared" si="227"/>
        <v/>
      </c>
      <c r="ULX23" s="50" t="str">
        <f t="shared" si="227"/>
        <v/>
      </c>
      <c r="ULY23" s="50" t="str">
        <f t="shared" si="227"/>
        <v/>
      </c>
      <c r="ULZ23" s="50" t="str">
        <f t="shared" si="227"/>
        <v/>
      </c>
      <c r="UMA23" s="50" t="str">
        <f t="shared" si="227"/>
        <v/>
      </c>
      <c r="UMB23" s="50" t="str">
        <f t="shared" si="227"/>
        <v/>
      </c>
      <c r="UMC23" s="50" t="str">
        <f t="shared" si="227"/>
        <v/>
      </c>
      <c r="UMD23" s="50" t="str">
        <f t="shared" si="227"/>
        <v/>
      </c>
      <c r="UME23" s="50" t="str">
        <f t="shared" si="227"/>
        <v/>
      </c>
      <c r="UMF23" s="50" t="str">
        <f t="shared" si="227"/>
        <v/>
      </c>
      <c r="UMG23" s="50" t="str">
        <f t="shared" si="227"/>
        <v/>
      </c>
      <c r="UMH23" s="50" t="str">
        <f t="shared" si="227"/>
        <v/>
      </c>
      <c r="UMI23" s="50" t="str">
        <f t="shared" si="227"/>
        <v/>
      </c>
      <c r="UMJ23" s="50" t="str">
        <f t="shared" si="227"/>
        <v/>
      </c>
      <c r="UMK23" s="50" t="str">
        <f t="shared" si="227"/>
        <v/>
      </c>
      <c r="UML23" s="50" t="str">
        <f t="shared" si="227"/>
        <v/>
      </c>
      <c r="UMM23" s="50" t="str">
        <f t="shared" si="227"/>
        <v/>
      </c>
      <c r="UMN23" s="50" t="str">
        <f t="shared" si="227"/>
        <v/>
      </c>
      <c r="UMO23" s="50" t="str">
        <f t="shared" si="227"/>
        <v/>
      </c>
      <c r="UMP23" s="50" t="str">
        <f t="shared" si="227"/>
        <v/>
      </c>
      <c r="UMQ23" s="50" t="str">
        <f t="shared" si="227"/>
        <v/>
      </c>
      <c r="UMR23" s="50" t="str">
        <f t="shared" si="227"/>
        <v/>
      </c>
      <c r="UMS23" s="50" t="str">
        <f t="shared" si="227"/>
        <v/>
      </c>
      <c r="UMT23" s="50" t="str">
        <f t="shared" si="227"/>
        <v/>
      </c>
      <c r="UMU23" s="50" t="str">
        <f t="shared" si="227"/>
        <v/>
      </c>
      <c r="UMV23" s="50" t="str">
        <f t="shared" si="227"/>
        <v/>
      </c>
      <c r="UMW23" s="50" t="str">
        <f t="shared" si="227"/>
        <v/>
      </c>
      <c r="UMX23" s="50" t="str">
        <f t="shared" si="227"/>
        <v/>
      </c>
      <c r="UMY23" s="50" t="str">
        <f t="shared" si="227"/>
        <v/>
      </c>
      <c r="UMZ23" s="50" t="str">
        <f t="shared" si="227"/>
        <v/>
      </c>
      <c r="UNA23" s="50" t="str">
        <f t="shared" si="227"/>
        <v/>
      </c>
      <c r="UNB23" s="50" t="str">
        <f t="shared" si="227"/>
        <v/>
      </c>
      <c r="UNC23" s="50" t="str">
        <f t="shared" si="227"/>
        <v/>
      </c>
      <c r="UND23" s="50" t="str">
        <f t="shared" si="227"/>
        <v/>
      </c>
      <c r="UNE23" s="50" t="str">
        <f t="shared" si="227"/>
        <v/>
      </c>
      <c r="UNF23" s="50" t="str">
        <f t="shared" si="227"/>
        <v/>
      </c>
      <c r="UNG23" s="50" t="str">
        <f t="shared" si="227"/>
        <v/>
      </c>
      <c r="UNH23" s="50" t="str">
        <f t="shared" si="227"/>
        <v/>
      </c>
      <c r="UNI23" s="50" t="str">
        <f t="shared" si="227"/>
        <v/>
      </c>
      <c r="UNJ23" s="50" t="str">
        <f t="shared" si="227"/>
        <v/>
      </c>
      <c r="UNK23" s="50" t="str">
        <f t="shared" si="227"/>
        <v/>
      </c>
      <c r="UNL23" s="50" t="str">
        <f t="shared" si="227"/>
        <v/>
      </c>
      <c r="UNM23" s="50" t="str">
        <f t="shared" si="227"/>
        <v/>
      </c>
      <c r="UNN23" s="50" t="str">
        <f t="shared" si="227"/>
        <v/>
      </c>
      <c r="UNO23" s="50" t="str">
        <f t="shared" si="227"/>
        <v/>
      </c>
      <c r="UNP23" s="50" t="str">
        <f t="shared" si="227"/>
        <v/>
      </c>
      <c r="UNQ23" s="50" t="str">
        <f t="shared" ref="UNQ23:UQB23" si="228">IFERROR(IF(UNP23+TIME(1,0,0)&lt;=$G$12,UNP23+TIME(1,0,0),""),"")</f>
        <v/>
      </c>
      <c r="UNR23" s="50" t="str">
        <f t="shared" si="228"/>
        <v/>
      </c>
      <c r="UNS23" s="50" t="str">
        <f t="shared" si="228"/>
        <v/>
      </c>
      <c r="UNT23" s="50" t="str">
        <f t="shared" si="228"/>
        <v/>
      </c>
      <c r="UNU23" s="50" t="str">
        <f t="shared" si="228"/>
        <v/>
      </c>
      <c r="UNV23" s="50" t="str">
        <f t="shared" si="228"/>
        <v/>
      </c>
      <c r="UNW23" s="50" t="str">
        <f t="shared" si="228"/>
        <v/>
      </c>
      <c r="UNX23" s="50" t="str">
        <f t="shared" si="228"/>
        <v/>
      </c>
      <c r="UNY23" s="50" t="str">
        <f t="shared" si="228"/>
        <v/>
      </c>
      <c r="UNZ23" s="50" t="str">
        <f t="shared" si="228"/>
        <v/>
      </c>
      <c r="UOA23" s="50" t="str">
        <f t="shared" si="228"/>
        <v/>
      </c>
      <c r="UOB23" s="50" t="str">
        <f t="shared" si="228"/>
        <v/>
      </c>
      <c r="UOC23" s="50" t="str">
        <f t="shared" si="228"/>
        <v/>
      </c>
      <c r="UOD23" s="50" t="str">
        <f t="shared" si="228"/>
        <v/>
      </c>
      <c r="UOE23" s="50" t="str">
        <f t="shared" si="228"/>
        <v/>
      </c>
      <c r="UOF23" s="50" t="str">
        <f t="shared" si="228"/>
        <v/>
      </c>
      <c r="UOG23" s="50" t="str">
        <f t="shared" si="228"/>
        <v/>
      </c>
      <c r="UOH23" s="50" t="str">
        <f t="shared" si="228"/>
        <v/>
      </c>
      <c r="UOI23" s="50" t="str">
        <f t="shared" si="228"/>
        <v/>
      </c>
      <c r="UOJ23" s="50" t="str">
        <f t="shared" si="228"/>
        <v/>
      </c>
      <c r="UOK23" s="50" t="str">
        <f t="shared" si="228"/>
        <v/>
      </c>
      <c r="UOL23" s="50" t="str">
        <f t="shared" si="228"/>
        <v/>
      </c>
      <c r="UOM23" s="50" t="str">
        <f t="shared" si="228"/>
        <v/>
      </c>
      <c r="UON23" s="50" t="str">
        <f t="shared" si="228"/>
        <v/>
      </c>
      <c r="UOO23" s="50" t="str">
        <f t="shared" si="228"/>
        <v/>
      </c>
      <c r="UOP23" s="50" t="str">
        <f t="shared" si="228"/>
        <v/>
      </c>
      <c r="UOQ23" s="50" t="str">
        <f t="shared" si="228"/>
        <v/>
      </c>
      <c r="UOR23" s="50" t="str">
        <f t="shared" si="228"/>
        <v/>
      </c>
      <c r="UOS23" s="50" t="str">
        <f t="shared" si="228"/>
        <v/>
      </c>
      <c r="UOT23" s="50" t="str">
        <f t="shared" si="228"/>
        <v/>
      </c>
      <c r="UOU23" s="50" t="str">
        <f t="shared" si="228"/>
        <v/>
      </c>
      <c r="UOV23" s="50" t="str">
        <f t="shared" si="228"/>
        <v/>
      </c>
      <c r="UOW23" s="50" t="str">
        <f t="shared" si="228"/>
        <v/>
      </c>
      <c r="UOX23" s="50" t="str">
        <f t="shared" si="228"/>
        <v/>
      </c>
      <c r="UOY23" s="50" t="str">
        <f t="shared" si="228"/>
        <v/>
      </c>
      <c r="UOZ23" s="50" t="str">
        <f t="shared" si="228"/>
        <v/>
      </c>
      <c r="UPA23" s="50" t="str">
        <f t="shared" si="228"/>
        <v/>
      </c>
      <c r="UPB23" s="50" t="str">
        <f t="shared" si="228"/>
        <v/>
      </c>
      <c r="UPC23" s="50" t="str">
        <f t="shared" si="228"/>
        <v/>
      </c>
      <c r="UPD23" s="50" t="str">
        <f t="shared" si="228"/>
        <v/>
      </c>
      <c r="UPE23" s="50" t="str">
        <f t="shared" si="228"/>
        <v/>
      </c>
      <c r="UPF23" s="50" t="str">
        <f t="shared" si="228"/>
        <v/>
      </c>
      <c r="UPG23" s="50" t="str">
        <f t="shared" si="228"/>
        <v/>
      </c>
      <c r="UPH23" s="50" t="str">
        <f t="shared" si="228"/>
        <v/>
      </c>
      <c r="UPI23" s="50" t="str">
        <f t="shared" si="228"/>
        <v/>
      </c>
      <c r="UPJ23" s="50" t="str">
        <f t="shared" si="228"/>
        <v/>
      </c>
      <c r="UPK23" s="50" t="str">
        <f t="shared" si="228"/>
        <v/>
      </c>
      <c r="UPL23" s="50" t="str">
        <f t="shared" si="228"/>
        <v/>
      </c>
      <c r="UPM23" s="50" t="str">
        <f t="shared" si="228"/>
        <v/>
      </c>
      <c r="UPN23" s="50" t="str">
        <f t="shared" si="228"/>
        <v/>
      </c>
      <c r="UPO23" s="50" t="str">
        <f t="shared" si="228"/>
        <v/>
      </c>
      <c r="UPP23" s="50" t="str">
        <f t="shared" si="228"/>
        <v/>
      </c>
      <c r="UPQ23" s="50" t="str">
        <f t="shared" si="228"/>
        <v/>
      </c>
      <c r="UPR23" s="50" t="str">
        <f t="shared" si="228"/>
        <v/>
      </c>
      <c r="UPS23" s="50" t="str">
        <f t="shared" si="228"/>
        <v/>
      </c>
      <c r="UPT23" s="50" t="str">
        <f t="shared" si="228"/>
        <v/>
      </c>
      <c r="UPU23" s="50" t="str">
        <f t="shared" si="228"/>
        <v/>
      </c>
      <c r="UPV23" s="50" t="str">
        <f t="shared" si="228"/>
        <v/>
      </c>
      <c r="UPW23" s="50" t="str">
        <f t="shared" si="228"/>
        <v/>
      </c>
      <c r="UPX23" s="50" t="str">
        <f t="shared" si="228"/>
        <v/>
      </c>
      <c r="UPY23" s="50" t="str">
        <f t="shared" si="228"/>
        <v/>
      </c>
      <c r="UPZ23" s="50" t="str">
        <f t="shared" si="228"/>
        <v/>
      </c>
      <c r="UQA23" s="50" t="str">
        <f t="shared" si="228"/>
        <v/>
      </c>
      <c r="UQB23" s="50" t="str">
        <f t="shared" si="228"/>
        <v/>
      </c>
      <c r="UQC23" s="50" t="str">
        <f t="shared" ref="UQC23:USN23" si="229">IFERROR(IF(UQB23+TIME(1,0,0)&lt;=$G$12,UQB23+TIME(1,0,0),""),"")</f>
        <v/>
      </c>
      <c r="UQD23" s="50" t="str">
        <f t="shared" si="229"/>
        <v/>
      </c>
      <c r="UQE23" s="50" t="str">
        <f t="shared" si="229"/>
        <v/>
      </c>
      <c r="UQF23" s="50" t="str">
        <f t="shared" si="229"/>
        <v/>
      </c>
      <c r="UQG23" s="50" t="str">
        <f t="shared" si="229"/>
        <v/>
      </c>
      <c r="UQH23" s="50" t="str">
        <f t="shared" si="229"/>
        <v/>
      </c>
      <c r="UQI23" s="50" t="str">
        <f t="shared" si="229"/>
        <v/>
      </c>
      <c r="UQJ23" s="50" t="str">
        <f t="shared" si="229"/>
        <v/>
      </c>
      <c r="UQK23" s="50" t="str">
        <f t="shared" si="229"/>
        <v/>
      </c>
      <c r="UQL23" s="50" t="str">
        <f t="shared" si="229"/>
        <v/>
      </c>
      <c r="UQM23" s="50" t="str">
        <f t="shared" si="229"/>
        <v/>
      </c>
      <c r="UQN23" s="50" t="str">
        <f t="shared" si="229"/>
        <v/>
      </c>
      <c r="UQO23" s="50" t="str">
        <f t="shared" si="229"/>
        <v/>
      </c>
      <c r="UQP23" s="50" t="str">
        <f t="shared" si="229"/>
        <v/>
      </c>
      <c r="UQQ23" s="50" t="str">
        <f t="shared" si="229"/>
        <v/>
      </c>
      <c r="UQR23" s="50" t="str">
        <f t="shared" si="229"/>
        <v/>
      </c>
      <c r="UQS23" s="50" t="str">
        <f t="shared" si="229"/>
        <v/>
      </c>
      <c r="UQT23" s="50" t="str">
        <f t="shared" si="229"/>
        <v/>
      </c>
      <c r="UQU23" s="50" t="str">
        <f t="shared" si="229"/>
        <v/>
      </c>
      <c r="UQV23" s="50" t="str">
        <f t="shared" si="229"/>
        <v/>
      </c>
      <c r="UQW23" s="50" t="str">
        <f t="shared" si="229"/>
        <v/>
      </c>
      <c r="UQX23" s="50" t="str">
        <f t="shared" si="229"/>
        <v/>
      </c>
      <c r="UQY23" s="50" t="str">
        <f t="shared" si="229"/>
        <v/>
      </c>
      <c r="UQZ23" s="50" t="str">
        <f t="shared" si="229"/>
        <v/>
      </c>
      <c r="URA23" s="50" t="str">
        <f t="shared" si="229"/>
        <v/>
      </c>
      <c r="URB23" s="50" t="str">
        <f t="shared" si="229"/>
        <v/>
      </c>
      <c r="URC23" s="50" t="str">
        <f t="shared" si="229"/>
        <v/>
      </c>
      <c r="URD23" s="50" t="str">
        <f t="shared" si="229"/>
        <v/>
      </c>
      <c r="URE23" s="50" t="str">
        <f t="shared" si="229"/>
        <v/>
      </c>
      <c r="URF23" s="50" t="str">
        <f t="shared" si="229"/>
        <v/>
      </c>
      <c r="URG23" s="50" t="str">
        <f t="shared" si="229"/>
        <v/>
      </c>
      <c r="URH23" s="50" t="str">
        <f t="shared" si="229"/>
        <v/>
      </c>
      <c r="URI23" s="50" t="str">
        <f t="shared" si="229"/>
        <v/>
      </c>
      <c r="URJ23" s="50" t="str">
        <f t="shared" si="229"/>
        <v/>
      </c>
      <c r="URK23" s="50" t="str">
        <f t="shared" si="229"/>
        <v/>
      </c>
      <c r="URL23" s="50" t="str">
        <f t="shared" si="229"/>
        <v/>
      </c>
      <c r="URM23" s="50" t="str">
        <f t="shared" si="229"/>
        <v/>
      </c>
      <c r="URN23" s="50" t="str">
        <f t="shared" si="229"/>
        <v/>
      </c>
      <c r="URO23" s="50" t="str">
        <f t="shared" si="229"/>
        <v/>
      </c>
      <c r="URP23" s="50" t="str">
        <f t="shared" si="229"/>
        <v/>
      </c>
      <c r="URQ23" s="50" t="str">
        <f t="shared" si="229"/>
        <v/>
      </c>
      <c r="URR23" s="50" t="str">
        <f t="shared" si="229"/>
        <v/>
      </c>
      <c r="URS23" s="50" t="str">
        <f t="shared" si="229"/>
        <v/>
      </c>
      <c r="URT23" s="50" t="str">
        <f t="shared" si="229"/>
        <v/>
      </c>
      <c r="URU23" s="50" t="str">
        <f t="shared" si="229"/>
        <v/>
      </c>
      <c r="URV23" s="50" t="str">
        <f t="shared" si="229"/>
        <v/>
      </c>
      <c r="URW23" s="50" t="str">
        <f t="shared" si="229"/>
        <v/>
      </c>
      <c r="URX23" s="50" t="str">
        <f t="shared" si="229"/>
        <v/>
      </c>
      <c r="URY23" s="50" t="str">
        <f t="shared" si="229"/>
        <v/>
      </c>
      <c r="URZ23" s="50" t="str">
        <f t="shared" si="229"/>
        <v/>
      </c>
      <c r="USA23" s="50" t="str">
        <f t="shared" si="229"/>
        <v/>
      </c>
      <c r="USB23" s="50" t="str">
        <f t="shared" si="229"/>
        <v/>
      </c>
      <c r="USC23" s="50" t="str">
        <f t="shared" si="229"/>
        <v/>
      </c>
      <c r="USD23" s="50" t="str">
        <f t="shared" si="229"/>
        <v/>
      </c>
      <c r="USE23" s="50" t="str">
        <f t="shared" si="229"/>
        <v/>
      </c>
      <c r="USF23" s="50" t="str">
        <f t="shared" si="229"/>
        <v/>
      </c>
      <c r="USG23" s="50" t="str">
        <f t="shared" si="229"/>
        <v/>
      </c>
      <c r="USH23" s="50" t="str">
        <f t="shared" si="229"/>
        <v/>
      </c>
      <c r="USI23" s="50" t="str">
        <f t="shared" si="229"/>
        <v/>
      </c>
      <c r="USJ23" s="50" t="str">
        <f t="shared" si="229"/>
        <v/>
      </c>
      <c r="USK23" s="50" t="str">
        <f t="shared" si="229"/>
        <v/>
      </c>
      <c r="USL23" s="50" t="str">
        <f t="shared" si="229"/>
        <v/>
      </c>
      <c r="USM23" s="50" t="str">
        <f t="shared" si="229"/>
        <v/>
      </c>
      <c r="USN23" s="50" t="str">
        <f t="shared" si="229"/>
        <v/>
      </c>
      <c r="USO23" s="50" t="str">
        <f t="shared" ref="USO23:UUZ23" si="230">IFERROR(IF(USN23+TIME(1,0,0)&lt;=$G$12,USN23+TIME(1,0,0),""),"")</f>
        <v/>
      </c>
      <c r="USP23" s="50" t="str">
        <f t="shared" si="230"/>
        <v/>
      </c>
      <c r="USQ23" s="50" t="str">
        <f t="shared" si="230"/>
        <v/>
      </c>
      <c r="USR23" s="50" t="str">
        <f t="shared" si="230"/>
        <v/>
      </c>
      <c r="USS23" s="50" t="str">
        <f t="shared" si="230"/>
        <v/>
      </c>
      <c r="UST23" s="50" t="str">
        <f t="shared" si="230"/>
        <v/>
      </c>
      <c r="USU23" s="50" t="str">
        <f t="shared" si="230"/>
        <v/>
      </c>
      <c r="USV23" s="50" t="str">
        <f t="shared" si="230"/>
        <v/>
      </c>
      <c r="USW23" s="50" t="str">
        <f t="shared" si="230"/>
        <v/>
      </c>
      <c r="USX23" s="50" t="str">
        <f t="shared" si="230"/>
        <v/>
      </c>
      <c r="USY23" s="50" t="str">
        <f t="shared" si="230"/>
        <v/>
      </c>
      <c r="USZ23" s="50" t="str">
        <f t="shared" si="230"/>
        <v/>
      </c>
      <c r="UTA23" s="50" t="str">
        <f t="shared" si="230"/>
        <v/>
      </c>
      <c r="UTB23" s="50" t="str">
        <f t="shared" si="230"/>
        <v/>
      </c>
      <c r="UTC23" s="50" t="str">
        <f t="shared" si="230"/>
        <v/>
      </c>
      <c r="UTD23" s="50" t="str">
        <f t="shared" si="230"/>
        <v/>
      </c>
      <c r="UTE23" s="50" t="str">
        <f t="shared" si="230"/>
        <v/>
      </c>
      <c r="UTF23" s="50" t="str">
        <f t="shared" si="230"/>
        <v/>
      </c>
      <c r="UTG23" s="50" t="str">
        <f t="shared" si="230"/>
        <v/>
      </c>
      <c r="UTH23" s="50" t="str">
        <f t="shared" si="230"/>
        <v/>
      </c>
      <c r="UTI23" s="50" t="str">
        <f t="shared" si="230"/>
        <v/>
      </c>
      <c r="UTJ23" s="50" t="str">
        <f t="shared" si="230"/>
        <v/>
      </c>
      <c r="UTK23" s="50" t="str">
        <f t="shared" si="230"/>
        <v/>
      </c>
      <c r="UTL23" s="50" t="str">
        <f t="shared" si="230"/>
        <v/>
      </c>
      <c r="UTM23" s="50" t="str">
        <f t="shared" si="230"/>
        <v/>
      </c>
      <c r="UTN23" s="50" t="str">
        <f t="shared" si="230"/>
        <v/>
      </c>
      <c r="UTO23" s="50" t="str">
        <f t="shared" si="230"/>
        <v/>
      </c>
      <c r="UTP23" s="50" t="str">
        <f t="shared" si="230"/>
        <v/>
      </c>
      <c r="UTQ23" s="50" t="str">
        <f t="shared" si="230"/>
        <v/>
      </c>
      <c r="UTR23" s="50" t="str">
        <f t="shared" si="230"/>
        <v/>
      </c>
      <c r="UTS23" s="50" t="str">
        <f t="shared" si="230"/>
        <v/>
      </c>
      <c r="UTT23" s="50" t="str">
        <f t="shared" si="230"/>
        <v/>
      </c>
      <c r="UTU23" s="50" t="str">
        <f t="shared" si="230"/>
        <v/>
      </c>
      <c r="UTV23" s="50" t="str">
        <f t="shared" si="230"/>
        <v/>
      </c>
      <c r="UTW23" s="50" t="str">
        <f t="shared" si="230"/>
        <v/>
      </c>
      <c r="UTX23" s="50" t="str">
        <f t="shared" si="230"/>
        <v/>
      </c>
      <c r="UTY23" s="50" t="str">
        <f t="shared" si="230"/>
        <v/>
      </c>
      <c r="UTZ23" s="50" t="str">
        <f t="shared" si="230"/>
        <v/>
      </c>
      <c r="UUA23" s="50" t="str">
        <f t="shared" si="230"/>
        <v/>
      </c>
      <c r="UUB23" s="50" t="str">
        <f t="shared" si="230"/>
        <v/>
      </c>
      <c r="UUC23" s="50" t="str">
        <f t="shared" si="230"/>
        <v/>
      </c>
      <c r="UUD23" s="50" t="str">
        <f t="shared" si="230"/>
        <v/>
      </c>
      <c r="UUE23" s="50" t="str">
        <f t="shared" si="230"/>
        <v/>
      </c>
      <c r="UUF23" s="50" t="str">
        <f t="shared" si="230"/>
        <v/>
      </c>
      <c r="UUG23" s="50" t="str">
        <f t="shared" si="230"/>
        <v/>
      </c>
      <c r="UUH23" s="50" t="str">
        <f t="shared" si="230"/>
        <v/>
      </c>
      <c r="UUI23" s="50" t="str">
        <f t="shared" si="230"/>
        <v/>
      </c>
      <c r="UUJ23" s="50" t="str">
        <f t="shared" si="230"/>
        <v/>
      </c>
      <c r="UUK23" s="50" t="str">
        <f t="shared" si="230"/>
        <v/>
      </c>
      <c r="UUL23" s="50" t="str">
        <f t="shared" si="230"/>
        <v/>
      </c>
      <c r="UUM23" s="50" t="str">
        <f t="shared" si="230"/>
        <v/>
      </c>
      <c r="UUN23" s="50" t="str">
        <f t="shared" si="230"/>
        <v/>
      </c>
      <c r="UUO23" s="50" t="str">
        <f t="shared" si="230"/>
        <v/>
      </c>
      <c r="UUP23" s="50" t="str">
        <f t="shared" si="230"/>
        <v/>
      </c>
      <c r="UUQ23" s="50" t="str">
        <f t="shared" si="230"/>
        <v/>
      </c>
      <c r="UUR23" s="50" t="str">
        <f t="shared" si="230"/>
        <v/>
      </c>
      <c r="UUS23" s="50" t="str">
        <f t="shared" si="230"/>
        <v/>
      </c>
      <c r="UUT23" s="50" t="str">
        <f t="shared" si="230"/>
        <v/>
      </c>
      <c r="UUU23" s="50" t="str">
        <f t="shared" si="230"/>
        <v/>
      </c>
      <c r="UUV23" s="50" t="str">
        <f t="shared" si="230"/>
        <v/>
      </c>
      <c r="UUW23" s="50" t="str">
        <f t="shared" si="230"/>
        <v/>
      </c>
      <c r="UUX23" s="50" t="str">
        <f t="shared" si="230"/>
        <v/>
      </c>
      <c r="UUY23" s="50" t="str">
        <f t="shared" si="230"/>
        <v/>
      </c>
      <c r="UUZ23" s="50" t="str">
        <f t="shared" si="230"/>
        <v/>
      </c>
      <c r="UVA23" s="50" t="str">
        <f t="shared" ref="UVA23:UXL23" si="231">IFERROR(IF(UUZ23+TIME(1,0,0)&lt;=$G$12,UUZ23+TIME(1,0,0),""),"")</f>
        <v/>
      </c>
      <c r="UVB23" s="50" t="str">
        <f t="shared" si="231"/>
        <v/>
      </c>
      <c r="UVC23" s="50" t="str">
        <f t="shared" si="231"/>
        <v/>
      </c>
      <c r="UVD23" s="50" t="str">
        <f t="shared" si="231"/>
        <v/>
      </c>
      <c r="UVE23" s="50" t="str">
        <f t="shared" si="231"/>
        <v/>
      </c>
      <c r="UVF23" s="50" t="str">
        <f t="shared" si="231"/>
        <v/>
      </c>
      <c r="UVG23" s="50" t="str">
        <f t="shared" si="231"/>
        <v/>
      </c>
      <c r="UVH23" s="50" t="str">
        <f t="shared" si="231"/>
        <v/>
      </c>
      <c r="UVI23" s="50" t="str">
        <f t="shared" si="231"/>
        <v/>
      </c>
      <c r="UVJ23" s="50" t="str">
        <f t="shared" si="231"/>
        <v/>
      </c>
      <c r="UVK23" s="50" t="str">
        <f t="shared" si="231"/>
        <v/>
      </c>
      <c r="UVL23" s="50" t="str">
        <f t="shared" si="231"/>
        <v/>
      </c>
      <c r="UVM23" s="50" t="str">
        <f t="shared" si="231"/>
        <v/>
      </c>
      <c r="UVN23" s="50" t="str">
        <f t="shared" si="231"/>
        <v/>
      </c>
      <c r="UVO23" s="50" t="str">
        <f t="shared" si="231"/>
        <v/>
      </c>
      <c r="UVP23" s="50" t="str">
        <f t="shared" si="231"/>
        <v/>
      </c>
      <c r="UVQ23" s="50" t="str">
        <f t="shared" si="231"/>
        <v/>
      </c>
      <c r="UVR23" s="50" t="str">
        <f t="shared" si="231"/>
        <v/>
      </c>
      <c r="UVS23" s="50" t="str">
        <f t="shared" si="231"/>
        <v/>
      </c>
      <c r="UVT23" s="50" t="str">
        <f t="shared" si="231"/>
        <v/>
      </c>
      <c r="UVU23" s="50" t="str">
        <f t="shared" si="231"/>
        <v/>
      </c>
      <c r="UVV23" s="50" t="str">
        <f t="shared" si="231"/>
        <v/>
      </c>
      <c r="UVW23" s="50" t="str">
        <f t="shared" si="231"/>
        <v/>
      </c>
      <c r="UVX23" s="50" t="str">
        <f t="shared" si="231"/>
        <v/>
      </c>
      <c r="UVY23" s="50" t="str">
        <f t="shared" si="231"/>
        <v/>
      </c>
      <c r="UVZ23" s="50" t="str">
        <f t="shared" si="231"/>
        <v/>
      </c>
      <c r="UWA23" s="50" t="str">
        <f t="shared" si="231"/>
        <v/>
      </c>
      <c r="UWB23" s="50" t="str">
        <f t="shared" si="231"/>
        <v/>
      </c>
      <c r="UWC23" s="50" t="str">
        <f t="shared" si="231"/>
        <v/>
      </c>
      <c r="UWD23" s="50" t="str">
        <f t="shared" si="231"/>
        <v/>
      </c>
      <c r="UWE23" s="50" t="str">
        <f t="shared" si="231"/>
        <v/>
      </c>
      <c r="UWF23" s="50" t="str">
        <f t="shared" si="231"/>
        <v/>
      </c>
      <c r="UWG23" s="50" t="str">
        <f t="shared" si="231"/>
        <v/>
      </c>
      <c r="UWH23" s="50" t="str">
        <f t="shared" si="231"/>
        <v/>
      </c>
      <c r="UWI23" s="50" t="str">
        <f t="shared" si="231"/>
        <v/>
      </c>
      <c r="UWJ23" s="50" t="str">
        <f t="shared" si="231"/>
        <v/>
      </c>
      <c r="UWK23" s="50" t="str">
        <f t="shared" si="231"/>
        <v/>
      </c>
      <c r="UWL23" s="50" t="str">
        <f t="shared" si="231"/>
        <v/>
      </c>
      <c r="UWM23" s="50" t="str">
        <f t="shared" si="231"/>
        <v/>
      </c>
      <c r="UWN23" s="50" t="str">
        <f t="shared" si="231"/>
        <v/>
      </c>
      <c r="UWO23" s="50" t="str">
        <f t="shared" si="231"/>
        <v/>
      </c>
      <c r="UWP23" s="50" t="str">
        <f t="shared" si="231"/>
        <v/>
      </c>
      <c r="UWQ23" s="50" t="str">
        <f t="shared" si="231"/>
        <v/>
      </c>
      <c r="UWR23" s="50" t="str">
        <f t="shared" si="231"/>
        <v/>
      </c>
      <c r="UWS23" s="50" t="str">
        <f t="shared" si="231"/>
        <v/>
      </c>
      <c r="UWT23" s="50" t="str">
        <f t="shared" si="231"/>
        <v/>
      </c>
      <c r="UWU23" s="50" t="str">
        <f t="shared" si="231"/>
        <v/>
      </c>
      <c r="UWV23" s="50" t="str">
        <f t="shared" si="231"/>
        <v/>
      </c>
      <c r="UWW23" s="50" t="str">
        <f t="shared" si="231"/>
        <v/>
      </c>
      <c r="UWX23" s="50" t="str">
        <f t="shared" si="231"/>
        <v/>
      </c>
      <c r="UWY23" s="50" t="str">
        <f t="shared" si="231"/>
        <v/>
      </c>
      <c r="UWZ23" s="50" t="str">
        <f t="shared" si="231"/>
        <v/>
      </c>
      <c r="UXA23" s="50" t="str">
        <f t="shared" si="231"/>
        <v/>
      </c>
      <c r="UXB23" s="50" t="str">
        <f t="shared" si="231"/>
        <v/>
      </c>
      <c r="UXC23" s="50" t="str">
        <f t="shared" si="231"/>
        <v/>
      </c>
      <c r="UXD23" s="50" t="str">
        <f t="shared" si="231"/>
        <v/>
      </c>
      <c r="UXE23" s="50" t="str">
        <f t="shared" si="231"/>
        <v/>
      </c>
      <c r="UXF23" s="50" t="str">
        <f t="shared" si="231"/>
        <v/>
      </c>
      <c r="UXG23" s="50" t="str">
        <f t="shared" si="231"/>
        <v/>
      </c>
      <c r="UXH23" s="50" t="str">
        <f t="shared" si="231"/>
        <v/>
      </c>
      <c r="UXI23" s="50" t="str">
        <f t="shared" si="231"/>
        <v/>
      </c>
      <c r="UXJ23" s="50" t="str">
        <f t="shared" si="231"/>
        <v/>
      </c>
      <c r="UXK23" s="50" t="str">
        <f t="shared" si="231"/>
        <v/>
      </c>
      <c r="UXL23" s="50" t="str">
        <f t="shared" si="231"/>
        <v/>
      </c>
      <c r="UXM23" s="50" t="str">
        <f t="shared" ref="UXM23:UZX23" si="232">IFERROR(IF(UXL23+TIME(1,0,0)&lt;=$G$12,UXL23+TIME(1,0,0),""),"")</f>
        <v/>
      </c>
      <c r="UXN23" s="50" t="str">
        <f t="shared" si="232"/>
        <v/>
      </c>
      <c r="UXO23" s="50" t="str">
        <f t="shared" si="232"/>
        <v/>
      </c>
      <c r="UXP23" s="50" t="str">
        <f t="shared" si="232"/>
        <v/>
      </c>
      <c r="UXQ23" s="50" t="str">
        <f t="shared" si="232"/>
        <v/>
      </c>
      <c r="UXR23" s="50" t="str">
        <f t="shared" si="232"/>
        <v/>
      </c>
      <c r="UXS23" s="50" t="str">
        <f t="shared" si="232"/>
        <v/>
      </c>
      <c r="UXT23" s="50" t="str">
        <f t="shared" si="232"/>
        <v/>
      </c>
      <c r="UXU23" s="50" t="str">
        <f t="shared" si="232"/>
        <v/>
      </c>
      <c r="UXV23" s="50" t="str">
        <f t="shared" si="232"/>
        <v/>
      </c>
      <c r="UXW23" s="50" t="str">
        <f t="shared" si="232"/>
        <v/>
      </c>
      <c r="UXX23" s="50" t="str">
        <f t="shared" si="232"/>
        <v/>
      </c>
      <c r="UXY23" s="50" t="str">
        <f t="shared" si="232"/>
        <v/>
      </c>
      <c r="UXZ23" s="50" t="str">
        <f t="shared" si="232"/>
        <v/>
      </c>
      <c r="UYA23" s="50" t="str">
        <f t="shared" si="232"/>
        <v/>
      </c>
      <c r="UYB23" s="50" t="str">
        <f t="shared" si="232"/>
        <v/>
      </c>
      <c r="UYC23" s="50" t="str">
        <f t="shared" si="232"/>
        <v/>
      </c>
      <c r="UYD23" s="50" t="str">
        <f t="shared" si="232"/>
        <v/>
      </c>
      <c r="UYE23" s="50" t="str">
        <f t="shared" si="232"/>
        <v/>
      </c>
      <c r="UYF23" s="50" t="str">
        <f t="shared" si="232"/>
        <v/>
      </c>
      <c r="UYG23" s="50" t="str">
        <f t="shared" si="232"/>
        <v/>
      </c>
      <c r="UYH23" s="50" t="str">
        <f t="shared" si="232"/>
        <v/>
      </c>
      <c r="UYI23" s="50" t="str">
        <f t="shared" si="232"/>
        <v/>
      </c>
      <c r="UYJ23" s="50" t="str">
        <f t="shared" si="232"/>
        <v/>
      </c>
      <c r="UYK23" s="50" t="str">
        <f t="shared" si="232"/>
        <v/>
      </c>
      <c r="UYL23" s="50" t="str">
        <f t="shared" si="232"/>
        <v/>
      </c>
      <c r="UYM23" s="50" t="str">
        <f t="shared" si="232"/>
        <v/>
      </c>
      <c r="UYN23" s="50" t="str">
        <f t="shared" si="232"/>
        <v/>
      </c>
      <c r="UYO23" s="50" t="str">
        <f t="shared" si="232"/>
        <v/>
      </c>
      <c r="UYP23" s="50" t="str">
        <f t="shared" si="232"/>
        <v/>
      </c>
      <c r="UYQ23" s="50" t="str">
        <f t="shared" si="232"/>
        <v/>
      </c>
      <c r="UYR23" s="50" t="str">
        <f t="shared" si="232"/>
        <v/>
      </c>
      <c r="UYS23" s="50" t="str">
        <f t="shared" si="232"/>
        <v/>
      </c>
      <c r="UYT23" s="50" t="str">
        <f t="shared" si="232"/>
        <v/>
      </c>
      <c r="UYU23" s="50" t="str">
        <f t="shared" si="232"/>
        <v/>
      </c>
      <c r="UYV23" s="50" t="str">
        <f t="shared" si="232"/>
        <v/>
      </c>
      <c r="UYW23" s="50" t="str">
        <f t="shared" si="232"/>
        <v/>
      </c>
      <c r="UYX23" s="50" t="str">
        <f t="shared" si="232"/>
        <v/>
      </c>
      <c r="UYY23" s="50" t="str">
        <f t="shared" si="232"/>
        <v/>
      </c>
      <c r="UYZ23" s="50" t="str">
        <f t="shared" si="232"/>
        <v/>
      </c>
      <c r="UZA23" s="50" t="str">
        <f t="shared" si="232"/>
        <v/>
      </c>
      <c r="UZB23" s="50" t="str">
        <f t="shared" si="232"/>
        <v/>
      </c>
      <c r="UZC23" s="50" t="str">
        <f t="shared" si="232"/>
        <v/>
      </c>
      <c r="UZD23" s="50" t="str">
        <f t="shared" si="232"/>
        <v/>
      </c>
      <c r="UZE23" s="50" t="str">
        <f t="shared" si="232"/>
        <v/>
      </c>
      <c r="UZF23" s="50" t="str">
        <f t="shared" si="232"/>
        <v/>
      </c>
      <c r="UZG23" s="50" t="str">
        <f t="shared" si="232"/>
        <v/>
      </c>
      <c r="UZH23" s="50" t="str">
        <f t="shared" si="232"/>
        <v/>
      </c>
      <c r="UZI23" s="50" t="str">
        <f t="shared" si="232"/>
        <v/>
      </c>
      <c r="UZJ23" s="50" t="str">
        <f t="shared" si="232"/>
        <v/>
      </c>
      <c r="UZK23" s="50" t="str">
        <f t="shared" si="232"/>
        <v/>
      </c>
      <c r="UZL23" s="50" t="str">
        <f t="shared" si="232"/>
        <v/>
      </c>
      <c r="UZM23" s="50" t="str">
        <f t="shared" si="232"/>
        <v/>
      </c>
      <c r="UZN23" s="50" t="str">
        <f t="shared" si="232"/>
        <v/>
      </c>
      <c r="UZO23" s="50" t="str">
        <f t="shared" si="232"/>
        <v/>
      </c>
      <c r="UZP23" s="50" t="str">
        <f t="shared" si="232"/>
        <v/>
      </c>
      <c r="UZQ23" s="50" t="str">
        <f t="shared" si="232"/>
        <v/>
      </c>
      <c r="UZR23" s="50" t="str">
        <f t="shared" si="232"/>
        <v/>
      </c>
      <c r="UZS23" s="50" t="str">
        <f t="shared" si="232"/>
        <v/>
      </c>
      <c r="UZT23" s="50" t="str">
        <f t="shared" si="232"/>
        <v/>
      </c>
      <c r="UZU23" s="50" t="str">
        <f t="shared" si="232"/>
        <v/>
      </c>
      <c r="UZV23" s="50" t="str">
        <f t="shared" si="232"/>
        <v/>
      </c>
      <c r="UZW23" s="50" t="str">
        <f t="shared" si="232"/>
        <v/>
      </c>
      <c r="UZX23" s="50" t="str">
        <f t="shared" si="232"/>
        <v/>
      </c>
      <c r="UZY23" s="50" t="str">
        <f t="shared" ref="UZY23:VCJ23" si="233">IFERROR(IF(UZX23+TIME(1,0,0)&lt;=$G$12,UZX23+TIME(1,0,0),""),"")</f>
        <v/>
      </c>
      <c r="UZZ23" s="50" t="str">
        <f t="shared" si="233"/>
        <v/>
      </c>
      <c r="VAA23" s="50" t="str">
        <f t="shared" si="233"/>
        <v/>
      </c>
      <c r="VAB23" s="50" t="str">
        <f t="shared" si="233"/>
        <v/>
      </c>
      <c r="VAC23" s="50" t="str">
        <f t="shared" si="233"/>
        <v/>
      </c>
      <c r="VAD23" s="50" t="str">
        <f t="shared" si="233"/>
        <v/>
      </c>
      <c r="VAE23" s="50" t="str">
        <f t="shared" si="233"/>
        <v/>
      </c>
      <c r="VAF23" s="50" t="str">
        <f t="shared" si="233"/>
        <v/>
      </c>
      <c r="VAG23" s="50" t="str">
        <f t="shared" si="233"/>
        <v/>
      </c>
      <c r="VAH23" s="50" t="str">
        <f t="shared" si="233"/>
        <v/>
      </c>
      <c r="VAI23" s="50" t="str">
        <f t="shared" si="233"/>
        <v/>
      </c>
      <c r="VAJ23" s="50" t="str">
        <f t="shared" si="233"/>
        <v/>
      </c>
      <c r="VAK23" s="50" t="str">
        <f t="shared" si="233"/>
        <v/>
      </c>
      <c r="VAL23" s="50" t="str">
        <f t="shared" si="233"/>
        <v/>
      </c>
      <c r="VAM23" s="50" t="str">
        <f t="shared" si="233"/>
        <v/>
      </c>
      <c r="VAN23" s="50" t="str">
        <f t="shared" si="233"/>
        <v/>
      </c>
      <c r="VAO23" s="50" t="str">
        <f t="shared" si="233"/>
        <v/>
      </c>
      <c r="VAP23" s="50" t="str">
        <f t="shared" si="233"/>
        <v/>
      </c>
      <c r="VAQ23" s="50" t="str">
        <f t="shared" si="233"/>
        <v/>
      </c>
      <c r="VAR23" s="50" t="str">
        <f t="shared" si="233"/>
        <v/>
      </c>
      <c r="VAS23" s="50" t="str">
        <f t="shared" si="233"/>
        <v/>
      </c>
      <c r="VAT23" s="50" t="str">
        <f t="shared" si="233"/>
        <v/>
      </c>
      <c r="VAU23" s="50" t="str">
        <f t="shared" si="233"/>
        <v/>
      </c>
      <c r="VAV23" s="50" t="str">
        <f t="shared" si="233"/>
        <v/>
      </c>
      <c r="VAW23" s="50" t="str">
        <f t="shared" si="233"/>
        <v/>
      </c>
      <c r="VAX23" s="50" t="str">
        <f t="shared" si="233"/>
        <v/>
      </c>
      <c r="VAY23" s="50" t="str">
        <f t="shared" si="233"/>
        <v/>
      </c>
      <c r="VAZ23" s="50" t="str">
        <f t="shared" si="233"/>
        <v/>
      </c>
      <c r="VBA23" s="50" t="str">
        <f t="shared" si="233"/>
        <v/>
      </c>
      <c r="VBB23" s="50" t="str">
        <f t="shared" si="233"/>
        <v/>
      </c>
      <c r="VBC23" s="50" t="str">
        <f t="shared" si="233"/>
        <v/>
      </c>
      <c r="VBD23" s="50" t="str">
        <f t="shared" si="233"/>
        <v/>
      </c>
      <c r="VBE23" s="50" t="str">
        <f t="shared" si="233"/>
        <v/>
      </c>
      <c r="VBF23" s="50" t="str">
        <f t="shared" si="233"/>
        <v/>
      </c>
      <c r="VBG23" s="50" t="str">
        <f t="shared" si="233"/>
        <v/>
      </c>
      <c r="VBH23" s="50" t="str">
        <f t="shared" si="233"/>
        <v/>
      </c>
      <c r="VBI23" s="50" t="str">
        <f t="shared" si="233"/>
        <v/>
      </c>
      <c r="VBJ23" s="50" t="str">
        <f t="shared" si="233"/>
        <v/>
      </c>
      <c r="VBK23" s="50" t="str">
        <f t="shared" si="233"/>
        <v/>
      </c>
      <c r="VBL23" s="50" t="str">
        <f t="shared" si="233"/>
        <v/>
      </c>
      <c r="VBM23" s="50" t="str">
        <f t="shared" si="233"/>
        <v/>
      </c>
      <c r="VBN23" s="50" t="str">
        <f t="shared" si="233"/>
        <v/>
      </c>
      <c r="VBO23" s="50" t="str">
        <f t="shared" si="233"/>
        <v/>
      </c>
      <c r="VBP23" s="50" t="str">
        <f t="shared" si="233"/>
        <v/>
      </c>
      <c r="VBQ23" s="50" t="str">
        <f t="shared" si="233"/>
        <v/>
      </c>
      <c r="VBR23" s="50" t="str">
        <f t="shared" si="233"/>
        <v/>
      </c>
      <c r="VBS23" s="50" t="str">
        <f t="shared" si="233"/>
        <v/>
      </c>
      <c r="VBT23" s="50" t="str">
        <f t="shared" si="233"/>
        <v/>
      </c>
      <c r="VBU23" s="50" t="str">
        <f t="shared" si="233"/>
        <v/>
      </c>
      <c r="VBV23" s="50" t="str">
        <f t="shared" si="233"/>
        <v/>
      </c>
      <c r="VBW23" s="50" t="str">
        <f t="shared" si="233"/>
        <v/>
      </c>
      <c r="VBX23" s="50" t="str">
        <f t="shared" si="233"/>
        <v/>
      </c>
      <c r="VBY23" s="50" t="str">
        <f t="shared" si="233"/>
        <v/>
      </c>
      <c r="VBZ23" s="50" t="str">
        <f t="shared" si="233"/>
        <v/>
      </c>
      <c r="VCA23" s="50" t="str">
        <f t="shared" si="233"/>
        <v/>
      </c>
      <c r="VCB23" s="50" t="str">
        <f t="shared" si="233"/>
        <v/>
      </c>
      <c r="VCC23" s="50" t="str">
        <f t="shared" si="233"/>
        <v/>
      </c>
      <c r="VCD23" s="50" t="str">
        <f t="shared" si="233"/>
        <v/>
      </c>
      <c r="VCE23" s="50" t="str">
        <f t="shared" si="233"/>
        <v/>
      </c>
      <c r="VCF23" s="50" t="str">
        <f t="shared" si="233"/>
        <v/>
      </c>
      <c r="VCG23" s="50" t="str">
        <f t="shared" si="233"/>
        <v/>
      </c>
      <c r="VCH23" s="50" t="str">
        <f t="shared" si="233"/>
        <v/>
      </c>
      <c r="VCI23" s="50" t="str">
        <f t="shared" si="233"/>
        <v/>
      </c>
      <c r="VCJ23" s="50" t="str">
        <f t="shared" si="233"/>
        <v/>
      </c>
      <c r="VCK23" s="50" t="str">
        <f t="shared" ref="VCK23:VEV23" si="234">IFERROR(IF(VCJ23+TIME(1,0,0)&lt;=$G$12,VCJ23+TIME(1,0,0),""),"")</f>
        <v/>
      </c>
      <c r="VCL23" s="50" t="str">
        <f t="shared" si="234"/>
        <v/>
      </c>
      <c r="VCM23" s="50" t="str">
        <f t="shared" si="234"/>
        <v/>
      </c>
      <c r="VCN23" s="50" t="str">
        <f t="shared" si="234"/>
        <v/>
      </c>
      <c r="VCO23" s="50" t="str">
        <f t="shared" si="234"/>
        <v/>
      </c>
      <c r="VCP23" s="50" t="str">
        <f t="shared" si="234"/>
        <v/>
      </c>
      <c r="VCQ23" s="50" t="str">
        <f t="shared" si="234"/>
        <v/>
      </c>
      <c r="VCR23" s="50" t="str">
        <f t="shared" si="234"/>
        <v/>
      </c>
      <c r="VCS23" s="50" t="str">
        <f t="shared" si="234"/>
        <v/>
      </c>
      <c r="VCT23" s="50" t="str">
        <f t="shared" si="234"/>
        <v/>
      </c>
      <c r="VCU23" s="50" t="str">
        <f t="shared" si="234"/>
        <v/>
      </c>
      <c r="VCV23" s="50" t="str">
        <f t="shared" si="234"/>
        <v/>
      </c>
      <c r="VCW23" s="50" t="str">
        <f t="shared" si="234"/>
        <v/>
      </c>
      <c r="VCX23" s="50" t="str">
        <f t="shared" si="234"/>
        <v/>
      </c>
      <c r="VCY23" s="50" t="str">
        <f t="shared" si="234"/>
        <v/>
      </c>
      <c r="VCZ23" s="50" t="str">
        <f t="shared" si="234"/>
        <v/>
      </c>
      <c r="VDA23" s="50" t="str">
        <f t="shared" si="234"/>
        <v/>
      </c>
      <c r="VDB23" s="50" t="str">
        <f t="shared" si="234"/>
        <v/>
      </c>
      <c r="VDC23" s="50" t="str">
        <f t="shared" si="234"/>
        <v/>
      </c>
      <c r="VDD23" s="50" t="str">
        <f t="shared" si="234"/>
        <v/>
      </c>
      <c r="VDE23" s="50" t="str">
        <f t="shared" si="234"/>
        <v/>
      </c>
      <c r="VDF23" s="50" t="str">
        <f t="shared" si="234"/>
        <v/>
      </c>
      <c r="VDG23" s="50" t="str">
        <f t="shared" si="234"/>
        <v/>
      </c>
      <c r="VDH23" s="50" t="str">
        <f t="shared" si="234"/>
        <v/>
      </c>
      <c r="VDI23" s="50" t="str">
        <f t="shared" si="234"/>
        <v/>
      </c>
      <c r="VDJ23" s="50" t="str">
        <f t="shared" si="234"/>
        <v/>
      </c>
      <c r="VDK23" s="50" t="str">
        <f t="shared" si="234"/>
        <v/>
      </c>
      <c r="VDL23" s="50" t="str">
        <f t="shared" si="234"/>
        <v/>
      </c>
      <c r="VDM23" s="50" t="str">
        <f t="shared" si="234"/>
        <v/>
      </c>
      <c r="VDN23" s="50" t="str">
        <f t="shared" si="234"/>
        <v/>
      </c>
      <c r="VDO23" s="50" t="str">
        <f t="shared" si="234"/>
        <v/>
      </c>
      <c r="VDP23" s="50" t="str">
        <f t="shared" si="234"/>
        <v/>
      </c>
      <c r="VDQ23" s="50" t="str">
        <f t="shared" si="234"/>
        <v/>
      </c>
      <c r="VDR23" s="50" t="str">
        <f t="shared" si="234"/>
        <v/>
      </c>
      <c r="VDS23" s="50" t="str">
        <f t="shared" si="234"/>
        <v/>
      </c>
      <c r="VDT23" s="50" t="str">
        <f t="shared" si="234"/>
        <v/>
      </c>
      <c r="VDU23" s="50" t="str">
        <f t="shared" si="234"/>
        <v/>
      </c>
      <c r="VDV23" s="50" t="str">
        <f t="shared" si="234"/>
        <v/>
      </c>
      <c r="VDW23" s="50" t="str">
        <f t="shared" si="234"/>
        <v/>
      </c>
      <c r="VDX23" s="50" t="str">
        <f t="shared" si="234"/>
        <v/>
      </c>
      <c r="VDY23" s="50" t="str">
        <f t="shared" si="234"/>
        <v/>
      </c>
      <c r="VDZ23" s="50" t="str">
        <f t="shared" si="234"/>
        <v/>
      </c>
      <c r="VEA23" s="50" t="str">
        <f t="shared" si="234"/>
        <v/>
      </c>
      <c r="VEB23" s="50" t="str">
        <f t="shared" si="234"/>
        <v/>
      </c>
      <c r="VEC23" s="50" t="str">
        <f t="shared" si="234"/>
        <v/>
      </c>
      <c r="VED23" s="50" t="str">
        <f t="shared" si="234"/>
        <v/>
      </c>
      <c r="VEE23" s="50" t="str">
        <f t="shared" si="234"/>
        <v/>
      </c>
      <c r="VEF23" s="50" t="str">
        <f t="shared" si="234"/>
        <v/>
      </c>
      <c r="VEG23" s="50" t="str">
        <f t="shared" si="234"/>
        <v/>
      </c>
      <c r="VEH23" s="50" t="str">
        <f t="shared" si="234"/>
        <v/>
      </c>
      <c r="VEI23" s="50" t="str">
        <f t="shared" si="234"/>
        <v/>
      </c>
      <c r="VEJ23" s="50" t="str">
        <f t="shared" si="234"/>
        <v/>
      </c>
      <c r="VEK23" s="50" t="str">
        <f t="shared" si="234"/>
        <v/>
      </c>
      <c r="VEL23" s="50" t="str">
        <f t="shared" si="234"/>
        <v/>
      </c>
      <c r="VEM23" s="50" t="str">
        <f t="shared" si="234"/>
        <v/>
      </c>
      <c r="VEN23" s="50" t="str">
        <f t="shared" si="234"/>
        <v/>
      </c>
      <c r="VEO23" s="50" t="str">
        <f t="shared" si="234"/>
        <v/>
      </c>
      <c r="VEP23" s="50" t="str">
        <f t="shared" si="234"/>
        <v/>
      </c>
      <c r="VEQ23" s="50" t="str">
        <f t="shared" si="234"/>
        <v/>
      </c>
      <c r="VER23" s="50" t="str">
        <f t="shared" si="234"/>
        <v/>
      </c>
      <c r="VES23" s="50" t="str">
        <f t="shared" si="234"/>
        <v/>
      </c>
      <c r="VET23" s="50" t="str">
        <f t="shared" si="234"/>
        <v/>
      </c>
      <c r="VEU23" s="50" t="str">
        <f t="shared" si="234"/>
        <v/>
      </c>
      <c r="VEV23" s="50" t="str">
        <f t="shared" si="234"/>
        <v/>
      </c>
      <c r="VEW23" s="50" t="str">
        <f t="shared" ref="VEW23:VHH23" si="235">IFERROR(IF(VEV23+TIME(1,0,0)&lt;=$G$12,VEV23+TIME(1,0,0),""),"")</f>
        <v/>
      </c>
      <c r="VEX23" s="50" t="str">
        <f t="shared" si="235"/>
        <v/>
      </c>
      <c r="VEY23" s="50" t="str">
        <f t="shared" si="235"/>
        <v/>
      </c>
      <c r="VEZ23" s="50" t="str">
        <f t="shared" si="235"/>
        <v/>
      </c>
      <c r="VFA23" s="50" t="str">
        <f t="shared" si="235"/>
        <v/>
      </c>
      <c r="VFB23" s="50" t="str">
        <f t="shared" si="235"/>
        <v/>
      </c>
      <c r="VFC23" s="50" t="str">
        <f t="shared" si="235"/>
        <v/>
      </c>
      <c r="VFD23" s="50" t="str">
        <f t="shared" si="235"/>
        <v/>
      </c>
      <c r="VFE23" s="50" t="str">
        <f t="shared" si="235"/>
        <v/>
      </c>
      <c r="VFF23" s="50" t="str">
        <f t="shared" si="235"/>
        <v/>
      </c>
      <c r="VFG23" s="50" t="str">
        <f t="shared" si="235"/>
        <v/>
      </c>
      <c r="VFH23" s="50" t="str">
        <f t="shared" si="235"/>
        <v/>
      </c>
      <c r="VFI23" s="50" t="str">
        <f t="shared" si="235"/>
        <v/>
      </c>
      <c r="VFJ23" s="50" t="str">
        <f t="shared" si="235"/>
        <v/>
      </c>
      <c r="VFK23" s="50" t="str">
        <f t="shared" si="235"/>
        <v/>
      </c>
      <c r="VFL23" s="50" t="str">
        <f t="shared" si="235"/>
        <v/>
      </c>
      <c r="VFM23" s="50" t="str">
        <f t="shared" si="235"/>
        <v/>
      </c>
      <c r="VFN23" s="50" t="str">
        <f t="shared" si="235"/>
        <v/>
      </c>
      <c r="VFO23" s="50" t="str">
        <f t="shared" si="235"/>
        <v/>
      </c>
      <c r="VFP23" s="50" t="str">
        <f t="shared" si="235"/>
        <v/>
      </c>
      <c r="VFQ23" s="50" t="str">
        <f t="shared" si="235"/>
        <v/>
      </c>
      <c r="VFR23" s="50" t="str">
        <f t="shared" si="235"/>
        <v/>
      </c>
      <c r="VFS23" s="50" t="str">
        <f t="shared" si="235"/>
        <v/>
      </c>
      <c r="VFT23" s="50" t="str">
        <f t="shared" si="235"/>
        <v/>
      </c>
      <c r="VFU23" s="50" t="str">
        <f t="shared" si="235"/>
        <v/>
      </c>
      <c r="VFV23" s="50" t="str">
        <f t="shared" si="235"/>
        <v/>
      </c>
      <c r="VFW23" s="50" t="str">
        <f t="shared" si="235"/>
        <v/>
      </c>
      <c r="VFX23" s="50" t="str">
        <f t="shared" si="235"/>
        <v/>
      </c>
      <c r="VFY23" s="50" t="str">
        <f t="shared" si="235"/>
        <v/>
      </c>
      <c r="VFZ23" s="50" t="str">
        <f t="shared" si="235"/>
        <v/>
      </c>
      <c r="VGA23" s="50" t="str">
        <f t="shared" si="235"/>
        <v/>
      </c>
      <c r="VGB23" s="50" t="str">
        <f t="shared" si="235"/>
        <v/>
      </c>
      <c r="VGC23" s="50" t="str">
        <f t="shared" si="235"/>
        <v/>
      </c>
      <c r="VGD23" s="50" t="str">
        <f t="shared" si="235"/>
        <v/>
      </c>
      <c r="VGE23" s="50" t="str">
        <f t="shared" si="235"/>
        <v/>
      </c>
      <c r="VGF23" s="50" t="str">
        <f t="shared" si="235"/>
        <v/>
      </c>
      <c r="VGG23" s="50" t="str">
        <f t="shared" si="235"/>
        <v/>
      </c>
      <c r="VGH23" s="50" t="str">
        <f t="shared" si="235"/>
        <v/>
      </c>
      <c r="VGI23" s="50" t="str">
        <f t="shared" si="235"/>
        <v/>
      </c>
      <c r="VGJ23" s="50" t="str">
        <f t="shared" si="235"/>
        <v/>
      </c>
      <c r="VGK23" s="50" t="str">
        <f t="shared" si="235"/>
        <v/>
      </c>
      <c r="VGL23" s="50" t="str">
        <f t="shared" si="235"/>
        <v/>
      </c>
      <c r="VGM23" s="50" t="str">
        <f t="shared" si="235"/>
        <v/>
      </c>
      <c r="VGN23" s="50" t="str">
        <f t="shared" si="235"/>
        <v/>
      </c>
      <c r="VGO23" s="50" t="str">
        <f t="shared" si="235"/>
        <v/>
      </c>
      <c r="VGP23" s="50" t="str">
        <f t="shared" si="235"/>
        <v/>
      </c>
      <c r="VGQ23" s="50" t="str">
        <f t="shared" si="235"/>
        <v/>
      </c>
      <c r="VGR23" s="50" t="str">
        <f t="shared" si="235"/>
        <v/>
      </c>
      <c r="VGS23" s="50" t="str">
        <f t="shared" si="235"/>
        <v/>
      </c>
      <c r="VGT23" s="50" t="str">
        <f t="shared" si="235"/>
        <v/>
      </c>
      <c r="VGU23" s="50" t="str">
        <f t="shared" si="235"/>
        <v/>
      </c>
      <c r="VGV23" s="50" t="str">
        <f t="shared" si="235"/>
        <v/>
      </c>
      <c r="VGW23" s="50" t="str">
        <f t="shared" si="235"/>
        <v/>
      </c>
      <c r="VGX23" s="50" t="str">
        <f t="shared" si="235"/>
        <v/>
      </c>
      <c r="VGY23" s="50" t="str">
        <f t="shared" si="235"/>
        <v/>
      </c>
      <c r="VGZ23" s="50" t="str">
        <f t="shared" si="235"/>
        <v/>
      </c>
      <c r="VHA23" s="50" t="str">
        <f t="shared" si="235"/>
        <v/>
      </c>
      <c r="VHB23" s="50" t="str">
        <f t="shared" si="235"/>
        <v/>
      </c>
      <c r="VHC23" s="50" t="str">
        <f t="shared" si="235"/>
        <v/>
      </c>
      <c r="VHD23" s="50" t="str">
        <f t="shared" si="235"/>
        <v/>
      </c>
      <c r="VHE23" s="50" t="str">
        <f t="shared" si="235"/>
        <v/>
      </c>
      <c r="VHF23" s="50" t="str">
        <f t="shared" si="235"/>
        <v/>
      </c>
      <c r="VHG23" s="50" t="str">
        <f t="shared" si="235"/>
        <v/>
      </c>
      <c r="VHH23" s="50" t="str">
        <f t="shared" si="235"/>
        <v/>
      </c>
      <c r="VHI23" s="50" t="str">
        <f t="shared" ref="VHI23:VJT23" si="236">IFERROR(IF(VHH23+TIME(1,0,0)&lt;=$G$12,VHH23+TIME(1,0,0),""),"")</f>
        <v/>
      </c>
      <c r="VHJ23" s="50" t="str">
        <f t="shared" si="236"/>
        <v/>
      </c>
      <c r="VHK23" s="50" t="str">
        <f t="shared" si="236"/>
        <v/>
      </c>
      <c r="VHL23" s="50" t="str">
        <f t="shared" si="236"/>
        <v/>
      </c>
      <c r="VHM23" s="50" t="str">
        <f t="shared" si="236"/>
        <v/>
      </c>
      <c r="VHN23" s="50" t="str">
        <f t="shared" si="236"/>
        <v/>
      </c>
      <c r="VHO23" s="50" t="str">
        <f t="shared" si="236"/>
        <v/>
      </c>
      <c r="VHP23" s="50" t="str">
        <f t="shared" si="236"/>
        <v/>
      </c>
      <c r="VHQ23" s="50" t="str">
        <f t="shared" si="236"/>
        <v/>
      </c>
      <c r="VHR23" s="50" t="str">
        <f t="shared" si="236"/>
        <v/>
      </c>
      <c r="VHS23" s="50" t="str">
        <f t="shared" si="236"/>
        <v/>
      </c>
      <c r="VHT23" s="50" t="str">
        <f t="shared" si="236"/>
        <v/>
      </c>
      <c r="VHU23" s="50" t="str">
        <f t="shared" si="236"/>
        <v/>
      </c>
      <c r="VHV23" s="50" t="str">
        <f t="shared" si="236"/>
        <v/>
      </c>
      <c r="VHW23" s="50" t="str">
        <f t="shared" si="236"/>
        <v/>
      </c>
      <c r="VHX23" s="50" t="str">
        <f t="shared" si="236"/>
        <v/>
      </c>
      <c r="VHY23" s="50" t="str">
        <f t="shared" si="236"/>
        <v/>
      </c>
      <c r="VHZ23" s="50" t="str">
        <f t="shared" si="236"/>
        <v/>
      </c>
      <c r="VIA23" s="50" t="str">
        <f t="shared" si="236"/>
        <v/>
      </c>
      <c r="VIB23" s="50" t="str">
        <f t="shared" si="236"/>
        <v/>
      </c>
      <c r="VIC23" s="50" t="str">
        <f t="shared" si="236"/>
        <v/>
      </c>
      <c r="VID23" s="50" t="str">
        <f t="shared" si="236"/>
        <v/>
      </c>
      <c r="VIE23" s="50" t="str">
        <f t="shared" si="236"/>
        <v/>
      </c>
      <c r="VIF23" s="50" t="str">
        <f t="shared" si="236"/>
        <v/>
      </c>
      <c r="VIG23" s="50" t="str">
        <f t="shared" si="236"/>
        <v/>
      </c>
      <c r="VIH23" s="50" t="str">
        <f t="shared" si="236"/>
        <v/>
      </c>
      <c r="VII23" s="50" t="str">
        <f t="shared" si="236"/>
        <v/>
      </c>
      <c r="VIJ23" s="50" t="str">
        <f t="shared" si="236"/>
        <v/>
      </c>
      <c r="VIK23" s="50" t="str">
        <f t="shared" si="236"/>
        <v/>
      </c>
      <c r="VIL23" s="50" t="str">
        <f t="shared" si="236"/>
        <v/>
      </c>
      <c r="VIM23" s="50" t="str">
        <f t="shared" si="236"/>
        <v/>
      </c>
      <c r="VIN23" s="50" t="str">
        <f t="shared" si="236"/>
        <v/>
      </c>
      <c r="VIO23" s="50" t="str">
        <f t="shared" si="236"/>
        <v/>
      </c>
      <c r="VIP23" s="50" t="str">
        <f t="shared" si="236"/>
        <v/>
      </c>
      <c r="VIQ23" s="50" t="str">
        <f t="shared" si="236"/>
        <v/>
      </c>
      <c r="VIR23" s="50" t="str">
        <f t="shared" si="236"/>
        <v/>
      </c>
      <c r="VIS23" s="50" t="str">
        <f t="shared" si="236"/>
        <v/>
      </c>
      <c r="VIT23" s="50" t="str">
        <f t="shared" si="236"/>
        <v/>
      </c>
      <c r="VIU23" s="50" t="str">
        <f t="shared" si="236"/>
        <v/>
      </c>
      <c r="VIV23" s="50" t="str">
        <f t="shared" si="236"/>
        <v/>
      </c>
      <c r="VIW23" s="50" t="str">
        <f t="shared" si="236"/>
        <v/>
      </c>
      <c r="VIX23" s="50" t="str">
        <f t="shared" si="236"/>
        <v/>
      </c>
      <c r="VIY23" s="50" t="str">
        <f t="shared" si="236"/>
        <v/>
      </c>
      <c r="VIZ23" s="50" t="str">
        <f t="shared" si="236"/>
        <v/>
      </c>
      <c r="VJA23" s="50" t="str">
        <f t="shared" si="236"/>
        <v/>
      </c>
      <c r="VJB23" s="50" t="str">
        <f t="shared" si="236"/>
        <v/>
      </c>
      <c r="VJC23" s="50" t="str">
        <f t="shared" si="236"/>
        <v/>
      </c>
      <c r="VJD23" s="50" t="str">
        <f t="shared" si="236"/>
        <v/>
      </c>
      <c r="VJE23" s="50" t="str">
        <f t="shared" si="236"/>
        <v/>
      </c>
      <c r="VJF23" s="50" t="str">
        <f t="shared" si="236"/>
        <v/>
      </c>
      <c r="VJG23" s="50" t="str">
        <f t="shared" si="236"/>
        <v/>
      </c>
      <c r="VJH23" s="50" t="str">
        <f t="shared" si="236"/>
        <v/>
      </c>
      <c r="VJI23" s="50" t="str">
        <f t="shared" si="236"/>
        <v/>
      </c>
      <c r="VJJ23" s="50" t="str">
        <f t="shared" si="236"/>
        <v/>
      </c>
      <c r="VJK23" s="50" t="str">
        <f t="shared" si="236"/>
        <v/>
      </c>
      <c r="VJL23" s="50" t="str">
        <f t="shared" si="236"/>
        <v/>
      </c>
      <c r="VJM23" s="50" t="str">
        <f t="shared" si="236"/>
        <v/>
      </c>
      <c r="VJN23" s="50" t="str">
        <f t="shared" si="236"/>
        <v/>
      </c>
      <c r="VJO23" s="50" t="str">
        <f t="shared" si="236"/>
        <v/>
      </c>
      <c r="VJP23" s="50" t="str">
        <f t="shared" si="236"/>
        <v/>
      </c>
      <c r="VJQ23" s="50" t="str">
        <f t="shared" si="236"/>
        <v/>
      </c>
      <c r="VJR23" s="50" t="str">
        <f t="shared" si="236"/>
        <v/>
      </c>
      <c r="VJS23" s="50" t="str">
        <f t="shared" si="236"/>
        <v/>
      </c>
      <c r="VJT23" s="50" t="str">
        <f t="shared" si="236"/>
        <v/>
      </c>
      <c r="VJU23" s="50" t="str">
        <f t="shared" ref="VJU23:VMF23" si="237">IFERROR(IF(VJT23+TIME(1,0,0)&lt;=$G$12,VJT23+TIME(1,0,0),""),"")</f>
        <v/>
      </c>
      <c r="VJV23" s="50" t="str">
        <f t="shared" si="237"/>
        <v/>
      </c>
      <c r="VJW23" s="50" t="str">
        <f t="shared" si="237"/>
        <v/>
      </c>
      <c r="VJX23" s="50" t="str">
        <f t="shared" si="237"/>
        <v/>
      </c>
      <c r="VJY23" s="50" t="str">
        <f t="shared" si="237"/>
        <v/>
      </c>
      <c r="VJZ23" s="50" t="str">
        <f t="shared" si="237"/>
        <v/>
      </c>
      <c r="VKA23" s="50" t="str">
        <f t="shared" si="237"/>
        <v/>
      </c>
      <c r="VKB23" s="50" t="str">
        <f t="shared" si="237"/>
        <v/>
      </c>
      <c r="VKC23" s="50" t="str">
        <f t="shared" si="237"/>
        <v/>
      </c>
      <c r="VKD23" s="50" t="str">
        <f t="shared" si="237"/>
        <v/>
      </c>
      <c r="VKE23" s="50" t="str">
        <f t="shared" si="237"/>
        <v/>
      </c>
      <c r="VKF23" s="50" t="str">
        <f t="shared" si="237"/>
        <v/>
      </c>
      <c r="VKG23" s="50" t="str">
        <f t="shared" si="237"/>
        <v/>
      </c>
      <c r="VKH23" s="50" t="str">
        <f t="shared" si="237"/>
        <v/>
      </c>
      <c r="VKI23" s="50" t="str">
        <f t="shared" si="237"/>
        <v/>
      </c>
      <c r="VKJ23" s="50" t="str">
        <f t="shared" si="237"/>
        <v/>
      </c>
      <c r="VKK23" s="50" t="str">
        <f t="shared" si="237"/>
        <v/>
      </c>
      <c r="VKL23" s="50" t="str">
        <f t="shared" si="237"/>
        <v/>
      </c>
      <c r="VKM23" s="50" t="str">
        <f t="shared" si="237"/>
        <v/>
      </c>
      <c r="VKN23" s="50" t="str">
        <f t="shared" si="237"/>
        <v/>
      </c>
      <c r="VKO23" s="50" t="str">
        <f t="shared" si="237"/>
        <v/>
      </c>
      <c r="VKP23" s="50" t="str">
        <f t="shared" si="237"/>
        <v/>
      </c>
      <c r="VKQ23" s="50" t="str">
        <f t="shared" si="237"/>
        <v/>
      </c>
      <c r="VKR23" s="50" t="str">
        <f t="shared" si="237"/>
        <v/>
      </c>
      <c r="VKS23" s="50" t="str">
        <f t="shared" si="237"/>
        <v/>
      </c>
      <c r="VKT23" s="50" t="str">
        <f t="shared" si="237"/>
        <v/>
      </c>
      <c r="VKU23" s="50" t="str">
        <f t="shared" si="237"/>
        <v/>
      </c>
      <c r="VKV23" s="50" t="str">
        <f t="shared" si="237"/>
        <v/>
      </c>
      <c r="VKW23" s="50" t="str">
        <f t="shared" si="237"/>
        <v/>
      </c>
      <c r="VKX23" s="50" t="str">
        <f t="shared" si="237"/>
        <v/>
      </c>
      <c r="VKY23" s="50" t="str">
        <f t="shared" si="237"/>
        <v/>
      </c>
      <c r="VKZ23" s="50" t="str">
        <f t="shared" si="237"/>
        <v/>
      </c>
      <c r="VLA23" s="50" t="str">
        <f t="shared" si="237"/>
        <v/>
      </c>
      <c r="VLB23" s="50" t="str">
        <f t="shared" si="237"/>
        <v/>
      </c>
      <c r="VLC23" s="50" t="str">
        <f t="shared" si="237"/>
        <v/>
      </c>
      <c r="VLD23" s="50" t="str">
        <f t="shared" si="237"/>
        <v/>
      </c>
      <c r="VLE23" s="50" t="str">
        <f t="shared" si="237"/>
        <v/>
      </c>
      <c r="VLF23" s="50" t="str">
        <f t="shared" si="237"/>
        <v/>
      </c>
      <c r="VLG23" s="50" t="str">
        <f t="shared" si="237"/>
        <v/>
      </c>
      <c r="VLH23" s="50" t="str">
        <f t="shared" si="237"/>
        <v/>
      </c>
      <c r="VLI23" s="50" t="str">
        <f t="shared" si="237"/>
        <v/>
      </c>
      <c r="VLJ23" s="50" t="str">
        <f t="shared" si="237"/>
        <v/>
      </c>
      <c r="VLK23" s="50" t="str">
        <f t="shared" si="237"/>
        <v/>
      </c>
      <c r="VLL23" s="50" t="str">
        <f t="shared" si="237"/>
        <v/>
      </c>
      <c r="VLM23" s="50" t="str">
        <f t="shared" si="237"/>
        <v/>
      </c>
      <c r="VLN23" s="50" t="str">
        <f t="shared" si="237"/>
        <v/>
      </c>
      <c r="VLO23" s="50" t="str">
        <f t="shared" si="237"/>
        <v/>
      </c>
      <c r="VLP23" s="50" t="str">
        <f t="shared" si="237"/>
        <v/>
      </c>
      <c r="VLQ23" s="50" t="str">
        <f t="shared" si="237"/>
        <v/>
      </c>
      <c r="VLR23" s="50" t="str">
        <f t="shared" si="237"/>
        <v/>
      </c>
      <c r="VLS23" s="50" t="str">
        <f t="shared" si="237"/>
        <v/>
      </c>
      <c r="VLT23" s="50" t="str">
        <f t="shared" si="237"/>
        <v/>
      </c>
      <c r="VLU23" s="50" t="str">
        <f t="shared" si="237"/>
        <v/>
      </c>
      <c r="VLV23" s="50" t="str">
        <f t="shared" si="237"/>
        <v/>
      </c>
      <c r="VLW23" s="50" t="str">
        <f t="shared" si="237"/>
        <v/>
      </c>
      <c r="VLX23" s="50" t="str">
        <f t="shared" si="237"/>
        <v/>
      </c>
      <c r="VLY23" s="50" t="str">
        <f t="shared" si="237"/>
        <v/>
      </c>
      <c r="VLZ23" s="50" t="str">
        <f t="shared" si="237"/>
        <v/>
      </c>
      <c r="VMA23" s="50" t="str">
        <f t="shared" si="237"/>
        <v/>
      </c>
      <c r="VMB23" s="50" t="str">
        <f t="shared" si="237"/>
        <v/>
      </c>
      <c r="VMC23" s="50" t="str">
        <f t="shared" si="237"/>
        <v/>
      </c>
      <c r="VMD23" s="50" t="str">
        <f t="shared" si="237"/>
        <v/>
      </c>
      <c r="VME23" s="50" t="str">
        <f t="shared" si="237"/>
        <v/>
      </c>
      <c r="VMF23" s="50" t="str">
        <f t="shared" si="237"/>
        <v/>
      </c>
      <c r="VMG23" s="50" t="str">
        <f t="shared" ref="VMG23:VOR23" si="238">IFERROR(IF(VMF23+TIME(1,0,0)&lt;=$G$12,VMF23+TIME(1,0,0),""),"")</f>
        <v/>
      </c>
      <c r="VMH23" s="50" t="str">
        <f t="shared" si="238"/>
        <v/>
      </c>
      <c r="VMI23" s="50" t="str">
        <f t="shared" si="238"/>
        <v/>
      </c>
      <c r="VMJ23" s="50" t="str">
        <f t="shared" si="238"/>
        <v/>
      </c>
      <c r="VMK23" s="50" t="str">
        <f t="shared" si="238"/>
        <v/>
      </c>
      <c r="VML23" s="50" t="str">
        <f t="shared" si="238"/>
        <v/>
      </c>
      <c r="VMM23" s="50" t="str">
        <f t="shared" si="238"/>
        <v/>
      </c>
      <c r="VMN23" s="50" t="str">
        <f t="shared" si="238"/>
        <v/>
      </c>
      <c r="VMO23" s="50" t="str">
        <f t="shared" si="238"/>
        <v/>
      </c>
      <c r="VMP23" s="50" t="str">
        <f t="shared" si="238"/>
        <v/>
      </c>
      <c r="VMQ23" s="50" t="str">
        <f t="shared" si="238"/>
        <v/>
      </c>
      <c r="VMR23" s="50" t="str">
        <f t="shared" si="238"/>
        <v/>
      </c>
      <c r="VMS23" s="50" t="str">
        <f t="shared" si="238"/>
        <v/>
      </c>
      <c r="VMT23" s="50" t="str">
        <f t="shared" si="238"/>
        <v/>
      </c>
      <c r="VMU23" s="50" t="str">
        <f t="shared" si="238"/>
        <v/>
      </c>
      <c r="VMV23" s="50" t="str">
        <f t="shared" si="238"/>
        <v/>
      </c>
      <c r="VMW23" s="50" t="str">
        <f t="shared" si="238"/>
        <v/>
      </c>
      <c r="VMX23" s="50" t="str">
        <f t="shared" si="238"/>
        <v/>
      </c>
      <c r="VMY23" s="50" t="str">
        <f t="shared" si="238"/>
        <v/>
      </c>
      <c r="VMZ23" s="50" t="str">
        <f t="shared" si="238"/>
        <v/>
      </c>
      <c r="VNA23" s="50" t="str">
        <f t="shared" si="238"/>
        <v/>
      </c>
      <c r="VNB23" s="50" t="str">
        <f t="shared" si="238"/>
        <v/>
      </c>
      <c r="VNC23" s="50" t="str">
        <f t="shared" si="238"/>
        <v/>
      </c>
      <c r="VND23" s="50" t="str">
        <f t="shared" si="238"/>
        <v/>
      </c>
      <c r="VNE23" s="50" t="str">
        <f t="shared" si="238"/>
        <v/>
      </c>
      <c r="VNF23" s="50" t="str">
        <f t="shared" si="238"/>
        <v/>
      </c>
      <c r="VNG23" s="50" t="str">
        <f t="shared" si="238"/>
        <v/>
      </c>
      <c r="VNH23" s="50" t="str">
        <f t="shared" si="238"/>
        <v/>
      </c>
      <c r="VNI23" s="50" t="str">
        <f t="shared" si="238"/>
        <v/>
      </c>
      <c r="VNJ23" s="50" t="str">
        <f t="shared" si="238"/>
        <v/>
      </c>
      <c r="VNK23" s="50" t="str">
        <f t="shared" si="238"/>
        <v/>
      </c>
      <c r="VNL23" s="50" t="str">
        <f t="shared" si="238"/>
        <v/>
      </c>
      <c r="VNM23" s="50" t="str">
        <f t="shared" si="238"/>
        <v/>
      </c>
      <c r="VNN23" s="50" t="str">
        <f t="shared" si="238"/>
        <v/>
      </c>
      <c r="VNO23" s="50" t="str">
        <f t="shared" si="238"/>
        <v/>
      </c>
      <c r="VNP23" s="50" t="str">
        <f t="shared" si="238"/>
        <v/>
      </c>
      <c r="VNQ23" s="50" t="str">
        <f t="shared" si="238"/>
        <v/>
      </c>
      <c r="VNR23" s="50" t="str">
        <f t="shared" si="238"/>
        <v/>
      </c>
      <c r="VNS23" s="50" t="str">
        <f t="shared" si="238"/>
        <v/>
      </c>
      <c r="VNT23" s="50" t="str">
        <f t="shared" si="238"/>
        <v/>
      </c>
      <c r="VNU23" s="50" t="str">
        <f t="shared" si="238"/>
        <v/>
      </c>
      <c r="VNV23" s="50" t="str">
        <f t="shared" si="238"/>
        <v/>
      </c>
      <c r="VNW23" s="50" t="str">
        <f t="shared" si="238"/>
        <v/>
      </c>
      <c r="VNX23" s="50" t="str">
        <f t="shared" si="238"/>
        <v/>
      </c>
      <c r="VNY23" s="50" t="str">
        <f t="shared" si="238"/>
        <v/>
      </c>
      <c r="VNZ23" s="50" t="str">
        <f t="shared" si="238"/>
        <v/>
      </c>
      <c r="VOA23" s="50" t="str">
        <f t="shared" si="238"/>
        <v/>
      </c>
      <c r="VOB23" s="50" t="str">
        <f t="shared" si="238"/>
        <v/>
      </c>
      <c r="VOC23" s="50" t="str">
        <f t="shared" si="238"/>
        <v/>
      </c>
      <c r="VOD23" s="50" t="str">
        <f t="shared" si="238"/>
        <v/>
      </c>
      <c r="VOE23" s="50" t="str">
        <f t="shared" si="238"/>
        <v/>
      </c>
      <c r="VOF23" s="50" t="str">
        <f t="shared" si="238"/>
        <v/>
      </c>
      <c r="VOG23" s="50" t="str">
        <f t="shared" si="238"/>
        <v/>
      </c>
      <c r="VOH23" s="50" t="str">
        <f t="shared" si="238"/>
        <v/>
      </c>
      <c r="VOI23" s="50" t="str">
        <f t="shared" si="238"/>
        <v/>
      </c>
      <c r="VOJ23" s="50" t="str">
        <f t="shared" si="238"/>
        <v/>
      </c>
      <c r="VOK23" s="50" t="str">
        <f t="shared" si="238"/>
        <v/>
      </c>
      <c r="VOL23" s="50" t="str">
        <f t="shared" si="238"/>
        <v/>
      </c>
      <c r="VOM23" s="50" t="str">
        <f t="shared" si="238"/>
        <v/>
      </c>
      <c r="VON23" s="50" t="str">
        <f t="shared" si="238"/>
        <v/>
      </c>
      <c r="VOO23" s="50" t="str">
        <f t="shared" si="238"/>
        <v/>
      </c>
      <c r="VOP23" s="50" t="str">
        <f t="shared" si="238"/>
        <v/>
      </c>
      <c r="VOQ23" s="50" t="str">
        <f t="shared" si="238"/>
        <v/>
      </c>
      <c r="VOR23" s="50" t="str">
        <f t="shared" si="238"/>
        <v/>
      </c>
      <c r="VOS23" s="50" t="str">
        <f t="shared" ref="VOS23:VRD23" si="239">IFERROR(IF(VOR23+TIME(1,0,0)&lt;=$G$12,VOR23+TIME(1,0,0),""),"")</f>
        <v/>
      </c>
      <c r="VOT23" s="50" t="str">
        <f t="shared" si="239"/>
        <v/>
      </c>
      <c r="VOU23" s="50" t="str">
        <f t="shared" si="239"/>
        <v/>
      </c>
      <c r="VOV23" s="50" t="str">
        <f t="shared" si="239"/>
        <v/>
      </c>
      <c r="VOW23" s="50" t="str">
        <f t="shared" si="239"/>
        <v/>
      </c>
      <c r="VOX23" s="50" t="str">
        <f t="shared" si="239"/>
        <v/>
      </c>
      <c r="VOY23" s="50" t="str">
        <f t="shared" si="239"/>
        <v/>
      </c>
      <c r="VOZ23" s="50" t="str">
        <f t="shared" si="239"/>
        <v/>
      </c>
      <c r="VPA23" s="50" t="str">
        <f t="shared" si="239"/>
        <v/>
      </c>
      <c r="VPB23" s="50" t="str">
        <f t="shared" si="239"/>
        <v/>
      </c>
      <c r="VPC23" s="50" t="str">
        <f t="shared" si="239"/>
        <v/>
      </c>
      <c r="VPD23" s="50" t="str">
        <f t="shared" si="239"/>
        <v/>
      </c>
      <c r="VPE23" s="50" t="str">
        <f t="shared" si="239"/>
        <v/>
      </c>
      <c r="VPF23" s="50" t="str">
        <f t="shared" si="239"/>
        <v/>
      </c>
      <c r="VPG23" s="50" t="str">
        <f t="shared" si="239"/>
        <v/>
      </c>
      <c r="VPH23" s="50" t="str">
        <f t="shared" si="239"/>
        <v/>
      </c>
      <c r="VPI23" s="50" t="str">
        <f t="shared" si="239"/>
        <v/>
      </c>
      <c r="VPJ23" s="50" t="str">
        <f t="shared" si="239"/>
        <v/>
      </c>
      <c r="VPK23" s="50" t="str">
        <f t="shared" si="239"/>
        <v/>
      </c>
      <c r="VPL23" s="50" t="str">
        <f t="shared" si="239"/>
        <v/>
      </c>
      <c r="VPM23" s="50" t="str">
        <f t="shared" si="239"/>
        <v/>
      </c>
      <c r="VPN23" s="50" t="str">
        <f t="shared" si="239"/>
        <v/>
      </c>
      <c r="VPO23" s="50" t="str">
        <f t="shared" si="239"/>
        <v/>
      </c>
      <c r="VPP23" s="50" t="str">
        <f t="shared" si="239"/>
        <v/>
      </c>
      <c r="VPQ23" s="50" t="str">
        <f t="shared" si="239"/>
        <v/>
      </c>
      <c r="VPR23" s="50" t="str">
        <f t="shared" si="239"/>
        <v/>
      </c>
      <c r="VPS23" s="50" t="str">
        <f t="shared" si="239"/>
        <v/>
      </c>
      <c r="VPT23" s="50" t="str">
        <f t="shared" si="239"/>
        <v/>
      </c>
      <c r="VPU23" s="50" t="str">
        <f t="shared" si="239"/>
        <v/>
      </c>
      <c r="VPV23" s="50" t="str">
        <f t="shared" si="239"/>
        <v/>
      </c>
      <c r="VPW23" s="50" t="str">
        <f t="shared" si="239"/>
        <v/>
      </c>
      <c r="VPX23" s="50" t="str">
        <f t="shared" si="239"/>
        <v/>
      </c>
      <c r="VPY23" s="50" t="str">
        <f t="shared" si="239"/>
        <v/>
      </c>
      <c r="VPZ23" s="50" t="str">
        <f t="shared" si="239"/>
        <v/>
      </c>
      <c r="VQA23" s="50" t="str">
        <f t="shared" si="239"/>
        <v/>
      </c>
      <c r="VQB23" s="50" t="str">
        <f t="shared" si="239"/>
        <v/>
      </c>
      <c r="VQC23" s="50" t="str">
        <f t="shared" si="239"/>
        <v/>
      </c>
      <c r="VQD23" s="50" t="str">
        <f t="shared" si="239"/>
        <v/>
      </c>
      <c r="VQE23" s="50" t="str">
        <f t="shared" si="239"/>
        <v/>
      </c>
      <c r="VQF23" s="50" t="str">
        <f t="shared" si="239"/>
        <v/>
      </c>
      <c r="VQG23" s="50" t="str">
        <f t="shared" si="239"/>
        <v/>
      </c>
      <c r="VQH23" s="50" t="str">
        <f t="shared" si="239"/>
        <v/>
      </c>
      <c r="VQI23" s="50" t="str">
        <f t="shared" si="239"/>
        <v/>
      </c>
      <c r="VQJ23" s="50" t="str">
        <f t="shared" si="239"/>
        <v/>
      </c>
      <c r="VQK23" s="50" t="str">
        <f t="shared" si="239"/>
        <v/>
      </c>
      <c r="VQL23" s="50" t="str">
        <f t="shared" si="239"/>
        <v/>
      </c>
      <c r="VQM23" s="50" t="str">
        <f t="shared" si="239"/>
        <v/>
      </c>
      <c r="VQN23" s="50" t="str">
        <f t="shared" si="239"/>
        <v/>
      </c>
      <c r="VQO23" s="50" t="str">
        <f t="shared" si="239"/>
        <v/>
      </c>
      <c r="VQP23" s="50" t="str">
        <f t="shared" si="239"/>
        <v/>
      </c>
      <c r="VQQ23" s="50" t="str">
        <f t="shared" si="239"/>
        <v/>
      </c>
      <c r="VQR23" s="50" t="str">
        <f t="shared" si="239"/>
        <v/>
      </c>
      <c r="VQS23" s="50" t="str">
        <f t="shared" si="239"/>
        <v/>
      </c>
      <c r="VQT23" s="50" t="str">
        <f t="shared" si="239"/>
        <v/>
      </c>
      <c r="VQU23" s="50" t="str">
        <f t="shared" si="239"/>
        <v/>
      </c>
      <c r="VQV23" s="50" t="str">
        <f t="shared" si="239"/>
        <v/>
      </c>
      <c r="VQW23" s="50" t="str">
        <f t="shared" si="239"/>
        <v/>
      </c>
      <c r="VQX23" s="50" t="str">
        <f t="shared" si="239"/>
        <v/>
      </c>
      <c r="VQY23" s="50" t="str">
        <f t="shared" si="239"/>
        <v/>
      </c>
      <c r="VQZ23" s="50" t="str">
        <f t="shared" si="239"/>
        <v/>
      </c>
      <c r="VRA23" s="50" t="str">
        <f t="shared" si="239"/>
        <v/>
      </c>
      <c r="VRB23" s="50" t="str">
        <f t="shared" si="239"/>
        <v/>
      </c>
      <c r="VRC23" s="50" t="str">
        <f t="shared" si="239"/>
        <v/>
      </c>
      <c r="VRD23" s="50" t="str">
        <f t="shared" si="239"/>
        <v/>
      </c>
      <c r="VRE23" s="50" t="str">
        <f t="shared" ref="VRE23:VTP23" si="240">IFERROR(IF(VRD23+TIME(1,0,0)&lt;=$G$12,VRD23+TIME(1,0,0),""),"")</f>
        <v/>
      </c>
      <c r="VRF23" s="50" t="str">
        <f t="shared" si="240"/>
        <v/>
      </c>
      <c r="VRG23" s="50" t="str">
        <f t="shared" si="240"/>
        <v/>
      </c>
      <c r="VRH23" s="50" t="str">
        <f t="shared" si="240"/>
        <v/>
      </c>
      <c r="VRI23" s="50" t="str">
        <f t="shared" si="240"/>
        <v/>
      </c>
      <c r="VRJ23" s="50" t="str">
        <f t="shared" si="240"/>
        <v/>
      </c>
      <c r="VRK23" s="50" t="str">
        <f t="shared" si="240"/>
        <v/>
      </c>
      <c r="VRL23" s="50" t="str">
        <f t="shared" si="240"/>
        <v/>
      </c>
      <c r="VRM23" s="50" t="str">
        <f t="shared" si="240"/>
        <v/>
      </c>
      <c r="VRN23" s="50" t="str">
        <f t="shared" si="240"/>
        <v/>
      </c>
      <c r="VRO23" s="50" t="str">
        <f t="shared" si="240"/>
        <v/>
      </c>
      <c r="VRP23" s="50" t="str">
        <f t="shared" si="240"/>
        <v/>
      </c>
      <c r="VRQ23" s="50" t="str">
        <f t="shared" si="240"/>
        <v/>
      </c>
      <c r="VRR23" s="50" t="str">
        <f t="shared" si="240"/>
        <v/>
      </c>
      <c r="VRS23" s="50" t="str">
        <f t="shared" si="240"/>
        <v/>
      </c>
      <c r="VRT23" s="50" t="str">
        <f t="shared" si="240"/>
        <v/>
      </c>
      <c r="VRU23" s="50" t="str">
        <f t="shared" si="240"/>
        <v/>
      </c>
      <c r="VRV23" s="50" t="str">
        <f t="shared" si="240"/>
        <v/>
      </c>
      <c r="VRW23" s="50" t="str">
        <f t="shared" si="240"/>
        <v/>
      </c>
      <c r="VRX23" s="50" t="str">
        <f t="shared" si="240"/>
        <v/>
      </c>
      <c r="VRY23" s="50" t="str">
        <f t="shared" si="240"/>
        <v/>
      </c>
      <c r="VRZ23" s="50" t="str">
        <f t="shared" si="240"/>
        <v/>
      </c>
      <c r="VSA23" s="50" t="str">
        <f t="shared" si="240"/>
        <v/>
      </c>
      <c r="VSB23" s="50" t="str">
        <f t="shared" si="240"/>
        <v/>
      </c>
      <c r="VSC23" s="50" t="str">
        <f t="shared" si="240"/>
        <v/>
      </c>
      <c r="VSD23" s="50" t="str">
        <f t="shared" si="240"/>
        <v/>
      </c>
      <c r="VSE23" s="50" t="str">
        <f t="shared" si="240"/>
        <v/>
      </c>
      <c r="VSF23" s="50" t="str">
        <f t="shared" si="240"/>
        <v/>
      </c>
      <c r="VSG23" s="50" t="str">
        <f t="shared" si="240"/>
        <v/>
      </c>
      <c r="VSH23" s="50" t="str">
        <f t="shared" si="240"/>
        <v/>
      </c>
      <c r="VSI23" s="50" t="str">
        <f t="shared" si="240"/>
        <v/>
      </c>
      <c r="VSJ23" s="50" t="str">
        <f t="shared" si="240"/>
        <v/>
      </c>
      <c r="VSK23" s="50" t="str">
        <f t="shared" si="240"/>
        <v/>
      </c>
      <c r="VSL23" s="50" t="str">
        <f t="shared" si="240"/>
        <v/>
      </c>
      <c r="VSM23" s="50" t="str">
        <f t="shared" si="240"/>
        <v/>
      </c>
      <c r="VSN23" s="50" t="str">
        <f t="shared" si="240"/>
        <v/>
      </c>
      <c r="VSO23" s="50" t="str">
        <f t="shared" si="240"/>
        <v/>
      </c>
      <c r="VSP23" s="50" t="str">
        <f t="shared" si="240"/>
        <v/>
      </c>
      <c r="VSQ23" s="50" t="str">
        <f t="shared" si="240"/>
        <v/>
      </c>
      <c r="VSR23" s="50" t="str">
        <f t="shared" si="240"/>
        <v/>
      </c>
      <c r="VSS23" s="50" t="str">
        <f t="shared" si="240"/>
        <v/>
      </c>
      <c r="VST23" s="50" t="str">
        <f t="shared" si="240"/>
        <v/>
      </c>
      <c r="VSU23" s="50" t="str">
        <f t="shared" si="240"/>
        <v/>
      </c>
      <c r="VSV23" s="50" t="str">
        <f t="shared" si="240"/>
        <v/>
      </c>
      <c r="VSW23" s="50" t="str">
        <f t="shared" si="240"/>
        <v/>
      </c>
      <c r="VSX23" s="50" t="str">
        <f t="shared" si="240"/>
        <v/>
      </c>
      <c r="VSY23" s="50" t="str">
        <f t="shared" si="240"/>
        <v/>
      </c>
      <c r="VSZ23" s="50" t="str">
        <f t="shared" si="240"/>
        <v/>
      </c>
      <c r="VTA23" s="50" t="str">
        <f t="shared" si="240"/>
        <v/>
      </c>
      <c r="VTB23" s="50" t="str">
        <f t="shared" si="240"/>
        <v/>
      </c>
      <c r="VTC23" s="50" t="str">
        <f t="shared" si="240"/>
        <v/>
      </c>
      <c r="VTD23" s="50" t="str">
        <f t="shared" si="240"/>
        <v/>
      </c>
      <c r="VTE23" s="50" t="str">
        <f t="shared" si="240"/>
        <v/>
      </c>
      <c r="VTF23" s="50" t="str">
        <f t="shared" si="240"/>
        <v/>
      </c>
      <c r="VTG23" s="50" t="str">
        <f t="shared" si="240"/>
        <v/>
      </c>
      <c r="VTH23" s="50" t="str">
        <f t="shared" si="240"/>
        <v/>
      </c>
      <c r="VTI23" s="50" t="str">
        <f t="shared" si="240"/>
        <v/>
      </c>
      <c r="VTJ23" s="50" t="str">
        <f t="shared" si="240"/>
        <v/>
      </c>
      <c r="VTK23" s="50" t="str">
        <f t="shared" si="240"/>
        <v/>
      </c>
      <c r="VTL23" s="50" t="str">
        <f t="shared" si="240"/>
        <v/>
      </c>
      <c r="VTM23" s="50" t="str">
        <f t="shared" si="240"/>
        <v/>
      </c>
      <c r="VTN23" s="50" t="str">
        <f t="shared" si="240"/>
        <v/>
      </c>
      <c r="VTO23" s="50" t="str">
        <f t="shared" si="240"/>
        <v/>
      </c>
      <c r="VTP23" s="50" t="str">
        <f t="shared" si="240"/>
        <v/>
      </c>
      <c r="VTQ23" s="50" t="str">
        <f t="shared" ref="VTQ23:VWB23" si="241">IFERROR(IF(VTP23+TIME(1,0,0)&lt;=$G$12,VTP23+TIME(1,0,0),""),"")</f>
        <v/>
      </c>
      <c r="VTR23" s="50" t="str">
        <f t="shared" si="241"/>
        <v/>
      </c>
      <c r="VTS23" s="50" t="str">
        <f t="shared" si="241"/>
        <v/>
      </c>
      <c r="VTT23" s="50" t="str">
        <f t="shared" si="241"/>
        <v/>
      </c>
      <c r="VTU23" s="50" t="str">
        <f t="shared" si="241"/>
        <v/>
      </c>
      <c r="VTV23" s="50" t="str">
        <f t="shared" si="241"/>
        <v/>
      </c>
      <c r="VTW23" s="50" t="str">
        <f t="shared" si="241"/>
        <v/>
      </c>
      <c r="VTX23" s="50" t="str">
        <f t="shared" si="241"/>
        <v/>
      </c>
      <c r="VTY23" s="50" t="str">
        <f t="shared" si="241"/>
        <v/>
      </c>
      <c r="VTZ23" s="50" t="str">
        <f t="shared" si="241"/>
        <v/>
      </c>
      <c r="VUA23" s="50" t="str">
        <f t="shared" si="241"/>
        <v/>
      </c>
      <c r="VUB23" s="50" t="str">
        <f t="shared" si="241"/>
        <v/>
      </c>
      <c r="VUC23" s="50" t="str">
        <f t="shared" si="241"/>
        <v/>
      </c>
      <c r="VUD23" s="50" t="str">
        <f t="shared" si="241"/>
        <v/>
      </c>
      <c r="VUE23" s="50" t="str">
        <f t="shared" si="241"/>
        <v/>
      </c>
      <c r="VUF23" s="50" t="str">
        <f t="shared" si="241"/>
        <v/>
      </c>
      <c r="VUG23" s="50" t="str">
        <f t="shared" si="241"/>
        <v/>
      </c>
      <c r="VUH23" s="50" t="str">
        <f t="shared" si="241"/>
        <v/>
      </c>
      <c r="VUI23" s="50" t="str">
        <f t="shared" si="241"/>
        <v/>
      </c>
      <c r="VUJ23" s="50" t="str">
        <f t="shared" si="241"/>
        <v/>
      </c>
      <c r="VUK23" s="50" t="str">
        <f t="shared" si="241"/>
        <v/>
      </c>
      <c r="VUL23" s="50" t="str">
        <f t="shared" si="241"/>
        <v/>
      </c>
      <c r="VUM23" s="50" t="str">
        <f t="shared" si="241"/>
        <v/>
      </c>
      <c r="VUN23" s="50" t="str">
        <f t="shared" si="241"/>
        <v/>
      </c>
      <c r="VUO23" s="50" t="str">
        <f t="shared" si="241"/>
        <v/>
      </c>
      <c r="VUP23" s="50" t="str">
        <f t="shared" si="241"/>
        <v/>
      </c>
      <c r="VUQ23" s="50" t="str">
        <f t="shared" si="241"/>
        <v/>
      </c>
      <c r="VUR23" s="50" t="str">
        <f t="shared" si="241"/>
        <v/>
      </c>
      <c r="VUS23" s="50" t="str">
        <f t="shared" si="241"/>
        <v/>
      </c>
      <c r="VUT23" s="50" t="str">
        <f t="shared" si="241"/>
        <v/>
      </c>
      <c r="VUU23" s="50" t="str">
        <f t="shared" si="241"/>
        <v/>
      </c>
      <c r="VUV23" s="50" t="str">
        <f t="shared" si="241"/>
        <v/>
      </c>
      <c r="VUW23" s="50" t="str">
        <f t="shared" si="241"/>
        <v/>
      </c>
      <c r="VUX23" s="50" t="str">
        <f t="shared" si="241"/>
        <v/>
      </c>
      <c r="VUY23" s="50" t="str">
        <f t="shared" si="241"/>
        <v/>
      </c>
      <c r="VUZ23" s="50" t="str">
        <f t="shared" si="241"/>
        <v/>
      </c>
      <c r="VVA23" s="50" t="str">
        <f t="shared" si="241"/>
        <v/>
      </c>
      <c r="VVB23" s="50" t="str">
        <f t="shared" si="241"/>
        <v/>
      </c>
      <c r="VVC23" s="50" t="str">
        <f t="shared" si="241"/>
        <v/>
      </c>
      <c r="VVD23" s="50" t="str">
        <f t="shared" si="241"/>
        <v/>
      </c>
      <c r="VVE23" s="50" t="str">
        <f t="shared" si="241"/>
        <v/>
      </c>
      <c r="VVF23" s="50" t="str">
        <f t="shared" si="241"/>
        <v/>
      </c>
      <c r="VVG23" s="50" t="str">
        <f t="shared" si="241"/>
        <v/>
      </c>
      <c r="VVH23" s="50" t="str">
        <f t="shared" si="241"/>
        <v/>
      </c>
      <c r="VVI23" s="50" t="str">
        <f t="shared" si="241"/>
        <v/>
      </c>
      <c r="VVJ23" s="50" t="str">
        <f t="shared" si="241"/>
        <v/>
      </c>
      <c r="VVK23" s="50" t="str">
        <f t="shared" si="241"/>
        <v/>
      </c>
      <c r="VVL23" s="50" t="str">
        <f t="shared" si="241"/>
        <v/>
      </c>
      <c r="VVM23" s="50" t="str">
        <f t="shared" si="241"/>
        <v/>
      </c>
      <c r="VVN23" s="50" t="str">
        <f t="shared" si="241"/>
        <v/>
      </c>
      <c r="VVO23" s="50" t="str">
        <f t="shared" si="241"/>
        <v/>
      </c>
      <c r="VVP23" s="50" t="str">
        <f t="shared" si="241"/>
        <v/>
      </c>
      <c r="VVQ23" s="50" t="str">
        <f t="shared" si="241"/>
        <v/>
      </c>
      <c r="VVR23" s="50" t="str">
        <f t="shared" si="241"/>
        <v/>
      </c>
      <c r="VVS23" s="50" t="str">
        <f t="shared" si="241"/>
        <v/>
      </c>
      <c r="VVT23" s="50" t="str">
        <f t="shared" si="241"/>
        <v/>
      </c>
      <c r="VVU23" s="50" t="str">
        <f t="shared" si="241"/>
        <v/>
      </c>
      <c r="VVV23" s="50" t="str">
        <f t="shared" si="241"/>
        <v/>
      </c>
      <c r="VVW23" s="50" t="str">
        <f t="shared" si="241"/>
        <v/>
      </c>
      <c r="VVX23" s="50" t="str">
        <f t="shared" si="241"/>
        <v/>
      </c>
      <c r="VVY23" s="50" t="str">
        <f t="shared" si="241"/>
        <v/>
      </c>
      <c r="VVZ23" s="50" t="str">
        <f t="shared" si="241"/>
        <v/>
      </c>
      <c r="VWA23" s="50" t="str">
        <f t="shared" si="241"/>
        <v/>
      </c>
      <c r="VWB23" s="50" t="str">
        <f t="shared" si="241"/>
        <v/>
      </c>
      <c r="VWC23" s="50" t="str">
        <f t="shared" ref="VWC23:VYN23" si="242">IFERROR(IF(VWB23+TIME(1,0,0)&lt;=$G$12,VWB23+TIME(1,0,0),""),"")</f>
        <v/>
      </c>
      <c r="VWD23" s="50" t="str">
        <f t="shared" si="242"/>
        <v/>
      </c>
      <c r="VWE23" s="50" t="str">
        <f t="shared" si="242"/>
        <v/>
      </c>
      <c r="VWF23" s="50" t="str">
        <f t="shared" si="242"/>
        <v/>
      </c>
      <c r="VWG23" s="50" t="str">
        <f t="shared" si="242"/>
        <v/>
      </c>
      <c r="VWH23" s="50" t="str">
        <f t="shared" si="242"/>
        <v/>
      </c>
      <c r="VWI23" s="50" t="str">
        <f t="shared" si="242"/>
        <v/>
      </c>
      <c r="VWJ23" s="50" t="str">
        <f t="shared" si="242"/>
        <v/>
      </c>
      <c r="VWK23" s="50" t="str">
        <f t="shared" si="242"/>
        <v/>
      </c>
      <c r="VWL23" s="50" t="str">
        <f t="shared" si="242"/>
        <v/>
      </c>
      <c r="VWM23" s="50" t="str">
        <f t="shared" si="242"/>
        <v/>
      </c>
      <c r="VWN23" s="50" t="str">
        <f t="shared" si="242"/>
        <v/>
      </c>
      <c r="VWO23" s="50" t="str">
        <f t="shared" si="242"/>
        <v/>
      </c>
      <c r="VWP23" s="50" t="str">
        <f t="shared" si="242"/>
        <v/>
      </c>
      <c r="VWQ23" s="50" t="str">
        <f t="shared" si="242"/>
        <v/>
      </c>
      <c r="VWR23" s="50" t="str">
        <f t="shared" si="242"/>
        <v/>
      </c>
      <c r="VWS23" s="50" t="str">
        <f t="shared" si="242"/>
        <v/>
      </c>
      <c r="VWT23" s="50" t="str">
        <f t="shared" si="242"/>
        <v/>
      </c>
      <c r="VWU23" s="50" t="str">
        <f t="shared" si="242"/>
        <v/>
      </c>
      <c r="VWV23" s="50" t="str">
        <f t="shared" si="242"/>
        <v/>
      </c>
      <c r="VWW23" s="50" t="str">
        <f t="shared" si="242"/>
        <v/>
      </c>
      <c r="VWX23" s="50" t="str">
        <f t="shared" si="242"/>
        <v/>
      </c>
      <c r="VWY23" s="50" t="str">
        <f t="shared" si="242"/>
        <v/>
      </c>
      <c r="VWZ23" s="50" t="str">
        <f t="shared" si="242"/>
        <v/>
      </c>
      <c r="VXA23" s="50" t="str">
        <f t="shared" si="242"/>
        <v/>
      </c>
      <c r="VXB23" s="50" t="str">
        <f t="shared" si="242"/>
        <v/>
      </c>
      <c r="VXC23" s="50" t="str">
        <f t="shared" si="242"/>
        <v/>
      </c>
      <c r="VXD23" s="50" t="str">
        <f t="shared" si="242"/>
        <v/>
      </c>
      <c r="VXE23" s="50" t="str">
        <f t="shared" si="242"/>
        <v/>
      </c>
      <c r="VXF23" s="50" t="str">
        <f t="shared" si="242"/>
        <v/>
      </c>
      <c r="VXG23" s="50" t="str">
        <f t="shared" si="242"/>
        <v/>
      </c>
      <c r="VXH23" s="50" t="str">
        <f t="shared" si="242"/>
        <v/>
      </c>
      <c r="VXI23" s="50" t="str">
        <f t="shared" si="242"/>
        <v/>
      </c>
      <c r="VXJ23" s="50" t="str">
        <f t="shared" si="242"/>
        <v/>
      </c>
      <c r="VXK23" s="50" t="str">
        <f t="shared" si="242"/>
        <v/>
      </c>
      <c r="VXL23" s="50" t="str">
        <f t="shared" si="242"/>
        <v/>
      </c>
      <c r="VXM23" s="50" t="str">
        <f t="shared" si="242"/>
        <v/>
      </c>
      <c r="VXN23" s="50" t="str">
        <f t="shared" si="242"/>
        <v/>
      </c>
      <c r="VXO23" s="50" t="str">
        <f t="shared" si="242"/>
        <v/>
      </c>
      <c r="VXP23" s="50" t="str">
        <f t="shared" si="242"/>
        <v/>
      </c>
      <c r="VXQ23" s="50" t="str">
        <f t="shared" si="242"/>
        <v/>
      </c>
      <c r="VXR23" s="50" t="str">
        <f t="shared" si="242"/>
        <v/>
      </c>
      <c r="VXS23" s="50" t="str">
        <f t="shared" si="242"/>
        <v/>
      </c>
      <c r="VXT23" s="50" t="str">
        <f t="shared" si="242"/>
        <v/>
      </c>
      <c r="VXU23" s="50" t="str">
        <f t="shared" si="242"/>
        <v/>
      </c>
      <c r="VXV23" s="50" t="str">
        <f t="shared" si="242"/>
        <v/>
      </c>
      <c r="VXW23" s="50" t="str">
        <f t="shared" si="242"/>
        <v/>
      </c>
      <c r="VXX23" s="50" t="str">
        <f t="shared" si="242"/>
        <v/>
      </c>
      <c r="VXY23" s="50" t="str">
        <f t="shared" si="242"/>
        <v/>
      </c>
      <c r="VXZ23" s="50" t="str">
        <f t="shared" si="242"/>
        <v/>
      </c>
      <c r="VYA23" s="50" t="str">
        <f t="shared" si="242"/>
        <v/>
      </c>
      <c r="VYB23" s="50" t="str">
        <f t="shared" si="242"/>
        <v/>
      </c>
      <c r="VYC23" s="50" t="str">
        <f t="shared" si="242"/>
        <v/>
      </c>
      <c r="VYD23" s="50" t="str">
        <f t="shared" si="242"/>
        <v/>
      </c>
      <c r="VYE23" s="50" t="str">
        <f t="shared" si="242"/>
        <v/>
      </c>
      <c r="VYF23" s="50" t="str">
        <f t="shared" si="242"/>
        <v/>
      </c>
      <c r="VYG23" s="50" t="str">
        <f t="shared" si="242"/>
        <v/>
      </c>
      <c r="VYH23" s="50" t="str">
        <f t="shared" si="242"/>
        <v/>
      </c>
      <c r="VYI23" s="50" t="str">
        <f t="shared" si="242"/>
        <v/>
      </c>
      <c r="VYJ23" s="50" t="str">
        <f t="shared" si="242"/>
        <v/>
      </c>
      <c r="VYK23" s="50" t="str">
        <f t="shared" si="242"/>
        <v/>
      </c>
      <c r="VYL23" s="50" t="str">
        <f t="shared" si="242"/>
        <v/>
      </c>
      <c r="VYM23" s="50" t="str">
        <f t="shared" si="242"/>
        <v/>
      </c>
      <c r="VYN23" s="50" t="str">
        <f t="shared" si="242"/>
        <v/>
      </c>
      <c r="VYO23" s="50" t="str">
        <f t="shared" ref="VYO23:WAZ23" si="243">IFERROR(IF(VYN23+TIME(1,0,0)&lt;=$G$12,VYN23+TIME(1,0,0),""),"")</f>
        <v/>
      </c>
      <c r="VYP23" s="50" t="str">
        <f t="shared" si="243"/>
        <v/>
      </c>
      <c r="VYQ23" s="50" t="str">
        <f t="shared" si="243"/>
        <v/>
      </c>
      <c r="VYR23" s="50" t="str">
        <f t="shared" si="243"/>
        <v/>
      </c>
      <c r="VYS23" s="50" t="str">
        <f t="shared" si="243"/>
        <v/>
      </c>
      <c r="VYT23" s="50" t="str">
        <f t="shared" si="243"/>
        <v/>
      </c>
      <c r="VYU23" s="50" t="str">
        <f t="shared" si="243"/>
        <v/>
      </c>
      <c r="VYV23" s="50" t="str">
        <f t="shared" si="243"/>
        <v/>
      </c>
      <c r="VYW23" s="50" t="str">
        <f t="shared" si="243"/>
        <v/>
      </c>
      <c r="VYX23" s="50" t="str">
        <f t="shared" si="243"/>
        <v/>
      </c>
      <c r="VYY23" s="50" t="str">
        <f t="shared" si="243"/>
        <v/>
      </c>
      <c r="VYZ23" s="50" t="str">
        <f t="shared" si="243"/>
        <v/>
      </c>
      <c r="VZA23" s="50" t="str">
        <f t="shared" si="243"/>
        <v/>
      </c>
      <c r="VZB23" s="50" t="str">
        <f t="shared" si="243"/>
        <v/>
      </c>
      <c r="VZC23" s="50" t="str">
        <f t="shared" si="243"/>
        <v/>
      </c>
      <c r="VZD23" s="50" t="str">
        <f t="shared" si="243"/>
        <v/>
      </c>
      <c r="VZE23" s="50" t="str">
        <f t="shared" si="243"/>
        <v/>
      </c>
      <c r="VZF23" s="50" t="str">
        <f t="shared" si="243"/>
        <v/>
      </c>
      <c r="VZG23" s="50" t="str">
        <f t="shared" si="243"/>
        <v/>
      </c>
      <c r="VZH23" s="50" t="str">
        <f t="shared" si="243"/>
        <v/>
      </c>
      <c r="VZI23" s="50" t="str">
        <f t="shared" si="243"/>
        <v/>
      </c>
      <c r="VZJ23" s="50" t="str">
        <f t="shared" si="243"/>
        <v/>
      </c>
      <c r="VZK23" s="50" t="str">
        <f t="shared" si="243"/>
        <v/>
      </c>
      <c r="VZL23" s="50" t="str">
        <f t="shared" si="243"/>
        <v/>
      </c>
      <c r="VZM23" s="50" t="str">
        <f t="shared" si="243"/>
        <v/>
      </c>
      <c r="VZN23" s="50" t="str">
        <f t="shared" si="243"/>
        <v/>
      </c>
      <c r="VZO23" s="50" t="str">
        <f t="shared" si="243"/>
        <v/>
      </c>
      <c r="VZP23" s="50" t="str">
        <f t="shared" si="243"/>
        <v/>
      </c>
      <c r="VZQ23" s="50" t="str">
        <f t="shared" si="243"/>
        <v/>
      </c>
      <c r="VZR23" s="50" t="str">
        <f t="shared" si="243"/>
        <v/>
      </c>
      <c r="VZS23" s="50" t="str">
        <f t="shared" si="243"/>
        <v/>
      </c>
      <c r="VZT23" s="50" t="str">
        <f t="shared" si="243"/>
        <v/>
      </c>
      <c r="VZU23" s="50" t="str">
        <f t="shared" si="243"/>
        <v/>
      </c>
      <c r="VZV23" s="50" t="str">
        <f t="shared" si="243"/>
        <v/>
      </c>
      <c r="VZW23" s="50" t="str">
        <f t="shared" si="243"/>
        <v/>
      </c>
      <c r="VZX23" s="50" t="str">
        <f t="shared" si="243"/>
        <v/>
      </c>
      <c r="VZY23" s="50" t="str">
        <f t="shared" si="243"/>
        <v/>
      </c>
      <c r="VZZ23" s="50" t="str">
        <f t="shared" si="243"/>
        <v/>
      </c>
      <c r="WAA23" s="50" t="str">
        <f t="shared" si="243"/>
        <v/>
      </c>
      <c r="WAB23" s="50" t="str">
        <f t="shared" si="243"/>
        <v/>
      </c>
      <c r="WAC23" s="50" t="str">
        <f t="shared" si="243"/>
        <v/>
      </c>
      <c r="WAD23" s="50" t="str">
        <f t="shared" si="243"/>
        <v/>
      </c>
      <c r="WAE23" s="50" t="str">
        <f t="shared" si="243"/>
        <v/>
      </c>
      <c r="WAF23" s="50" t="str">
        <f t="shared" si="243"/>
        <v/>
      </c>
      <c r="WAG23" s="50" t="str">
        <f t="shared" si="243"/>
        <v/>
      </c>
      <c r="WAH23" s="50" t="str">
        <f t="shared" si="243"/>
        <v/>
      </c>
      <c r="WAI23" s="50" t="str">
        <f t="shared" si="243"/>
        <v/>
      </c>
      <c r="WAJ23" s="50" t="str">
        <f t="shared" si="243"/>
        <v/>
      </c>
      <c r="WAK23" s="50" t="str">
        <f t="shared" si="243"/>
        <v/>
      </c>
      <c r="WAL23" s="50" t="str">
        <f t="shared" si="243"/>
        <v/>
      </c>
      <c r="WAM23" s="50" t="str">
        <f t="shared" si="243"/>
        <v/>
      </c>
      <c r="WAN23" s="50" t="str">
        <f t="shared" si="243"/>
        <v/>
      </c>
      <c r="WAO23" s="50" t="str">
        <f t="shared" si="243"/>
        <v/>
      </c>
      <c r="WAP23" s="50" t="str">
        <f t="shared" si="243"/>
        <v/>
      </c>
      <c r="WAQ23" s="50" t="str">
        <f t="shared" si="243"/>
        <v/>
      </c>
      <c r="WAR23" s="50" t="str">
        <f t="shared" si="243"/>
        <v/>
      </c>
      <c r="WAS23" s="50" t="str">
        <f t="shared" si="243"/>
        <v/>
      </c>
      <c r="WAT23" s="50" t="str">
        <f t="shared" si="243"/>
        <v/>
      </c>
      <c r="WAU23" s="50" t="str">
        <f t="shared" si="243"/>
        <v/>
      </c>
      <c r="WAV23" s="50" t="str">
        <f t="shared" si="243"/>
        <v/>
      </c>
      <c r="WAW23" s="50" t="str">
        <f t="shared" si="243"/>
        <v/>
      </c>
      <c r="WAX23" s="50" t="str">
        <f t="shared" si="243"/>
        <v/>
      </c>
      <c r="WAY23" s="50" t="str">
        <f t="shared" si="243"/>
        <v/>
      </c>
      <c r="WAZ23" s="50" t="str">
        <f t="shared" si="243"/>
        <v/>
      </c>
      <c r="WBA23" s="50" t="str">
        <f t="shared" ref="WBA23:WDL23" si="244">IFERROR(IF(WAZ23+TIME(1,0,0)&lt;=$G$12,WAZ23+TIME(1,0,0),""),"")</f>
        <v/>
      </c>
      <c r="WBB23" s="50" t="str">
        <f t="shared" si="244"/>
        <v/>
      </c>
      <c r="WBC23" s="50" t="str">
        <f t="shared" si="244"/>
        <v/>
      </c>
      <c r="WBD23" s="50" t="str">
        <f t="shared" si="244"/>
        <v/>
      </c>
      <c r="WBE23" s="50" t="str">
        <f t="shared" si="244"/>
        <v/>
      </c>
      <c r="WBF23" s="50" t="str">
        <f t="shared" si="244"/>
        <v/>
      </c>
      <c r="WBG23" s="50" t="str">
        <f t="shared" si="244"/>
        <v/>
      </c>
      <c r="WBH23" s="50" t="str">
        <f t="shared" si="244"/>
        <v/>
      </c>
      <c r="WBI23" s="50" t="str">
        <f t="shared" si="244"/>
        <v/>
      </c>
      <c r="WBJ23" s="50" t="str">
        <f t="shared" si="244"/>
        <v/>
      </c>
      <c r="WBK23" s="50" t="str">
        <f t="shared" si="244"/>
        <v/>
      </c>
      <c r="WBL23" s="50" t="str">
        <f t="shared" si="244"/>
        <v/>
      </c>
      <c r="WBM23" s="50" t="str">
        <f t="shared" si="244"/>
        <v/>
      </c>
      <c r="WBN23" s="50" t="str">
        <f t="shared" si="244"/>
        <v/>
      </c>
      <c r="WBO23" s="50" t="str">
        <f t="shared" si="244"/>
        <v/>
      </c>
      <c r="WBP23" s="50" t="str">
        <f t="shared" si="244"/>
        <v/>
      </c>
      <c r="WBQ23" s="50" t="str">
        <f t="shared" si="244"/>
        <v/>
      </c>
      <c r="WBR23" s="50" t="str">
        <f t="shared" si="244"/>
        <v/>
      </c>
      <c r="WBS23" s="50" t="str">
        <f t="shared" si="244"/>
        <v/>
      </c>
      <c r="WBT23" s="50" t="str">
        <f t="shared" si="244"/>
        <v/>
      </c>
      <c r="WBU23" s="50" t="str">
        <f t="shared" si="244"/>
        <v/>
      </c>
      <c r="WBV23" s="50" t="str">
        <f t="shared" si="244"/>
        <v/>
      </c>
      <c r="WBW23" s="50" t="str">
        <f t="shared" si="244"/>
        <v/>
      </c>
      <c r="WBX23" s="50" t="str">
        <f t="shared" si="244"/>
        <v/>
      </c>
      <c r="WBY23" s="50" t="str">
        <f t="shared" si="244"/>
        <v/>
      </c>
      <c r="WBZ23" s="50" t="str">
        <f t="shared" si="244"/>
        <v/>
      </c>
      <c r="WCA23" s="50" t="str">
        <f t="shared" si="244"/>
        <v/>
      </c>
      <c r="WCB23" s="50" t="str">
        <f t="shared" si="244"/>
        <v/>
      </c>
      <c r="WCC23" s="50" t="str">
        <f t="shared" si="244"/>
        <v/>
      </c>
      <c r="WCD23" s="50" t="str">
        <f t="shared" si="244"/>
        <v/>
      </c>
      <c r="WCE23" s="50" t="str">
        <f t="shared" si="244"/>
        <v/>
      </c>
      <c r="WCF23" s="50" t="str">
        <f t="shared" si="244"/>
        <v/>
      </c>
      <c r="WCG23" s="50" t="str">
        <f t="shared" si="244"/>
        <v/>
      </c>
      <c r="WCH23" s="50" t="str">
        <f t="shared" si="244"/>
        <v/>
      </c>
      <c r="WCI23" s="50" t="str">
        <f t="shared" si="244"/>
        <v/>
      </c>
      <c r="WCJ23" s="50" t="str">
        <f t="shared" si="244"/>
        <v/>
      </c>
      <c r="WCK23" s="50" t="str">
        <f t="shared" si="244"/>
        <v/>
      </c>
      <c r="WCL23" s="50" t="str">
        <f t="shared" si="244"/>
        <v/>
      </c>
      <c r="WCM23" s="50" t="str">
        <f t="shared" si="244"/>
        <v/>
      </c>
      <c r="WCN23" s="50" t="str">
        <f t="shared" si="244"/>
        <v/>
      </c>
      <c r="WCO23" s="50" t="str">
        <f t="shared" si="244"/>
        <v/>
      </c>
      <c r="WCP23" s="50" t="str">
        <f t="shared" si="244"/>
        <v/>
      </c>
      <c r="WCQ23" s="50" t="str">
        <f t="shared" si="244"/>
        <v/>
      </c>
      <c r="WCR23" s="50" t="str">
        <f t="shared" si="244"/>
        <v/>
      </c>
      <c r="WCS23" s="50" t="str">
        <f t="shared" si="244"/>
        <v/>
      </c>
      <c r="WCT23" s="50" t="str">
        <f t="shared" si="244"/>
        <v/>
      </c>
      <c r="WCU23" s="50" t="str">
        <f t="shared" si="244"/>
        <v/>
      </c>
      <c r="WCV23" s="50" t="str">
        <f t="shared" si="244"/>
        <v/>
      </c>
      <c r="WCW23" s="50" t="str">
        <f t="shared" si="244"/>
        <v/>
      </c>
      <c r="WCX23" s="50" t="str">
        <f t="shared" si="244"/>
        <v/>
      </c>
      <c r="WCY23" s="50" t="str">
        <f t="shared" si="244"/>
        <v/>
      </c>
      <c r="WCZ23" s="50" t="str">
        <f t="shared" si="244"/>
        <v/>
      </c>
      <c r="WDA23" s="50" t="str">
        <f t="shared" si="244"/>
        <v/>
      </c>
      <c r="WDB23" s="50" t="str">
        <f t="shared" si="244"/>
        <v/>
      </c>
      <c r="WDC23" s="50" t="str">
        <f t="shared" si="244"/>
        <v/>
      </c>
      <c r="WDD23" s="50" t="str">
        <f t="shared" si="244"/>
        <v/>
      </c>
      <c r="WDE23" s="50" t="str">
        <f t="shared" si="244"/>
        <v/>
      </c>
      <c r="WDF23" s="50" t="str">
        <f t="shared" si="244"/>
        <v/>
      </c>
      <c r="WDG23" s="50" t="str">
        <f t="shared" si="244"/>
        <v/>
      </c>
      <c r="WDH23" s="50" t="str">
        <f t="shared" si="244"/>
        <v/>
      </c>
      <c r="WDI23" s="50" t="str">
        <f t="shared" si="244"/>
        <v/>
      </c>
      <c r="WDJ23" s="50" t="str">
        <f t="shared" si="244"/>
        <v/>
      </c>
      <c r="WDK23" s="50" t="str">
        <f t="shared" si="244"/>
        <v/>
      </c>
      <c r="WDL23" s="50" t="str">
        <f t="shared" si="244"/>
        <v/>
      </c>
      <c r="WDM23" s="50" t="str">
        <f t="shared" ref="WDM23:WFX23" si="245">IFERROR(IF(WDL23+TIME(1,0,0)&lt;=$G$12,WDL23+TIME(1,0,0),""),"")</f>
        <v/>
      </c>
      <c r="WDN23" s="50" t="str">
        <f t="shared" si="245"/>
        <v/>
      </c>
      <c r="WDO23" s="50" t="str">
        <f t="shared" si="245"/>
        <v/>
      </c>
      <c r="WDP23" s="50" t="str">
        <f t="shared" si="245"/>
        <v/>
      </c>
      <c r="WDQ23" s="50" t="str">
        <f t="shared" si="245"/>
        <v/>
      </c>
      <c r="WDR23" s="50" t="str">
        <f t="shared" si="245"/>
        <v/>
      </c>
      <c r="WDS23" s="50" t="str">
        <f t="shared" si="245"/>
        <v/>
      </c>
      <c r="WDT23" s="50" t="str">
        <f t="shared" si="245"/>
        <v/>
      </c>
      <c r="WDU23" s="50" t="str">
        <f t="shared" si="245"/>
        <v/>
      </c>
      <c r="WDV23" s="50" t="str">
        <f t="shared" si="245"/>
        <v/>
      </c>
      <c r="WDW23" s="50" t="str">
        <f t="shared" si="245"/>
        <v/>
      </c>
      <c r="WDX23" s="50" t="str">
        <f t="shared" si="245"/>
        <v/>
      </c>
      <c r="WDY23" s="50" t="str">
        <f t="shared" si="245"/>
        <v/>
      </c>
      <c r="WDZ23" s="50" t="str">
        <f t="shared" si="245"/>
        <v/>
      </c>
      <c r="WEA23" s="50" t="str">
        <f t="shared" si="245"/>
        <v/>
      </c>
      <c r="WEB23" s="50" t="str">
        <f t="shared" si="245"/>
        <v/>
      </c>
      <c r="WEC23" s="50" t="str">
        <f t="shared" si="245"/>
        <v/>
      </c>
      <c r="WED23" s="50" t="str">
        <f t="shared" si="245"/>
        <v/>
      </c>
      <c r="WEE23" s="50" t="str">
        <f t="shared" si="245"/>
        <v/>
      </c>
      <c r="WEF23" s="50" t="str">
        <f t="shared" si="245"/>
        <v/>
      </c>
      <c r="WEG23" s="50" t="str">
        <f t="shared" si="245"/>
        <v/>
      </c>
      <c r="WEH23" s="50" t="str">
        <f t="shared" si="245"/>
        <v/>
      </c>
      <c r="WEI23" s="50" t="str">
        <f t="shared" si="245"/>
        <v/>
      </c>
      <c r="WEJ23" s="50" t="str">
        <f t="shared" si="245"/>
        <v/>
      </c>
      <c r="WEK23" s="50" t="str">
        <f t="shared" si="245"/>
        <v/>
      </c>
      <c r="WEL23" s="50" t="str">
        <f t="shared" si="245"/>
        <v/>
      </c>
      <c r="WEM23" s="50" t="str">
        <f t="shared" si="245"/>
        <v/>
      </c>
      <c r="WEN23" s="50" t="str">
        <f t="shared" si="245"/>
        <v/>
      </c>
      <c r="WEO23" s="50" t="str">
        <f t="shared" si="245"/>
        <v/>
      </c>
      <c r="WEP23" s="50" t="str">
        <f t="shared" si="245"/>
        <v/>
      </c>
      <c r="WEQ23" s="50" t="str">
        <f t="shared" si="245"/>
        <v/>
      </c>
      <c r="WER23" s="50" t="str">
        <f t="shared" si="245"/>
        <v/>
      </c>
      <c r="WES23" s="50" t="str">
        <f t="shared" si="245"/>
        <v/>
      </c>
      <c r="WET23" s="50" t="str">
        <f t="shared" si="245"/>
        <v/>
      </c>
      <c r="WEU23" s="50" t="str">
        <f t="shared" si="245"/>
        <v/>
      </c>
      <c r="WEV23" s="50" t="str">
        <f t="shared" si="245"/>
        <v/>
      </c>
      <c r="WEW23" s="50" t="str">
        <f t="shared" si="245"/>
        <v/>
      </c>
      <c r="WEX23" s="50" t="str">
        <f t="shared" si="245"/>
        <v/>
      </c>
      <c r="WEY23" s="50" t="str">
        <f t="shared" si="245"/>
        <v/>
      </c>
      <c r="WEZ23" s="50" t="str">
        <f t="shared" si="245"/>
        <v/>
      </c>
      <c r="WFA23" s="50" t="str">
        <f t="shared" si="245"/>
        <v/>
      </c>
      <c r="WFB23" s="50" t="str">
        <f t="shared" si="245"/>
        <v/>
      </c>
      <c r="WFC23" s="50" t="str">
        <f t="shared" si="245"/>
        <v/>
      </c>
      <c r="WFD23" s="50" t="str">
        <f t="shared" si="245"/>
        <v/>
      </c>
      <c r="WFE23" s="50" t="str">
        <f t="shared" si="245"/>
        <v/>
      </c>
      <c r="WFF23" s="50" t="str">
        <f t="shared" si="245"/>
        <v/>
      </c>
      <c r="WFG23" s="50" t="str">
        <f t="shared" si="245"/>
        <v/>
      </c>
      <c r="WFH23" s="50" t="str">
        <f t="shared" si="245"/>
        <v/>
      </c>
      <c r="WFI23" s="50" t="str">
        <f t="shared" si="245"/>
        <v/>
      </c>
      <c r="WFJ23" s="50" t="str">
        <f t="shared" si="245"/>
        <v/>
      </c>
      <c r="WFK23" s="50" t="str">
        <f t="shared" si="245"/>
        <v/>
      </c>
      <c r="WFL23" s="50" t="str">
        <f t="shared" si="245"/>
        <v/>
      </c>
      <c r="WFM23" s="50" t="str">
        <f t="shared" si="245"/>
        <v/>
      </c>
      <c r="WFN23" s="50" t="str">
        <f t="shared" si="245"/>
        <v/>
      </c>
      <c r="WFO23" s="50" t="str">
        <f t="shared" si="245"/>
        <v/>
      </c>
      <c r="WFP23" s="50" t="str">
        <f t="shared" si="245"/>
        <v/>
      </c>
      <c r="WFQ23" s="50" t="str">
        <f t="shared" si="245"/>
        <v/>
      </c>
      <c r="WFR23" s="50" t="str">
        <f t="shared" si="245"/>
        <v/>
      </c>
      <c r="WFS23" s="50" t="str">
        <f t="shared" si="245"/>
        <v/>
      </c>
      <c r="WFT23" s="50" t="str">
        <f t="shared" si="245"/>
        <v/>
      </c>
      <c r="WFU23" s="50" t="str">
        <f t="shared" si="245"/>
        <v/>
      </c>
      <c r="WFV23" s="50" t="str">
        <f t="shared" si="245"/>
        <v/>
      </c>
      <c r="WFW23" s="50" t="str">
        <f t="shared" si="245"/>
        <v/>
      </c>
      <c r="WFX23" s="50" t="str">
        <f t="shared" si="245"/>
        <v/>
      </c>
      <c r="WFY23" s="50" t="str">
        <f t="shared" ref="WFY23:WIJ23" si="246">IFERROR(IF(WFX23+TIME(1,0,0)&lt;=$G$12,WFX23+TIME(1,0,0),""),"")</f>
        <v/>
      </c>
      <c r="WFZ23" s="50" t="str">
        <f t="shared" si="246"/>
        <v/>
      </c>
      <c r="WGA23" s="50" t="str">
        <f t="shared" si="246"/>
        <v/>
      </c>
      <c r="WGB23" s="50" t="str">
        <f t="shared" si="246"/>
        <v/>
      </c>
      <c r="WGC23" s="50" t="str">
        <f t="shared" si="246"/>
        <v/>
      </c>
      <c r="WGD23" s="50" t="str">
        <f t="shared" si="246"/>
        <v/>
      </c>
      <c r="WGE23" s="50" t="str">
        <f t="shared" si="246"/>
        <v/>
      </c>
      <c r="WGF23" s="50" t="str">
        <f t="shared" si="246"/>
        <v/>
      </c>
      <c r="WGG23" s="50" t="str">
        <f t="shared" si="246"/>
        <v/>
      </c>
      <c r="WGH23" s="50" t="str">
        <f t="shared" si="246"/>
        <v/>
      </c>
      <c r="WGI23" s="50" t="str">
        <f t="shared" si="246"/>
        <v/>
      </c>
      <c r="WGJ23" s="50" t="str">
        <f t="shared" si="246"/>
        <v/>
      </c>
      <c r="WGK23" s="50" t="str">
        <f t="shared" si="246"/>
        <v/>
      </c>
      <c r="WGL23" s="50" t="str">
        <f t="shared" si="246"/>
        <v/>
      </c>
      <c r="WGM23" s="50" t="str">
        <f t="shared" si="246"/>
        <v/>
      </c>
      <c r="WGN23" s="50" t="str">
        <f t="shared" si="246"/>
        <v/>
      </c>
      <c r="WGO23" s="50" t="str">
        <f t="shared" si="246"/>
        <v/>
      </c>
      <c r="WGP23" s="50" t="str">
        <f t="shared" si="246"/>
        <v/>
      </c>
      <c r="WGQ23" s="50" t="str">
        <f t="shared" si="246"/>
        <v/>
      </c>
      <c r="WGR23" s="50" t="str">
        <f t="shared" si="246"/>
        <v/>
      </c>
      <c r="WGS23" s="50" t="str">
        <f t="shared" si="246"/>
        <v/>
      </c>
      <c r="WGT23" s="50" t="str">
        <f t="shared" si="246"/>
        <v/>
      </c>
      <c r="WGU23" s="50" t="str">
        <f t="shared" si="246"/>
        <v/>
      </c>
      <c r="WGV23" s="50" t="str">
        <f t="shared" si="246"/>
        <v/>
      </c>
      <c r="WGW23" s="50" t="str">
        <f t="shared" si="246"/>
        <v/>
      </c>
      <c r="WGX23" s="50" t="str">
        <f t="shared" si="246"/>
        <v/>
      </c>
      <c r="WGY23" s="50" t="str">
        <f t="shared" si="246"/>
        <v/>
      </c>
      <c r="WGZ23" s="50" t="str">
        <f t="shared" si="246"/>
        <v/>
      </c>
      <c r="WHA23" s="50" t="str">
        <f t="shared" si="246"/>
        <v/>
      </c>
      <c r="WHB23" s="50" t="str">
        <f t="shared" si="246"/>
        <v/>
      </c>
      <c r="WHC23" s="50" t="str">
        <f t="shared" si="246"/>
        <v/>
      </c>
      <c r="WHD23" s="50" t="str">
        <f t="shared" si="246"/>
        <v/>
      </c>
      <c r="WHE23" s="50" t="str">
        <f t="shared" si="246"/>
        <v/>
      </c>
      <c r="WHF23" s="50" t="str">
        <f t="shared" si="246"/>
        <v/>
      </c>
      <c r="WHG23" s="50" t="str">
        <f t="shared" si="246"/>
        <v/>
      </c>
      <c r="WHH23" s="50" t="str">
        <f t="shared" si="246"/>
        <v/>
      </c>
      <c r="WHI23" s="50" t="str">
        <f t="shared" si="246"/>
        <v/>
      </c>
      <c r="WHJ23" s="50" t="str">
        <f t="shared" si="246"/>
        <v/>
      </c>
      <c r="WHK23" s="50" t="str">
        <f t="shared" si="246"/>
        <v/>
      </c>
      <c r="WHL23" s="50" t="str">
        <f t="shared" si="246"/>
        <v/>
      </c>
      <c r="WHM23" s="50" t="str">
        <f t="shared" si="246"/>
        <v/>
      </c>
      <c r="WHN23" s="50" t="str">
        <f t="shared" si="246"/>
        <v/>
      </c>
      <c r="WHO23" s="50" t="str">
        <f t="shared" si="246"/>
        <v/>
      </c>
      <c r="WHP23" s="50" t="str">
        <f t="shared" si="246"/>
        <v/>
      </c>
      <c r="WHQ23" s="50" t="str">
        <f t="shared" si="246"/>
        <v/>
      </c>
      <c r="WHR23" s="50" t="str">
        <f t="shared" si="246"/>
        <v/>
      </c>
      <c r="WHS23" s="50" t="str">
        <f t="shared" si="246"/>
        <v/>
      </c>
      <c r="WHT23" s="50" t="str">
        <f t="shared" si="246"/>
        <v/>
      </c>
      <c r="WHU23" s="50" t="str">
        <f t="shared" si="246"/>
        <v/>
      </c>
      <c r="WHV23" s="50" t="str">
        <f t="shared" si="246"/>
        <v/>
      </c>
      <c r="WHW23" s="50" t="str">
        <f t="shared" si="246"/>
        <v/>
      </c>
      <c r="WHX23" s="50" t="str">
        <f t="shared" si="246"/>
        <v/>
      </c>
      <c r="WHY23" s="50" t="str">
        <f t="shared" si="246"/>
        <v/>
      </c>
      <c r="WHZ23" s="50" t="str">
        <f t="shared" si="246"/>
        <v/>
      </c>
      <c r="WIA23" s="50" t="str">
        <f t="shared" si="246"/>
        <v/>
      </c>
      <c r="WIB23" s="50" t="str">
        <f t="shared" si="246"/>
        <v/>
      </c>
      <c r="WIC23" s="50" t="str">
        <f t="shared" si="246"/>
        <v/>
      </c>
      <c r="WID23" s="50" t="str">
        <f t="shared" si="246"/>
        <v/>
      </c>
      <c r="WIE23" s="50" t="str">
        <f t="shared" si="246"/>
        <v/>
      </c>
      <c r="WIF23" s="50" t="str">
        <f t="shared" si="246"/>
        <v/>
      </c>
      <c r="WIG23" s="50" t="str">
        <f t="shared" si="246"/>
        <v/>
      </c>
      <c r="WIH23" s="50" t="str">
        <f t="shared" si="246"/>
        <v/>
      </c>
      <c r="WII23" s="50" t="str">
        <f t="shared" si="246"/>
        <v/>
      </c>
      <c r="WIJ23" s="50" t="str">
        <f t="shared" si="246"/>
        <v/>
      </c>
      <c r="WIK23" s="50" t="str">
        <f t="shared" ref="WIK23:WKV23" si="247">IFERROR(IF(WIJ23+TIME(1,0,0)&lt;=$G$12,WIJ23+TIME(1,0,0),""),"")</f>
        <v/>
      </c>
      <c r="WIL23" s="50" t="str">
        <f t="shared" si="247"/>
        <v/>
      </c>
      <c r="WIM23" s="50" t="str">
        <f t="shared" si="247"/>
        <v/>
      </c>
      <c r="WIN23" s="50" t="str">
        <f t="shared" si="247"/>
        <v/>
      </c>
      <c r="WIO23" s="50" t="str">
        <f t="shared" si="247"/>
        <v/>
      </c>
      <c r="WIP23" s="50" t="str">
        <f t="shared" si="247"/>
        <v/>
      </c>
      <c r="WIQ23" s="50" t="str">
        <f t="shared" si="247"/>
        <v/>
      </c>
      <c r="WIR23" s="50" t="str">
        <f t="shared" si="247"/>
        <v/>
      </c>
      <c r="WIS23" s="50" t="str">
        <f t="shared" si="247"/>
        <v/>
      </c>
      <c r="WIT23" s="50" t="str">
        <f t="shared" si="247"/>
        <v/>
      </c>
      <c r="WIU23" s="50" t="str">
        <f t="shared" si="247"/>
        <v/>
      </c>
      <c r="WIV23" s="50" t="str">
        <f t="shared" si="247"/>
        <v/>
      </c>
      <c r="WIW23" s="50" t="str">
        <f t="shared" si="247"/>
        <v/>
      </c>
      <c r="WIX23" s="50" t="str">
        <f t="shared" si="247"/>
        <v/>
      </c>
      <c r="WIY23" s="50" t="str">
        <f t="shared" si="247"/>
        <v/>
      </c>
      <c r="WIZ23" s="50" t="str">
        <f t="shared" si="247"/>
        <v/>
      </c>
      <c r="WJA23" s="50" t="str">
        <f t="shared" si="247"/>
        <v/>
      </c>
      <c r="WJB23" s="50" t="str">
        <f t="shared" si="247"/>
        <v/>
      </c>
      <c r="WJC23" s="50" t="str">
        <f t="shared" si="247"/>
        <v/>
      </c>
      <c r="WJD23" s="50" t="str">
        <f t="shared" si="247"/>
        <v/>
      </c>
      <c r="WJE23" s="50" t="str">
        <f t="shared" si="247"/>
        <v/>
      </c>
      <c r="WJF23" s="50" t="str">
        <f t="shared" si="247"/>
        <v/>
      </c>
      <c r="WJG23" s="50" t="str">
        <f t="shared" si="247"/>
        <v/>
      </c>
      <c r="WJH23" s="50" t="str">
        <f t="shared" si="247"/>
        <v/>
      </c>
      <c r="WJI23" s="50" t="str">
        <f t="shared" si="247"/>
        <v/>
      </c>
      <c r="WJJ23" s="50" t="str">
        <f t="shared" si="247"/>
        <v/>
      </c>
      <c r="WJK23" s="50" t="str">
        <f t="shared" si="247"/>
        <v/>
      </c>
      <c r="WJL23" s="50" t="str">
        <f t="shared" si="247"/>
        <v/>
      </c>
      <c r="WJM23" s="50" t="str">
        <f t="shared" si="247"/>
        <v/>
      </c>
      <c r="WJN23" s="50" t="str">
        <f t="shared" si="247"/>
        <v/>
      </c>
      <c r="WJO23" s="50" t="str">
        <f t="shared" si="247"/>
        <v/>
      </c>
      <c r="WJP23" s="50" t="str">
        <f t="shared" si="247"/>
        <v/>
      </c>
      <c r="WJQ23" s="50" t="str">
        <f t="shared" si="247"/>
        <v/>
      </c>
      <c r="WJR23" s="50" t="str">
        <f t="shared" si="247"/>
        <v/>
      </c>
      <c r="WJS23" s="50" t="str">
        <f t="shared" si="247"/>
        <v/>
      </c>
      <c r="WJT23" s="50" t="str">
        <f t="shared" si="247"/>
        <v/>
      </c>
      <c r="WJU23" s="50" t="str">
        <f t="shared" si="247"/>
        <v/>
      </c>
      <c r="WJV23" s="50" t="str">
        <f t="shared" si="247"/>
        <v/>
      </c>
      <c r="WJW23" s="50" t="str">
        <f t="shared" si="247"/>
        <v/>
      </c>
      <c r="WJX23" s="50" t="str">
        <f t="shared" si="247"/>
        <v/>
      </c>
      <c r="WJY23" s="50" t="str">
        <f t="shared" si="247"/>
        <v/>
      </c>
      <c r="WJZ23" s="50" t="str">
        <f t="shared" si="247"/>
        <v/>
      </c>
      <c r="WKA23" s="50" t="str">
        <f t="shared" si="247"/>
        <v/>
      </c>
      <c r="WKB23" s="50" t="str">
        <f t="shared" si="247"/>
        <v/>
      </c>
      <c r="WKC23" s="50" t="str">
        <f t="shared" si="247"/>
        <v/>
      </c>
      <c r="WKD23" s="50" t="str">
        <f t="shared" si="247"/>
        <v/>
      </c>
      <c r="WKE23" s="50" t="str">
        <f t="shared" si="247"/>
        <v/>
      </c>
      <c r="WKF23" s="50" t="str">
        <f t="shared" si="247"/>
        <v/>
      </c>
      <c r="WKG23" s="50" t="str">
        <f t="shared" si="247"/>
        <v/>
      </c>
      <c r="WKH23" s="50" t="str">
        <f t="shared" si="247"/>
        <v/>
      </c>
      <c r="WKI23" s="50" t="str">
        <f t="shared" si="247"/>
        <v/>
      </c>
      <c r="WKJ23" s="50" t="str">
        <f t="shared" si="247"/>
        <v/>
      </c>
      <c r="WKK23" s="50" t="str">
        <f t="shared" si="247"/>
        <v/>
      </c>
      <c r="WKL23" s="50" t="str">
        <f t="shared" si="247"/>
        <v/>
      </c>
      <c r="WKM23" s="50" t="str">
        <f t="shared" si="247"/>
        <v/>
      </c>
      <c r="WKN23" s="50" t="str">
        <f t="shared" si="247"/>
        <v/>
      </c>
      <c r="WKO23" s="50" t="str">
        <f t="shared" si="247"/>
        <v/>
      </c>
      <c r="WKP23" s="50" t="str">
        <f t="shared" si="247"/>
        <v/>
      </c>
      <c r="WKQ23" s="50" t="str">
        <f t="shared" si="247"/>
        <v/>
      </c>
      <c r="WKR23" s="50" t="str">
        <f t="shared" si="247"/>
        <v/>
      </c>
      <c r="WKS23" s="50" t="str">
        <f t="shared" si="247"/>
        <v/>
      </c>
      <c r="WKT23" s="50" t="str">
        <f t="shared" si="247"/>
        <v/>
      </c>
      <c r="WKU23" s="50" t="str">
        <f t="shared" si="247"/>
        <v/>
      </c>
      <c r="WKV23" s="50" t="str">
        <f t="shared" si="247"/>
        <v/>
      </c>
      <c r="WKW23" s="50" t="str">
        <f t="shared" ref="WKW23:WNH23" si="248">IFERROR(IF(WKV23+TIME(1,0,0)&lt;=$G$12,WKV23+TIME(1,0,0),""),"")</f>
        <v/>
      </c>
      <c r="WKX23" s="50" t="str">
        <f t="shared" si="248"/>
        <v/>
      </c>
      <c r="WKY23" s="50" t="str">
        <f t="shared" si="248"/>
        <v/>
      </c>
      <c r="WKZ23" s="50" t="str">
        <f t="shared" si="248"/>
        <v/>
      </c>
      <c r="WLA23" s="50" t="str">
        <f t="shared" si="248"/>
        <v/>
      </c>
      <c r="WLB23" s="50" t="str">
        <f t="shared" si="248"/>
        <v/>
      </c>
      <c r="WLC23" s="50" t="str">
        <f t="shared" si="248"/>
        <v/>
      </c>
      <c r="WLD23" s="50" t="str">
        <f t="shared" si="248"/>
        <v/>
      </c>
      <c r="WLE23" s="50" t="str">
        <f t="shared" si="248"/>
        <v/>
      </c>
      <c r="WLF23" s="50" t="str">
        <f t="shared" si="248"/>
        <v/>
      </c>
      <c r="WLG23" s="50" t="str">
        <f t="shared" si="248"/>
        <v/>
      </c>
      <c r="WLH23" s="50" t="str">
        <f t="shared" si="248"/>
        <v/>
      </c>
      <c r="WLI23" s="50" t="str">
        <f t="shared" si="248"/>
        <v/>
      </c>
      <c r="WLJ23" s="50" t="str">
        <f t="shared" si="248"/>
        <v/>
      </c>
      <c r="WLK23" s="50" t="str">
        <f t="shared" si="248"/>
        <v/>
      </c>
      <c r="WLL23" s="50" t="str">
        <f t="shared" si="248"/>
        <v/>
      </c>
      <c r="WLM23" s="50" t="str">
        <f t="shared" si="248"/>
        <v/>
      </c>
      <c r="WLN23" s="50" t="str">
        <f t="shared" si="248"/>
        <v/>
      </c>
      <c r="WLO23" s="50" t="str">
        <f t="shared" si="248"/>
        <v/>
      </c>
      <c r="WLP23" s="50" t="str">
        <f t="shared" si="248"/>
        <v/>
      </c>
      <c r="WLQ23" s="50" t="str">
        <f t="shared" si="248"/>
        <v/>
      </c>
      <c r="WLR23" s="50" t="str">
        <f t="shared" si="248"/>
        <v/>
      </c>
      <c r="WLS23" s="50" t="str">
        <f t="shared" si="248"/>
        <v/>
      </c>
      <c r="WLT23" s="50" t="str">
        <f t="shared" si="248"/>
        <v/>
      </c>
      <c r="WLU23" s="50" t="str">
        <f t="shared" si="248"/>
        <v/>
      </c>
      <c r="WLV23" s="50" t="str">
        <f t="shared" si="248"/>
        <v/>
      </c>
      <c r="WLW23" s="50" t="str">
        <f t="shared" si="248"/>
        <v/>
      </c>
      <c r="WLX23" s="50" t="str">
        <f t="shared" si="248"/>
        <v/>
      </c>
      <c r="WLY23" s="50" t="str">
        <f t="shared" si="248"/>
        <v/>
      </c>
      <c r="WLZ23" s="50" t="str">
        <f t="shared" si="248"/>
        <v/>
      </c>
      <c r="WMA23" s="50" t="str">
        <f t="shared" si="248"/>
        <v/>
      </c>
      <c r="WMB23" s="50" t="str">
        <f t="shared" si="248"/>
        <v/>
      </c>
      <c r="WMC23" s="50" t="str">
        <f t="shared" si="248"/>
        <v/>
      </c>
      <c r="WMD23" s="50" t="str">
        <f t="shared" si="248"/>
        <v/>
      </c>
      <c r="WME23" s="50" t="str">
        <f t="shared" si="248"/>
        <v/>
      </c>
      <c r="WMF23" s="50" t="str">
        <f t="shared" si="248"/>
        <v/>
      </c>
      <c r="WMG23" s="50" t="str">
        <f t="shared" si="248"/>
        <v/>
      </c>
      <c r="WMH23" s="50" t="str">
        <f t="shared" si="248"/>
        <v/>
      </c>
      <c r="WMI23" s="50" t="str">
        <f t="shared" si="248"/>
        <v/>
      </c>
      <c r="WMJ23" s="50" t="str">
        <f t="shared" si="248"/>
        <v/>
      </c>
      <c r="WMK23" s="50" t="str">
        <f t="shared" si="248"/>
        <v/>
      </c>
      <c r="WML23" s="50" t="str">
        <f t="shared" si="248"/>
        <v/>
      </c>
      <c r="WMM23" s="50" t="str">
        <f t="shared" si="248"/>
        <v/>
      </c>
      <c r="WMN23" s="50" t="str">
        <f t="shared" si="248"/>
        <v/>
      </c>
      <c r="WMO23" s="50" t="str">
        <f t="shared" si="248"/>
        <v/>
      </c>
      <c r="WMP23" s="50" t="str">
        <f t="shared" si="248"/>
        <v/>
      </c>
      <c r="WMQ23" s="50" t="str">
        <f t="shared" si="248"/>
        <v/>
      </c>
      <c r="WMR23" s="50" t="str">
        <f t="shared" si="248"/>
        <v/>
      </c>
      <c r="WMS23" s="50" t="str">
        <f t="shared" si="248"/>
        <v/>
      </c>
      <c r="WMT23" s="50" t="str">
        <f t="shared" si="248"/>
        <v/>
      </c>
      <c r="WMU23" s="50" t="str">
        <f t="shared" si="248"/>
        <v/>
      </c>
      <c r="WMV23" s="50" t="str">
        <f t="shared" si="248"/>
        <v/>
      </c>
      <c r="WMW23" s="50" t="str">
        <f t="shared" si="248"/>
        <v/>
      </c>
      <c r="WMX23" s="50" t="str">
        <f t="shared" si="248"/>
        <v/>
      </c>
      <c r="WMY23" s="50" t="str">
        <f t="shared" si="248"/>
        <v/>
      </c>
      <c r="WMZ23" s="50" t="str">
        <f t="shared" si="248"/>
        <v/>
      </c>
      <c r="WNA23" s="50" t="str">
        <f t="shared" si="248"/>
        <v/>
      </c>
      <c r="WNB23" s="50" t="str">
        <f t="shared" si="248"/>
        <v/>
      </c>
      <c r="WNC23" s="50" t="str">
        <f t="shared" si="248"/>
        <v/>
      </c>
      <c r="WND23" s="50" t="str">
        <f t="shared" si="248"/>
        <v/>
      </c>
      <c r="WNE23" s="50" t="str">
        <f t="shared" si="248"/>
        <v/>
      </c>
      <c r="WNF23" s="50" t="str">
        <f t="shared" si="248"/>
        <v/>
      </c>
      <c r="WNG23" s="50" t="str">
        <f t="shared" si="248"/>
        <v/>
      </c>
      <c r="WNH23" s="50" t="str">
        <f t="shared" si="248"/>
        <v/>
      </c>
      <c r="WNI23" s="50" t="str">
        <f t="shared" ref="WNI23:WPT23" si="249">IFERROR(IF(WNH23+TIME(1,0,0)&lt;=$G$12,WNH23+TIME(1,0,0),""),"")</f>
        <v/>
      </c>
      <c r="WNJ23" s="50" t="str">
        <f t="shared" si="249"/>
        <v/>
      </c>
      <c r="WNK23" s="50" t="str">
        <f t="shared" si="249"/>
        <v/>
      </c>
      <c r="WNL23" s="50" t="str">
        <f t="shared" si="249"/>
        <v/>
      </c>
      <c r="WNM23" s="50" t="str">
        <f t="shared" si="249"/>
        <v/>
      </c>
      <c r="WNN23" s="50" t="str">
        <f t="shared" si="249"/>
        <v/>
      </c>
      <c r="WNO23" s="50" t="str">
        <f t="shared" si="249"/>
        <v/>
      </c>
      <c r="WNP23" s="50" t="str">
        <f t="shared" si="249"/>
        <v/>
      </c>
      <c r="WNQ23" s="50" t="str">
        <f t="shared" si="249"/>
        <v/>
      </c>
      <c r="WNR23" s="50" t="str">
        <f t="shared" si="249"/>
        <v/>
      </c>
      <c r="WNS23" s="50" t="str">
        <f t="shared" si="249"/>
        <v/>
      </c>
      <c r="WNT23" s="50" t="str">
        <f t="shared" si="249"/>
        <v/>
      </c>
      <c r="WNU23" s="50" t="str">
        <f t="shared" si="249"/>
        <v/>
      </c>
      <c r="WNV23" s="50" t="str">
        <f t="shared" si="249"/>
        <v/>
      </c>
      <c r="WNW23" s="50" t="str">
        <f t="shared" si="249"/>
        <v/>
      </c>
      <c r="WNX23" s="50" t="str">
        <f t="shared" si="249"/>
        <v/>
      </c>
      <c r="WNY23" s="50" t="str">
        <f t="shared" si="249"/>
        <v/>
      </c>
      <c r="WNZ23" s="50" t="str">
        <f t="shared" si="249"/>
        <v/>
      </c>
      <c r="WOA23" s="50" t="str">
        <f t="shared" si="249"/>
        <v/>
      </c>
      <c r="WOB23" s="50" t="str">
        <f t="shared" si="249"/>
        <v/>
      </c>
      <c r="WOC23" s="50" t="str">
        <f t="shared" si="249"/>
        <v/>
      </c>
      <c r="WOD23" s="50" t="str">
        <f t="shared" si="249"/>
        <v/>
      </c>
      <c r="WOE23" s="50" t="str">
        <f t="shared" si="249"/>
        <v/>
      </c>
      <c r="WOF23" s="50" t="str">
        <f t="shared" si="249"/>
        <v/>
      </c>
      <c r="WOG23" s="50" t="str">
        <f t="shared" si="249"/>
        <v/>
      </c>
      <c r="WOH23" s="50" t="str">
        <f t="shared" si="249"/>
        <v/>
      </c>
      <c r="WOI23" s="50" t="str">
        <f t="shared" si="249"/>
        <v/>
      </c>
      <c r="WOJ23" s="50" t="str">
        <f t="shared" si="249"/>
        <v/>
      </c>
      <c r="WOK23" s="50" t="str">
        <f t="shared" si="249"/>
        <v/>
      </c>
      <c r="WOL23" s="50" t="str">
        <f t="shared" si="249"/>
        <v/>
      </c>
      <c r="WOM23" s="50" t="str">
        <f t="shared" si="249"/>
        <v/>
      </c>
      <c r="WON23" s="50" t="str">
        <f t="shared" si="249"/>
        <v/>
      </c>
      <c r="WOO23" s="50" t="str">
        <f t="shared" si="249"/>
        <v/>
      </c>
      <c r="WOP23" s="50" t="str">
        <f t="shared" si="249"/>
        <v/>
      </c>
      <c r="WOQ23" s="50" t="str">
        <f t="shared" si="249"/>
        <v/>
      </c>
      <c r="WOR23" s="50" t="str">
        <f t="shared" si="249"/>
        <v/>
      </c>
      <c r="WOS23" s="50" t="str">
        <f t="shared" si="249"/>
        <v/>
      </c>
      <c r="WOT23" s="50" t="str">
        <f t="shared" si="249"/>
        <v/>
      </c>
      <c r="WOU23" s="50" t="str">
        <f t="shared" si="249"/>
        <v/>
      </c>
      <c r="WOV23" s="50" t="str">
        <f t="shared" si="249"/>
        <v/>
      </c>
      <c r="WOW23" s="50" t="str">
        <f t="shared" si="249"/>
        <v/>
      </c>
      <c r="WOX23" s="50" t="str">
        <f t="shared" si="249"/>
        <v/>
      </c>
      <c r="WOY23" s="50" t="str">
        <f t="shared" si="249"/>
        <v/>
      </c>
      <c r="WOZ23" s="50" t="str">
        <f t="shared" si="249"/>
        <v/>
      </c>
      <c r="WPA23" s="50" t="str">
        <f t="shared" si="249"/>
        <v/>
      </c>
      <c r="WPB23" s="50" t="str">
        <f t="shared" si="249"/>
        <v/>
      </c>
      <c r="WPC23" s="50" t="str">
        <f t="shared" si="249"/>
        <v/>
      </c>
      <c r="WPD23" s="50" t="str">
        <f t="shared" si="249"/>
        <v/>
      </c>
      <c r="WPE23" s="50" t="str">
        <f t="shared" si="249"/>
        <v/>
      </c>
      <c r="WPF23" s="50" t="str">
        <f t="shared" si="249"/>
        <v/>
      </c>
      <c r="WPG23" s="50" t="str">
        <f t="shared" si="249"/>
        <v/>
      </c>
      <c r="WPH23" s="50" t="str">
        <f t="shared" si="249"/>
        <v/>
      </c>
      <c r="WPI23" s="50" t="str">
        <f t="shared" si="249"/>
        <v/>
      </c>
      <c r="WPJ23" s="50" t="str">
        <f t="shared" si="249"/>
        <v/>
      </c>
      <c r="WPK23" s="50" t="str">
        <f t="shared" si="249"/>
        <v/>
      </c>
      <c r="WPL23" s="50" t="str">
        <f t="shared" si="249"/>
        <v/>
      </c>
      <c r="WPM23" s="50" t="str">
        <f t="shared" si="249"/>
        <v/>
      </c>
      <c r="WPN23" s="50" t="str">
        <f t="shared" si="249"/>
        <v/>
      </c>
      <c r="WPO23" s="50" t="str">
        <f t="shared" si="249"/>
        <v/>
      </c>
      <c r="WPP23" s="50" t="str">
        <f t="shared" si="249"/>
        <v/>
      </c>
      <c r="WPQ23" s="50" t="str">
        <f t="shared" si="249"/>
        <v/>
      </c>
      <c r="WPR23" s="50" t="str">
        <f t="shared" si="249"/>
        <v/>
      </c>
      <c r="WPS23" s="50" t="str">
        <f t="shared" si="249"/>
        <v/>
      </c>
      <c r="WPT23" s="50" t="str">
        <f t="shared" si="249"/>
        <v/>
      </c>
      <c r="WPU23" s="50" t="str">
        <f t="shared" ref="WPU23:WSF23" si="250">IFERROR(IF(WPT23+TIME(1,0,0)&lt;=$G$12,WPT23+TIME(1,0,0),""),"")</f>
        <v/>
      </c>
      <c r="WPV23" s="50" t="str">
        <f t="shared" si="250"/>
        <v/>
      </c>
      <c r="WPW23" s="50" t="str">
        <f t="shared" si="250"/>
        <v/>
      </c>
      <c r="WPX23" s="50" t="str">
        <f t="shared" si="250"/>
        <v/>
      </c>
      <c r="WPY23" s="50" t="str">
        <f t="shared" si="250"/>
        <v/>
      </c>
      <c r="WPZ23" s="50" t="str">
        <f t="shared" si="250"/>
        <v/>
      </c>
      <c r="WQA23" s="50" t="str">
        <f t="shared" si="250"/>
        <v/>
      </c>
      <c r="WQB23" s="50" t="str">
        <f t="shared" si="250"/>
        <v/>
      </c>
      <c r="WQC23" s="50" t="str">
        <f t="shared" si="250"/>
        <v/>
      </c>
      <c r="WQD23" s="50" t="str">
        <f t="shared" si="250"/>
        <v/>
      </c>
      <c r="WQE23" s="50" t="str">
        <f t="shared" si="250"/>
        <v/>
      </c>
      <c r="WQF23" s="50" t="str">
        <f t="shared" si="250"/>
        <v/>
      </c>
      <c r="WQG23" s="50" t="str">
        <f t="shared" si="250"/>
        <v/>
      </c>
      <c r="WQH23" s="50" t="str">
        <f t="shared" si="250"/>
        <v/>
      </c>
      <c r="WQI23" s="50" t="str">
        <f t="shared" si="250"/>
        <v/>
      </c>
      <c r="WQJ23" s="50" t="str">
        <f t="shared" si="250"/>
        <v/>
      </c>
      <c r="WQK23" s="50" t="str">
        <f t="shared" si="250"/>
        <v/>
      </c>
      <c r="WQL23" s="50" t="str">
        <f t="shared" si="250"/>
        <v/>
      </c>
      <c r="WQM23" s="50" t="str">
        <f t="shared" si="250"/>
        <v/>
      </c>
      <c r="WQN23" s="50" t="str">
        <f t="shared" si="250"/>
        <v/>
      </c>
      <c r="WQO23" s="50" t="str">
        <f t="shared" si="250"/>
        <v/>
      </c>
      <c r="WQP23" s="50" t="str">
        <f t="shared" si="250"/>
        <v/>
      </c>
      <c r="WQQ23" s="50" t="str">
        <f t="shared" si="250"/>
        <v/>
      </c>
      <c r="WQR23" s="50" t="str">
        <f t="shared" si="250"/>
        <v/>
      </c>
      <c r="WQS23" s="50" t="str">
        <f t="shared" si="250"/>
        <v/>
      </c>
      <c r="WQT23" s="50" t="str">
        <f t="shared" si="250"/>
        <v/>
      </c>
      <c r="WQU23" s="50" t="str">
        <f t="shared" si="250"/>
        <v/>
      </c>
      <c r="WQV23" s="50" t="str">
        <f t="shared" si="250"/>
        <v/>
      </c>
      <c r="WQW23" s="50" t="str">
        <f t="shared" si="250"/>
        <v/>
      </c>
      <c r="WQX23" s="50" t="str">
        <f t="shared" si="250"/>
        <v/>
      </c>
      <c r="WQY23" s="50" t="str">
        <f t="shared" si="250"/>
        <v/>
      </c>
      <c r="WQZ23" s="50" t="str">
        <f t="shared" si="250"/>
        <v/>
      </c>
      <c r="WRA23" s="50" t="str">
        <f t="shared" si="250"/>
        <v/>
      </c>
      <c r="WRB23" s="50" t="str">
        <f t="shared" si="250"/>
        <v/>
      </c>
      <c r="WRC23" s="50" t="str">
        <f t="shared" si="250"/>
        <v/>
      </c>
      <c r="WRD23" s="50" t="str">
        <f t="shared" si="250"/>
        <v/>
      </c>
      <c r="WRE23" s="50" t="str">
        <f t="shared" si="250"/>
        <v/>
      </c>
      <c r="WRF23" s="50" t="str">
        <f t="shared" si="250"/>
        <v/>
      </c>
      <c r="WRG23" s="50" t="str">
        <f t="shared" si="250"/>
        <v/>
      </c>
      <c r="WRH23" s="50" t="str">
        <f t="shared" si="250"/>
        <v/>
      </c>
      <c r="WRI23" s="50" t="str">
        <f t="shared" si="250"/>
        <v/>
      </c>
      <c r="WRJ23" s="50" t="str">
        <f t="shared" si="250"/>
        <v/>
      </c>
      <c r="WRK23" s="50" t="str">
        <f t="shared" si="250"/>
        <v/>
      </c>
      <c r="WRL23" s="50" t="str">
        <f t="shared" si="250"/>
        <v/>
      </c>
      <c r="WRM23" s="50" t="str">
        <f t="shared" si="250"/>
        <v/>
      </c>
      <c r="WRN23" s="50" t="str">
        <f t="shared" si="250"/>
        <v/>
      </c>
      <c r="WRO23" s="50" t="str">
        <f t="shared" si="250"/>
        <v/>
      </c>
      <c r="WRP23" s="50" t="str">
        <f t="shared" si="250"/>
        <v/>
      </c>
      <c r="WRQ23" s="50" t="str">
        <f t="shared" si="250"/>
        <v/>
      </c>
      <c r="WRR23" s="50" t="str">
        <f t="shared" si="250"/>
        <v/>
      </c>
      <c r="WRS23" s="50" t="str">
        <f t="shared" si="250"/>
        <v/>
      </c>
      <c r="WRT23" s="50" t="str">
        <f t="shared" si="250"/>
        <v/>
      </c>
      <c r="WRU23" s="50" t="str">
        <f t="shared" si="250"/>
        <v/>
      </c>
      <c r="WRV23" s="50" t="str">
        <f t="shared" si="250"/>
        <v/>
      </c>
      <c r="WRW23" s="50" t="str">
        <f t="shared" si="250"/>
        <v/>
      </c>
      <c r="WRX23" s="50" t="str">
        <f t="shared" si="250"/>
        <v/>
      </c>
      <c r="WRY23" s="50" t="str">
        <f t="shared" si="250"/>
        <v/>
      </c>
      <c r="WRZ23" s="50" t="str">
        <f t="shared" si="250"/>
        <v/>
      </c>
      <c r="WSA23" s="50" t="str">
        <f t="shared" si="250"/>
        <v/>
      </c>
      <c r="WSB23" s="50" t="str">
        <f t="shared" si="250"/>
        <v/>
      </c>
      <c r="WSC23" s="50" t="str">
        <f t="shared" si="250"/>
        <v/>
      </c>
      <c r="WSD23" s="50" t="str">
        <f t="shared" si="250"/>
        <v/>
      </c>
      <c r="WSE23" s="50" t="str">
        <f t="shared" si="250"/>
        <v/>
      </c>
      <c r="WSF23" s="50" t="str">
        <f t="shared" si="250"/>
        <v/>
      </c>
      <c r="WSG23" s="50" t="str">
        <f t="shared" ref="WSG23:WUR23" si="251">IFERROR(IF(WSF23+TIME(1,0,0)&lt;=$G$12,WSF23+TIME(1,0,0),""),"")</f>
        <v/>
      </c>
      <c r="WSH23" s="50" t="str">
        <f t="shared" si="251"/>
        <v/>
      </c>
      <c r="WSI23" s="50" t="str">
        <f t="shared" si="251"/>
        <v/>
      </c>
      <c r="WSJ23" s="50" t="str">
        <f t="shared" si="251"/>
        <v/>
      </c>
      <c r="WSK23" s="50" t="str">
        <f t="shared" si="251"/>
        <v/>
      </c>
      <c r="WSL23" s="50" t="str">
        <f t="shared" si="251"/>
        <v/>
      </c>
      <c r="WSM23" s="50" t="str">
        <f t="shared" si="251"/>
        <v/>
      </c>
      <c r="WSN23" s="50" t="str">
        <f t="shared" si="251"/>
        <v/>
      </c>
      <c r="WSO23" s="50" t="str">
        <f t="shared" si="251"/>
        <v/>
      </c>
      <c r="WSP23" s="50" t="str">
        <f t="shared" si="251"/>
        <v/>
      </c>
      <c r="WSQ23" s="50" t="str">
        <f t="shared" si="251"/>
        <v/>
      </c>
      <c r="WSR23" s="50" t="str">
        <f t="shared" si="251"/>
        <v/>
      </c>
      <c r="WSS23" s="50" t="str">
        <f t="shared" si="251"/>
        <v/>
      </c>
      <c r="WST23" s="50" t="str">
        <f t="shared" si="251"/>
        <v/>
      </c>
      <c r="WSU23" s="50" t="str">
        <f t="shared" si="251"/>
        <v/>
      </c>
      <c r="WSV23" s="50" t="str">
        <f t="shared" si="251"/>
        <v/>
      </c>
      <c r="WSW23" s="50" t="str">
        <f t="shared" si="251"/>
        <v/>
      </c>
      <c r="WSX23" s="50" t="str">
        <f t="shared" si="251"/>
        <v/>
      </c>
      <c r="WSY23" s="50" t="str">
        <f t="shared" si="251"/>
        <v/>
      </c>
      <c r="WSZ23" s="50" t="str">
        <f t="shared" si="251"/>
        <v/>
      </c>
      <c r="WTA23" s="50" t="str">
        <f t="shared" si="251"/>
        <v/>
      </c>
      <c r="WTB23" s="50" t="str">
        <f t="shared" si="251"/>
        <v/>
      </c>
      <c r="WTC23" s="50" t="str">
        <f t="shared" si="251"/>
        <v/>
      </c>
      <c r="WTD23" s="50" t="str">
        <f t="shared" si="251"/>
        <v/>
      </c>
      <c r="WTE23" s="50" t="str">
        <f t="shared" si="251"/>
        <v/>
      </c>
      <c r="WTF23" s="50" t="str">
        <f t="shared" si="251"/>
        <v/>
      </c>
      <c r="WTG23" s="50" t="str">
        <f t="shared" si="251"/>
        <v/>
      </c>
      <c r="WTH23" s="50" t="str">
        <f t="shared" si="251"/>
        <v/>
      </c>
      <c r="WTI23" s="50" t="str">
        <f t="shared" si="251"/>
        <v/>
      </c>
      <c r="WTJ23" s="50" t="str">
        <f t="shared" si="251"/>
        <v/>
      </c>
      <c r="WTK23" s="50" t="str">
        <f t="shared" si="251"/>
        <v/>
      </c>
      <c r="WTL23" s="50" t="str">
        <f t="shared" si="251"/>
        <v/>
      </c>
      <c r="WTM23" s="50" t="str">
        <f t="shared" si="251"/>
        <v/>
      </c>
      <c r="WTN23" s="50" t="str">
        <f t="shared" si="251"/>
        <v/>
      </c>
      <c r="WTO23" s="50" t="str">
        <f t="shared" si="251"/>
        <v/>
      </c>
      <c r="WTP23" s="50" t="str">
        <f t="shared" si="251"/>
        <v/>
      </c>
      <c r="WTQ23" s="50" t="str">
        <f t="shared" si="251"/>
        <v/>
      </c>
      <c r="WTR23" s="50" t="str">
        <f t="shared" si="251"/>
        <v/>
      </c>
      <c r="WTS23" s="50" t="str">
        <f t="shared" si="251"/>
        <v/>
      </c>
      <c r="WTT23" s="50" t="str">
        <f t="shared" si="251"/>
        <v/>
      </c>
      <c r="WTU23" s="50" t="str">
        <f t="shared" si="251"/>
        <v/>
      </c>
      <c r="WTV23" s="50" t="str">
        <f t="shared" si="251"/>
        <v/>
      </c>
      <c r="WTW23" s="50" t="str">
        <f t="shared" si="251"/>
        <v/>
      </c>
      <c r="WTX23" s="50" t="str">
        <f t="shared" si="251"/>
        <v/>
      </c>
      <c r="WTY23" s="50" t="str">
        <f t="shared" si="251"/>
        <v/>
      </c>
      <c r="WTZ23" s="50" t="str">
        <f t="shared" si="251"/>
        <v/>
      </c>
      <c r="WUA23" s="50" t="str">
        <f t="shared" si="251"/>
        <v/>
      </c>
      <c r="WUB23" s="50" t="str">
        <f t="shared" si="251"/>
        <v/>
      </c>
      <c r="WUC23" s="50" t="str">
        <f t="shared" si="251"/>
        <v/>
      </c>
      <c r="WUD23" s="50" t="str">
        <f t="shared" si="251"/>
        <v/>
      </c>
      <c r="WUE23" s="50" t="str">
        <f t="shared" si="251"/>
        <v/>
      </c>
      <c r="WUF23" s="50" t="str">
        <f t="shared" si="251"/>
        <v/>
      </c>
      <c r="WUG23" s="50" t="str">
        <f t="shared" si="251"/>
        <v/>
      </c>
      <c r="WUH23" s="50" t="str">
        <f t="shared" si="251"/>
        <v/>
      </c>
      <c r="WUI23" s="50" t="str">
        <f t="shared" si="251"/>
        <v/>
      </c>
      <c r="WUJ23" s="50" t="str">
        <f t="shared" si="251"/>
        <v/>
      </c>
      <c r="WUK23" s="50" t="str">
        <f t="shared" si="251"/>
        <v/>
      </c>
      <c r="WUL23" s="50" t="str">
        <f t="shared" si="251"/>
        <v/>
      </c>
      <c r="WUM23" s="50" t="str">
        <f t="shared" si="251"/>
        <v/>
      </c>
      <c r="WUN23" s="50" t="str">
        <f t="shared" si="251"/>
        <v/>
      </c>
      <c r="WUO23" s="50" t="str">
        <f t="shared" si="251"/>
        <v/>
      </c>
      <c r="WUP23" s="50" t="str">
        <f t="shared" si="251"/>
        <v/>
      </c>
      <c r="WUQ23" s="50" t="str">
        <f t="shared" si="251"/>
        <v/>
      </c>
      <c r="WUR23" s="50" t="str">
        <f t="shared" si="251"/>
        <v/>
      </c>
      <c r="WUS23" s="50" t="str">
        <f t="shared" ref="WUS23:WXD23" si="252">IFERROR(IF(WUR23+TIME(1,0,0)&lt;=$G$12,WUR23+TIME(1,0,0),""),"")</f>
        <v/>
      </c>
      <c r="WUT23" s="50" t="str">
        <f t="shared" si="252"/>
        <v/>
      </c>
      <c r="WUU23" s="50" t="str">
        <f t="shared" si="252"/>
        <v/>
      </c>
      <c r="WUV23" s="50" t="str">
        <f t="shared" si="252"/>
        <v/>
      </c>
      <c r="WUW23" s="50" t="str">
        <f t="shared" si="252"/>
        <v/>
      </c>
      <c r="WUX23" s="50" t="str">
        <f t="shared" si="252"/>
        <v/>
      </c>
      <c r="WUY23" s="50" t="str">
        <f t="shared" si="252"/>
        <v/>
      </c>
      <c r="WUZ23" s="50" t="str">
        <f t="shared" si="252"/>
        <v/>
      </c>
      <c r="WVA23" s="50" t="str">
        <f t="shared" si="252"/>
        <v/>
      </c>
      <c r="WVB23" s="50" t="str">
        <f t="shared" si="252"/>
        <v/>
      </c>
      <c r="WVC23" s="50" t="str">
        <f t="shared" si="252"/>
        <v/>
      </c>
      <c r="WVD23" s="50" t="str">
        <f t="shared" si="252"/>
        <v/>
      </c>
      <c r="WVE23" s="50" t="str">
        <f t="shared" si="252"/>
        <v/>
      </c>
      <c r="WVF23" s="50" t="str">
        <f t="shared" si="252"/>
        <v/>
      </c>
      <c r="WVG23" s="50" t="str">
        <f t="shared" si="252"/>
        <v/>
      </c>
      <c r="WVH23" s="50" t="str">
        <f t="shared" si="252"/>
        <v/>
      </c>
      <c r="WVI23" s="50" t="str">
        <f t="shared" si="252"/>
        <v/>
      </c>
      <c r="WVJ23" s="50" t="str">
        <f t="shared" si="252"/>
        <v/>
      </c>
      <c r="WVK23" s="50" t="str">
        <f t="shared" si="252"/>
        <v/>
      </c>
      <c r="WVL23" s="50" t="str">
        <f t="shared" si="252"/>
        <v/>
      </c>
      <c r="WVM23" s="50" t="str">
        <f t="shared" si="252"/>
        <v/>
      </c>
      <c r="WVN23" s="50" t="str">
        <f t="shared" si="252"/>
        <v/>
      </c>
      <c r="WVO23" s="50" t="str">
        <f t="shared" si="252"/>
        <v/>
      </c>
      <c r="WVP23" s="50" t="str">
        <f t="shared" si="252"/>
        <v/>
      </c>
      <c r="WVQ23" s="50" t="str">
        <f t="shared" si="252"/>
        <v/>
      </c>
      <c r="WVR23" s="50" t="str">
        <f t="shared" si="252"/>
        <v/>
      </c>
      <c r="WVS23" s="50" t="str">
        <f t="shared" si="252"/>
        <v/>
      </c>
      <c r="WVT23" s="50" t="str">
        <f t="shared" si="252"/>
        <v/>
      </c>
      <c r="WVU23" s="50" t="str">
        <f t="shared" si="252"/>
        <v/>
      </c>
      <c r="WVV23" s="50" t="str">
        <f t="shared" si="252"/>
        <v/>
      </c>
      <c r="WVW23" s="50" t="str">
        <f t="shared" si="252"/>
        <v/>
      </c>
      <c r="WVX23" s="50" t="str">
        <f t="shared" si="252"/>
        <v/>
      </c>
      <c r="WVY23" s="50" t="str">
        <f t="shared" si="252"/>
        <v/>
      </c>
      <c r="WVZ23" s="50" t="str">
        <f t="shared" si="252"/>
        <v/>
      </c>
      <c r="WWA23" s="50" t="str">
        <f t="shared" si="252"/>
        <v/>
      </c>
      <c r="WWB23" s="50" t="str">
        <f t="shared" si="252"/>
        <v/>
      </c>
      <c r="WWC23" s="50" t="str">
        <f t="shared" si="252"/>
        <v/>
      </c>
      <c r="WWD23" s="50" t="str">
        <f t="shared" si="252"/>
        <v/>
      </c>
      <c r="WWE23" s="50" t="str">
        <f t="shared" si="252"/>
        <v/>
      </c>
      <c r="WWF23" s="50" t="str">
        <f t="shared" si="252"/>
        <v/>
      </c>
      <c r="WWG23" s="50" t="str">
        <f t="shared" si="252"/>
        <v/>
      </c>
      <c r="WWH23" s="50" t="str">
        <f t="shared" si="252"/>
        <v/>
      </c>
      <c r="WWI23" s="50" t="str">
        <f t="shared" si="252"/>
        <v/>
      </c>
      <c r="WWJ23" s="50" t="str">
        <f t="shared" si="252"/>
        <v/>
      </c>
      <c r="WWK23" s="50" t="str">
        <f t="shared" si="252"/>
        <v/>
      </c>
      <c r="WWL23" s="50" t="str">
        <f t="shared" si="252"/>
        <v/>
      </c>
      <c r="WWM23" s="50" t="str">
        <f t="shared" si="252"/>
        <v/>
      </c>
      <c r="WWN23" s="50" t="str">
        <f t="shared" si="252"/>
        <v/>
      </c>
      <c r="WWO23" s="50" t="str">
        <f t="shared" si="252"/>
        <v/>
      </c>
      <c r="WWP23" s="50" t="str">
        <f t="shared" si="252"/>
        <v/>
      </c>
      <c r="WWQ23" s="50" t="str">
        <f t="shared" si="252"/>
        <v/>
      </c>
      <c r="WWR23" s="50" t="str">
        <f t="shared" si="252"/>
        <v/>
      </c>
      <c r="WWS23" s="50" t="str">
        <f t="shared" si="252"/>
        <v/>
      </c>
      <c r="WWT23" s="50" t="str">
        <f t="shared" si="252"/>
        <v/>
      </c>
      <c r="WWU23" s="50" t="str">
        <f t="shared" si="252"/>
        <v/>
      </c>
      <c r="WWV23" s="50" t="str">
        <f t="shared" si="252"/>
        <v/>
      </c>
      <c r="WWW23" s="50" t="str">
        <f t="shared" si="252"/>
        <v/>
      </c>
      <c r="WWX23" s="50" t="str">
        <f t="shared" si="252"/>
        <v/>
      </c>
      <c r="WWY23" s="50" t="str">
        <f t="shared" si="252"/>
        <v/>
      </c>
      <c r="WWZ23" s="50" t="str">
        <f t="shared" si="252"/>
        <v/>
      </c>
      <c r="WXA23" s="50" t="str">
        <f t="shared" si="252"/>
        <v/>
      </c>
      <c r="WXB23" s="50" t="str">
        <f t="shared" si="252"/>
        <v/>
      </c>
      <c r="WXC23" s="50" t="str">
        <f t="shared" si="252"/>
        <v/>
      </c>
      <c r="WXD23" s="50" t="str">
        <f t="shared" si="252"/>
        <v/>
      </c>
      <c r="WXE23" s="50" t="str">
        <f t="shared" ref="WXE23:WZP23" si="253">IFERROR(IF(WXD23+TIME(1,0,0)&lt;=$G$12,WXD23+TIME(1,0,0),""),"")</f>
        <v/>
      </c>
      <c r="WXF23" s="50" t="str">
        <f t="shared" si="253"/>
        <v/>
      </c>
      <c r="WXG23" s="50" t="str">
        <f t="shared" si="253"/>
        <v/>
      </c>
      <c r="WXH23" s="50" t="str">
        <f t="shared" si="253"/>
        <v/>
      </c>
      <c r="WXI23" s="50" t="str">
        <f t="shared" si="253"/>
        <v/>
      </c>
      <c r="WXJ23" s="50" t="str">
        <f t="shared" si="253"/>
        <v/>
      </c>
      <c r="WXK23" s="50" t="str">
        <f t="shared" si="253"/>
        <v/>
      </c>
      <c r="WXL23" s="50" t="str">
        <f t="shared" si="253"/>
        <v/>
      </c>
      <c r="WXM23" s="50" t="str">
        <f t="shared" si="253"/>
        <v/>
      </c>
      <c r="WXN23" s="50" t="str">
        <f t="shared" si="253"/>
        <v/>
      </c>
      <c r="WXO23" s="50" t="str">
        <f t="shared" si="253"/>
        <v/>
      </c>
      <c r="WXP23" s="50" t="str">
        <f t="shared" si="253"/>
        <v/>
      </c>
      <c r="WXQ23" s="50" t="str">
        <f t="shared" si="253"/>
        <v/>
      </c>
      <c r="WXR23" s="50" t="str">
        <f t="shared" si="253"/>
        <v/>
      </c>
      <c r="WXS23" s="50" t="str">
        <f t="shared" si="253"/>
        <v/>
      </c>
      <c r="WXT23" s="50" t="str">
        <f t="shared" si="253"/>
        <v/>
      </c>
      <c r="WXU23" s="50" t="str">
        <f t="shared" si="253"/>
        <v/>
      </c>
      <c r="WXV23" s="50" t="str">
        <f t="shared" si="253"/>
        <v/>
      </c>
      <c r="WXW23" s="50" t="str">
        <f t="shared" si="253"/>
        <v/>
      </c>
      <c r="WXX23" s="50" t="str">
        <f t="shared" si="253"/>
        <v/>
      </c>
      <c r="WXY23" s="50" t="str">
        <f t="shared" si="253"/>
        <v/>
      </c>
      <c r="WXZ23" s="50" t="str">
        <f t="shared" si="253"/>
        <v/>
      </c>
      <c r="WYA23" s="50" t="str">
        <f t="shared" si="253"/>
        <v/>
      </c>
      <c r="WYB23" s="50" t="str">
        <f t="shared" si="253"/>
        <v/>
      </c>
      <c r="WYC23" s="50" t="str">
        <f t="shared" si="253"/>
        <v/>
      </c>
      <c r="WYD23" s="50" t="str">
        <f t="shared" si="253"/>
        <v/>
      </c>
      <c r="WYE23" s="50" t="str">
        <f t="shared" si="253"/>
        <v/>
      </c>
      <c r="WYF23" s="50" t="str">
        <f t="shared" si="253"/>
        <v/>
      </c>
      <c r="WYG23" s="50" t="str">
        <f t="shared" si="253"/>
        <v/>
      </c>
      <c r="WYH23" s="50" t="str">
        <f t="shared" si="253"/>
        <v/>
      </c>
      <c r="WYI23" s="50" t="str">
        <f t="shared" si="253"/>
        <v/>
      </c>
      <c r="WYJ23" s="50" t="str">
        <f t="shared" si="253"/>
        <v/>
      </c>
      <c r="WYK23" s="50" t="str">
        <f t="shared" si="253"/>
        <v/>
      </c>
      <c r="WYL23" s="50" t="str">
        <f t="shared" si="253"/>
        <v/>
      </c>
      <c r="WYM23" s="50" t="str">
        <f t="shared" si="253"/>
        <v/>
      </c>
      <c r="WYN23" s="50" t="str">
        <f t="shared" si="253"/>
        <v/>
      </c>
      <c r="WYO23" s="50" t="str">
        <f t="shared" si="253"/>
        <v/>
      </c>
      <c r="WYP23" s="50" t="str">
        <f t="shared" si="253"/>
        <v/>
      </c>
      <c r="WYQ23" s="50" t="str">
        <f t="shared" si="253"/>
        <v/>
      </c>
      <c r="WYR23" s="50" t="str">
        <f t="shared" si="253"/>
        <v/>
      </c>
      <c r="WYS23" s="50" t="str">
        <f t="shared" si="253"/>
        <v/>
      </c>
      <c r="WYT23" s="50" t="str">
        <f t="shared" si="253"/>
        <v/>
      </c>
      <c r="WYU23" s="50" t="str">
        <f t="shared" si="253"/>
        <v/>
      </c>
      <c r="WYV23" s="50" t="str">
        <f t="shared" si="253"/>
        <v/>
      </c>
      <c r="WYW23" s="50" t="str">
        <f t="shared" si="253"/>
        <v/>
      </c>
      <c r="WYX23" s="50" t="str">
        <f t="shared" si="253"/>
        <v/>
      </c>
      <c r="WYY23" s="50" t="str">
        <f t="shared" si="253"/>
        <v/>
      </c>
      <c r="WYZ23" s="50" t="str">
        <f t="shared" si="253"/>
        <v/>
      </c>
      <c r="WZA23" s="50" t="str">
        <f t="shared" si="253"/>
        <v/>
      </c>
      <c r="WZB23" s="50" t="str">
        <f t="shared" si="253"/>
        <v/>
      </c>
      <c r="WZC23" s="50" t="str">
        <f t="shared" si="253"/>
        <v/>
      </c>
      <c r="WZD23" s="50" t="str">
        <f t="shared" si="253"/>
        <v/>
      </c>
      <c r="WZE23" s="50" t="str">
        <f t="shared" si="253"/>
        <v/>
      </c>
      <c r="WZF23" s="50" t="str">
        <f t="shared" si="253"/>
        <v/>
      </c>
      <c r="WZG23" s="50" t="str">
        <f t="shared" si="253"/>
        <v/>
      </c>
      <c r="WZH23" s="50" t="str">
        <f t="shared" si="253"/>
        <v/>
      </c>
      <c r="WZI23" s="50" t="str">
        <f t="shared" si="253"/>
        <v/>
      </c>
      <c r="WZJ23" s="50" t="str">
        <f t="shared" si="253"/>
        <v/>
      </c>
      <c r="WZK23" s="50" t="str">
        <f t="shared" si="253"/>
        <v/>
      </c>
      <c r="WZL23" s="50" t="str">
        <f t="shared" si="253"/>
        <v/>
      </c>
      <c r="WZM23" s="50" t="str">
        <f t="shared" si="253"/>
        <v/>
      </c>
      <c r="WZN23" s="50" t="str">
        <f t="shared" si="253"/>
        <v/>
      </c>
      <c r="WZO23" s="50" t="str">
        <f t="shared" si="253"/>
        <v/>
      </c>
      <c r="WZP23" s="50" t="str">
        <f t="shared" si="253"/>
        <v/>
      </c>
      <c r="WZQ23" s="50" t="str">
        <f t="shared" ref="WZQ23:XCB23" si="254">IFERROR(IF(WZP23+TIME(1,0,0)&lt;=$G$12,WZP23+TIME(1,0,0),""),"")</f>
        <v/>
      </c>
      <c r="WZR23" s="50" t="str">
        <f t="shared" si="254"/>
        <v/>
      </c>
      <c r="WZS23" s="50" t="str">
        <f t="shared" si="254"/>
        <v/>
      </c>
      <c r="WZT23" s="50" t="str">
        <f t="shared" si="254"/>
        <v/>
      </c>
      <c r="WZU23" s="50" t="str">
        <f t="shared" si="254"/>
        <v/>
      </c>
      <c r="WZV23" s="50" t="str">
        <f t="shared" si="254"/>
        <v/>
      </c>
      <c r="WZW23" s="50" t="str">
        <f t="shared" si="254"/>
        <v/>
      </c>
      <c r="WZX23" s="50" t="str">
        <f t="shared" si="254"/>
        <v/>
      </c>
      <c r="WZY23" s="50" t="str">
        <f t="shared" si="254"/>
        <v/>
      </c>
      <c r="WZZ23" s="50" t="str">
        <f t="shared" si="254"/>
        <v/>
      </c>
      <c r="XAA23" s="50" t="str">
        <f t="shared" si="254"/>
        <v/>
      </c>
      <c r="XAB23" s="50" t="str">
        <f t="shared" si="254"/>
        <v/>
      </c>
      <c r="XAC23" s="50" t="str">
        <f t="shared" si="254"/>
        <v/>
      </c>
      <c r="XAD23" s="50" t="str">
        <f t="shared" si="254"/>
        <v/>
      </c>
      <c r="XAE23" s="50" t="str">
        <f t="shared" si="254"/>
        <v/>
      </c>
      <c r="XAF23" s="50" t="str">
        <f t="shared" si="254"/>
        <v/>
      </c>
      <c r="XAG23" s="50" t="str">
        <f t="shared" si="254"/>
        <v/>
      </c>
      <c r="XAH23" s="50" t="str">
        <f t="shared" si="254"/>
        <v/>
      </c>
      <c r="XAI23" s="50" t="str">
        <f t="shared" si="254"/>
        <v/>
      </c>
      <c r="XAJ23" s="50" t="str">
        <f t="shared" si="254"/>
        <v/>
      </c>
      <c r="XAK23" s="50" t="str">
        <f t="shared" si="254"/>
        <v/>
      </c>
      <c r="XAL23" s="50" t="str">
        <f t="shared" si="254"/>
        <v/>
      </c>
      <c r="XAM23" s="50" t="str">
        <f t="shared" si="254"/>
        <v/>
      </c>
      <c r="XAN23" s="50" t="str">
        <f t="shared" si="254"/>
        <v/>
      </c>
      <c r="XAO23" s="50" t="str">
        <f t="shared" si="254"/>
        <v/>
      </c>
      <c r="XAP23" s="50" t="str">
        <f t="shared" si="254"/>
        <v/>
      </c>
      <c r="XAQ23" s="50" t="str">
        <f t="shared" si="254"/>
        <v/>
      </c>
      <c r="XAR23" s="50" t="str">
        <f t="shared" si="254"/>
        <v/>
      </c>
      <c r="XAS23" s="50" t="str">
        <f t="shared" si="254"/>
        <v/>
      </c>
      <c r="XAT23" s="50" t="str">
        <f t="shared" si="254"/>
        <v/>
      </c>
      <c r="XAU23" s="50" t="str">
        <f t="shared" si="254"/>
        <v/>
      </c>
      <c r="XAV23" s="50" t="str">
        <f t="shared" si="254"/>
        <v/>
      </c>
      <c r="XAW23" s="50" t="str">
        <f t="shared" si="254"/>
        <v/>
      </c>
      <c r="XAX23" s="50" t="str">
        <f t="shared" si="254"/>
        <v/>
      </c>
      <c r="XAY23" s="50" t="str">
        <f t="shared" si="254"/>
        <v/>
      </c>
      <c r="XAZ23" s="50" t="str">
        <f t="shared" si="254"/>
        <v/>
      </c>
      <c r="XBA23" s="50" t="str">
        <f t="shared" si="254"/>
        <v/>
      </c>
      <c r="XBB23" s="50" t="str">
        <f t="shared" si="254"/>
        <v/>
      </c>
      <c r="XBC23" s="50" t="str">
        <f t="shared" si="254"/>
        <v/>
      </c>
      <c r="XBD23" s="50" t="str">
        <f t="shared" si="254"/>
        <v/>
      </c>
      <c r="XBE23" s="50" t="str">
        <f t="shared" si="254"/>
        <v/>
      </c>
      <c r="XBF23" s="50" t="str">
        <f t="shared" si="254"/>
        <v/>
      </c>
      <c r="XBG23" s="50" t="str">
        <f t="shared" si="254"/>
        <v/>
      </c>
      <c r="XBH23" s="50" t="str">
        <f t="shared" si="254"/>
        <v/>
      </c>
      <c r="XBI23" s="50" t="str">
        <f t="shared" si="254"/>
        <v/>
      </c>
      <c r="XBJ23" s="50" t="str">
        <f t="shared" si="254"/>
        <v/>
      </c>
      <c r="XBK23" s="50" t="str">
        <f t="shared" si="254"/>
        <v/>
      </c>
      <c r="XBL23" s="50" t="str">
        <f t="shared" si="254"/>
        <v/>
      </c>
      <c r="XBM23" s="50" t="str">
        <f t="shared" si="254"/>
        <v/>
      </c>
      <c r="XBN23" s="50" t="str">
        <f t="shared" si="254"/>
        <v/>
      </c>
      <c r="XBO23" s="50" t="str">
        <f t="shared" si="254"/>
        <v/>
      </c>
      <c r="XBP23" s="50" t="str">
        <f t="shared" si="254"/>
        <v/>
      </c>
      <c r="XBQ23" s="50" t="str">
        <f t="shared" si="254"/>
        <v/>
      </c>
      <c r="XBR23" s="50" t="str">
        <f t="shared" si="254"/>
        <v/>
      </c>
      <c r="XBS23" s="50" t="str">
        <f t="shared" si="254"/>
        <v/>
      </c>
      <c r="XBT23" s="50" t="str">
        <f t="shared" si="254"/>
        <v/>
      </c>
      <c r="XBU23" s="50" t="str">
        <f t="shared" si="254"/>
        <v/>
      </c>
      <c r="XBV23" s="50" t="str">
        <f t="shared" si="254"/>
        <v/>
      </c>
      <c r="XBW23" s="50" t="str">
        <f t="shared" si="254"/>
        <v/>
      </c>
      <c r="XBX23" s="50" t="str">
        <f t="shared" si="254"/>
        <v/>
      </c>
      <c r="XBY23" s="50" t="str">
        <f t="shared" si="254"/>
        <v/>
      </c>
      <c r="XBZ23" s="50" t="str">
        <f t="shared" si="254"/>
        <v/>
      </c>
      <c r="XCA23" s="50" t="str">
        <f t="shared" si="254"/>
        <v/>
      </c>
      <c r="XCB23" s="50" t="str">
        <f t="shared" si="254"/>
        <v/>
      </c>
      <c r="XCC23" s="50" t="str">
        <f t="shared" ref="XCC23:XEN23" si="255">IFERROR(IF(XCB23+TIME(1,0,0)&lt;=$G$12,XCB23+TIME(1,0,0),""),"")</f>
        <v/>
      </c>
      <c r="XCD23" s="50" t="str">
        <f t="shared" si="255"/>
        <v/>
      </c>
      <c r="XCE23" s="50" t="str">
        <f t="shared" si="255"/>
        <v/>
      </c>
      <c r="XCF23" s="50" t="str">
        <f t="shared" si="255"/>
        <v/>
      </c>
      <c r="XCG23" s="50" t="str">
        <f t="shared" si="255"/>
        <v/>
      </c>
      <c r="XCH23" s="50" t="str">
        <f t="shared" si="255"/>
        <v/>
      </c>
      <c r="XCI23" s="50" t="str">
        <f t="shared" si="255"/>
        <v/>
      </c>
      <c r="XCJ23" s="50" t="str">
        <f t="shared" si="255"/>
        <v/>
      </c>
      <c r="XCK23" s="50" t="str">
        <f t="shared" si="255"/>
        <v/>
      </c>
      <c r="XCL23" s="50" t="str">
        <f t="shared" si="255"/>
        <v/>
      </c>
      <c r="XCM23" s="50" t="str">
        <f t="shared" si="255"/>
        <v/>
      </c>
      <c r="XCN23" s="50" t="str">
        <f t="shared" si="255"/>
        <v/>
      </c>
      <c r="XCO23" s="50" t="str">
        <f t="shared" si="255"/>
        <v/>
      </c>
      <c r="XCP23" s="50" t="str">
        <f t="shared" si="255"/>
        <v/>
      </c>
      <c r="XCQ23" s="50" t="str">
        <f t="shared" si="255"/>
        <v/>
      </c>
      <c r="XCR23" s="50" t="str">
        <f t="shared" si="255"/>
        <v/>
      </c>
      <c r="XCS23" s="50" t="str">
        <f t="shared" si="255"/>
        <v/>
      </c>
      <c r="XCT23" s="50" t="str">
        <f t="shared" si="255"/>
        <v/>
      </c>
      <c r="XCU23" s="50" t="str">
        <f t="shared" si="255"/>
        <v/>
      </c>
      <c r="XCV23" s="50" t="str">
        <f t="shared" si="255"/>
        <v/>
      </c>
      <c r="XCW23" s="50" t="str">
        <f t="shared" si="255"/>
        <v/>
      </c>
      <c r="XCX23" s="50" t="str">
        <f t="shared" si="255"/>
        <v/>
      </c>
      <c r="XCY23" s="50" t="str">
        <f t="shared" si="255"/>
        <v/>
      </c>
      <c r="XCZ23" s="50" t="str">
        <f t="shared" si="255"/>
        <v/>
      </c>
      <c r="XDA23" s="50" t="str">
        <f t="shared" si="255"/>
        <v/>
      </c>
      <c r="XDB23" s="50" t="str">
        <f t="shared" si="255"/>
        <v/>
      </c>
      <c r="XDC23" s="50" t="str">
        <f t="shared" si="255"/>
        <v/>
      </c>
      <c r="XDD23" s="50" t="str">
        <f t="shared" si="255"/>
        <v/>
      </c>
      <c r="XDE23" s="50" t="str">
        <f t="shared" si="255"/>
        <v/>
      </c>
      <c r="XDF23" s="50" t="str">
        <f t="shared" si="255"/>
        <v/>
      </c>
      <c r="XDG23" s="50" t="str">
        <f t="shared" si="255"/>
        <v/>
      </c>
      <c r="XDH23" s="50" t="str">
        <f t="shared" si="255"/>
        <v/>
      </c>
      <c r="XDI23" s="50" t="str">
        <f t="shared" si="255"/>
        <v/>
      </c>
      <c r="XDJ23" s="50" t="str">
        <f t="shared" si="255"/>
        <v/>
      </c>
      <c r="XDK23" s="50" t="str">
        <f t="shared" si="255"/>
        <v/>
      </c>
      <c r="XDL23" s="50" t="str">
        <f t="shared" si="255"/>
        <v/>
      </c>
      <c r="XDM23" s="50" t="str">
        <f t="shared" si="255"/>
        <v/>
      </c>
      <c r="XDN23" s="50" t="str">
        <f t="shared" si="255"/>
        <v/>
      </c>
      <c r="XDO23" s="50" t="str">
        <f t="shared" si="255"/>
        <v/>
      </c>
      <c r="XDP23" s="50" t="str">
        <f t="shared" si="255"/>
        <v/>
      </c>
      <c r="XDQ23" s="50" t="str">
        <f t="shared" si="255"/>
        <v/>
      </c>
      <c r="XDR23" s="50" t="str">
        <f t="shared" si="255"/>
        <v/>
      </c>
      <c r="XDS23" s="50" t="str">
        <f t="shared" si="255"/>
        <v/>
      </c>
      <c r="XDT23" s="50" t="str">
        <f t="shared" si="255"/>
        <v/>
      </c>
      <c r="XDU23" s="50" t="str">
        <f t="shared" si="255"/>
        <v/>
      </c>
      <c r="XDV23" s="50" t="str">
        <f t="shared" si="255"/>
        <v/>
      </c>
      <c r="XDW23" s="50" t="str">
        <f t="shared" si="255"/>
        <v/>
      </c>
      <c r="XDX23" s="50" t="str">
        <f t="shared" si="255"/>
        <v/>
      </c>
      <c r="XDY23" s="50" t="str">
        <f t="shared" si="255"/>
        <v/>
      </c>
      <c r="XDZ23" s="50" t="str">
        <f t="shared" si="255"/>
        <v/>
      </c>
      <c r="XEA23" s="50" t="str">
        <f t="shared" si="255"/>
        <v/>
      </c>
      <c r="XEB23" s="50" t="str">
        <f t="shared" si="255"/>
        <v/>
      </c>
      <c r="XEC23" s="50" t="str">
        <f t="shared" si="255"/>
        <v/>
      </c>
      <c r="XED23" s="50" t="str">
        <f t="shared" si="255"/>
        <v/>
      </c>
      <c r="XEE23" s="50" t="str">
        <f t="shared" si="255"/>
        <v/>
      </c>
      <c r="XEF23" s="50" t="str">
        <f t="shared" si="255"/>
        <v/>
      </c>
      <c r="XEG23" s="50" t="str">
        <f t="shared" si="255"/>
        <v/>
      </c>
      <c r="XEH23" s="50" t="str">
        <f t="shared" si="255"/>
        <v/>
      </c>
      <c r="XEI23" s="50" t="str">
        <f t="shared" si="255"/>
        <v/>
      </c>
      <c r="XEJ23" s="50" t="str">
        <f t="shared" si="255"/>
        <v/>
      </c>
      <c r="XEK23" s="50" t="str">
        <f t="shared" si="255"/>
        <v/>
      </c>
      <c r="XEL23" s="50" t="str">
        <f t="shared" si="255"/>
        <v/>
      </c>
      <c r="XEM23" s="50" t="str">
        <f t="shared" si="255"/>
        <v/>
      </c>
      <c r="XEN23" s="50" t="str">
        <f t="shared" si="255"/>
        <v/>
      </c>
      <c r="XEO23" s="50" t="str">
        <f t="shared" ref="XEO23:XFD23" si="256">IFERROR(IF(XEN23+TIME(1,0,0)&lt;=$G$12,XEN23+TIME(1,0,0),""),"")</f>
        <v/>
      </c>
      <c r="XEP23" s="50" t="str">
        <f t="shared" si="256"/>
        <v/>
      </c>
      <c r="XEQ23" s="50" t="str">
        <f t="shared" si="256"/>
        <v/>
      </c>
      <c r="XER23" s="50" t="str">
        <f t="shared" si="256"/>
        <v/>
      </c>
      <c r="XES23" s="50" t="str">
        <f t="shared" si="256"/>
        <v/>
      </c>
      <c r="XET23" s="50" t="str">
        <f t="shared" si="256"/>
        <v/>
      </c>
      <c r="XEU23" s="50" t="str">
        <f t="shared" si="256"/>
        <v/>
      </c>
      <c r="XEV23" s="50" t="str">
        <f t="shared" si="256"/>
        <v/>
      </c>
      <c r="XEW23" s="50" t="str">
        <f t="shared" si="256"/>
        <v/>
      </c>
      <c r="XEX23" s="50" t="str">
        <f t="shared" si="256"/>
        <v/>
      </c>
      <c r="XEY23" s="50" t="str">
        <f t="shared" si="256"/>
        <v/>
      </c>
      <c r="XEZ23" s="50" t="str">
        <f t="shared" si="256"/>
        <v/>
      </c>
      <c r="XFA23" s="50" t="str">
        <f t="shared" si="256"/>
        <v/>
      </c>
      <c r="XFB23" s="50" t="str">
        <f t="shared" si="256"/>
        <v/>
      </c>
      <c r="XFC23" s="50" t="str">
        <f t="shared" si="256"/>
        <v/>
      </c>
      <c r="XFD23" s="50" t="str">
        <f t="shared" si="256"/>
        <v/>
      </c>
    </row>
    <row r="24" spans="1:16384" ht="20.399999999999999" thickBot="1">
      <c r="D24" s="1" t="s">
        <v>53</v>
      </c>
      <c r="E24" s="7" t="s">
        <v>32</v>
      </c>
      <c r="F24" s="3" t="s">
        <v>150</v>
      </c>
      <c r="G24" s="3" t="s">
        <v>58</v>
      </c>
      <c r="H24" s="3" t="s">
        <v>7</v>
      </c>
      <c r="I24" s="3" t="s">
        <v>8</v>
      </c>
      <c r="J24" s="3" t="s">
        <v>9</v>
      </c>
      <c r="K24" s="3" t="s">
        <v>10</v>
      </c>
      <c r="L24" s="3" t="s">
        <v>11</v>
      </c>
      <c r="M24" s="3" t="s">
        <v>12</v>
      </c>
      <c r="N24" s="3" t="s">
        <v>13</v>
      </c>
      <c r="O24" s="3" t="s">
        <v>14</v>
      </c>
      <c r="P24" s="3" t="s">
        <v>15</v>
      </c>
      <c r="Q24" s="3" t="s">
        <v>16</v>
      </c>
      <c r="R24" s="3" t="s">
        <v>17</v>
      </c>
      <c r="S24" s="3" t="s">
        <v>18</v>
      </c>
      <c r="T24" s="3" t="s">
        <v>19</v>
      </c>
      <c r="U24" s="3" t="s">
        <v>20</v>
      </c>
      <c r="V24" s="3" t="s">
        <v>21</v>
      </c>
      <c r="W24" s="3" t="s">
        <v>22</v>
      </c>
      <c r="X24" s="3" t="s">
        <v>23</v>
      </c>
      <c r="Y24" s="3" t="s">
        <v>24</v>
      </c>
      <c r="Z24" s="3" t="s">
        <v>25</v>
      </c>
      <c r="AA24" s="3" t="s">
        <v>26</v>
      </c>
      <c r="AB24" s="3" t="s">
        <v>27</v>
      </c>
      <c r="AC24" s="3" t="s">
        <v>28</v>
      </c>
      <c r="AD24" s="3" t="s">
        <v>29</v>
      </c>
      <c r="AE24" s="3" t="s">
        <v>30</v>
      </c>
      <c r="AF24" s="3" t="s">
        <v>280</v>
      </c>
      <c r="AG24" s="3" t="s">
        <v>281</v>
      </c>
      <c r="AH24" s="3" t="s">
        <v>282</v>
      </c>
      <c r="AI24" s="3" t="s">
        <v>283</v>
      </c>
      <c r="AJ24" s="3" t="s">
        <v>284</v>
      </c>
      <c r="AK24" s="3" t="s">
        <v>285</v>
      </c>
      <c r="AL24" s="3" t="s">
        <v>286</v>
      </c>
      <c r="AM24" s="3" t="s">
        <v>287</v>
      </c>
      <c r="AN24" s="3" t="s">
        <v>288</v>
      </c>
      <c r="AO24" s="3" t="s">
        <v>289</v>
      </c>
      <c r="AP24" s="3" t="s">
        <v>290</v>
      </c>
      <c r="AQ24" s="3" t="s">
        <v>291</v>
      </c>
      <c r="AR24" s="3" t="s">
        <v>292</v>
      </c>
      <c r="AS24" s="3" t="s">
        <v>293</v>
      </c>
      <c r="AT24" s="3" t="s">
        <v>294</v>
      </c>
      <c r="AU24" s="3" t="s">
        <v>295</v>
      </c>
      <c r="AV24" s="3" t="s">
        <v>296</v>
      </c>
      <c r="AW24" s="3" t="s">
        <v>297</v>
      </c>
      <c r="AX24" s="3" t="s">
        <v>298</v>
      </c>
      <c r="AY24" s="3" t="s">
        <v>299</v>
      </c>
      <c r="AZ24" s="3" t="s">
        <v>300</v>
      </c>
      <c r="BA24" s="3" t="s">
        <v>301</v>
      </c>
      <c r="BB24" s="3" t="s">
        <v>302</v>
      </c>
      <c r="BC24" s="3" t="s">
        <v>303</v>
      </c>
      <c r="BD24" s="3" t="s">
        <v>304</v>
      </c>
      <c r="BE24" s="3" t="s">
        <v>305</v>
      </c>
      <c r="BF24" s="3" t="s">
        <v>306</v>
      </c>
      <c r="BG24" s="3" t="s">
        <v>307</v>
      </c>
      <c r="BH24" s="3" t="s">
        <v>308</v>
      </c>
      <c r="BI24" s="3" t="s">
        <v>309</v>
      </c>
      <c r="BJ24" s="3" t="s">
        <v>310</v>
      </c>
      <c r="BK24" s="3" t="s">
        <v>311</v>
      </c>
      <c r="BL24" s="3" t="s">
        <v>312</v>
      </c>
      <c r="BM24" s="3" t="s">
        <v>313</v>
      </c>
      <c r="BN24" s="3" t="s">
        <v>314</v>
      </c>
      <c r="BO24" s="3" t="s">
        <v>315</v>
      </c>
      <c r="BP24" s="3" t="s">
        <v>316</v>
      </c>
      <c r="BQ24" s="3" t="s">
        <v>317</v>
      </c>
      <c r="BR24" s="3" t="s">
        <v>318</v>
      </c>
      <c r="BS24" s="3" t="s">
        <v>319</v>
      </c>
      <c r="BT24" s="3" t="s">
        <v>320</v>
      </c>
      <c r="BU24" s="3" t="s">
        <v>321</v>
      </c>
      <c r="BV24" s="3" t="s">
        <v>322</v>
      </c>
      <c r="BW24" s="3" t="s">
        <v>323</v>
      </c>
      <c r="BX24" s="3" t="s">
        <v>324</v>
      </c>
      <c r="BY24" s="3" t="s">
        <v>325</v>
      </c>
      <c r="BZ24" s="3" t="s">
        <v>326</v>
      </c>
      <c r="CA24" s="3" t="s">
        <v>327</v>
      </c>
      <c r="CB24" s="3" t="s">
        <v>328</v>
      </c>
      <c r="CC24" s="3" t="s">
        <v>329</v>
      </c>
      <c r="CD24" s="3" t="s">
        <v>330</v>
      </c>
      <c r="CE24" s="3" t="s">
        <v>331</v>
      </c>
      <c r="CF24" s="3" t="s">
        <v>332</v>
      </c>
      <c r="CG24" s="3" t="s">
        <v>333</v>
      </c>
      <c r="CH24" s="3" t="s">
        <v>334</v>
      </c>
      <c r="CI24" s="3" t="s">
        <v>335</v>
      </c>
      <c r="CJ24" s="3" t="s">
        <v>336</v>
      </c>
      <c r="CK24" s="3" t="s">
        <v>337</v>
      </c>
      <c r="CL24" s="3" t="s">
        <v>338</v>
      </c>
      <c r="CM24" s="3" t="s">
        <v>339</v>
      </c>
      <c r="CN24" s="3" t="s">
        <v>340</v>
      </c>
      <c r="CO24" s="3" t="s">
        <v>341</v>
      </c>
      <c r="CP24" s="3" t="s">
        <v>342</v>
      </c>
      <c r="CQ24" s="3" t="s">
        <v>343</v>
      </c>
      <c r="CR24" s="3" t="s">
        <v>344</v>
      </c>
      <c r="CS24" s="3" t="s">
        <v>345</v>
      </c>
      <c r="CT24" s="3" t="s">
        <v>346</v>
      </c>
      <c r="CU24" s="3" t="s">
        <v>347</v>
      </c>
      <c r="CV24" s="3" t="s">
        <v>348</v>
      </c>
      <c r="CW24" s="3" t="s">
        <v>349</v>
      </c>
      <c r="CX24" s="3" t="s">
        <v>350</v>
      </c>
      <c r="CY24" s="3" t="s">
        <v>351</v>
      </c>
      <c r="CZ24" s="3" t="s">
        <v>352</v>
      </c>
      <c r="DA24" s="3" t="s">
        <v>353</v>
      </c>
      <c r="DB24" s="3" t="s">
        <v>354</v>
      </c>
      <c r="DC24" s="3" t="s">
        <v>355</v>
      </c>
      <c r="DD24" s="3" t="s">
        <v>356</v>
      </c>
      <c r="DE24" s="3" t="s">
        <v>357</v>
      </c>
      <c r="DF24" s="3" t="s">
        <v>358</v>
      </c>
      <c r="DG24" s="3" t="s">
        <v>359</v>
      </c>
      <c r="DH24" s="3" t="s">
        <v>360</v>
      </c>
      <c r="DI24" s="3" t="s">
        <v>361</v>
      </c>
      <c r="DJ24" s="3" t="s">
        <v>362</v>
      </c>
      <c r="DK24" s="3" t="s">
        <v>363</v>
      </c>
      <c r="DL24" s="3" t="s">
        <v>364</v>
      </c>
      <c r="DM24" s="3" t="s">
        <v>365</v>
      </c>
      <c r="DN24" s="3" t="s">
        <v>366</v>
      </c>
      <c r="DO24" s="3" t="s">
        <v>367</v>
      </c>
      <c r="DP24" s="3" t="s">
        <v>368</v>
      </c>
      <c r="DQ24" s="3" t="s">
        <v>369</v>
      </c>
      <c r="DR24" s="3" t="s">
        <v>370</v>
      </c>
      <c r="DS24" s="3" t="s">
        <v>371</v>
      </c>
      <c r="DT24" s="3" t="s">
        <v>372</v>
      </c>
      <c r="DU24" s="3" t="s">
        <v>373</v>
      </c>
      <c r="DV24" s="3" t="s">
        <v>374</v>
      </c>
      <c r="DW24" s="3" t="s">
        <v>375</v>
      </c>
      <c r="DX24" s="3" t="s">
        <v>376</v>
      </c>
      <c r="DY24" s="3" t="s">
        <v>377</v>
      </c>
      <c r="DZ24" s="3" t="s">
        <v>378</v>
      </c>
      <c r="EA24" s="3" t="s">
        <v>379</v>
      </c>
      <c r="EB24" s="3" t="s">
        <v>380</v>
      </c>
      <c r="EC24" s="3" t="s">
        <v>381</v>
      </c>
      <c r="ED24" s="3" t="s">
        <v>382</v>
      </c>
      <c r="EE24" s="3" t="s">
        <v>383</v>
      </c>
      <c r="EF24" s="3" t="s">
        <v>384</v>
      </c>
      <c r="EG24" s="3" t="s">
        <v>385</v>
      </c>
      <c r="EH24" s="3" t="s">
        <v>386</v>
      </c>
      <c r="EI24" s="3" t="s">
        <v>387</v>
      </c>
      <c r="EJ24" s="3" t="s">
        <v>388</v>
      </c>
      <c r="EK24" s="3" t="s">
        <v>389</v>
      </c>
      <c r="EL24" s="3" t="s">
        <v>390</v>
      </c>
      <c r="EM24" s="3" t="s">
        <v>391</v>
      </c>
      <c r="EN24" s="3" t="s">
        <v>392</v>
      </c>
      <c r="EO24" s="3" t="s">
        <v>393</v>
      </c>
      <c r="EP24" s="3" t="s">
        <v>394</v>
      </c>
      <c r="EQ24" s="3" t="s">
        <v>395</v>
      </c>
      <c r="ER24" s="3" t="s">
        <v>396</v>
      </c>
      <c r="ES24" s="3" t="s">
        <v>397</v>
      </c>
      <c r="ET24" s="3" t="s">
        <v>398</v>
      </c>
      <c r="EU24" s="3" t="s">
        <v>399</v>
      </c>
      <c r="EV24" s="3" t="s">
        <v>400</v>
      </c>
      <c r="EW24" s="3" t="s">
        <v>401</v>
      </c>
      <c r="EX24" s="3" t="s">
        <v>402</v>
      </c>
      <c r="EY24" s="3" t="s">
        <v>403</v>
      </c>
      <c r="EZ24" s="3" t="s">
        <v>404</v>
      </c>
      <c r="FA24" s="3" t="s">
        <v>405</v>
      </c>
      <c r="FB24" s="3" t="s">
        <v>406</v>
      </c>
      <c r="FC24" s="3" t="s">
        <v>407</v>
      </c>
      <c r="FD24" s="3" t="s">
        <v>408</v>
      </c>
      <c r="FE24" s="3" t="s">
        <v>409</v>
      </c>
      <c r="FF24" s="3" t="s">
        <v>410</v>
      </c>
      <c r="FG24" s="3" t="s">
        <v>411</v>
      </c>
      <c r="FH24" s="3" t="s">
        <v>412</v>
      </c>
      <c r="FI24" s="3" t="s">
        <v>413</v>
      </c>
      <c r="FJ24" s="3" t="s">
        <v>414</v>
      </c>
      <c r="FK24" s="3" t="s">
        <v>415</v>
      </c>
      <c r="FL24" s="3" t="s">
        <v>416</v>
      </c>
      <c r="FM24" s="3" t="s">
        <v>417</v>
      </c>
      <c r="FN24" s="3" t="s">
        <v>418</v>
      </c>
      <c r="FO24" s="3" t="s">
        <v>419</v>
      </c>
      <c r="FP24" s="3" t="s">
        <v>420</v>
      </c>
      <c r="FQ24" s="3" t="s">
        <v>421</v>
      </c>
      <c r="FR24" s="3" t="s">
        <v>422</v>
      </c>
      <c r="FS24" s="3" t="s">
        <v>423</v>
      </c>
    </row>
    <row r="25" spans="1:16384" ht="15.75" customHeight="1" thickTop="1" thickBot="1">
      <c r="D25" s="18" t="s">
        <v>214</v>
      </c>
      <c r="E25" s="2"/>
      <c r="F25" s="2"/>
      <c r="G25" s="4" t="b">
        <v>1</v>
      </c>
    </row>
    <row r="26" spans="1:16384" s="53" customFormat="1">
      <c r="A26"/>
      <c r="B26"/>
      <c r="C26"/>
      <c r="D26" s="17" t="s">
        <v>215</v>
      </c>
      <c r="E26" s="2" t="s">
        <v>218</v>
      </c>
      <c r="F26" s="8" t="s">
        <v>154</v>
      </c>
      <c r="G26" s="2"/>
      <c r="H26" s="8">
        <f>IFERROR(LOOKUP(H$23,Timeseries!$A:$A,Timeseries!$C:$C),"")</f>
        <v>25000</v>
      </c>
      <c r="I26" s="8">
        <f>IFERROR(LOOKUP(I23,Timeseries!$A:$A,Timeseries!$C:$C),"")</f>
        <v>25000</v>
      </c>
      <c r="J26" s="8">
        <f>IFERROR(LOOKUP(J23,Timeseries!$A:$A,Timeseries!$C:$C),"")</f>
        <v>25000</v>
      </c>
      <c r="K26" s="8">
        <f>IFERROR(LOOKUP(K23,Timeseries!$A:$A,Timeseries!$C:$C),"")</f>
        <v>25000</v>
      </c>
      <c r="L26" s="8">
        <f>IFERROR(LOOKUP(L23,Timeseries!$A:$A,Timeseries!$C:$C),"")</f>
        <v>25000</v>
      </c>
      <c r="M26" s="8">
        <f>IFERROR(LOOKUP(M23,Timeseries!$A:$A,Timeseries!$C:$C),"")</f>
        <v>25000</v>
      </c>
      <c r="N26" s="8">
        <f>IFERROR(LOOKUP(N23,Timeseries!$A:$A,Timeseries!$C:$C),"")</f>
        <v>25000</v>
      </c>
      <c r="O26" s="8">
        <f>IFERROR(LOOKUP(O23,Timeseries!$A:$A,Timeseries!$C:$C),"")</f>
        <v>25000</v>
      </c>
      <c r="P26" s="8">
        <f>IFERROR(LOOKUP(P23,Timeseries!$A:$A,Timeseries!$C:$C),"")</f>
        <v>25000</v>
      </c>
      <c r="Q26" s="8">
        <f>IFERROR(LOOKUP(Q23,Timeseries!$A:$A,Timeseries!$C:$C),"")</f>
        <v>25000</v>
      </c>
      <c r="R26" s="8">
        <f>IFERROR(LOOKUP(R23,Timeseries!$A:$A,Timeseries!$C:$C),"")</f>
        <v>25000</v>
      </c>
      <c r="S26" s="8">
        <f>IFERROR(LOOKUP(S23,Timeseries!$A:$A,Timeseries!$C:$C),"")</f>
        <v>25000</v>
      </c>
      <c r="T26" s="8">
        <f>IFERROR(LOOKUP(T23,Timeseries!$A:$A,Timeseries!$C:$C),"")</f>
        <v>25000</v>
      </c>
      <c r="U26" s="8">
        <f>IFERROR(LOOKUP(U23,Timeseries!$A:$A,Timeseries!$C:$C),"")</f>
        <v>25000</v>
      </c>
      <c r="V26" s="8">
        <f>IFERROR(LOOKUP(V23,Timeseries!$A:$A,Timeseries!$C:$C),"")</f>
        <v>25000</v>
      </c>
      <c r="W26" s="8">
        <f>IFERROR(LOOKUP(W23,Timeseries!$A:$A,Timeseries!$C:$C),"")</f>
        <v>25000</v>
      </c>
      <c r="X26" s="8">
        <f>IFERROR(LOOKUP(X23,Timeseries!$A:$A,Timeseries!$C:$C),"")</f>
        <v>25000</v>
      </c>
      <c r="Y26" s="8">
        <f>IFERROR(LOOKUP(Y23,Timeseries!$A:$A,Timeseries!$C:$C),"")</f>
        <v>25000</v>
      </c>
      <c r="Z26" s="8">
        <f>IFERROR(LOOKUP(Z23,Timeseries!$A:$A,Timeseries!$C:$C),"")</f>
        <v>25000</v>
      </c>
      <c r="AA26" s="8">
        <f>IFERROR(LOOKUP(AA23,Timeseries!$A:$A,Timeseries!$C:$C),"")</f>
        <v>25000</v>
      </c>
      <c r="AB26" s="8">
        <f>IFERROR(LOOKUP(AB23,Timeseries!$A:$A,Timeseries!$C:$C),"")</f>
        <v>25000</v>
      </c>
      <c r="AC26" s="8">
        <f>IFERROR(LOOKUP(AC23,Timeseries!$A:$A,Timeseries!$C:$C),"")</f>
        <v>25000</v>
      </c>
      <c r="AD26" s="8">
        <f>IFERROR(LOOKUP(AD23,Timeseries!$A:$A,Timeseries!$C:$C),"")</f>
        <v>25000</v>
      </c>
      <c r="AE26" s="8">
        <f>IFERROR(LOOKUP(AE23,Timeseries!$A:$A,Timeseries!$C:$C),"")</f>
        <v>25000</v>
      </c>
      <c r="AF26" s="8">
        <f>IFERROR(LOOKUP(AF23,Timeseries!$A:$A,Timeseries!$C:$C),"")</f>
        <v>25000</v>
      </c>
      <c r="AG26" s="8">
        <f>IFERROR(LOOKUP(AG23,Timeseries!$A:$A,Timeseries!$C:$C),"")</f>
        <v>25000</v>
      </c>
      <c r="AH26" s="8">
        <f>IFERROR(LOOKUP(AH23,Timeseries!$A:$A,Timeseries!$C:$C),"")</f>
        <v>25000</v>
      </c>
      <c r="AI26" s="8">
        <f>IFERROR(LOOKUP(AI23,Timeseries!$A:$A,Timeseries!$C:$C),"")</f>
        <v>25000</v>
      </c>
      <c r="AJ26" s="8">
        <f>IFERROR(LOOKUP(AJ23,Timeseries!$A:$A,Timeseries!$C:$C),"")</f>
        <v>25000</v>
      </c>
      <c r="AK26" s="8">
        <f>IFERROR(LOOKUP(AK23,Timeseries!$A:$A,Timeseries!$C:$C),"")</f>
        <v>25000</v>
      </c>
      <c r="AL26" s="8">
        <f>IFERROR(LOOKUP(AL23,Timeseries!$A:$A,Timeseries!$C:$C),"")</f>
        <v>25000</v>
      </c>
      <c r="AM26" s="8">
        <f>IFERROR(LOOKUP(AM23,Timeseries!$A:$A,Timeseries!$C:$C),"")</f>
        <v>25000</v>
      </c>
      <c r="AN26" s="8">
        <f>IFERROR(LOOKUP(AN23,Timeseries!$A:$A,Timeseries!$C:$C),"")</f>
        <v>25000</v>
      </c>
      <c r="AO26" s="8">
        <f>IFERROR(LOOKUP(AO23,Timeseries!$A:$A,Timeseries!$C:$C),"")</f>
        <v>25000</v>
      </c>
      <c r="AP26" s="8">
        <f>IFERROR(LOOKUP(AP23,Timeseries!$A:$A,Timeseries!$C:$C),"")</f>
        <v>25000</v>
      </c>
      <c r="AQ26" s="8">
        <f>IFERROR(LOOKUP(AQ23,Timeseries!$A:$A,Timeseries!$C:$C),"")</f>
        <v>25000</v>
      </c>
      <c r="AR26" s="8">
        <f>IFERROR(LOOKUP(AR23,Timeseries!$A:$A,Timeseries!$C:$C),"")</f>
        <v>25000</v>
      </c>
      <c r="AS26" s="8">
        <f>IFERROR(LOOKUP(AS23,Timeseries!$A:$A,Timeseries!$C:$C),"")</f>
        <v>25000</v>
      </c>
      <c r="AT26" s="8">
        <f>IFERROR(LOOKUP(AT23,Timeseries!$A:$A,Timeseries!$C:$C),"")</f>
        <v>25000</v>
      </c>
      <c r="AU26" s="8">
        <f>IFERROR(LOOKUP(AU23,Timeseries!$A:$A,Timeseries!$C:$C),"")</f>
        <v>25000</v>
      </c>
      <c r="AV26" s="8">
        <f>IFERROR(LOOKUP(AV23,Timeseries!$A:$A,Timeseries!$C:$C),"")</f>
        <v>25000</v>
      </c>
      <c r="AW26" s="8">
        <f>IFERROR(LOOKUP(AW23,Timeseries!$A:$A,Timeseries!$C:$C),"")</f>
        <v>25000</v>
      </c>
      <c r="AX26" s="8">
        <f>IFERROR(LOOKUP(AX23,Timeseries!$A:$A,Timeseries!$C:$C),"")</f>
        <v>25000</v>
      </c>
      <c r="AY26" s="8">
        <f>IFERROR(LOOKUP(AY23,Timeseries!$A:$A,Timeseries!$C:$C),"")</f>
        <v>25000</v>
      </c>
      <c r="AZ26" s="8">
        <f>IFERROR(LOOKUP(AZ23,Timeseries!$A:$A,Timeseries!$C:$C),"")</f>
        <v>25000</v>
      </c>
      <c r="BA26" s="8">
        <f>IFERROR(LOOKUP(BA23,Timeseries!$A:$A,Timeseries!$C:$C),"")</f>
        <v>25000</v>
      </c>
      <c r="BB26" s="8">
        <f>IFERROR(LOOKUP(BB23,Timeseries!$A:$A,Timeseries!$C:$C),"")</f>
        <v>25000</v>
      </c>
      <c r="BC26" s="8">
        <f>IFERROR(LOOKUP(BC23,Timeseries!$A:$A,Timeseries!$C:$C),"")</f>
        <v>25000</v>
      </c>
      <c r="BD26" s="8">
        <f>IFERROR(LOOKUP(BD23,Timeseries!$A:$A,Timeseries!$C:$C),"")</f>
        <v>25000</v>
      </c>
      <c r="BE26" s="8">
        <f>IFERROR(LOOKUP(BE23,Timeseries!$A:$A,Timeseries!$C:$C),"")</f>
        <v>25000</v>
      </c>
      <c r="BF26" s="8">
        <f>IFERROR(LOOKUP(BF23,Timeseries!$A:$A,Timeseries!$C:$C),"")</f>
        <v>25000</v>
      </c>
      <c r="BG26" s="8">
        <f>IFERROR(LOOKUP(BG23,Timeseries!$A:$A,Timeseries!$C:$C),"")</f>
        <v>25000</v>
      </c>
      <c r="BH26" s="8">
        <f>IFERROR(LOOKUP(BH23,Timeseries!$A:$A,Timeseries!$C:$C),"")</f>
        <v>25000</v>
      </c>
      <c r="BI26" s="8">
        <f>IFERROR(LOOKUP(BI23,Timeseries!$A:$A,Timeseries!$C:$C),"")</f>
        <v>25000</v>
      </c>
      <c r="BJ26" s="8">
        <f>IFERROR(LOOKUP(BJ23,Timeseries!$A:$A,Timeseries!$C:$C),"")</f>
        <v>25000</v>
      </c>
      <c r="BK26" s="8">
        <f>IFERROR(LOOKUP(BK23,Timeseries!$A:$A,Timeseries!$C:$C),"")</f>
        <v>25000</v>
      </c>
      <c r="BL26" s="8">
        <f>IFERROR(LOOKUP(BL23,Timeseries!$A:$A,Timeseries!$C:$C),"")</f>
        <v>25000</v>
      </c>
      <c r="BM26" s="8">
        <f>IFERROR(LOOKUP(BM23,Timeseries!$A:$A,Timeseries!$C:$C),"")</f>
        <v>25000</v>
      </c>
      <c r="BN26" s="8">
        <f>IFERROR(LOOKUP(BN23,Timeseries!$A:$A,Timeseries!$C:$C),"")</f>
        <v>25000</v>
      </c>
      <c r="BO26" s="8">
        <f>IFERROR(LOOKUP(BO23,Timeseries!$A:$A,Timeseries!$C:$C),"")</f>
        <v>25000</v>
      </c>
      <c r="BP26" s="8">
        <f>IFERROR(LOOKUP(BP23,Timeseries!$A:$A,Timeseries!$C:$C),"")</f>
        <v>25000</v>
      </c>
      <c r="BQ26" s="8">
        <f>IFERROR(LOOKUP(BQ23,Timeseries!$A:$A,Timeseries!$C:$C),"")</f>
        <v>25000</v>
      </c>
      <c r="BR26" s="8">
        <f>IFERROR(LOOKUP(BR23,Timeseries!$A:$A,Timeseries!$C:$C),"")</f>
        <v>25000</v>
      </c>
      <c r="BS26" s="8">
        <f>IFERROR(LOOKUP(BS23,Timeseries!$A:$A,Timeseries!$C:$C),"")</f>
        <v>25000</v>
      </c>
      <c r="BT26" s="8">
        <f>IFERROR(LOOKUP(BT23,Timeseries!$A:$A,Timeseries!$C:$C),"")</f>
        <v>25000</v>
      </c>
      <c r="BU26" s="8">
        <f>IFERROR(LOOKUP(BU23,Timeseries!$A:$A,Timeseries!$C:$C),"")</f>
        <v>25000</v>
      </c>
      <c r="BV26" s="8">
        <f>IFERROR(LOOKUP(BV23,Timeseries!$A:$A,Timeseries!$C:$C),"")</f>
        <v>25000</v>
      </c>
      <c r="BW26" s="8">
        <f>IFERROR(LOOKUP(BW23,Timeseries!$A:$A,Timeseries!$C:$C),"")</f>
        <v>25000</v>
      </c>
      <c r="BX26" s="8">
        <f>IFERROR(LOOKUP(BX23,Timeseries!$A:$A,Timeseries!$C:$C),"")</f>
        <v>25000</v>
      </c>
      <c r="BY26" s="8">
        <f>IFERROR(LOOKUP(BY23,Timeseries!$A:$A,Timeseries!$C:$C),"")</f>
        <v>25000</v>
      </c>
      <c r="BZ26" s="8">
        <f>IFERROR(LOOKUP(BZ23,Timeseries!$A:$A,Timeseries!$C:$C),"")</f>
        <v>25000</v>
      </c>
      <c r="CA26" s="8">
        <f>IFERROR(LOOKUP(CA23,Timeseries!$A:$A,Timeseries!$C:$C),"")</f>
        <v>25000</v>
      </c>
      <c r="CB26" s="8">
        <f>IFERROR(LOOKUP(CB23,Timeseries!$A:$A,Timeseries!$C:$C),"")</f>
        <v>25000</v>
      </c>
      <c r="CC26" s="8">
        <f>IFERROR(LOOKUP(CC23,Timeseries!$A:$A,Timeseries!$C:$C),"")</f>
        <v>25000</v>
      </c>
      <c r="CD26" s="8">
        <f>IFERROR(LOOKUP(CD23,Timeseries!$A:$A,Timeseries!$C:$C),"")</f>
        <v>25000</v>
      </c>
      <c r="CE26" s="8">
        <f>IFERROR(LOOKUP(CE23,Timeseries!$A:$A,Timeseries!$C:$C),"")</f>
        <v>25000</v>
      </c>
      <c r="CF26" s="8">
        <f>IFERROR(LOOKUP(CF23,Timeseries!$A:$A,Timeseries!$C:$C),"")</f>
        <v>25000</v>
      </c>
      <c r="CG26" s="8">
        <f>IFERROR(LOOKUP(CG23,Timeseries!$A:$A,Timeseries!$C:$C),"")</f>
        <v>25000</v>
      </c>
      <c r="CH26" s="8">
        <f>IFERROR(LOOKUP(CH23,Timeseries!$A:$A,Timeseries!$C:$C),"")</f>
        <v>25000</v>
      </c>
      <c r="CI26" s="8">
        <f>IFERROR(LOOKUP(CI23,Timeseries!$A:$A,Timeseries!$C:$C),"")</f>
        <v>25000</v>
      </c>
      <c r="CJ26" s="8">
        <f>IFERROR(LOOKUP(CJ23,Timeseries!$A:$A,Timeseries!$C:$C),"")</f>
        <v>25000</v>
      </c>
      <c r="CK26" s="8">
        <f>IFERROR(LOOKUP(CK23,Timeseries!$A:$A,Timeseries!$C:$C),"")</f>
        <v>25000</v>
      </c>
      <c r="CL26" s="8">
        <f>IFERROR(LOOKUP(CL23,Timeseries!$A:$A,Timeseries!$C:$C),"")</f>
        <v>25000</v>
      </c>
      <c r="CM26" s="8">
        <f>IFERROR(LOOKUP(CM23,Timeseries!$A:$A,Timeseries!$C:$C),"")</f>
        <v>25000</v>
      </c>
      <c r="CN26" s="8">
        <f>IFERROR(LOOKUP(CN23,Timeseries!$A:$A,Timeseries!$C:$C),"")</f>
        <v>25000</v>
      </c>
      <c r="CO26" s="8">
        <f>IFERROR(LOOKUP(CO23,Timeseries!$A:$A,Timeseries!$C:$C),"")</f>
        <v>25000</v>
      </c>
      <c r="CP26" s="8">
        <f>IFERROR(LOOKUP(CP23,Timeseries!$A:$A,Timeseries!$C:$C),"")</f>
        <v>25000</v>
      </c>
      <c r="CQ26" s="8">
        <f>IFERROR(LOOKUP(CQ23,Timeseries!$A:$A,Timeseries!$C:$C),"")</f>
        <v>25000</v>
      </c>
      <c r="CR26" s="8">
        <f>IFERROR(LOOKUP(CR23,Timeseries!$A:$A,Timeseries!$C:$C),"")</f>
        <v>25000</v>
      </c>
      <c r="CS26" s="8">
        <f>IFERROR(LOOKUP(CS23,Timeseries!$A:$A,Timeseries!$C:$C),"")</f>
        <v>25000</v>
      </c>
      <c r="CT26" s="8">
        <f>IFERROR(LOOKUP(CT23,Timeseries!$A:$A,Timeseries!$C:$C),"")</f>
        <v>25000</v>
      </c>
      <c r="CU26" s="8">
        <f>IFERROR(LOOKUP(CU23,Timeseries!$A:$A,Timeseries!$C:$C),"")</f>
        <v>25000</v>
      </c>
      <c r="CV26" s="8">
        <f>IFERROR(LOOKUP(CV23,Timeseries!$A:$A,Timeseries!$C:$C),"")</f>
        <v>25000</v>
      </c>
      <c r="CW26" s="8">
        <f>IFERROR(LOOKUP(CW23,Timeseries!$A:$A,Timeseries!$C:$C),"")</f>
        <v>25000</v>
      </c>
      <c r="CX26" s="8">
        <f>IFERROR(LOOKUP(CX23,Timeseries!$A:$A,Timeseries!$C:$C),"")</f>
        <v>25000</v>
      </c>
      <c r="CY26" s="8">
        <f>IFERROR(LOOKUP(CY23,Timeseries!$A:$A,Timeseries!$C:$C),"")</f>
        <v>25000</v>
      </c>
      <c r="CZ26" s="8">
        <f>IFERROR(LOOKUP(CZ23,Timeseries!$A:$A,Timeseries!$C:$C),"")</f>
        <v>25000</v>
      </c>
      <c r="DA26" s="8">
        <f>IFERROR(LOOKUP(DA23,Timeseries!$A:$A,Timeseries!$C:$C),"")</f>
        <v>25000</v>
      </c>
      <c r="DB26" s="8">
        <f>IFERROR(LOOKUP(DB23,Timeseries!$A:$A,Timeseries!$C:$C),"")</f>
        <v>25000</v>
      </c>
      <c r="DC26" s="8">
        <f>IFERROR(LOOKUP(DC23,Timeseries!$A:$A,Timeseries!$C:$C),"")</f>
        <v>25000</v>
      </c>
      <c r="DD26" s="8">
        <f>IFERROR(LOOKUP(DD23,Timeseries!$A:$A,Timeseries!$C:$C),"")</f>
        <v>25000</v>
      </c>
      <c r="DE26" s="8">
        <f>IFERROR(LOOKUP(DE23,Timeseries!$A:$A,Timeseries!$C:$C),"")</f>
        <v>25000</v>
      </c>
      <c r="DF26" s="8">
        <f>IFERROR(LOOKUP(DF23,Timeseries!$A:$A,Timeseries!$C:$C),"")</f>
        <v>25000</v>
      </c>
      <c r="DG26" s="8">
        <f>IFERROR(LOOKUP(DG23,Timeseries!$A:$A,Timeseries!$C:$C),"")</f>
        <v>25000</v>
      </c>
      <c r="DH26" s="8">
        <f>IFERROR(LOOKUP(DH23,Timeseries!$A:$A,Timeseries!$C:$C),"")</f>
        <v>25000</v>
      </c>
      <c r="DI26" s="8">
        <f>IFERROR(LOOKUP(DI23,Timeseries!$A:$A,Timeseries!$C:$C),"")</f>
        <v>25000</v>
      </c>
      <c r="DJ26" s="8">
        <f>IFERROR(LOOKUP(DJ23,Timeseries!$A:$A,Timeseries!$C:$C),"")</f>
        <v>25000</v>
      </c>
      <c r="DK26" s="8">
        <f>IFERROR(LOOKUP(DK23,Timeseries!$A:$A,Timeseries!$C:$C),"")</f>
        <v>25000</v>
      </c>
      <c r="DL26" s="8">
        <f>IFERROR(LOOKUP(DL23,Timeseries!$A:$A,Timeseries!$C:$C),"")</f>
        <v>25000</v>
      </c>
      <c r="DM26" s="8">
        <f>IFERROR(LOOKUP(DM23,Timeseries!$A:$A,Timeseries!$C:$C),"")</f>
        <v>25000</v>
      </c>
      <c r="DN26" s="8">
        <f>IFERROR(LOOKUP(DN23,Timeseries!$A:$A,Timeseries!$C:$C),"")</f>
        <v>25000</v>
      </c>
      <c r="DO26" s="8">
        <f>IFERROR(LOOKUP(DO23,Timeseries!$A:$A,Timeseries!$C:$C),"")</f>
        <v>25000</v>
      </c>
      <c r="DP26" s="8">
        <f>IFERROR(LOOKUP(DP23,Timeseries!$A:$A,Timeseries!$C:$C),"")</f>
        <v>25000</v>
      </c>
      <c r="DQ26" s="8">
        <f>IFERROR(LOOKUP(DQ23,Timeseries!$A:$A,Timeseries!$C:$C),"")</f>
        <v>25000</v>
      </c>
      <c r="DR26" s="8">
        <f>IFERROR(LOOKUP(DR23,Timeseries!$A:$A,Timeseries!$C:$C),"")</f>
        <v>25000</v>
      </c>
      <c r="DS26" s="8">
        <f>IFERROR(LOOKUP(DS23,Timeseries!$A:$A,Timeseries!$C:$C),"")</f>
        <v>25000</v>
      </c>
      <c r="DT26" s="8">
        <f>IFERROR(LOOKUP(DT23,Timeseries!$A:$A,Timeseries!$C:$C),"")</f>
        <v>25000</v>
      </c>
      <c r="DU26" s="8">
        <f>IFERROR(LOOKUP(DU23,Timeseries!$A:$A,Timeseries!$C:$C),"")</f>
        <v>25000</v>
      </c>
      <c r="DV26" s="8">
        <f>IFERROR(LOOKUP(DV23,Timeseries!$A:$A,Timeseries!$C:$C),"")</f>
        <v>25000</v>
      </c>
      <c r="DW26" s="8">
        <f>IFERROR(LOOKUP(DW23,Timeseries!$A:$A,Timeseries!$C:$C),"")</f>
        <v>25000</v>
      </c>
      <c r="DX26" s="8">
        <f>IFERROR(LOOKUP(DX23,Timeseries!$A:$A,Timeseries!$C:$C),"")</f>
        <v>25000</v>
      </c>
      <c r="DY26" s="8">
        <f>IFERROR(LOOKUP(DY23,Timeseries!$A:$A,Timeseries!$C:$C),"")</f>
        <v>25000</v>
      </c>
      <c r="DZ26" s="8">
        <f>IFERROR(LOOKUP(DZ23,Timeseries!$A:$A,Timeseries!$C:$C),"")</f>
        <v>25000</v>
      </c>
      <c r="EA26" s="8">
        <f>IFERROR(LOOKUP(EA23,Timeseries!$A:$A,Timeseries!$C:$C),"")</f>
        <v>25000</v>
      </c>
      <c r="EB26" s="8">
        <f>IFERROR(LOOKUP(EB23,Timeseries!$A:$A,Timeseries!$C:$C),"")</f>
        <v>25000</v>
      </c>
      <c r="EC26" s="8">
        <f>IFERROR(LOOKUP(EC23,Timeseries!$A:$A,Timeseries!$C:$C),"")</f>
        <v>25000</v>
      </c>
      <c r="ED26" s="8">
        <f>IFERROR(LOOKUP(ED23,Timeseries!$A:$A,Timeseries!$C:$C),"")</f>
        <v>25000</v>
      </c>
      <c r="EE26" s="8">
        <f>IFERROR(LOOKUP(EE23,Timeseries!$A:$A,Timeseries!$C:$C),"")</f>
        <v>25000</v>
      </c>
      <c r="EF26" s="8">
        <f>IFERROR(LOOKUP(EF23,Timeseries!$A:$A,Timeseries!$C:$C),"")</f>
        <v>25000</v>
      </c>
      <c r="EG26" s="8">
        <f>IFERROR(LOOKUP(EG23,Timeseries!$A:$A,Timeseries!$C:$C),"")</f>
        <v>25000</v>
      </c>
      <c r="EH26" s="8">
        <f>IFERROR(LOOKUP(EH23,Timeseries!$A:$A,Timeseries!$C:$C),"")</f>
        <v>25000</v>
      </c>
      <c r="EI26" s="8">
        <f>IFERROR(LOOKUP(EI23,Timeseries!$A:$A,Timeseries!$C:$C),"")</f>
        <v>25000</v>
      </c>
      <c r="EJ26" s="8">
        <f>IFERROR(LOOKUP(EJ23,Timeseries!$A:$A,Timeseries!$C:$C),"")</f>
        <v>25000</v>
      </c>
      <c r="EK26" s="8">
        <f>IFERROR(LOOKUP(EK23,Timeseries!$A:$A,Timeseries!$C:$C),"")</f>
        <v>25000</v>
      </c>
      <c r="EL26" s="8">
        <f>IFERROR(LOOKUP(EL23,Timeseries!$A:$A,Timeseries!$C:$C),"")</f>
        <v>25000</v>
      </c>
      <c r="EM26" s="8">
        <f>IFERROR(LOOKUP(EM23,Timeseries!$A:$A,Timeseries!$C:$C),"")</f>
        <v>25000</v>
      </c>
      <c r="EN26" s="8">
        <f>IFERROR(LOOKUP(EN23,Timeseries!$A:$A,Timeseries!$C:$C),"")</f>
        <v>25000</v>
      </c>
      <c r="EO26" s="8">
        <f>IFERROR(LOOKUP(EO23,Timeseries!$A:$A,Timeseries!$C:$C),"")</f>
        <v>25000</v>
      </c>
      <c r="EP26" s="8">
        <f>IFERROR(LOOKUP(EP23,Timeseries!$A:$A,Timeseries!$C:$C),"")</f>
        <v>25000</v>
      </c>
      <c r="EQ26" s="8">
        <f>IFERROR(LOOKUP(EQ23,Timeseries!$A:$A,Timeseries!$C:$C),"")</f>
        <v>25000</v>
      </c>
      <c r="ER26" s="8">
        <f>IFERROR(LOOKUP(ER23,Timeseries!$A:$A,Timeseries!$C:$C),"")</f>
        <v>25000</v>
      </c>
      <c r="ES26" s="8">
        <f>IFERROR(LOOKUP(ES23,Timeseries!$A:$A,Timeseries!$C:$C),"")</f>
        <v>25000</v>
      </c>
      <c r="ET26" s="8">
        <f>IFERROR(LOOKUP(ET23,Timeseries!$A:$A,Timeseries!$C:$C),"")</f>
        <v>25000</v>
      </c>
      <c r="EU26" s="8">
        <f>IFERROR(LOOKUP(EU23,Timeseries!$A:$A,Timeseries!$C:$C),"")</f>
        <v>25000</v>
      </c>
      <c r="EV26" s="8">
        <f>IFERROR(LOOKUP(EV23,Timeseries!$A:$A,Timeseries!$C:$C),"")</f>
        <v>25000</v>
      </c>
      <c r="EW26" s="8">
        <f>IFERROR(LOOKUP(EW23,Timeseries!$A:$A,Timeseries!$C:$C),"")</f>
        <v>25000</v>
      </c>
      <c r="EX26" s="8">
        <f>IFERROR(LOOKUP(EX23,Timeseries!$A:$A,Timeseries!$C:$C),"")</f>
        <v>25000</v>
      </c>
      <c r="EY26" s="8">
        <f>IFERROR(LOOKUP(EY23,Timeseries!$A:$A,Timeseries!$C:$C),"")</f>
        <v>25000</v>
      </c>
      <c r="EZ26" s="8">
        <f>IFERROR(LOOKUP(EZ23,Timeseries!$A:$A,Timeseries!$C:$C),"")</f>
        <v>25000</v>
      </c>
      <c r="FA26" s="8">
        <f>IFERROR(LOOKUP(FA23,Timeseries!$A:$A,Timeseries!$C:$C),"")</f>
        <v>25000</v>
      </c>
      <c r="FB26" s="8">
        <f>IFERROR(LOOKUP(FB23,Timeseries!$A:$A,Timeseries!$C:$C),"")</f>
        <v>25000</v>
      </c>
      <c r="FC26" s="8">
        <f>IFERROR(LOOKUP(FC23,Timeseries!$A:$A,Timeseries!$C:$C),"")</f>
        <v>25000</v>
      </c>
      <c r="FD26" s="8">
        <f>IFERROR(LOOKUP(FD23,Timeseries!$A:$A,Timeseries!$C:$C),"")</f>
        <v>25000</v>
      </c>
      <c r="FE26" s="8">
        <f>IFERROR(LOOKUP(FE23,Timeseries!$A:$A,Timeseries!$C:$C),"")</f>
        <v>25000</v>
      </c>
      <c r="FF26" s="8">
        <f>IFERROR(LOOKUP(FF23,Timeseries!$A:$A,Timeseries!$C:$C),"")</f>
        <v>25000</v>
      </c>
      <c r="FG26" s="8">
        <f>IFERROR(LOOKUP(FG23,Timeseries!$A:$A,Timeseries!$C:$C),"")</f>
        <v>25000</v>
      </c>
      <c r="FH26" s="8">
        <f>IFERROR(LOOKUP(FH23,Timeseries!$A:$A,Timeseries!$C:$C),"")</f>
        <v>25000</v>
      </c>
      <c r="FI26" s="8">
        <f>IFERROR(LOOKUP(FI23,Timeseries!$A:$A,Timeseries!$C:$C),"")</f>
        <v>25000</v>
      </c>
      <c r="FJ26" s="8">
        <f>IFERROR(LOOKUP(FJ23,Timeseries!$A:$A,Timeseries!$C:$C),"")</f>
        <v>25000</v>
      </c>
      <c r="FK26" s="8">
        <f>IFERROR(LOOKUP(FK23,Timeseries!$A:$A,Timeseries!$C:$C),"")</f>
        <v>25000</v>
      </c>
      <c r="FL26" s="8">
        <f>IFERROR(LOOKUP(FL23,Timeseries!$A:$A,Timeseries!$C:$C),"")</f>
        <v>25000</v>
      </c>
      <c r="FM26" s="8">
        <f>IFERROR(LOOKUP(FM23,Timeseries!$A:$A,Timeseries!$C:$C),"")</f>
        <v>25000</v>
      </c>
      <c r="FN26" s="8">
        <f>IFERROR(LOOKUP(FN23,Timeseries!$A:$A,Timeseries!$C:$C),"")</f>
        <v>25000</v>
      </c>
      <c r="FO26" s="8">
        <f>IFERROR(LOOKUP(FO23,Timeseries!$A:$A,Timeseries!$C:$C),"")</f>
        <v>25000</v>
      </c>
      <c r="FP26" s="8">
        <f>IFERROR(LOOKUP(FP23,Timeseries!$A:$A,Timeseries!$C:$C),"")</f>
        <v>25000</v>
      </c>
      <c r="FQ26" s="8">
        <f>IFERROR(LOOKUP(FQ23,Timeseries!$A:$A,Timeseries!$C:$C),"")</f>
        <v>25000</v>
      </c>
      <c r="FR26" s="8">
        <f>IFERROR(LOOKUP(FR23,Timeseries!$A:$A,Timeseries!$C:$C),"")</f>
        <v>25000</v>
      </c>
      <c r="FS26" s="52">
        <f>IFERROR(LOOKUP(FS23,Timeseries!$A:$A,Timeseries!$C:$C),"")</f>
        <v>25000</v>
      </c>
    </row>
    <row r="27" spans="1:16384">
      <c r="D27" s="17" t="s">
        <v>216</v>
      </c>
      <c r="E27" s="2" t="s">
        <v>219</v>
      </c>
      <c r="F27" s="8" t="s">
        <v>154</v>
      </c>
      <c r="G27" s="2"/>
      <c r="H27" s="8">
        <f>IFERROR(LOOKUP(H$23,Timeseries!$A:$A,Timeseries!$B:$B),"")</f>
        <v>5000</v>
      </c>
      <c r="I27" s="8">
        <f>IFERROR(LOOKUP(I$23,Timeseries!$A:$A,Timeseries!$B:$B),"")</f>
        <v>5000</v>
      </c>
      <c r="J27" s="8">
        <f>IFERROR(LOOKUP(J$23,Timeseries!$A:$A,Timeseries!$B:$B),"")</f>
        <v>5000</v>
      </c>
      <c r="K27" s="8">
        <f>IFERROR(LOOKUP(K$23,Timeseries!$A:$A,Timeseries!$B:$B),"")</f>
        <v>5000</v>
      </c>
      <c r="L27" s="8">
        <f>IFERROR(LOOKUP(L$23,Timeseries!$A:$A,Timeseries!$B:$B),"")</f>
        <v>5000</v>
      </c>
      <c r="M27" s="8">
        <f>IFERROR(LOOKUP(M$23,Timeseries!$A:$A,Timeseries!$B:$B),"")</f>
        <v>5000</v>
      </c>
      <c r="N27" s="8">
        <f>IFERROR(LOOKUP(N$23,Timeseries!$A:$A,Timeseries!$B:$B),"")</f>
        <v>8000</v>
      </c>
      <c r="O27" s="8">
        <f>IFERROR(LOOKUP(O$23,Timeseries!$A:$A,Timeseries!$B:$B),"")</f>
        <v>8000</v>
      </c>
      <c r="P27" s="8">
        <f>IFERROR(LOOKUP(P$23,Timeseries!$A:$A,Timeseries!$B:$B),"")</f>
        <v>8000</v>
      </c>
      <c r="Q27" s="8">
        <f>IFERROR(LOOKUP(Q$23,Timeseries!$A:$A,Timeseries!$B:$B),"")</f>
        <v>8000</v>
      </c>
      <c r="R27" s="8">
        <f>IFERROR(LOOKUP(R$23,Timeseries!$A:$A,Timeseries!$B:$B),"")</f>
        <v>8000</v>
      </c>
      <c r="S27" s="8">
        <f>IFERROR(LOOKUP(S$23,Timeseries!$A:$A,Timeseries!$B:$B),"")</f>
        <v>8000</v>
      </c>
      <c r="T27" s="8">
        <f>IFERROR(LOOKUP(T$23,Timeseries!$A:$A,Timeseries!$B:$B),"")</f>
        <v>8000</v>
      </c>
      <c r="U27" s="8">
        <f>IFERROR(LOOKUP(U$23,Timeseries!$A:$A,Timeseries!$B:$B),"")</f>
        <v>8000</v>
      </c>
      <c r="V27" s="8">
        <f>IFERROR(LOOKUP(V$23,Timeseries!$A:$A,Timeseries!$B:$B),"")</f>
        <v>8000</v>
      </c>
      <c r="W27" s="8">
        <f>IFERROR(LOOKUP(W$23,Timeseries!$A:$A,Timeseries!$B:$B),"")</f>
        <v>8000</v>
      </c>
      <c r="X27" s="8">
        <f>IFERROR(LOOKUP(X$23,Timeseries!$A:$A,Timeseries!$B:$B),"")</f>
        <v>8000</v>
      </c>
      <c r="Y27" s="8">
        <f>IFERROR(LOOKUP(Y$23,Timeseries!$A:$A,Timeseries!$B:$B),"")</f>
        <v>8000</v>
      </c>
      <c r="Z27" s="8">
        <f>IFERROR(LOOKUP(Z$23,Timeseries!$A:$A,Timeseries!$B:$B),"")</f>
        <v>5000</v>
      </c>
      <c r="AA27" s="8">
        <f>IFERROR(LOOKUP(AA$23,Timeseries!$A:$A,Timeseries!$B:$B),"")</f>
        <v>5000</v>
      </c>
      <c r="AB27" s="8">
        <f>IFERROR(LOOKUP(AB$23,Timeseries!$A:$A,Timeseries!$B:$B),"")</f>
        <v>5000</v>
      </c>
      <c r="AC27" s="8">
        <f>IFERROR(LOOKUP(AC$23,Timeseries!$A:$A,Timeseries!$B:$B),"")</f>
        <v>5000</v>
      </c>
      <c r="AD27" s="8">
        <f>IFERROR(LOOKUP(AD$23,Timeseries!$A:$A,Timeseries!$B:$B),"")</f>
        <v>5000</v>
      </c>
      <c r="AE27" s="8">
        <f>IFERROR(LOOKUP(AE$23,Timeseries!$A:$A,Timeseries!$B:$B),"")</f>
        <v>5000</v>
      </c>
      <c r="AF27" s="8">
        <f>IFERROR(LOOKUP(AF$23,Timeseries!$A:$A,Timeseries!$B:$B),"")</f>
        <v>5000</v>
      </c>
      <c r="AG27" s="8">
        <f>IFERROR(LOOKUP(AG$23,Timeseries!$A:$A,Timeseries!$B:$B),"")</f>
        <v>5000</v>
      </c>
      <c r="AH27" s="8">
        <f>IFERROR(LOOKUP(AH$23,Timeseries!$A:$A,Timeseries!$B:$B),"")</f>
        <v>5000</v>
      </c>
      <c r="AI27" s="8">
        <f>IFERROR(LOOKUP(AI$23,Timeseries!$A:$A,Timeseries!$B:$B),"")</f>
        <v>5000</v>
      </c>
      <c r="AJ27" s="8">
        <f>IFERROR(LOOKUP(AJ$23,Timeseries!$A:$A,Timeseries!$B:$B),"")</f>
        <v>5000</v>
      </c>
      <c r="AK27" s="8">
        <f>IFERROR(LOOKUP(AK$23,Timeseries!$A:$A,Timeseries!$B:$B),"")</f>
        <v>5000</v>
      </c>
      <c r="AL27" s="8">
        <f>IFERROR(LOOKUP(AL$23,Timeseries!$A:$A,Timeseries!$B:$B),"")</f>
        <v>8000</v>
      </c>
      <c r="AM27" s="8">
        <f>IFERROR(LOOKUP(AM$23,Timeseries!$A:$A,Timeseries!$B:$B),"")</f>
        <v>8000</v>
      </c>
      <c r="AN27" s="8">
        <f>IFERROR(LOOKUP(AN$23,Timeseries!$A:$A,Timeseries!$B:$B),"")</f>
        <v>8000</v>
      </c>
      <c r="AO27" s="8">
        <f>IFERROR(LOOKUP(AO$23,Timeseries!$A:$A,Timeseries!$B:$B),"")</f>
        <v>8000</v>
      </c>
      <c r="AP27" s="8">
        <f>IFERROR(LOOKUP(AP$23,Timeseries!$A:$A,Timeseries!$B:$B),"")</f>
        <v>8000</v>
      </c>
      <c r="AQ27" s="8">
        <f>IFERROR(LOOKUP(AQ$23,Timeseries!$A:$A,Timeseries!$B:$B),"")</f>
        <v>8000</v>
      </c>
      <c r="AR27" s="8">
        <f>IFERROR(LOOKUP(AR$23,Timeseries!$A:$A,Timeseries!$B:$B),"")</f>
        <v>8000</v>
      </c>
      <c r="AS27" s="8">
        <f>IFERROR(LOOKUP(AS$23,Timeseries!$A:$A,Timeseries!$B:$B),"")</f>
        <v>8000</v>
      </c>
      <c r="AT27" s="8">
        <f>IFERROR(LOOKUP(AT$23,Timeseries!$A:$A,Timeseries!$B:$B),"")</f>
        <v>8000</v>
      </c>
      <c r="AU27" s="8">
        <f>IFERROR(LOOKUP(AU$23,Timeseries!$A:$A,Timeseries!$B:$B),"")</f>
        <v>8000</v>
      </c>
      <c r="AV27" s="8">
        <f>IFERROR(LOOKUP(AV$23,Timeseries!$A:$A,Timeseries!$B:$B),"")</f>
        <v>8000</v>
      </c>
      <c r="AW27" s="8">
        <f>IFERROR(LOOKUP(AW$23,Timeseries!$A:$A,Timeseries!$B:$B),"")</f>
        <v>8000</v>
      </c>
      <c r="AX27" s="8">
        <f>IFERROR(LOOKUP(AX$23,Timeseries!$A:$A,Timeseries!$B:$B),"")</f>
        <v>5000</v>
      </c>
      <c r="AY27" s="8">
        <f>IFERROR(LOOKUP(AY$23,Timeseries!$A:$A,Timeseries!$B:$B),"")</f>
        <v>5000</v>
      </c>
      <c r="AZ27" s="8">
        <f>IFERROR(LOOKUP(AZ$23,Timeseries!$A:$A,Timeseries!$B:$B),"")</f>
        <v>5000</v>
      </c>
      <c r="BA27" s="8">
        <f>IFERROR(LOOKUP(BA$23,Timeseries!$A:$A,Timeseries!$B:$B),"")</f>
        <v>5000</v>
      </c>
      <c r="BB27" s="8">
        <f>IFERROR(LOOKUP(BB$23,Timeseries!$A:$A,Timeseries!$B:$B),"")</f>
        <v>5000</v>
      </c>
      <c r="BC27" s="8">
        <f>IFERROR(LOOKUP(BC$23,Timeseries!$A:$A,Timeseries!$B:$B),"")</f>
        <v>5000</v>
      </c>
      <c r="BD27" s="8">
        <f>IFERROR(LOOKUP(BD$23,Timeseries!$A:$A,Timeseries!$B:$B),"")</f>
        <v>5000</v>
      </c>
      <c r="BE27" s="8">
        <f>IFERROR(LOOKUP(BE$23,Timeseries!$A:$A,Timeseries!$B:$B),"")</f>
        <v>5000</v>
      </c>
      <c r="BF27" s="8">
        <f>IFERROR(LOOKUP(BF$23,Timeseries!$A:$A,Timeseries!$B:$B),"")</f>
        <v>5000</v>
      </c>
      <c r="BG27" s="8">
        <f>IFERROR(LOOKUP(BG$23,Timeseries!$A:$A,Timeseries!$B:$B),"")</f>
        <v>5000</v>
      </c>
      <c r="BH27" s="8">
        <f>IFERROR(LOOKUP(BH$23,Timeseries!$A:$A,Timeseries!$B:$B),"")</f>
        <v>5000</v>
      </c>
      <c r="BI27" s="8">
        <f>IFERROR(LOOKUP(BI$23,Timeseries!$A:$A,Timeseries!$B:$B),"")</f>
        <v>5000</v>
      </c>
      <c r="BJ27" s="8">
        <f>IFERROR(LOOKUP(BJ$23,Timeseries!$A:$A,Timeseries!$B:$B),"")</f>
        <v>8000</v>
      </c>
      <c r="BK27" s="8">
        <f>IFERROR(LOOKUP(BK$23,Timeseries!$A:$A,Timeseries!$B:$B),"")</f>
        <v>8000</v>
      </c>
      <c r="BL27" s="8">
        <f>IFERROR(LOOKUP(BL$23,Timeseries!$A:$A,Timeseries!$B:$B),"")</f>
        <v>8000</v>
      </c>
      <c r="BM27" s="8">
        <f>IFERROR(LOOKUP(BM$23,Timeseries!$A:$A,Timeseries!$B:$B),"")</f>
        <v>8000</v>
      </c>
      <c r="BN27" s="8">
        <f>IFERROR(LOOKUP(BN$23,Timeseries!$A:$A,Timeseries!$B:$B),"")</f>
        <v>8000</v>
      </c>
      <c r="BO27" s="8">
        <f>IFERROR(LOOKUP(BO$23,Timeseries!$A:$A,Timeseries!$B:$B),"")</f>
        <v>8000</v>
      </c>
      <c r="BP27" s="8">
        <f>IFERROR(LOOKUP(BP$23,Timeseries!$A:$A,Timeseries!$B:$B),"")</f>
        <v>8000</v>
      </c>
      <c r="BQ27" s="8">
        <f>IFERROR(LOOKUP(BQ$23,Timeseries!$A:$A,Timeseries!$B:$B),"")</f>
        <v>8000</v>
      </c>
      <c r="BR27" s="8">
        <f>IFERROR(LOOKUP(BR$23,Timeseries!$A:$A,Timeseries!$B:$B),"")</f>
        <v>8000</v>
      </c>
      <c r="BS27" s="8">
        <f>IFERROR(LOOKUP(BS$23,Timeseries!$A:$A,Timeseries!$B:$B),"")</f>
        <v>8000</v>
      </c>
      <c r="BT27" s="8">
        <f>IFERROR(LOOKUP(BT$23,Timeseries!$A:$A,Timeseries!$B:$B),"")</f>
        <v>8000</v>
      </c>
      <c r="BU27" s="8">
        <f>IFERROR(LOOKUP(BU$23,Timeseries!$A:$A,Timeseries!$B:$B),"")</f>
        <v>8000</v>
      </c>
      <c r="BV27" s="8">
        <f>IFERROR(LOOKUP(BV$23,Timeseries!$A:$A,Timeseries!$B:$B),"")</f>
        <v>5000</v>
      </c>
      <c r="BW27" s="8">
        <f>IFERROR(LOOKUP(BW$23,Timeseries!$A:$A,Timeseries!$B:$B),"")</f>
        <v>5000</v>
      </c>
      <c r="BX27" s="8">
        <f>IFERROR(LOOKUP(BX$23,Timeseries!$A:$A,Timeseries!$B:$B),"")</f>
        <v>5000</v>
      </c>
      <c r="BY27" s="8">
        <f>IFERROR(LOOKUP(BY$23,Timeseries!$A:$A,Timeseries!$B:$B),"")</f>
        <v>5000</v>
      </c>
      <c r="BZ27" s="8">
        <f>IFERROR(LOOKUP(BZ$23,Timeseries!$A:$A,Timeseries!$B:$B),"")</f>
        <v>5000</v>
      </c>
      <c r="CA27" s="8">
        <f>IFERROR(LOOKUP(CA$23,Timeseries!$A:$A,Timeseries!$B:$B),"")</f>
        <v>5000</v>
      </c>
      <c r="CB27" s="8">
        <f>IFERROR(LOOKUP(CB$23,Timeseries!$A:$A,Timeseries!$B:$B),"")</f>
        <v>5000</v>
      </c>
      <c r="CC27" s="8">
        <f>IFERROR(LOOKUP(CC$23,Timeseries!$A:$A,Timeseries!$B:$B),"")</f>
        <v>5000</v>
      </c>
      <c r="CD27" s="8">
        <f>IFERROR(LOOKUP(CD$23,Timeseries!$A:$A,Timeseries!$B:$B),"")</f>
        <v>5000</v>
      </c>
      <c r="CE27" s="8">
        <f>IFERROR(LOOKUP(CE$23,Timeseries!$A:$A,Timeseries!$B:$B),"")</f>
        <v>5000</v>
      </c>
      <c r="CF27" s="8">
        <f>IFERROR(LOOKUP(CF$23,Timeseries!$A:$A,Timeseries!$B:$B),"")</f>
        <v>5000</v>
      </c>
      <c r="CG27" s="8">
        <f>IFERROR(LOOKUP(CG$23,Timeseries!$A:$A,Timeseries!$B:$B),"")</f>
        <v>5000</v>
      </c>
      <c r="CH27" s="8">
        <f>IFERROR(LOOKUP(CH$23,Timeseries!$A:$A,Timeseries!$B:$B),"")</f>
        <v>8000</v>
      </c>
      <c r="CI27" s="8">
        <f>IFERROR(LOOKUP(CI$23,Timeseries!$A:$A,Timeseries!$B:$B),"")</f>
        <v>8000</v>
      </c>
      <c r="CJ27" s="8">
        <f>IFERROR(LOOKUP(CJ$23,Timeseries!$A:$A,Timeseries!$B:$B),"")</f>
        <v>8000</v>
      </c>
      <c r="CK27" s="8">
        <f>IFERROR(LOOKUP(CK$23,Timeseries!$A:$A,Timeseries!$B:$B),"")</f>
        <v>8000</v>
      </c>
      <c r="CL27" s="8">
        <f>IFERROR(LOOKUP(CL$23,Timeseries!$A:$A,Timeseries!$B:$B),"")</f>
        <v>8000</v>
      </c>
      <c r="CM27" s="8">
        <f>IFERROR(LOOKUP(CM$23,Timeseries!$A:$A,Timeseries!$B:$B),"")</f>
        <v>8000</v>
      </c>
      <c r="CN27" s="8">
        <f>IFERROR(LOOKUP(CN$23,Timeseries!$A:$A,Timeseries!$B:$B),"")</f>
        <v>8000</v>
      </c>
      <c r="CO27" s="8">
        <f>IFERROR(LOOKUP(CO$23,Timeseries!$A:$A,Timeseries!$B:$B),"")</f>
        <v>8000</v>
      </c>
      <c r="CP27" s="8">
        <f>IFERROR(LOOKUP(CP$23,Timeseries!$A:$A,Timeseries!$B:$B),"")</f>
        <v>8000</v>
      </c>
      <c r="CQ27" s="8">
        <f>IFERROR(LOOKUP(CQ$23,Timeseries!$A:$A,Timeseries!$B:$B),"")</f>
        <v>8000</v>
      </c>
      <c r="CR27" s="8">
        <f>IFERROR(LOOKUP(CR$23,Timeseries!$A:$A,Timeseries!$B:$B),"")</f>
        <v>8000</v>
      </c>
      <c r="CS27" s="8">
        <f>IFERROR(LOOKUP(CS$23,Timeseries!$A:$A,Timeseries!$B:$B),"")</f>
        <v>8000</v>
      </c>
      <c r="CT27" s="8">
        <f>IFERROR(LOOKUP(CT$23,Timeseries!$A:$A,Timeseries!$B:$B),"")</f>
        <v>5000</v>
      </c>
      <c r="CU27" s="8">
        <f>IFERROR(LOOKUP(CU$23,Timeseries!$A:$A,Timeseries!$B:$B),"")</f>
        <v>5000</v>
      </c>
      <c r="CV27" s="8">
        <f>IFERROR(LOOKUP(CV$23,Timeseries!$A:$A,Timeseries!$B:$B),"")</f>
        <v>5000</v>
      </c>
      <c r="CW27" s="8">
        <f>IFERROR(LOOKUP(CW$23,Timeseries!$A:$A,Timeseries!$B:$B),"")</f>
        <v>5000</v>
      </c>
      <c r="CX27" s="8">
        <f>IFERROR(LOOKUP(CX$23,Timeseries!$A:$A,Timeseries!$B:$B),"")</f>
        <v>5000</v>
      </c>
      <c r="CY27" s="8">
        <f>IFERROR(LOOKUP(CY$23,Timeseries!$A:$A,Timeseries!$B:$B),"")</f>
        <v>5000</v>
      </c>
      <c r="CZ27" s="8">
        <f>IFERROR(LOOKUP(CZ$23,Timeseries!$A:$A,Timeseries!$B:$B),"")</f>
        <v>5000</v>
      </c>
      <c r="DA27" s="8">
        <f>IFERROR(LOOKUP(DA$23,Timeseries!$A:$A,Timeseries!$B:$B),"")</f>
        <v>5000</v>
      </c>
      <c r="DB27" s="8">
        <f>IFERROR(LOOKUP(DB$23,Timeseries!$A:$A,Timeseries!$B:$B),"")</f>
        <v>5000</v>
      </c>
      <c r="DC27" s="8">
        <f>IFERROR(LOOKUP(DC$23,Timeseries!$A:$A,Timeseries!$B:$B),"")</f>
        <v>5000</v>
      </c>
      <c r="DD27" s="8">
        <f>IFERROR(LOOKUP(DD$23,Timeseries!$A:$A,Timeseries!$B:$B),"")</f>
        <v>5000</v>
      </c>
      <c r="DE27" s="8">
        <f>IFERROR(LOOKUP(DE$23,Timeseries!$A:$A,Timeseries!$B:$B),"")</f>
        <v>5000</v>
      </c>
      <c r="DF27" s="8">
        <f>IFERROR(LOOKUP(DF$23,Timeseries!$A:$A,Timeseries!$B:$B),"")</f>
        <v>8000</v>
      </c>
      <c r="DG27" s="8">
        <f>IFERROR(LOOKUP(DG$23,Timeseries!$A:$A,Timeseries!$B:$B),"")</f>
        <v>8000</v>
      </c>
      <c r="DH27" s="8">
        <f>IFERROR(LOOKUP(DH$23,Timeseries!$A:$A,Timeseries!$B:$B),"")</f>
        <v>8000</v>
      </c>
      <c r="DI27" s="8">
        <f>IFERROR(LOOKUP(DI$23,Timeseries!$A:$A,Timeseries!$B:$B),"")</f>
        <v>8000</v>
      </c>
      <c r="DJ27" s="8">
        <f>IFERROR(LOOKUP(DJ$23,Timeseries!$A:$A,Timeseries!$B:$B),"")</f>
        <v>8000</v>
      </c>
      <c r="DK27" s="8">
        <f>IFERROR(LOOKUP(DK$23,Timeseries!$A:$A,Timeseries!$B:$B),"")</f>
        <v>8000</v>
      </c>
      <c r="DL27" s="8">
        <f>IFERROR(LOOKUP(DL$23,Timeseries!$A:$A,Timeseries!$B:$B),"")</f>
        <v>8000</v>
      </c>
      <c r="DM27" s="8">
        <f>IFERROR(LOOKUP(DM$23,Timeseries!$A:$A,Timeseries!$B:$B),"")</f>
        <v>8000</v>
      </c>
      <c r="DN27" s="8">
        <f>IFERROR(LOOKUP(DN$23,Timeseries!$A:$A,Timeseries!$B:$B),"")</f>
        <v>8000</v>
      </c>
      <c r="DO27" s="8">
        <f>IFERROR(LOOKUP(DO$23,Timeseries!$A:$A,Timeseries!$B:$B),"")</f>
        <v>8000</v>
      </c>
      <c r="DP27" s="8">
        <f>IFERROR(LOOKUP(DP$23,Timeseries!$A:$A,Timeseries!$B:$B),"")</f>
        <v>8000</v>
      </c>
      <c r="DQ27" s="8">
        <f>IFERROR(LOOKUP(DQ$23,Timeseries!$A:$A,Timeseries!$B:$B),"")</f>
        <v>8000</v>
      </c>
      <c r="DR27" s="8">
        <f>IFERROR(LOOKUP(DR$23,Timeseries!$A:$A,Timeseries!$B:$B),"")</f>
        <v>5000</v>
      </c>
      <c r="DS27" s="8">
        <f>IFERROR(LOOKUP(DS$23,Timeseries!$A:$A,Timeseries!$B:$B),"")</f>
        <v>5000</v>
      </c>
      <c r="DT27" s="8">
        <f>IFERROR(LOOKUP(DT$23,Timeseries!$A:$A,Timeseries!$B:$B),"")</f>
        <v>5000</v>
      </c>
      <c r="DU27" s="8">
        <f>IFERROR(LOOKUP(DU$23,Timeseries!$A:$A,Timeseries!$B:$B),"")</f>
        <v>5000</v>
      </c>
      <c r="DV27" s="8">
        <f>IFERROR(LOOKUP(DV$23,Timeseries!$A:$A,Timeseries!$B:$B),"")</f>
        <v>5000</v>
      </c>
      <c r="DW27" s="8">
        <f>IFERROR(LOOKUP(DW$23,Timeseries!$A:$A,Timeseries!$B:$B),"")</f>
        <v>5000</v>
      </c>
      <c r="DX27" s="8">
        <f>IFERROR(LOOKUP(DX$23,Timeseries!$A:$A,Timeseries!$B:$B),"")</f>
        <v>5000</v>
      </c>
      <c r="DY27" s="8">
        <f>IFERROR(LOOKUP(DY$23,Timeseries!$A:$A,Timeseries!$B:$B),"")</f>
        <v>5000</v>
      </c>
      <c r="DZ27" s="8">
        <f>IFERROR(LOOKUP(DZ$23,Timeseries!$A:$A,Timeseries!$B:$B),"")</f>
        <v>5000</v>
      </c>
      <c r="EA27" s="8">
        <f>IFERROR(LOOKUP(EA$23,Timeseries!$A:$A,Timeseries!$B:$B),"")</f>
        <v>5000</v>
      </c>
      <c r="EB27" s="8">
        <f>IFERROR(LOOKUP(EB$23,Timeseries!$A:$A,Timeseries!$B:$B),"")</f>
        <v>5000</v>
      </c>
      <c r="EC27" s="8">
        <f>IFERROR(LOOKUP(EC$23,Timeseries!$A:$A,Timeseries!$B:$B),"")</f>
        <v>5000</v>
      </c>
      <c r="ED27" s="8">
        <f>IFERROR(LOOKUP(ED$23,Timeseries!$A:$A,Timeseries!$B:$B),"")</f>
        <v>8000</v>
      </c>
      <c r="EE27" s="8">
        <f>IFERROR(LOOKUP(EE$23,Timeseries!$A:$A,Timeseries!$B:$B),"")</f>
        <v>8000</v>
      </c>
      <c r="EF27" s="8">
        <f>IFERROR(LOOKUP(EF$23,Timeseries!$A:$A,Timeseries!$B:$B),"")</f>
        <v>8000</v>
      </c>
      <c r="EG27" s="8">
        <f>IFERROR(LOOKUP(EG$23,Timeseries!$A:$A,Timeseries!$B:$B),"")</f>
        <v>8000</v>
      </c>
      <c r="EH27" s="8">
        <f>IFERROR(LOOKUP(EH$23,Timeseries!$A:$A,Timeseries!$B:$B),"")</f>
        <v>8000</v>
      </c>
      <c r="EI27" s="8">
        <f>IFERROR(LOOKUP(EI$23,Timeseries!$A:$A,Timeseries!$B:$B),"")</f>
        <v>8000</v>
      </c>
      <c r="EJ27" s="8">
        <f>IFERROR(LOOKUP(EJ$23,Timeseries!$A:$A,Timeseries!$B:$B),"")</f>
        <v>8000</v>
      </c>
      <c r="EK27" s="8">
        <f>IFERROR(LOOKUP(EK$23,Timeseries!$A:$A,Timeseries!$B:$B),"")</f>
        <v>8000</v>
      </c>
      <c r="EL27" s="8">
        <f>IFERROR(LOOKUP(EL$23,Timeseries!$A:$A,Timeseries!$B:$B),"")</f>
        <v>8000</v>
      </c>
      <c r="EM27" s="8">
        <f>IFERROR(LOOKUP(EM$23,Timeseries!$A:$A,Timeseries!$B:$B),"")</f>
        <v>8000</v>
      </c>
      <c r="EN27" s="8">
        <f>IFERROR(LOOKUP(EN$23,Timeseries!$A:$A,Timeseries!$B:$B),"")</f>
        <v>8000</v>
      </c>
      <c r="EO27" s="8">
        <f>IFERROR(LOOKUP(EO$23,Timeseries!$A:$A,Timeseries!$B:$B),"")</f>
        <v>8000</v>
      </c>
      <c r="EP27" s="8">
        <f>IFERROR(LOOKUP(EP$23,Timeseries!$A:$A,Timeseries!$B:$B),"")</f>
        <v>5000</v>
      </c>
      <c r="EQ27" s="8">
        <f>IFERROR(LOOKUP(EQ$23,Timeseries!$A:$A,Timeseries!$B:$B),"")</f>
        <v>5000</v>
      </c>
      <c r="ER27" s="8">
        <f>IFERROR(LOOKUP(ER$23,Timeseries!$A:$A,Timeseries!$B:$B),"")</f>
        <v>5000</v>
      </c>
      <c r="ES27" s="8">
        <f>IFERROR(LOOKUP(ES$23,Timeseries!$A:$A,Timeseries!$B:$B),"")</f>
        <v>5000</v>
      </c>
      <c r="ET27" s="8">
        <f>IFERROR(LOOKUP(ET$23,Timeseries!$A:$A,Timeseries!$B:$B),"")</f>
        <v>5000</v>
      </c>
      <c r="EU27" s="8">
        <f>IFERROR(LOOKUP(EU$23,Timeseries!$A:$A,Timeseries!$B:$B),"")</f>
        <v>5000</v>
      </c>
      <c r="EV27" s="8">
        <f>IFERROR(LOOKUP(EV$23,Timeseries!$A:$A,Timeseries!$B:$B),"")</f>
        <v>5000</v>
      </c>
      <c r="EW27" s="8">
        <f>IFERROR(LOOKUP(EW$23,Timeseries!$A:$A,Timeseries!$B:$B),"")</f>
        <v>5000</v>
      </c>
      <c r="EX27" s="8">
        <f>IFERROR(LOOKUP(EX$23,Timeseries!$A:$A,Timeseries!$B:$B),"")</f>
        <v>5000</v>
      </c>
      <c r="EY27" s="8">
        <f>IFERROR(LOOKUP(EY$23,Timeseries!$A:$A,Timeseries!$B:$B),"")</f>
        <v>5000</v>
      </c>
      <c r="EZ27" s="8">
        <f>IFERROR(LOOKUP(EZ$23,Timeseries!$A:$A,Timeseries!$B:$B),"")</f>
        <v>5000</v>
      </c>
      <c r="FA27" s="8">
        <f>IFERROR(LOOKUP(FA$23,Timeseries!$A:$A,Timeseries!$B:$B),"")</f>
        <v>5000</v>
      </c>
      <c r="FB27" s="8">
        <f>IFERROR(LOOKUP(FB$23,Timeseries!$A:$A,Timeseries!$B:$B),"")</f>
        <v>8000</v>
      </c>
      <c r="FC27" s="8">
        <f>IFERROR(LOOKUP(FC$23,Timeseries!$A:$A,Timeseries!$B:$B),"")</f>
        <v>8000</v>
      </c>
      <c r="FD27" s="8">
        <f>IFERROR(LOOKUP(FD$23,Timeseries!$A:$A,Timeseries!$B:$B),"")</f>
        <v>8000</v>
      </c>
      <c r="FE27" s="8">
        <f>IFERROR(LOOKUP(FE$23,Timeseries!$A:$A,Timeseries!$B:$B),"")</f>
        <v>8000</v>
      </c>
      <c r="FF27" s="8">
        <f>IFERROR(LOOKUP(FF$23,Timeseries!$A:$A,Timeseries!$B:$B),"")</f>
        <v>8000</v>
      </c>
      <c r="FG27" s="8">
        <f>IFERROR(LOOKUP(FG$23,Timeseries!$A:$A,Timeseries!$B:$B),"")</f>
        <v>8000</v>
      </c>
      <c r="FH27" s="8">
        <f>IFERROR(LOOKUP(FH$23,Timeseries!$A:$A,Timeseries!$B:$B),"")</f>
        <v>8000</v>
      </c>
      <c r="FI27" s="8">
        <f>IFERROR(LOOKUP(FI$23,Timeseries!$A:$A,Timeseries!$B:$B),"")</f>
        <v>8000</v>
      </c>
      <c r="FJ27" s="8">
        <f>IFERROR(LOOKUP(FJ$23,Timeseries!$A:$A,Timeseries!$B:$B),"")</f>
        <v>8000</v>
      </c>
      <c r="FK27" s="8">
        <f>IFERROR(LOOKUP(FK$23,Timeseries!$A:$A,Timeseries!$B:$B),"")</f>
        <v>8000</v>
      </c>
      <c r="FL27" s="8">
        <f>IFERROR(LOOKUP(FL$23,Timeseries!$A:$A,Timeseries!$B:$B),"")</f>
        <v>8000</v>
      </c>
      <c r="FM27" s="8">
        <f>IFERROR(LOOKUP(FM$23,Timeseries!$A:$A,Timeseries!$B:$B),"")</f>
        <v>8000</v>
      </c>
      <c r="FN27" s="8">
        <f>IFERROR(LOOKUP(FN$23,Timeseries!$A:$A,Timeseries!$B:$B),"")</f>
        <v>5000</v>
      </c>
      <c r="FO27" s="8">
        <f>IFERROR(LOOKUP(FO$23,Timeseries!$A:$A,Timeseries!$B:$B),"")</f>
        <v>5000</v>
      </c>
      <c r="FP27" s="8">
        <f>IFERROR(LOOKUP(FP$23,Timeseries!$A:$A,Timeseries!$B:$B),"")</f>
        <v>5000</v>
      </c>
      <c r="FQ27" s="8">
        <f>IFERROR(LOOKUP(FQ$23,Timeseries!$A:$A,Timeseries!$B:$B),"")</f>
        <v>5000</v>
      </c>
      <c r="FR27" s="8">
        <f>IFERROR(LOOKUP(FR$23,Timeseries!$A:$A,Timeseries!$B:$B),"")</f>
        <v>5000</v>
      </c>
      <c r="FS27" s="8">
        <f>IFERROR(LOOKUP(FS$23,Timeseries!$A:$A,Timeseries!$B:$B),"")</f>
        <v>5000</v>
      </c>
    </row>
    <row r="28" spans="1:16384" ht="15.75" customHeight="1" thickBot="1">
      <c r="D28" s="18" t="s">
        <v>217</v>
      </c>
      <c r="E28" s="2"/>
      <c r="F28" s="2"/>
    </row>
    <row r="29" spans="1:16384">
      <c r="D29" s="17" t="s">
        <v>129</v>
      </c>
      <c r="E29" s="2" t="s">
        <v>59</v>
      </c>
      <c r="F29" s="8" t="s">
        <v>151</v>
      </c>
      <c r="G29" s="8">
        <v>19322.099999999999</v>
      </c>
      <c r="H29" s="26" t="str">
        <f>IF(G29&gt;SUM(H52:AE52)/12.1, "The total release of " &amp;G29&amp; " is higher than sum of maximum releases " &amp; SUM(H52:AE52)/12.1,"")</f>
        <v/>
      </c>
    </row>
    <row r="30" spans="1:16384" ht="15.75" customHeight="1" thickBot="1">
      <c r="D30" s="18" t="s">
        <v>97</v>
      </c>
      <c r="E30" s="2" t="s">
        <v>98</v>
      </c>
      <c r="F30" s="2"/>
      <c r="G30" s="4" t="b">
        <v>1</v>
      </c>
    </row>
    <row r="31" spans="1:16384">
      <c r="D31" s="17" t="s">
        <v>61</v>
      </c>
      <c r="E31" s="2" t="s">
        <v>60</v>
      </c>
      <c r="F31" s="8" t="s">
        <v>151</v>
      </c>
      <c r="G31" s="8">
        <v>5112</v>
      </c>
    </row>
    <row r="32" spans="1:16384" ht="15.75" customHeight="1" thickBot="1">
      <c r="D32" s="18" t="s">
        <v>143</v>
      </c>
      <c r="E32" s="2" t="s">
        <v>95</v>
      </c>
      <c r="F32" s="2"/>
      <c r="G32" s="4" t="b">
        <v>1</v>
      </c>
    </row>
    <row r="33" spans="4:175">
      <c r="D33" s="17" t="s">
        <v>69</v>
      </c>
      <c r="E33" s="2" t="s">
        <v>62</v>
      </c>
      <c r="F33" s="8" t="s">
        <v>151</v>
      </c>
      <c r="G33" s="8">
        <v>15000</v>
      </c>
    </row>
    <row r="34" spans="4:175">
      <c r="D34" s="17" t="s">
        <v>68</v>
      </c>
      <c r="E34" s="2" t="s">
        <v>63</v>
      </c>
      <c r="F34" s="8" t="s">
        <v>151</v>
      </c>
      <c r="G34" s="8">
        <v>15000</v>
      </c>
    </row>
    <row r="35" spans="4:175">
      <c r="D35" s="17" t="s">
        <v>261</v>
      </c>
      <c r="E35" s="2" t="s">
        <v>260</v>
      </c>
      <c r="F35" s="8" t="s">
        <v>151</v>
      </c>
      <c r="G35" s="2"/>
      <c r="H35" s="8">
        <f>IFERROR(LOOKUP(H$23,Timeseries!$A:$A,Timeseries!$D:$D),"")</f>
        <v>0</v>
      </c>
      <c r="I35" s="8">
        <f>IFERROR(LOOKUP(I$23,Timeseries!$A:$A,Timeseries!$D:$D),"")</f>
        <v>0</v>
      </c>
      <c r="J35" s="8">
        <f>IFERROR(LOOKUP(J$23,Timeseries!$A:$A,Timeseries!$D:$D),"")</f>
        <v>0</v>
      </c>
      <c r="K35" s="8">
        <f>IFERROR(LOOKUP(K$23,Timeseries!$A:$A,Timeseries!$D:$D),"")</f>
        <v>0</v>
      </c>
      <c r="L35" s="8">
        <f>IFERROR(LOOKUP(L$23,Timeseries!$A:$A,Timeseries!$D:$D),"")</f>
        <v>0</v>
      </c>
      <c r="M35" s="8">
        <f>IFERROR(LOOKUP(M$23,Timeseries!$A:$A,Timeseries!$D:$D),"")</f>
        <v>0</v>
      </c>
      <c r="N35" s="8">
        <f>IFERROR(LOOKUP(N$23,Timeseries!$A:$A,Timeseries!$D:$D),"")</f>
        <v>0</v>
      </c>
      <c r="O35" s="8">
        <f>IFERROR(LOOKUP(O$23,Timeseries!$A:$A,Timeseries!$D:$D),"")</f>
        <v>0</v>
      </c>
      <c r="P35" s="8">
        <f>IFERROR(LOOKUP(P$23,Timeseries!$A:$A,Timeseries!$D:$D),"")</f>
        <v>0</v>
      </c>
      <c r="Q35" s="8">
        <f>IFERROR(LOOKUP(Q$23,Timeseries!$A:$A,Timeseries!$D:$D),"")</f>
        <v>0</v>
      </c>
      <c r="R35" s="8">
        <f>IFERROR(LOOKUP(R$23,Timeseries!$A:$A,Timeseries!$D:$D),"")</f>
        <v>0</v>
      </c>
      <c r="S35" s="8">
        <f>IFERROR(LOOKUP(S$23,Timeseries!$A:$A,Timeseries!$D:$D),"")</f>
        <v>0</v>
      </c>
      <c r="T35" s="8">
        <f>IFERROR(LOOKUP(T$23,Timeseries!$A:$A,Timeseries!$D:$D),"")</f>
        <v>0</v>
      </c>
      <c r="U35" s="8">
        <f>IFERROR(LOOKUP(U$23,Timeseries!$A:$A,Timeseries!$D:$D),"")</f>
        <v>0</v>
      </c>
      <c r="V35" s="8">
        <f>IFERROR(LOOKUP(V$23,Timeseries!$A:$A,Timeseries!$D:$D),"")</f>
        <v>0</v>
      </c>
      <c r="W35" s="8">
        <f>IFERROR(LOOKUP(W$23,Timeseries!$A:$A,Timeseries!$D:$D),"")</f>
        <v>0</v>
      </c>
      <c r="X35" s="8">
        <f>IFERROR(LOOKUP(X$23,Timeseries!$A:$A,Timeseries!$D:$D),"")</f>
        <v>0</v>
      </c>
      <c r="Y35" s="8">
        <f>IFERROR(LOOKUP(Y$23,Timeseries!$A:$A,Timeseries!$D:$D),"")</f>
        <v>0</v>
      </c>
      <c r="Z35" s="8">
        <f>IFERROR(LOOKUP(Z$23,Timeseries!$A:$A,Timeseries!$D:$D),"")</f>
        <v>0</v>
      </c>
      <c r="AA35" s="8">
        <f>IFERROR(LOOKUP(AA$23,Timeseries!$A:$A,Timeseries!$D:$D),"")</f>
        <v>0</v>
      </c>
      <c r="AB35" s="8">
        <f>IFERROR(LOOKUP(AB$23,Timeseries!$A:$A,Timeseries!$D:$D),"")</f>
        <v>0</v>
      </c>
      <c r="AC35" s="8">
        <f>IFERROR(LOOKUP(AC$23,Timeseries!$A:$A,Timeseries!$D:$D),"")</f>
        <v>0</v>
      </c>
      <c r="AD35" s="8">
        <f>IFERROR(LOOKUP(AD$23,Timeseries!$A:$A,Timeseries!$D:$D),"")</f>
        <v>0</v>
      </c>
      <c r="AE35" s="8">
        <f>IFERROR(LOOKUP(AE$23,Timeseries!$A:$A,Timeseries!$D:$D),"")</f>
        <v>0</v>
      </c>
      <c r="AF35" s="8">
        <f>IFERROR(LOOKUP(AF$23,Timeseries!$A:$A,Timeseries!$D:$D),"")</f>
        <v>0</v>
      </c>
      <c r="AG35" s="8">
        <f>IFERROR(LOOKUP(AG$23,Timeseries!$A:$A,Timeseries!$D:$D),"")</f>
        <v>0</v>
      </c>
      <c r="AH35" s="8">
        <f>IFERROR(LOOKUP(AH$23,Timeseries!$A:$A,Timeseries!$D:$D),"")</f>
        <v>0</v>
      </c>
      <c r="AI35" s="8">
        <f>IFERROR(LOOKUP(AI$23,Timeseries!$A:$A,Timeseries!$D:$D),"")</f>
        <v>0</v>
      </c>
      <c r="AJ35" s="8">
        <f>IFERROR(LOOKUP(AJ$23,Timeseries!$A:$A,Timeseries!$D:$D),"")</f>
        <v>0</v>
      </c>
      <c r="AK35" s="8">
        <f>IFERROR(LOOKUP(AK$23,Timeseries!$A:$A,Timeseries!$D:$D),"")</f>
        <v>0</v>
      </c>
      <c r="AL35" s="8">
        <f>IFERROR(LOOKUP(AL$23,Timeseries!$A:$A,Timeseries!$D:$D),"")</f>
        <v>0</v>
      </c>
      <c r="AM35" s="8">
        <f>IFERROR(LOOKUP(AM$23,Timeseries!$A:$A,Timeseries!$D:$D),"")</f>
        <v>0</v>
      </c>
      <c r="AN35" s="8">
        <f>IFERROR(LOOKUP(AN$23,Timeseries!$A:$A,Timeseries!$D:$D),"")</f>
        <v>0</v>
      </c>
      <c r="AO35" s="8">
        <f>IFERROR(LOOKUP(AO$23,Timeseries!$A:$A,Timeseries!$D:$D),"")</f>
        <v>0</v>
      </c>
      <c r="AP35" s="8">
        <f>IFERROR(LOOKUP(AP$23,Timeseries!$A:$A,Timeseries!$D:$D),"")</f>
        <v>0</v>
      </c>
      <c r="AQ35" s="8">
        <f>IFERROR(LOOKUP(AQ$23,Timeseries!$A:$A,Timeseries!$D:$D),"")</f>
        <v>0</v>
      </c>
      <c r="AR35" s="8">
        <f>IFERROR(LOOKUP(AR$23,Timeseries!$A:$A,Timeseries!$D:$D),"")</f>
        <v>0</v>
      </c>
      <c r="AS35" s="8">
        <f>IFERROR(LOOKUP(AS$23,Timeseries!$A:$A,Timeseries!$D:$D),"")</f>
        <v>0</v>
      </c>
      <c r="AT35" s="8">
        <f>IFERROR(LOOKUP(AT$23,Timeseries!$A:$A,Timeseries!$D:$D),"")</f>
        <v>0</v>
      </c>
      <c r="AU35" s="8">
        <f>IFERROR(LOOKUP(AU$23,Timeseries!$A:$A,Timeseries!$D:$D),"")</f>
        <v>0</v>
      </c>
      <c r="AV35" s="8">
        <f>IFERROR(LOOKUP(AV$23,Timeseries!$A:$A,Timeseries!$D:$D),"")</f>
        <v>0</v>
      </c>
      <c r="AW35" s="8">
        <f>IFERROR(LOOKUP(AW$23,Timeseries!$A:$A,Timeseries!$D:$D),"")</f>
        <v>0</v>
      </c>
      <c r="AX35" s="8">
        <f>IFERROR(LOOKUP(AX$23,Timeseries!$A:$A,Timeseries!$D:$D),"")</f>
        <v>0</v>
      </c>
      <c r="AY35" s="8">
        <f>IFERROR(LOOKUP(AY$23,Timeseries!$A:$A,Timeseries!$D:$D),"")</f>
        <v>0</v>
      </c>
      <c r="AZ35" s="8">
        <f>IFERROR(LOOKUP(AZ$23,Timeseries!$A:$A,Timeseries!$D:$D),"")</f>
        <v>0</v>
      </c>
      <c r="BA35" s="8">
        <f>IFERROR(LOOKUP(BA$23,Timeseries!$A:$A,Timeseries!$D:$D),"")</f>
        <v>0</v>
      </c>
      <c r="BB35" s="8">
        <f>IFERROR(LOOKUP(BB$23,Timeseries!$A:$A,Timeseries!$D:$D),"")</f>
        <v>0</v>
      </c>
      <c r="BC35" s="8">
        <f>IFERROR(LOOKUP(BC$23,Timeseries!$A:$A,Timeseries!$D:$D),"")</f>
        <v>0</v>
      </c>
      <c r="BD35" s="8">
        <f>IFERROR(LOOKUP(BD$23,Timeseries!$A:$A,Timeseries!$D:$D),"")</f>
        <v>0</v>
      </c>
      <c r="BE35" s="8">
        <f>IFERROR(LOOKUP(BE$23,Timeseries!$A:$A,Timeseries!$D:$D),"")</f>
        <v>0</v>
      </c>
      <c r="BF35" s="8">
        <f>IFERROR(LOOKUP(BF$23,Timeseries!$A:$A,Timeseries!$D:$D),"")</f>
        <v>0</v>
      </c>
      <c r="BG35" s="8">
        <f>IFERROR(LOOKUP(BG$23,Timeseries!$A:$A,Timeseries!$D:$D),"")</f>
        <v>0</v>
      </c>
      <c r="BH35" s="8">
        <f>IFERROR(LOOKUP(BH$23,Timeseries!$A:$A,Timeseries!$D:$D),"")</f>
        <v>0</v>
      </c>
      <c r="BI35" s="8">
        <f>IFERROR(LOOKUP(BI$23,Timeseries!$A:$A,Timeseries!$D:$D),"")</f>
        <v>0</v>
      </c>
      <c r="BJ35" s="8">
        <f>IFERROR(LOOKUP(BJ$23,Timeseries!$A:$A,Timeseries!$D:$D),"")</f>
        <v>0</v>
      </c>
      <c r="BK35" s="8">
        <f>IFERROR(LOOKUP(BK$23,Timeseries!$A:$A,Timeseries!$D:$D),"")</f>
        <v>0</v>
      </c>
      <c r="BL35" s="8">
        <f>IFERROR(LOOKUP(BL$23,Timeseries!$A:$A,Timeseries!$D:$D),"")</f>
        <v>0</v>
      </c>
      <c r="BM35" s="8">
        <f>IFERROR(LOOKUP(BM$23,Timeseries!$A:$A,Timeseries!$D:$D),"")</f>
        <v>0</v>
      </c>
      <c r="BN35" s="8">
        <f>IFERROR(LOOKUP(BN$23,Timeseries!$A:$A,Timeseries!$D:$D),"")</f>
        <v>0</v>
      </c>
      <c r="BO35" s="8">
        <f>IFERROR(LOOKUP(BO$23,Timeseries!$A:$A,Timeseries!$D:$D),"")</f>
        <v>0</v>
      </c>
      <c r="BP35" s="8">
        <f>IFERROR(LOOKUP(BP$23,Timeseries!$A:$A,Timeseries!$D:$D),"")</f>
        <v>0</v>
      </c>
      <c r="BQ35" s="8">
        <f>IFERROR(LOOKUP(BQ$23,Timeseries!$A:$A,Timeseries!$D:$D),"")</f>
        <v>0</v>
      </c>
      <c r="BR35" s="8">
        <f>IFERROR(LOOKUP(BR$23,Timeseries!$A:$A,Timeseries!$D:$D),"")</f>
        <v>0</v>
      </c>
      <c r="BS35" s="8">
        <f>IFERROR(LOOKUP(BS$23,Timeseries!$A:$A,Timeseries!$D:$D),"")</f>
        <v>0</v>
      </c>
      <c r="BT35" s="8">
        <f>IFERROR(LOOKUP(BT$23,Timeseries!$A:$A,Timeseries!$D:$D),"")</f>
        <v>0</v>
      </c>
      <c r="BU35" s="8">
        <f>IFERROR(LOOKUP(BU$23,Timeseries!$A:$A,Timeseries!$D:$D),"")</f>
        <v>0</v>
      </c>
      <c r="BV35" s="8">
        <f>IFERROR(LOOKUP(BV$23,Timeseries!$A:$A,Timeseries!$D:$D),"")</f>
        <v>0</v>
      </c>
      <c r="BW35" s="8">
        <f>IFERROR(LOOKUP(BW$23,Timeseries!$A:$A,Timeseries!$D:$D),"")</f>
        <v>0</v>
      </c>
      <c r="BX35" s="8">
        <f>IFERROR(LOOKUP(BX$23,Timeseries!$A:$A,Timeseries!$D:$D),"")</f>
        <v>0</v>
      </c>
      <c r="BY35" s="8">
        <f>IFERROR(LOOKUP(BY$23,Timeseries!$A:$A,Timeseries!$D:$D),"")</f>
        <v>0</v>
      </c>
      <c r="BZ35" s="8">
        <f>IFERROR(LOOKUP(BZ$23,Timeseries!$A:$A,Timeseries!$D:$D),"")</f>
        <v>0</v>
      </c>
      <c r="CA35" s="8">
        <f>IFERROR(LOOKUP(CA$23,Timeseries!$A:$A,Timeseries!$D:$D),"")</f>
        <v>0</v>
      </c>
      <c r="CB35" s="8">
        <f>IFERROR(LOOKUP(CB$23,Timeseries!$A:$A,Timeseries!$D:$D),"")</f>
        <v>0</v>
      </c>
      <c r="CC35" s="8">
        <f>IFERROR(LOOKUP(CC$23,Timeseries!$A:$A,Timeseries!$D:$D),"")</f>
        <v>0</v>
      </c>
      <c r="CD35" s="8">
        <f>IFERROR(LOOKUP(CD$23,Timeseries!$A:$A,Timeseries!$D:$D),"")</f>
        <v>0</v>
      </c>
      <c r="CE35" s="8">
        <f>IFERROR(LOOKUP(CE$23,Timeseries!$A:$A,Timeseries!$D:$D),"")</f>
        <v>0</v>
      </c>
      <c r="CF35" s="8">
        <f>IFERROR(LOOKUP(CF$23,Timeseries!$A:$A,Timeseries!$D:$D),"")</f>
        <v>0</v>
      </c>
      <c r="CG35" s="8">
        <f>IFERROR(LOOKUP(CG$23,Timeseries!$A:$A,Timeseries!$D:$D),"")</f>
        <v>0</v>
      </c>
      <c r="CH35" s="8">
        <f>IFERROR(LOOKUP(CH$23,Timeseries!$A:$A,Timeseries!$D:$D),"")</f>
        <v>0</v>
      </c>
      <c r="CI35" s="8">
        <f>IFERROR(LOOKUP(CI$23,Timeseries!$A:$A,Timeseries!$D:$D),"")</f>
        <v>0</v>
      </c>
      <c r="CJ35" s="8">
        <f>IFERROR(LOOKUP(CJ$23,Timeseries!$A:$A,Timeseries!$D:$D),"")</f>
        <v>0</v>
      </c>
      <c r="CK35" s="8">
        <f>IFERROR(LOOKUP(CK$23,Timeseries!$A:$A,Timeseries!$D:$D),"")</f>
        <v>0</v>
      </c>
      <c r="CL35" s="8">
        <f>IFERROR(LOOKUP(CL$23,Timeseries!$A:$A,Timeseries!$D:$D),"")</f>
        <v>0</v>
      </c>
      <c r="CM35" s="8">
        <f>IFERROR(LOOKUP(CM$23,Timeseries!$A:$A,Timeseries!$D:$D),"")</f>
        <v>0</v>
      </c>
      <c r="CN35" s="8">
        <f>IFERROR(LOOKUP(CN$23,Timeseries!$A:$A,Timeseries!$D:$D),"")</f>
        <v>0</v>
      </c>
      <c r="CO35" s="8">
        <f>IFERROR(LOOKUP(CO$23,Timeseries!$A:$A,Timeseries!$D:$D),"")</f>
        <v>0</v>
      </c>
      <c r="CP35" s="8">
        <f>IFERROR(LOOKUP(CP$23,Timeseries!$A:$A,Timeseries!$D:$D),"")</f>
        <v>0</v>
      </c>
      <c r="CQ35" s="8">
        <f>IFERROR(LOOKUP(CQ$23,Timeseries!$A:$A,Timeseries!$D:$D),"")</f>
        <v>0</v>
      </c>
      <c r="CR35" s="8">
        <f>IFERROR(LOOKUP(CR$23,Timeseries!$A:$A,Timeseries!$D:$D),"")</f>
        <v>0</v>
      </c>
      <c r="CS35" s="8">
        <f>IFERROR(LOOKUP(CS$23,Timeseries!$A:$A,Timeseries!$D:$D),"")</f>
        <v>0</v>
      </c>
      <c r="CT35" s="8">
        <f>IFERROR(LOOKUP(CT$23,Timeseries!$A:$A,Timeseries!$D:$D),"")</f>
        <v>0</v>
      </c>
      <c r="CU35" s="8">
        <f>IFERROR(LOOKUP(CU$23,Timeseries!$A:$A,Timeseries!$D:$D),"")</f>
        <v>0</v>
      </c>
      <c r="CV35" s="8">
        <f>IFERROR(LOOKUP(CV$23,Timeseries!$A:$A,Timeseries!$D:$D),"")</f>
        <v>0</v>
      </c>
      <c r="CW35" s="8">
        <f>IFERROR(LOOKUP(CW$23,Timeseries!$A:$A,Timeseries!$D:$D),"")</f>
        <v>0</v>
      </c>
      <c r="CX35" s="8">
        <f>IFERROR(LOOKUP(CX$23,Timeseries!$A:$A,Timeseries!$D:$D),"")</f>
        <v>0</v>
      </c>
      <c r="CY35" s="8">
        <f>IFERROR(LOOKUP(CY$23,Timeseries!$A:$A,Timeseries!$D:$D),"")</f>
        <v>0</v>
      </c>
      <c r="CZ35" s="8">
        <f>IFERROR(LOOKUP(CZ$23,Timeseries!$A:$A,Timeseries!$D:$D),"")</f>
        <v>0</v>
      </c>
      <c r="DA35" s="8">
        <f>IFERROR(LOOKUP(DA$23,Timeseries!$A:$A,Timeseries!$D:$D),"")</f>
        <v>0</v>
      </c>
      <c r="DB35" s="8">
        <f>IFERROR(LOOKUP(DB$23,Timeseries!$A:$A,Timeseries!$D:$D),"")</f>
        <v>0</v>
      </c>
      <c r="DC35" s="8">
        <f>IFERROR(LOOKUP(DC$23,Timeseries!$A:$A,Timeseries!$D:$D),"")</f>
        <v>0</v>
      </c>
      <c r="DD35" s="8">
        <f>IFERROR(LOOKUP(DD$23,Timeseries!$A:$A,Timeseries!$D:$D),"")</f>
        <v>0</v>
      </c>
      <c r="DE35" s="8">
        <f>IFERROR(LOOKUP(DE$23,Timeseries!$A:$A,Timeseries!$D:$D),"")</f>
        <v>0</v>
      </c>
      <c r="DF35" s="8">
        <f>IFERROR(LOOKUP(DF$23,Timeseries!$A:$A,Timeseries!$D:$D),"")</f>
        <v>0</v>
      </c>
      <c r="DG35" s="8">
        <f>IFERROR(LOOKUP(DG$23,Timeseries!$A:$A,Timeseries!$D:$D),"")</f>
        <v>0</v>
      </c>
      <c r="DH35" s="8">
        <f>IFERROR(LOOKUP(DH$23,Timeseries!$A:$A,Timeseries!$D:$D),"")</f>
        <v>0</v>
      </c>
      <c r="DI35" s="8">
        <f>IFERROR(LOOKUP(DI$23,Timeseries!$A:$A,Timeseries!$D:$D),"")</f>
        <v>0</v>
      </c>
      <c r="DJ35" s="8">
        <f>IFERROR(LOOKUP(DJ$23,Timeseries!$A:$A,Timeseries!$D:$D),"")</f>
        <v>0</v>
      </c>
      <c r="DK35" s="8">
        <f>IFERROR(LOOKUP(DK$23,Timeseries!$A:$A,Timeseries!$D:$D),"")</f>
        <v>0</v>
      </c>
      <c r="DL35" s="8">
        <f>IFERROR(LOOKUP(DL$23,Timeseries!$A:$A,Timeseries!$D:$D),"")</f>
        <v>0</v>
      </c>
      <c r="DM35" s="8">
        <f>IFERROR(LOOKUP(DM$23,Timeseries!$A:$A,Timeseries!$D:$D),"")</f>
        <v>0</v>
      </c>
      <c r="DN35" s="8">
        <f>IFERROR(LOOKUP(DN$23,Timeseries!$A:$A,Timeseries!$D:$D),"")</f>
        <v>0</v>
      </c>
      <c r="DO35" s="8">
        <f>IFERROR(LOOKUP(DO$23,Timeseries!$A:$A,Timeseries!$D:$D),"")</f>
        <v>0</v>
      </c>
      <c r="DP35" s="8">
        <f>IFERROR(LOOKUP(DP$23,Timeseries!$A:$A,Timeseries!$D:$D),"")</f>
        <v>0</v>
      </c>
      <c r="DQ35" s="8">
        <f>IFERROR(LOOKUP(DQ$23,Timeseries!$A:$A,Timeseries!$D:$D),"")</f>
        <v>0</v>
      </c>
      <c r="DR35" s="8">
        <f>IFERROR(LOOKUP(DR$23,Timeseries!$A:$A,Timeseries!$D:$D),"")</f>
        <v>0</v>
      </c>
      <c r="DS35" s="8">
        <f>IFERROR(LOOKUP(DS$23,Timeseries!$A:$A,Timeseries!$D:$D),"")</f>
        <v>0</v>
      </c>
      <c r="DT35" s="8">
        <f>IFERROR(LOOKUP(DT$23,Timeseries!$A:$A,Timeseries!$D:$D),"")</f>
        <v>0</v>
      </c>
      <c r="DU35" s="8">
        <f>IFERROR(LOOKUP(DU$23,Timeseries!$A:$A,Timeseries!$D:$D),"")</f>
        <v>0</v>
      </c>
      <c r="DV35" s="8">
        <f>IFERROR(LOOKUP(DV$23,Timeseries!$A:$A,Timeseries!$D:$D),"")</f>
        <v>0</v>
      </c>
      <c r="DW35" s="8">
        <f>IFERROR(LOOKUP(DW$23,Timeseries!$A:$A,Timeseries!$D:$D),"")</f>
        <v>0</v>
      </c>
      <c r="DX35" s="8">
        <f>IFERROR(LOOKUP(DX$23,Timeseries!$A:$A,Timeseries!$D:$D),"")</f>
        <v>0</v>
      </c>
      <c r="DY35" s="8">
        <f>IFERROR(LOOKUP(DY$23,Timeseries!$A:$A,Timeseries!$D:$D),"")</f>
        <v>0</v>
      </c>
      <c r="DZ35" s="8">
        <f>IFERROR(LOOKUP(DZ$23,Timeseries!$A:$A,Timeseries!$D:$D),"")</f>
        <v>0</v>
      </c>
      <c r="EA35" s="8">
        <f>IFERROR(LOOKUP(EA$23,Timeseries!$A:$A,Timeseries!$D:$D),"")</f>
        <v>0</v>
      </c>
      <c r="EB35" s="8">
        <f>IFERROR(LOOKUP(EB$23,Timeseries!$A:$A,Timeseries!$D:$D),"")</f>
        <v>0</v>
      </c>
      <c r="EC35" s="8">
        <f>IFERROR(LOOKUP(EC$23,Timeseries!$A:$A,Timeseries!$D:$D),"")</f>
        <v>0</v>
      </c>
      <c r="ED35" s="8">
        <f>IFERROR(LOOKUP(ED$23,Timeseries!$A:$A,Timeseries!$D:$D),"")</f>
        <v>0</v>
      </c>
      <c r="EE35" s="8">
        <f>IFERROR(LOOKUP(EE$23,Timeseries!$A:$A,Timeseries!$D:$D),"")</f>
        <v>0</v>
      </c>
      <c r="EF35" s="8">
        <f>IFERROR(LOOKUP(EF$23,Timeseries!$A:$A,Timeseries!$D:$D),"")</f>
        <v>0</v>
      </c>
      <c r="EG35" s="8">
        <f>IFERROR(LOOKUP(EG$23,Timeseries!$A:$A,Timeseries!$D:$D),"")</f>
        <v>0</v>
      </c>
      <c r="EH35" s="8">
        <f>IFERROR(LOOKUP(EH$23,Timeseries!$A:$A,Timeseries!$D:$D),"")</f>
        <v>0</v>
      </c>
      <c r="EI35" s="8">
        <f>IFERROR(LOOKUP(EI$23,Timeseries!$A:$A,Timeseries!$D:$D),"")</f>
        <v>0</v>
      </c>
      <c r="EJ35" s="8">
        <f>IFERROR(LOOKUP(EJ$23,Timeseries!$A:$A,Timeseries!$D:$D),"")</f>
        <v>0</v>
      </c>
      <c r="EK35" s="8">
        <f>IFERROR(LOOKUP(EK$23,Timeseries!$A:$A,Timeseries!$D:$D),"")</f>
        <v>0</v>
      </c>
      <c r="EL35" s="8">
        <f>IFERROR(LOOKUP(EL$23,Timeseries!$A:$A,Timeseries!$D:$D),"")</f>
        <v>0</v>
      </c>
      <c r="EM35" s="8">
        <f>IFERROR(LOOKUP(EM$23,Timeseries!$A:$A,Timeseries!$D:$D),"")</f>
        <v>0</v>
      </c>
      <c r="EN35" s="8">
        <f>IFERROR(LOOKUP(EN$23,Timeseries!$A:$A,Timeseries!$D:$D),"")</f>
        <v>0</v>
      </c>
      <c r="EO35" s="8">
        <f>IFERROR(LOOKUP(EO$23,Timeseries!$A:$A,Timeseries!$D:$D),"")</f>
        <v>0</v>
      </c>
      <c r="EP35" s="8">
        <f>IFERROR(LOOKUP(EP$23,Timeseries!$A:$A,Timeseries!$D:$D),"")</f>
        <v>0</v>
      </c>
      <c r="EQ35" s="8">
        <f>IFERROR(LOOKUP(EQ$23,Timeseries!$A:$A,Timeseries!$D:$D),"")</f>
        <v>0</v>
      </c>
      <c r="ER35" s="8">
        <f>IFERROR(LOOKUP(ER$23,Timeseries!$A:$A,Timeseries!$D:$D),"")</f>
        <v>0</v>
      </c>
      <c r="ES35" s="8">
        <f>IFERROR(LOOKUP(ES$23,Timeseries!$A:$A,Timeseries!$D:$D),"")</f>
        <v>0</v>
      </c>
      <c r="ET35" s="8">
        <f>IFERROR(LOOKUP(ET$23,Timeseries!$A:$A,Timeseries!$D:$D),"")</f>
        <v>0</v>
      </c>
      <c r="EU35" s="8">
        <f>IFERROR(LOOKUP(EU$23,Timeseries!$A:$A,Timeseries!$D:$D),"")</f>
        <v>0</v>
      </c>
      <c r="EV35" s="8">
        <f>IFERROR(LOOKUP(EV$23,Timeseries!$A:$A,Timeseries!$D:$D),"")</f>
        <v>0</v>
      </c>
      <c r="EW35" s="8">
        <f>IFERROR(LOOKUP(EW$23,Timeseries!$A:$A,Timeseries!$D:$D),"")</f>
        <v>0</v>
      </c>
      <c r="EX35" s="8">
        <f>IFERROR(LOOKUP(EX$23,Timeseries!$A:$A,Timeseries!$D:$D),"")</f>
        <v>0</v>
      </c>
      <c r="EY35" s="8">
        <f>IFERROR(LOOKUP(EY$23,Timeseries!$A:$A,Timeseries!$D:$D),"")</f>
        <v>0</v>
      </c>
      <c r="EZ35" s="8">
        <f>IFERROR(LOOKUP(EZ$23,Timeseries!$A:$A,Timeseries!$D:$D),"")</f>
        <v>0</v>
      </c>
      <c r="FA35" s="8">
        <f>IFERROR(LOOKUP(FA$23,Timeseries!$A:$A,Timeseries!$D:$D),"")</f>
        <v>0</v>
      </c>
      <c r="FB35" s="8">
        <f>IFERROR(LOOKUP(FB$23,Timeseries!$A:$A,Timeseries!$D:$D),"")</f>
        <v>0</v>
      </c>
      <c r="FC35" s="8">
        <f>IFERROR(LOOKUP(FC$23,Timeseries!$A:$A,Timeseries!$D:$D),"")</f>
        <v>0</v>
      </c>
      <c r="FD35" s="8">
        <f>IFERROR(LOOKUP(FD$23,Timeseries!$A:$A,Timeseries!$D:$D),"")</f>
        <v>0</v>
      </c>
      <c r="FE35" s="8">
        <f>IFERROR(LOOKUP(FE$23,Timeseries!$A:$A,Timeseries!$D:$D),"")</f>
        <v>0</v>
      </c>
      <c r="FF35" s="8">
        <f>IFERROR(LOOKUP(FF$23,Timeseries!$A:$A,Timeseries!$D:$D),"")</f>
        <v>0</v>
      </c>
      <c r="FG35" s="8">
        <f>IFERROR(LOOKUP(FG$23,Timeseries!$A:$A,Timeseries!$D:$D),"")</f>
        <v>0</v>
      </c>
      <c r="FH35" s="8">
        <f>IFERROR(LOOKUP(FH$23,Timeseries!$A:$A,Timeseries!$D:$D),"")</f>
        <v>0</v>
      </c>
      <c r="FI35" s="8">
        <f>IFERROR(LOOKUP(FI$23,Timeseries!$A:$A,Timeseries!$D:$D),"")</f>
        <v>0</v>
      </c>
      <c r="FJ35" s="8">
        <f>IFERROR(LOOKUP(FJ$23,Timeseries!$A:$A,Timeseries!$D:$D),"")</f>
        <v>0</v>
      </c>
      <c r="FK35" s="8">
        <f>IFERROR(LOOKUP(FK$23,Timeseries!$A:$A,Timeseries!$D:$D),"")</f>
        <v>0</v>
      </c>
      <c r="FL35" s="8">
        <f>IFERROR(LOOKUP(FL$23,Timeseries!$A:$A,Timeseries!$D:$D),"")</f>
        <v>0</v>
      </c>
      <c r="FM35" s="8">
        <f>IFERROR(LOOKUP(FM$23,Timeseries!$A:$A,Timeseries!$D:$D),"")</f>
        <v>0</v>
      </c>
      <c r="FN35" s="8">
        <f>IFERROR(LOOKUP(FN$23,Timeseries!$A:$A,Timeseries!$D:$D),"")</f>
        <v>0</v>
      </c>
      <c r="FO35" s="8">
        <f>IFERROR(LOOKUP(FO$23,Timeseries!$A:$A,Timeseries!$D:$D),"")</f>
        <v>0</v>
      </c>
      <c r="FP35" s="8">
        <f>IFERROR(LOOKUP(FP$23,Timeseries!$A:$A,Timeseries!$D:$D),"")</f>
        <v>0</v>
      </c>
      <c r="FQ35" s="8">
        <f>IFERROR(LOOKUP(FQ$23,Timeseries!$A:$A,Timeseries!$D:$D),"")</f>
        <v>0</v>
      </c>
      <c r="FR35" s="8">
        <f>IFERROR(LOOKUP(FR$23,Timeseries!$A:$A,Timeseries!$D:$D),"")</f>
        <v>0</v>
      </c>
      <c r="FS35" s="8">
        <f>IFERROR(LOOKUP(FS$23,Timeseries!$A:$A,Timeseries!$D:$D),"")</f>
        <v>0</v>
      </c>
    </row>
    <row r="36" spans="4:175">
      <c r="D36" s="17" t="s">
        <v>80</v>
      </c>
      <c r="E36" s="2" t="s">
        <v>74</v>
      </c>
      <c r="F36" s="8" t="s">
        <v>151</v>
      </c>
      <c r="G36" s="2"/>
      <c r="H36" s="8">
        <f>IFERROR(LOOKUP(H$23,Timeseries!$A:$A,Timeseries!$E:$E),"")</f>
        <v>700</v>
      </c>
      <c r="I36" s="8">
        <f>IFERROR(LOOKUP(I$23,Timeseries!$A:$A,Timeseries!$E:$E),"")</f>
        <v>700</v>
      </c>
      <c r="J36" s="8">
        <f>IFERROR(LOOKUP(J$23,Timeseries!$A:$A,Timeseries!$E:$E),"")</f>
        <v>700</v>
      </c>
      <c r="K36" s="8">
        <f>IFERROR(LOOKUP(K$23,Timeseries!$A:$A,Timeseries!$E:$E),"")</f>
        <v>700</v>
      </c>
      <c r="L36" s="8">
        <f>IFERROR(LOOKUP(L$23,Timeseries!$A:$A,Timeseries!$E:$E),"")</f>
        <v>700</v>
      </c>
      <c r="M36" s="8">
        <f>IFERROR(LOOKUP(M$23,Timeseries!$A:$A,Timeseries!$E:$E),"")</f>
        <v>700</v>
      </c>
      <c r="N36" s="8">
        <f>IFERROR(LOOKUP(N$23,Timeseries!$A:$A,Timeseries!$E:$E),"")</f>
        <v>700</v>
      </c>
      <c r="O36" s="8">
        <f>IFERROR(LOOKUP(O$23,Timeseries!$A:$A,Timeseries!$E:$E),"")</f>
        <v>700</v>
      </c>
      <c r="P36" s="8">
        <f>IFERROR(LOOKUP(P$23,Timeseries!$A:$A,Timeseries!$E:$E),"")</f>
        <v>700</v>
      </c>
      <c r="Q36" s="8">
        <f>IFERROR(LOOKUP(Q$23,Timeseries!$A:$A,Timeseries!$E:$E),"")</f>
        <v>700</v>
      </c>
      <c r="R36" s="8">
        <f>IFERROR(LOOKUP(R$23,Timeseries!$A:$A,Timeseries!$E:$E),"")</f>
        <v>700</v>
      </c>
      <c r="S36" s="8">
        <f>IFERROR(LOOKUP(S$23,Timeseries!$A:$A,Timeseries!$E:$E),"")</f>
        <v>700</v>
      </c>
      <c r="T36" s="8">
        <f>IFERROR(LOOKUP(T$23,Timeseries!$A:$A,Timeseries!$E:$E),"")</f>
        <v>700</v>
      </c>
      <c r="U36" s="8">
        <f>IFERROR(LOOKUP(U$23,Timeseries!$A:$A,Timeseries!$E:$E),"")</f>
        <v>700</v>
      </c>
      <c r="V36" s="8">
        <f>IFERROR(LOOKUP(V$23,Timeseries!$A:$A,Timeseries!$E:$E),"")</f>
        <v>700</v>
      </c>
      <c r="W36" s="8">
        <f>IFERROR(LOOKUP(W$23,Timeseries!$A:$A,Timeseries!$E:$E),"")</f>
        <v>700</v>
      </c>
      <c r="X36" s="8">
        <f>IFERROR(LOOKUP(X$23,Timeseries!$A:$A,Timeseries!$E:$E),"")</f>
        <v>700</v>
      </c>
      <c r="Y36" s="8">
        <f>IFERROR(LOOKUP(Y$23,Timeseries!$A:$A,Timeseries!$E:$E),"")</f>
        <v>700</v>
      </c>
      <c r="Z36" s="8">
        <f>IFERROR(LOOKUP(Z$23,Timeseries!$A:$A,Timeseries!$E:$E),"")</f>
        <v>700</v>
      </c>
      <c r="AA36" s="8">
        <f>IFERROR(LOOKUP(AA$23,Timeseries!$A:$A,Timeseries!$E:$E),"")</f>
        <v>700</v>
      </c>
      <c r="AB36" s="8">
        <f>IFERROR(LOOKUP(AB$23,Timeseries!$A:$A,Timeseries!$E:$E),"")</f>
        <v>700</v>
      </c>
      <c r="AC36" s="8">
        <f>IFERROR(LOOKUP(AC$23,Timeseries!$A:$A,Timeseries!$E:$E),"")</f>
        <v>700</v>
      </c>
      <c r="AD36" s="8">
        <f>IFERROR(LOOKUP(AD$23,Timeseries!$A:$A,Timeseries!$E:$E),"")</f>
        <v>700</v>
      </c>
      <c r="AE36" s="8">
        <f>IFERROR(LOOKUP(AE$23,Timeseries!$A:$A,Timeseries!$E:$E),"")</f>
        <v>700</v>
      </c>
      <c r="AF36" s="8">
        <f>IFERROR(LOOKUP(AF$23,Timeseries!$A:$A,Timeseries!$E:$E),"")</f>
        <v>700</v>
      </c>
      <c r="AG36" s="8">
        <f>IFERROR(LOOKUP(AG$23,Timeseries!$A:$A,Timeseries!$E:$E),"")</f>
        <v>700</v>
      </c>
      <c r="AH36" s="8">
        <f>IFERROR(LOOKUP(AH$23,Timeseries!$A:$A,Timeseries!$E:$E),"")</f>
        <v>700</v>
      </c>
      <c r="AI36" s="8">
        <f>IFERROR(LOOKUP(AI$23,Timeseries!$A:$A,Timeseries!$E:$E),"")</f>
        <v>700</v>
      </c>
      <c r="AJ36" s="8">
        <f>IFERROR(LOOKUP(AJ$23,Timeseries!$A:$A,Timeseries!$E:$E),"")</f>
        <v>700</v>
      </c>
      <c r="AK36" s="8">
        <f>IFERROR(LOOKUP(AK$23,Timeseries!$A:$A,Timeseries!$E:$E),"")</f>
        <v>700</v>
      </c>
      <c r="AL36" s="8">
        <f>IFERROR(LOOKUP(AL$23,Timeseries!$A:$A,Timeseries!$E:$E),"")</f>
        <v>700</v>
      </c>
      <c r="AM36" s="8">
        <f>IFERROR(LOOKUP(AM$23,Timeseries!$A:$A,Timeseries!$E:$E),"")</f>
        <v>700</v>
      </c>
      <c r="AN36" s="8">
        <f>IFERROR(LOOKUP(AN$23,Timeseries!$A:$A,Timeseries!$E:$E),"")</f>
        <v>700</v>
      </c>
      <c r="AO36" s="8">
        <f>IFERROR(LOOKUP(AO$23,Timeseries!$A:$A,Timeseries!$E:$E),"")</f>
        <v>700</v>
      </c>
      <c r="AP36" s="8">
        <f>IFERROR(LOOKUP(AP$23,Timeseries!$A:$A,Timeseries!$E:$E),"")</f>
        <v>700</v>
      </c>
      <c r="AQ36" s="8">
        <f>IFERROR(LOOKUP(AQ$23,Timeseries!$A:$A,Timeseries!$E:$E),"")</f>
        <v>700</v>
      </c>
      <c r="AR36" s="8">
        <f>IFERROR(LOOKUP(AR$23,Timeseries!$A:$A,Timeseries!$E:$E),"")</f>
        <v>700</v>
      </c>
      <c r="AS36" s="8">
        <f>IFERROR(LOOKUP(AS$23,Timeseries!$A:$A,Timeseries!$E:$E),"")</f>
        <v>700</v>
      </c>
      <c r="AT36" s="8">
        <f>IFERROR(LOOKUP(AT$23,Timeseries!$A:$A,Timeseries!$E:$E),"")</f>
        <v>700</v>
      </c>
      <c r="AU36" s="8">
        <f>IFERROR(LOOKUP(AU$23,Timeseries!$A:$A,Timeseries!$E:$E),"")</f>
        <v>700</v>
      </c>
      <c r="AV36" s="8">
        <f>IFERROR(LOOKUP(AV$23,Timeseries!$A:$A,Timeseries!$E:$E),"")</f>
        <v>700</v>
      </c>
      <c r="AW36" s="8">
        <f>IFERROR(LOOKUP(AW$23,Timeseries!$A:$A,Timeseries!$E:$E),"")</f>
        <v>700</v>
      </c>
      <c r="AX36" s="8">
        <f>IFERROR(LOOKUP(AX$23,Timeseries!$A:$A,Timeseries!$E:$E),"")</f>
        <v>700</v>
      </c>
      <c r="AY36" s="8">
        <f>IFERROR(LOOKUP(AY$23,Timeseries!$A:$A,Timeseries!$E:$E),"")</f>
        <v>700</v>
      </c>
      <c r="AZ36" s="8">
        <f>IFERROR(LOOKUP(AZ$23,Timeseries!$A:$A,Timeseries!$E:$E),"")</f>
        <v>700</v>
      </c>
      <c r="BA36" s="8">
        <f>IFERROR(LOOKUP(BA$23,Timeseries!$A:$A,Timeseries!$E:$E),"")</f>
        <v>700</v>
      </c>
      <c r="BB36" s="8">
        <f>IFERROR(LOOKUP(BB$23,Timeseries!$A:$A,Timeseries!$E:$E),"")</f>
        <v>700</v>
      </c>
      <c r="BC36" s="8">
        <f>IFERROR(LOOKUP(BC$23,Timeseries!$A:$A,Timeseries!$E:$E),"")</f>
        <v>700</v>
      </c>
      <c r="BD36" s="8">
        <f>IFERROR(LOOKUP(BD$23,Timeseries!$A:$A,Timeseries!$E:$E),"")</f>
        <v>700</v>
      </c>
      <c r="BE36" s="8">
        <f>IFERROR(LOOKUP(BE$23,Timeseries!$A:$A,Timeseries!$E:$E),"")</f>
        <v>700</v>
      </c>
      <c r="BF36" s="8">
        <f>IFERROR(LOOKUP(BF$23,Timeseries!$A:$A,Timeseries!$E:$E),"")</f>
        <v>700</v>
      </c>
      <c r="BG36" s="8">
        <f>IFERROR(LOOKUP(BG$23,Timeseries!$A:$A,Timeseries!$E:$E),"")</f>
        <v>700</v>
      </c>
      <c r="BH36" s="8">
        <f>IFERROR(LOOKUP(BH$23,Timeseries!$A:$A,Timeseries!$E:$E),"")</f>
        <v>700</v>
      </c>
      <c r="BI36" s="8">
        <f>IFERROR(LOOKUP(BI$23,Timeseries!$A:$A,Timeseries!$E:$E),"")</f>
        <v>700</v>
      </c>
      <c r="BJ36" s="8">
        <f>IFERROR(LOOKUP(BJ$23,Timeseries!$A:$A,Timeseries!$E:$E),"")</f>
        <v>700</v>
      </c>
      <c r="BK36" s="8">
        <f>IFERROR(LOOKUP(BK$23,Timeseries!$A:$A,Timeseries!$E:$E),"")</f>
        <v>700</v>
      </c>
      <c r="BL36" s="8">
        <f>IFERROR(LOOKUP(BL$23,Timeseries!$A:$A,Timeseries!$E:$E),"")</f>
        <v>700</v>
      </c>
      <c r="BM36" s="8">
        <f>IFERROR(LOOKUP(BM$23,Timeseries!$A:$A,Timeseries!$E:$E),"")</f>
        <v>700</v>
      </c>
      <c r="BN36" s="8">
        <f>IFERROR(LOOKUP(BN$23,Timeseries!$A:$A,Timeseries!$E:$E),"")</f>
        <v>700</v>
      </c>
      <c r="BO36" s="8">
        <f>IFERROR(LOOKUP(BO$23,Timeseries!$A:$A,Timeseries!$E:$E),"")</f>
        <v>700</v>
      </c>
      <c r="BP36" s="8">
        <f>IFERROR(LOOKUP(BP$23,Timeseries!$A:$A,Timeseries!$E:$E),"")</f>
        <v>700</v>
      </c>
      <c r="BQ36" s="8">
        <f>IFERROR(LOOKUP(BQ$23,Timeseries!$A:$A,Timeseries!$E:$E),"")</f>
        <v>700</v>
      </c>
      <c r="BR36" s="8">
        <f>IFERROR(LOOKUP(BR$23,Timeseries!$A:$A,Timeseries!$E:$E),"")</f>
        <v>700</v>
      </c>
      <c r="BS36" s="8">
        <f>IFERROR(LOOKUP(BS$23,Timeseries!$A:$A,Timeseries!$E:$E),"")</f>
        <v>700</v>
      </c>
      <c r="BT36" s="8">
        <f>IFERROR(LOOKUP(BT$23,Timeseries!$A:$A,Timeseries!$E:$E),"")</f>
        <v>700</v>
      </c>
      <c r="BU36" s="8">
        <f>IFERROR(LOOKUP(BU$23,Timeseries!$A:$A,Timeseries!$E:$E),"")</f>
        <v>700</v>
      </c>
      <c r="BV36" s="8">
        <f>IFERROR(LOOKUP(BV$23,Timeseries!$A:$A,Timeseries!$E:$E),"")</f>
        <v>700</v>
      </c>
      <c r="BW36" s="8">
        <f>IFERROR(LOOKUP(BW$23,Timeseries!$A:$A,Timeseries!$E:$E),"")</f>
        <v>700</v>
      </c>
      <c r="BX36" s="8">
        <f>IFERROR(LOOKUP(BX$23,Timeseries!$A:$A,Timeseries!$E:$E),"")</f>
        <v>700</v>
      </c>
      <c r="BY36" s="8">
        <f>IFERROR(LOOKUP(BY$23,Timeseries!$A:$A,Timeseries!$E:$E),"")</f>
        <v>700</v>
      </c>
      <c r="BZ36" s="8">
        <f>IFERROR(LOOKUP(BZ$23,Timeseries!$A:$A,Timeseries!$E:$E),"")</f>
        <v>700</v>
      </c>
      <c r="CA36" s="8">
        <f>IFERROR(LOOKUP(CA$23,Timeseries!$A:$A,Timeseries!$E:$E),"")</f>
        <v>700</v>
      </c>
      <c r="CB36" s="8">
        <f>IFERROR(LOOKUP(CB$23,Timeseries!$A:$A,Timeseries!$E:$E),"")</f>
        <v>700</v>
      </c>
      <c r="CC36" s="8">
        <f>IFERROR(LOOKUP(CC$23,Timeseries!$A:$A,Timeseries!$E:$E),"")</f>
        <v>700</v>
      </c>
      <c r="CD36" s="8">
        <f>IFERROR(LOOKUP(CD$23,Timeseries!$A:$A,Timeseries!$E:$E),"")</f>
        <v>700</v>
      </c>
      <c r="CE36" s="8">
        <f>IFERROR(LOOKUP(CE$23,Timeseries!$A:$A,Timeseries!$E:$E),"")</f>
        <v>700</v>
      </c>
      <c r="CF36" s="8">
        <f>IFERROR(LOOKUP(CF$23,Timeseries!$A:$A,Timeseries!$E:$E),"")</f>
        <v>700</v>
      </c>
      <c r="CG36" s="8">
        <f>IFERROR(LOOKUP(CG$23,Timeseries!$A:$A,Timeseries!$E:$E),"")</f>
        <v>700</v>
      </c>
      <c r="CH36" s="8">
        <f>IFERROR(LOOKUP(CH$23,Timeseries!$A:$A,Timeseries!$E:$E),"")</f>
        <v>700</v>
      </c>
      <c r="CI36" s="8">
        <f>IFERROR(LOOKUP(CI$23,Timeseries!$A:$A,Timeseries!$E:$E),"")</f>
        <v>700</v>
      </c>
      <c r="CJ36" s="8">
        <f>IFERROR(LOOKUP(CJ$23,Timeseries!$A:$A,Timeseries!$E:$E),"")</f>
        <v>700</v>
      </c>
      <c r="CK36" s="8">
        <f>IFERROR(LOOKUP(CK$23,Timeseries!$A:$A,Timeseries!$E:$E),"")</f>
        <v>700</v>
      </c>
      <c r="CL36" s="8">
        <f>IFERROR(LOOKUP(CL$23,Timeseries!$A:$A,Timeseries!$E:$E),"")</f>
        <v>700</v>
      </c>
      <c r="CM36" s="8">
        <f>IFERROR(LOOKUP(CM$23,Timeseries!$A:$A,Timeseries!$E:$E),"")</f>
        <v>700</v>
      </c>
      <c r="CN36" s="8">
        <f>IFERROR(LOOKUP(CN$23,Timeseries!$A:$A,Timeseries!$E:$E),"")</f>
        <v>700</v>
      </c>
      <c r="CO36" s="8">
        <f>IFERROR(LOOKUP(CO$23,Timeseries!$A:$A,Timeseries!$E:$E),"")</f>
        <v>700</v>
      </c>
      <c r="CP36" s="8">
        <f>IFERROR(LOOKUP(CP$23,Timeseries!$A:$A,Timeseries!$E:$E),"")</f>
        <v>700</v>
      </c>
      <c r="CQ36" s="8">
        <f>IFERROR(LOOKUP(CQ$23,Timeseries!$A:$A,Timeseries!$E:$E),"")</f>
        <v>700</v>
      </c>
      <c r="CR36" s="8">
        <f>IFERROR(LOOKUP(CR$23,Timeseries!$A:$A,Timeseries!$E:$E),"")</f>
        <v>700</v>
      </c>
      <c r="CS36" s="8">
        <f>IFERROR(LOOKUP(CS$23,Timeseries!$A:$A,Timeseries!$E:$E),"")</f>
        <v>700</v>
      </c>
      <c r="CT36" s="8">
        <f>IFERROR(LOOKUP(CT$23,Timeseries!$A:$A,Timeseries!$E:$E),"")</f>
        <v>700</v>
      </c>
      <c r="CU36" s="8">
        <f>IFERROR(LOOKUP(CU$23,Timeseries!$A:$A,Timeseries!$E:$E),"")</f>
        <v>700</v>
      </c>
      <c r="CV36" s="8">
        <f>IFERROR(LOOKUP(CV$23,Timeseries!$A:$A,Timeseries!$E:$E),"")</f>
        <v>700</v>
      </c>
      <c r="CW36" s="8">
        <f>IFERROR(LOOKUP(CW$23,Timeseries!$A:$A,Timeseries!$E:$E),"")</f>
        <v>700</v>
      </c>
      <c r="CX36" s="8">
        <f>IFERROR(LOOKUP(CX$23,Timeseries!$A:$A,Timeseries!$E:$E),"")</f>
        <v>700</v>
      </c>
      <c r="CY36" s="8">
        <f>IFERROR(LOOKUP(CY$23,Timeseries!$A:$A,Timeseries!$E:$E),"")</f>
        <v>700</v>
      </c>
      <c r="CZ36" s="8">
        <f>IFERROR(LOOKUP(CZ$23,Timeseries!$A:$A,Timeseries!$E:$E),"")</f>
        <v>700</v>
      </c>
      <c r="DA36" s="8">
        <f>IFERROR(LOOKUP(DA$23,Timeseries!$A:$A,Timeseries!$E:$E),"")</f>
        <v>700</v>
      </c>
      <c r="DB36" s="8">
        <f>IFERROR(LOOKUP(DB$23,Timeseries!$A:$A,Timeseries!$E:$E),"")</f>
        <v>700</v>
      </c>
      <c r="DC36" s="8">
        <f>IFERROR(LOOKUP(DC$23,Timeseries!$A:$A,Timeseries!$E:$E),"")</f>
        <v>700</v>
      </c>
      <c r="DD36" s="8">
        <f>IFERROR(LOOKUP(DD$23,Timeseries!$A:$A,Timeseries!$E:$E),"")</f>
        <v>700</v>
      </c>
      <c r="DE36" s="8">
        <f>IFERROR(LOOKUP(DE$23,Timeseries!$A:$A,Timeseries!$E:$E),"")</f>
        <v>700</v>
      </c>
      <c r="DF36" s="8">
        <f>IFERROR(LOOKUP(DF$23,Timeseries!$A:$A,Timeseries!$E:$E),"")</f>
        <v>700</v>
      </c>
      <c r="DG36" s="8">
        <f>IFERROR(LOOKUP(DG$23,Timeseries!$A:$A,Timeseries!$E:$E),"")</f>
        <v>700</v>
      </c>
      <c r="DH36" s="8">
        <f>IFERROR(LOOKUP(DH$23,Timeseries!$A:$A,Timeseries!$E:$E),"")</f>
        <v>700</v>
      </c>
      <c r="DI36" s="8">
        <f>IFERROR(LOOKUP(DI$23,Timeseries!$A:$A,Timeseries!$E:$E),"")</f>
        <v>700</v>
      </c>
      <c r="DJ36" s="8">
        <f>IFERROR(LOOKUP(DJ$23,Timeseries!$A:$A,Timeseries!$E:$E),"")</f>
        <v>700</v>
      </c>
      <c r="DK36" s="8">
        <f>IFERROR(LOOKUP(DK$23,Timeseries!$A:$A,Timeseries!$E:$E),"")</f>
        <v>700</v>
      </c>
      <c r="DL36" s="8">
        <f>IFERROR(LOOKUP(DL$23,Timeseries!$A:$A,Timeseries!$E:$E),"")</f>
        <v>700</v>
      </c>
      <c r="DM36" s="8">
        <f>IFERROR(LOOKUP(DM$23,Timeseries!$A:$A,Timeseries!$E:$E),"")</f>
        <v>700</v>
      </c>
      <c r="DN36" s="8">
        <f>IFERROR(LOOKUP(DN$23,Timeseries!$A:$A,Timeseries!$E:$E),"")</f>
        <v>700</v>
      </c>
      <c r="DO36" s="8">
        <f>IFERROR(LOOKUP(DO$23,Timeseries!$A:$A,Timeseries!$E:$E),"")</f>
        <v>700</v>
      </c>
      <c r="DP36" s="8">
        <f>IFERROR(LOOKUP(DP$23,Timeseries!$A:$A,Timeseries!$E:$E),"")</f>
        <v>700</v>
      </c>
      <c r="DQ36" s="8">
        <f>IFERROR(LOOKUP(DQ$23,Timeseries!$A:$A,Timeseries!$E:$E),"")</f>
        <v>700</v>
      </c>
      <c r="DR36" s="8">
        <f>IFERROR(LOOKUP(DR$23,Timeseries!$A:$A,Timeseries!$E:$E),"")</f>
        <v>700</v>
      </c>
      <c r="DS36" s="8">
        <f>IFERROR(LOOKUP(DS$23,Timeseries!$A:$A,Timeseries!$E:$E),"")</f>
        <v>700</v>
      </c>
      <c r="DT36" s="8">
        <f>IFERROR(LOOKUP(DT$23,Timeseries!$A:$A,Timeseries!$E:$E),"")</f>
        <v>700</v>
      </c>
      <c r="DU36" s="8">
        <f>IFERROR(LOOKUP(DU$23,Timeseries!$A:$A,Timeseries!$E:$E),"")</f>
        <v>700</v>
      </c>
      <c r="DV36" s="8">
        <f>IFERROR(LOOKUP(DV$23,Timeseries!$A:$A,Timeseries!$E:$E),"")</f>
        <v>700</v>
      </c>
      <c r="DW36" s="8">
        <f>IFERROR(LOOKUP(DW$23,Timeseries!$A:$A,Timeseries!$E:$E),"")</f>
        <v>700</v>
      </c>
      <c r="DX36" s="8">
        <f>IFERROR(LOOKUP(DX$23,Timeseries!$A:$A,Timeseries!$E:$E),"")</f>
        <v>700</v>
      </c>
      <c r="DY36" s="8">
        <f>IFERROR(LOOKUP(DY$23,Timeseries!$A:$A,Timeseries!$E:$E),"")</f>
        <v>700</v>
      </c>
      <c r="DZ36" s="8">
        <f>IFERROR(LOOKUP(DZ$23,Timeseries!$A:$A,Timeseries!$E:$E),"")</f>
        <v>700</v>
      </c>
      <c r="EA36" s="8">
        <f>IFERROR(LOOKUP(EA$23,Timeseries!$A:$A,Timeseries!$E:$E),"")</f>
        <v>700</v>
      </c>
      <c r="EB36" s="8">
        <f>IFERROR(LOOKUP(EB$23,Timeseries!$A:$A,Timeseries!$E:$E),"")</f>
        <v>700</v>
      </c>
      <c r="EC36" s="8">
        <f>IFERROR(LOOKUP(EC$23,Timeseries!$A:$A,Timeseries!$E:$E),"")</f>
        <v>700</v>
      </c>
      <c r="ED36" s="8">
        <f>IFERROR(LOOKUP(ED$23,Timeseries!$A:$A,Timeseries!$E:$E),"")</f>
        <v>700</v>
      </c>
      <c r="EE36" s="8">
        <f>IFERROR(LOOKUP(EE$23,Timeseries!$A:$A,Timeseries!$E:$E),"")</f>
        <v>700</v>
      </c>
      <c r="EF36" s="8">
        <f>IFERROR(LOOKUP(EF$23,Timeseries!$A:$A,Timeseries!$E:$E),"")</f>
        <v>700</v>
      </c>
      <c r="EG36" s="8">
        <f>IFERROR(LOOKUP(EG$23,Timeseries!$A:$A,Timeseries!$E:$E),"")</f>
        <v>700</v>
      </c>
      <c r="EH36" s="8">
        <f>IFERROR(LOOKUP(EH$23,Timeseries!$A:$A,Timeseries!$E:$E),"")</f>
        <v>700</v>
      </c>
      <c r="EI36" s="8">
        <f>IFERROR(LOOKUP(EI$23,Timeseries!$A:$A,Timeseries!$E:$E),"")</f>
        <v>700</v>
      </c>
      <c r="EJ36" s="8">
        <f>IFERROR(LOOKUP(EJ$23,Timeseries!$A:$A,Timeseries!$E:$E),"")</f>
        <v>700</v>
      </c>
      <c r="EK36" s="8">
        <f>IFERROR(LOOKUP(EK$23,Timeseries!$A:$A,Timeseries!$E:$E),"")</f>
        <v>700</v>
      </c>
      <c r="EL36" s="8">
        <f>IFERROR(LOOKUP(EL$23,Timeseries!$A:$A,Timeseries!$E:$E),"")</f>
        <v>700</v>
      </c>
      <c r="EM36" s="8">
        <f>IFERROR(LOOKUP(EM$23,Timeseries!$A:$A,Timeseries!$E:$E),"")</f>
        <v>700</v>
      </c>
      <c r="EN36" s="8">
        <f>IFERROR(LOOKUP(EN$23,Timeseries!$A:$A,Timeseries!$E:$E),"")</f>
        <v>700</v>
      </c>
      <c r="EO36" s="8">
        <f>IFERROR(LOOKUP(EO$23,Timeseries!$A:$A,Timeseries!$E:$E),"")</f>
        <v>700</v>
      </c>
      <c r="EP36" s="8">
        <f>IFERROR(LOOKUP(EP$23,Timeseries!$A:$A,Timeseries!$E:$E),"")</f>
        <v>700</v>
      </c>
      <c r="EQ36" s="8">
        <f>IFERROR(LOOKUP(EQ$23,Timeseries!$A:$A,Timeseries!$E:$E),"")</f>
        <v>700</v>
      </c>
      <c r="ER36" s="8">
        <f>IFERROR(LOOKUP(ER$23,Timeseries!$A:$A,Timeseries!$E:$E),"")</f>
        <v>700</v>
      </c>
      <c r="ES36" s="8">
        <f>IFERROR(LOOKUP(ES$23,Timeseries!$A:$A,Timeseries!$E:$E),"")</f>
        <v>700</v>
      </c>
      <c r="ET36" s="8">
        <f>IFERROR(LOOKUP(ET$23,Timeseries!$A:$A,Timeseries!$E:$E),"")</f>
        <v>700</v>
      </c>
      <c r="EU36" s="8">
        <f>IFERROR(LOOKUP(EU$23,Timeseries!$A:$A,Timeseries!$E:$E),"")</f>
        <v>700</v>
      </c>
      <c r="EV36" s="8">
        <f>IFERROR(LOOKUP(EV$23,Timeseries!$A:$A,Timeseries!$E:$E),"")</f>
        <v>700</v>
      </c>
      <c r="EW36" s="8">
        <f>IFERROR(LOOKUP(EW$23,Timeseries!$A:$A,Timeseries!$E:$E),"")</f>
        <v>700</v>
      </c>
      <c r="EX36" s="8">
        <f>IFERROR(LOOKUP(EX$23,Timeseries!$A:$A,Timeseries!$E:$E),"")</f>
        <v>700</v>
      </c>
      <c r="EY36" s="8">
        <f>IFERROR(LOOKUP(EY$23,Timeseries!$A:$A,Timeseries!$E:$E),"")</f>
        <v>700</v>
      </c>
      <c r="EZ36" s="8">
        <f>IFERROR(LOOKUP(EZ$23,Timeseries!$A:$A,Timeseries!$E:$E),"")</f>
        <v>700</v>
      </c>
      <c r="FA36" s="8">
        <f>IFERROR(LOOKUP(FA$23,Timeseries!$A:$A,Timeseries!$E:$E),"")</f>
        <v>700</v>
      </c>
      <c r="FB36" s="8">
        <f>IFERROR(LOOKUP(FB$23,Timeseries!$A:$A,Timeseries!$E:$E),"")</f>
        <v>700</v>
      </c>
      <c r="FC36" s="8">
        <f>IFERROR(LOOKUP(FC$23,Timeseries!$A:$A,Timeseries!$E:$E),"")</f>
        <v>700</v>
      </c>
      <c r="FD36" s="8">
        <f>IFERROR(LOOKUP(FD$23,Timeseries!$A:$A,Timeseries!$E:$E),"")</f>
        <v>700</v>
      </c>
      <c r="FE36" s="8">
        <f>IFERROR(LOOKUP(FE$23,Timeseries!$A:$A,Timeseries!$E:$E),"")</f>
        <v>700</v>
      </c>
      <c r="FF36" s="8">
        <f>IFERROR(LOOKUP(FF$23,Timeseries!$A:$A,Timeseries!$E:$E),"")</f>
        <v>700</v>
      </c>
      <c r="FG36" s="8">
        <f>IFERROR(LOOKUP(FG$23,Timeseries!$A:$A,Timeseries!$E:$E),"")</f>
        <v>700</v>
      </c>
      <c r="FH36" s="8">
        <f>IFERROR(LOOKUP(FH$23,Timeseries!$A:$A,Timeseries!$E:$E),"")</f>
        <v>700</v>
      </c>
      <c r="FI36" s="8">
        <f>IFERROR(LOOKUP(FI$23,Timeseries!$A:$A,Timeseries!$E:$E),"")</f>
        <v>700</v>
      </c>
      <c r="FJ36" s="8">
        <f>IFERROR(LOOKUP(FJ$23,Timeseries!$A:$A,Timeseries!$E:$E),"")</f>
        <v>700</v>
      </c>
      <c r="FK36" s="8">
        <f>IFERROR(LOOKUP(FK$23,Timeseries!$A:$A,Timeseries!$E:$E),"")</f>
        <v>700</v>
      </c>
      <c r="FL36" s="8">
        <f>IFERROR(LOOKUP(FL$23,Timeseries!$A:$A,Timeseries!$E:$E),"")</f>
        <v>700</v>
      </c>
      <c r="FM36" s="8">
        <f>IFERROR(LOOKUP(FM$23,Timeseries!$A:$A,Timeseries!$E:$E),"")</f>
        <v>700</v>
      </c>
      <c r="FN36" s="8">
        <f>IFERROR(LOOKUP(FN$23,Timeseries!$A:$A,Timeseries!$E:$E),"")</f>
        <v>700</v>
      </c>
      <c r="FO36" s="8">
        <f>IFERROR(LOOKUP(FO$23,Timeseries!$A:$A,Timeseries!$E:$E),"")</f>
        <v>700</v>
      </c>
      <c r="FP36" s="8">
        <f>IFERROR(LOOKUP(FP$23,Timeseries!$A:$A,Timeseries!$E:$E),"")</f>
        <v>700</v>
      </c>
      <c r="FQ36" s="8">
        <f>IFERROR(LOOKUP(FQ$23,Timeseries!$A:$A,Timeseries!$E:$E),"")</f>
        <v>700</v>
      </c>
      <c r="FR36" s="8">
        <f>IFERROR(LOOKUP(FR$23,Timeseries!$A:$A,Timeseries!$E:$E),"")</f>
        <v>700</v>
      </c>
      <c r="FS36" s="8">
        <f>IFERROR(LOOKUP(FS$23,Timeseries!$A:$A,Timeseries!$E:$E),"")</f>
        <v>700</v>
      </c>
    </row>
    <row r="37" spans="4:175">
      <c r="D37" s="17" t="s">
        <v>81</v>
      </c>
      <c r="E37" s="2" t="s">
        <v>75</v>
      </c>
      <c r="F37" s="8" t="s">
        <v>151</v>
      </c>
      <c r="G37" s="2"/>
      <c r="H37" s="8">
        <f>IFERROR(LOOKUP(H$23,Timeseries!$A:$A,Timeseries!$F:$F),"")</f>
        <v>7500</v>
      </c>
      <c r="I37" s="8">
        <f>IFERROR(LOOKUP(I$23,Timeseries!$A:$A,Timeseries!$F:$F),"")</f>
        <v>7500</v>
      </c>
      <c r="J37" s="8">
        <f>IFERROR(LOOKUP(J$23,Timeseries!$A:$A,Timeseries!$F:$F),"")</f>
        <v>7500</v>
      </c>
      <c r="K37" s="8">
        <f>IFERROR(LOOKUP(K$23,Timeseries!$A:$A,Timeseries!$F:$F),"")</f>
        <v>7500</v>
      </c>
      <c r="L37" s="8">
        <f>IFERROR(LOOKUP(L$23,Timeseries!$A:$A,Timeseries!$F:$F),"")</f>
        <v>7500</v>
      </c>
      <c r="M37" s="8">
        <f>IFERROR(LOOKUP(M$23,Timeseries!$A:$A,Timeseries!$F:$F),"")</f>
        <v>7500</v>
      </c>
      <c r="N37" s="8">
        <f>IFERROR(LOOKUP(N$23,Timeseries!$A:$A,Timeseries!$F:$F),"")</f>
        <v>7500</v>
      </c>
      <c r="O37" s="8">
        <f>IFERROR(LOOKUP(O$23,Timeseries!$A:$A,Timeseries!$F:$F),"")</f>
        <v>7500</v>
      </c>
      <c r="P37" s="8">
        <f>IFERROR(LOOKUP(P$23,Timeseries!$A:$A,Timeseries!$F:$F),"")</f>
        <v>7500</v>
      </c>
      <c r="Q37" s="8">
        <f>IFERROR(LOOKUP(Q$23,Timeseries!$A:$A,Timeseries!$F:$F),"")</f>
        <v>7500</v>
      </c>
      <c r="R37" s="8">
        <f>IFERROR(LOOKUP(R$23,Timeseries!$A:$A,Timeseries!$F:$F),"")</f>
        <v>7500</v>
      </c>
      <c r="S37" s="8">
        <f>IFERROR(LOOKUP(S$23,Timeseries!$A:$A,Timeseries!$F:$F),"")</f>
        <v>7500</v>
      </c>
      <c r="T37" s="8">
        <f>IFERROR(LOOKUP(T$23,Timeseries!$A:$A,Timeseries!$F:$F),"")</f>
        <v>7500</v>
      </c>
      <c r="U37" s="8">
        <f>IFERROR(LOOKUP(U$23,Timeseries!$A:$A,Timeseries!$F:$F),"")</f>
        <v>7500</v>
      </c>
      <c r="V37" s="8">
        <f>IFERROR(LOOKUP(V$23,Timeseries!$A:$A,Timeseries!$F:$F),"")</f>
        <v>7500</v>
      </c>
      <c r="W37" s="8">
        <f>IFERROR(LOOKUP(W$23,Timeseries!$A:$A,Timeseries!$F:$F),"")</f>
        <v>7500</v>
      </c>
      <c r="X37" s="8">
        <f>IFERROR(LOOKUP(X$23,Timeseries!$A:$A,Timeseries!$F:$F),"")</f>
        <v>7500</v>
      </c>
      <c r="Y37" s="8">
        <f>IFERROR(LOOKUP(Y$23,Timeseries!$A:$A,Timeseries!$F:$F),"")</f>
        <v>7500</v>
      </c>
      <c r="Z37" s="8">
        <f>IFERROR(LOOKUP(Z$23,Timeseries!$A:$A,Timeseries!$F:$F),"")</f>
        <v>7500</v>
      </c>
      <c r="AA37" s="8">
        <f>IFERROR(LOOKUP(AA$23,Timeseries!$A:$A,Timeseries!$F:$F),"")</f>
        <v>7500</v>
      </c>
      <c r="AB37" s="8">
        <f>IFERROR(LOOKUP(AB$23,Timeseries!$A:$A,Timeseries!$F:$F),"")</f>
        <v>7500</v>
      </c>
      <c r="AC37" s="8">
        <f>IFERROR(LOOKUP(AC$23,Timeseries!$A:$A,Timeseries!$F:$F),"")</f>
        <v>7500</v>
      </c>
      <c r="AD37" s="8">
        <f>IFERROR(LOOKUP(AD$23,Timeseries!$A:$A,Timeseries!$F:$F),"")</f>
        <v>7500</v>
      </c>
      <c r="AE37" s="8">
        <f>IFERROR(LOOKUP(AE$23,Timeseries!$A:$A,Timeseries!$F:$F),"")</f>
        <v>7500</v>
      </c>
      <c r="AF37" s="8">
        <f>IFERROR(LOOKUP(AF$23,Timeseries!$A:$A,Timeseries!$F:$F),"")</f>
        <v>7500</v>
      </c>
      <c r="AG37" s="8">
        <f>IFERROR(LOOKUP(AG$23,Timeseries!$A:$A,Timeseries!$F:$F),"")</f>
        <v>7500</v>
      </c>
      <c r="AH37" s="8">
        <f>IFERROR(LOOKUP(AH$23,Timeseries!$A:$A,Timeseries!$F:$F),"")</f>
        <v>7500</v>
      </c>
      <c r="AI37" s="8">
        <f>IFERROR(LOOKUP(AI$23,Timeseries!$A:$A,Timeseries!$F:$F),"")</f>
        <v>7500</v>
      </c>
      <c r="AJ37" s="8">
        <f>IFERROR(LOOKUP(AJ$23,Timeseries!$A:$A,Timeseries!$F:$F),"")</f>
        <v>7500</v>
      </c>
      <c r="AK37" s="8">
        <f>IFERROR(LOOKUP(AK$23,Timeseries!$A:$A,Timeseries!$F:$F),"")</f>
        <v>7500</v>
      </c>
      <c r="AL37" s="8">
        <f>IFERROR(LOOKUP(AL$23,Timeseries!$A:$A,Timeseries!$F:$F),"")</f>
        <v>7500</v>
      </c>
      <c r="AM37" s="8">
        <f>IFERROR(LOOKUP(AM$23,Timeseries!$A:$A,Timeseries!$F:$F),"")</f>
        <v>7500</v>
      </c>
      <c r="AN37" s="8">
        <f>IFERROR(LOOKUP(AN$23,Timeseries!$A:$A,Timeseries!$F:$F),"")</f>
        <v>7500</v>
      </c>
      <c r="AO37" s="8">
        <f>IFERROR(LOOKUP(AO$23,Timeseries!$A:$A,Timeseries!$F:$F),"")</f>
        <v>7500</v>
      </c>
      <c r="AP37" s="8">
        <f>IFERROR(LOOKUP(AP$23,Timeseries!$A:$A,Timeseries!$F:$F),"")</f>
        <v>7500</v>
      </c>
      <c r="AQ37" s="8">
        <f>IFERROR(LOOKUP(AQ$23,Timeseries!$A:$A,Timeseries!$F:$F),"")</f>
        <v>7500</v>
      </c>
      <c r="AR37" s="8">
        <f>IFERROR(LOOKUP(AR$23,Timeseries!$A:$A,Timeseries!$F:$F),"")</f>
        <v>7500</v>
      </c>
      <c r="AS37" s="8">
        <f>IFERROR(LOOKUP(AS$23,Timeseries!$A:$A,Timeseries!$F:$F),"")</f>
        <v>7500</v>
      </c>
      <c r="AT37" s="8">
        <f>IFERROR(LOOKUP(AT$23,Timeseries!$A:$A,Timeseries!$F:$F),"")</f>
        <v>7500</v>
      </c>
      <c r="AU37" s="8">
        <f>IFERROR(LOOKUP(AU$23,Timeseries!$A:$A,Timeseries!$F:$F),"")</f>
        <v>7500</v>
      </c>
      <c r="AV37" s="8">
        <f>IFERROR(LOOKUP(AV$23,Timeseries!$A:$A,Timeseries!$F:$F),"")</f>
        <v>7500</v>
      </c>
      <c r="AW37" s="8">
        <f>IFERROR(LOOKUP(AW$23,Timeseries!$A:$A,Timeseries!$F:$F),"")</f>
        <v>7500</v>
      </c>
      <c r="AX37" s="8">
        <f>IFERROR(LOOKUP(AX$23,Timeseries!$A:$A,Timeseries!$F:$F),"")</f>
        <v>7500</v>
      </c>
      <c r="AY37" s="8">
        <f>IFERROR(LOOKUP(AY$23,Timeseries!$A:$A,Timeseries!$F:$F),"")</f>
        <v>7500</v>
      </c>
      <c r="AZ37" s="8">
        <f>IFERROR(LOOKUP(AZ$23,Timeseries!$A:$A,Timeseries!$F:$F),"")</f>
        <v>7500</v>
      </c>
      <c r="BA37" s="8">
        <f>IFERROR(LOOKUP(BA$23,Timeseries!$A:$A,Timeseries!$F:$F),"")</f>
        <v>7500</v>
      </c>
      <c r="BB37" s="8">
        <f>IFERROR(LOOKUP(BB$23,Timeseries!$A:$A,Timeseries!$F:$F),"")</f>
        <v>7500</v>
      </c>
      <c r="BC37" s="8">
        <f>IFERROR(LOOKUP(BC$23,Timeseries!$A:$A,Timeseries!$F:$F),"")</f>
        <v>7500</v>
      </c>
      <c r="BD37" s="8">
        <f>IFERROR(LOOKUP(BD$23,Timeseries!$A:$A,Timeseries!$F:$F),"")</f>
        <v>7500</v>
      </c>
      <c r="BE37" s="8">
        <f>IFERROR(LOOKUP(BE$23,Timeseries!$A:$A,Timeseries!$F:$F),"")</f>
        <v>7500</v>
      </c>
      <c r="BF37" s="8">
        <f>IFERROR(LOOKUP(BF$23,Timeseries!$A:$A,Timeseries!$F:$F),"")</f>
        <v>7500</v>
      </c>
      <c r="BG37" s="8">
        <f>IFERROR(LOOKUP(BG$23,Timeseries!$A:$A,Timeseries!$F:$F),"")</f>
        <v>7500</v>
      </c>
      <c r="BH37" s="8">
        <f>IFERROR(LOOKUP(BH$23,Timeseries!$A:$A,Timeseries!$F:$F),"")</f>
        <v>7500</v>
      </c>
      <c r="BI37" s="8">
        <f>IFERROR(LOOKUP(BI$23,Timeseries!$A:$A,Timeseries!$F:$F),"")</f>
        <v>7500</v>
      </c>
      <c r="BJ37" s="8">
        <f>IFERROR(LOOKUP(BJ$23,Timeseries!$A:$A,Timeseries!$F:$F),"")</f>
        <v>7500</v>
      </c>
      <c r="BK37" s="8">
        <f>IFERROR(LOOKUP(BK$23,Timeseries!$A:$A,Timeseries!$F:$F),"")</f>
        <v>7500</v>
      </c>
      <c r="BL37" s="8">
        <f>IFERROR(LOOKUP(BL$23,Timeseries!$A:$A,Timeseries!$F:$F),"")</f>
        <v>7500</v>
      </c>
      <c r="BM37" s="8">
        <f>IFERROR(LOOKUP(BM$23,Timeseries!$A:$A,Timeseries!$F:$F),"")</f>
        <v>7500</v>
      </c>
      <c r="BN37" s="8">
        <f>IFERROR(LOOKUP(BN$23,Timeseries!$A:$A,Timeseries!$F:$F),"")</f>
        <v>7500</v>
      </c>
      <c r="BO37" s="8">
        <f>IFERROR(LOOKUP(BO$23,Timeseries!$A:$A,Timeseries!$F:$F),"")</f>
        <v>7500</v>
      </c>
      <c r="BP37" s="8">
        <f>IFERROR(LOOKUP(BP$23,Timeseries!$A:$A,Timeseries!$F:$F),"")</f>
        <v>7500</v>
      </c>
      <c r="BQ37" s="8">
        <f>IFERROR(LOOKUP(BQ$23,Timeseries!$A:$A,Timeseries!$F:$F),"")</f>
        <v>7500</v>
      </c>
      <c r="BR37" s="8">
        <f>IFERROR(LOOKUP(BR$23,Timeseries!$A:$A,Timeseries!$F:$F),"")</f>
        <v>7500</v>
      </c>
      <c r="BS37" s="8">
        <f>IFERROR(LOOKUP(BS$23,Timeseries!$A:$A,Timeseries!$F:$F),"")</f>
        <v>7500</v>
      </c>
      <c r="BT37" s="8">
        <f>IFERROR(LOOKUP(BT$23,Timeseries!$A:$A,Timeseries!$F:$F),"")</f>
        <v>7500</v>
      </c>
      <c r="BU37" s="8">
        <f>IFERROR(LOOKUP(BU$23,Timeseries!$A:$A,Timeseries!$F:$F),"")</f>
        <v>7500</v>
      </c>
      <c r="BV37" s="8">
        <f>IFERROR(LOOKUP(BV$23,Timeseries!$A:$A,Timeseries!$F:$F),"")</f>
        <v>7500</v>
      </c>
      <c r="BW37" s="8">
        <f>IFERROR(LOOKUP(BW$23,Timeseries!$A:$A,Timeseries!$F:$F),"")</f>
        <v>7500</v>
      </c>
      <c r="BX37" s="8">
        <f>IFERROR(LOOKUP(BX$23,Timeseries!$A:$A,Timeseries!$F:$F),"")</f>
        <v>7500</v>
      </c>
      <c r="BY37" s="8">
        <f>IFERROR(LOOKUP(BY$23,Timeseries!$A:$A,Timeseries!$F:$F),"")</f>
        <v>7500</v>
      </c>
      <c r="BZ37" s="8">
        <f>IFERROR(LOOKUP(BZ$23,Timeseries!$A:$A,Timeseries!$F:$F),"")</f>
        <v>7500</v>
      </c>
      <c r="CA37" s="8">
        <f>IFERROR(LOOKUP(CA$23,Timeseries!$A:$A,Timeseries!$F:$F),"")</f>
        <v>7500</v>
      </c>
      <c r="CB37" s="8">
        <f>IFERROR(LOOKUP(CB$23,Timeseries!$A:$A,Timeseries!$F:$F),"")</f>
        <v>7500</v>
      </c>
      <c r="CC37" s="8">
        <f>IFERROR(LOOKUP(CC$23,Timeseries!$A:$A,Timeseries!$F:$F),"")</f>
        <v>7500</v>
      </c>
      <c r="CD37" s="8">
        <f>IFERROR(LOOKUP(CD$23,Timeseries!$A:$A,Timeseries!$F:$F),"")</f>
        <v>7500</v>
      </c>
      <c r="CE37" s="8">
        <f>IFERROR(LOOKUP(CE$23,Timeseries!$A:$A,Timeseries!$F:$F),"")</f>
        <v>7500</v>
      </c>
      <c r="CF37" s="8">
        <f>IFERROR(LOOKUP(CF$23,Timeseries!$A:$A,Timeseries!$F:$F),"")</f>
        <v>7500</v>
      </c>
      <c r="CG37" s="8">
        <f>IFERROR(LOOKUP(CG$23,Timeseries!$A:$A,Timeseries!$F:$F),"")</f>
        <v>7500</v>
      </c>
      <c r="CH37" s="8">
        <f>IFERROR(LOOKUP(CH$23,Timeseries!$A:$A,Timeseries!$F:$F),"")</f>
        <v>7500</v>
      </c>
      <c r="CI37" s="8">
        <f>IFERROR(LOOKUP(CI$23,Timeseries!$A:$A,Timeseries!$F:$F),"")</f>
        <v>7500</v>
      </c>
      <c r="CJ37" s="8">
        <f>IFERROR(LOOKUP(CJ$23,Timeseries!$A:$A,Timeseries!$F:$F),"")</f>
        <v>7500</v>
      </c>
      <c r="CK37" s="8">
        <f>IFERROR(LOOKUP(CK$23,Timeseries!$A:$A,Timeseries!$F:$F),"")</f>
        <v>7500</v>
      </c>
      <c r="CL37" s="8">
        <f>IFERROR(LOOKUP(CL$23,Timeseries!$A:$A,Timeseries!$F:$F),"")</f>
        <v>7500</v>
      </c>
      <c r="CM37" s="8">
        <f>IFERROR(LOOKUP(CM$23,Timeseries!$A:$A,Timeseries!$F:$F),"")</f>
        <v>7500</v>
      </c>
      <c r="CN37" s="8">
        <f>IFERROR(LOOKUP(CN$23,Timeseries!$A:$A,Timeseries!$F:$F),"")</f>
        <v>7500</v>
      </c>
      <c r="CO37" s="8">
        <f>IFERROR(LOOKUP(CO$23,Timeseries!$A:$A,Timeseries!$F:$F),"")</f>
        <v>7500</v>
      </c>
      <c r="CP37" s="8">
        <f>IFERROR(LOOKUP(CP$23,Timeseries!$A:$A,Timeseries!$F:$F),"")</f>
        <v>7500</v>
      </c>
      <c r="CQ37" s="8">
        <f>IFERROR(LOOKUP(CQ$23,Timeseries!$A:$A,Timeseries!$F:$F),"")</f>
        <v>7500</v>
      </c>
      <c r="CR37" s="8">
        <f>IFERROR(LOOKUP(CR$23,Timeseries!$A:$A,Timeseries!$F:$F),"")</f>
        <v>7500</v>
      </c>
      <c r="CS37" s="8">
        <f>IFERROR(LOOKUP(CS$23,Timeseries!$A:$A,Timeseries!$F:$F),"")</f>
        <v>7500</v>
      </c>
      <c r="CT37" s="8">
        <f>IFERROR(LOOKUP(CT$23,Timeseries!$A:$A,Timeseries!$F:$F),"")</f>
        <v>7500</v>
      </c>
      <c r="CU37" s="8">
        <f>IFERROR(LOOKUP(CU$23,Timeseries!$A:$A,Timeseries!$F:$F),"")</f>
        <v>7500</v>
      </c>
      <c r="CV37" s="8">
        <f>IFERROR(LOOKUP(CV$23,Timeseries!$A:$A,Timeseries!$F:$F),"")</f>
        <v>7500</v>
      </c>
      <c r="CW37" s="8">
        <f>IFERROR(LOOKUP(CW$23,Timeseries!$A:$A,Timeseries!$F:$F),"")</f>
        <v>7500</v>
      </c>
      <c r="CX37" s="8">
        <f>IFERROR(LOOKUP(CX$23,Timeseries!$A:$A,Timeseries!$F:$F),"")</f>
        <v>7500</v>
      </c>
      <c r="CY37" s="8">
        <f>IFERROR(LOOKUP(CY$23,Timeseries!$A:$A,Timeseries!$F:$F),"")</f>
        <v>7500</v>
      </c>
      <c r="CZ37" s="8">
        <f>IFERROR(LOOKUP(CZ$23,Timeseries!$A:$A,Timeseries!$F:$F),"")</f>
        <v>7500</v>
      </c>
      <c r="DA37" s="8">
        <f>IFERROR(LOOKUP(DA$23,Timeseries!$A:$A,Timeseries!$F:$F),"")</f>
        <v>7500</v>
      </c>
      <c r="DB37" s="8">
        <f>IFERROR(LOOKUP(DB$23,Timeseries!$A:$A,Timeseries!$F:$F),"")</f>
        <v>7500</v>
      </c>
      <c r="DC37" s="8">
        <f>IFERROR(LOOKUP(DC$23,Timeseries!$A:$A,Timeseries!$F:$F),"")</f>
        <v>7500</v>
      </c>
      <c r="DD37" s="8">
        <f>IFERROR(LOOKUP(DD$23,Timeseries!$A:$A,Timeseries!$F:$F),"")</f>
        <v>7500</v>
      </c>
      <c r="DE37" s="8">
        <f>IFERROR(LOOKUP(DE$23,Timeseries!$A:$A,Timeseries!$F:$F),"")</f>
        <v>7500</v>
      </c>
      <c r="DF37" s="8">
        <f>IFERROR(LOOKUP(DF$23,Timeseries!$A:$A,Timeseries!$F:$F),"")</f>
        <v>7500</v>
      </c>
      <c r="DG37" s="8">
        <f>IFERROR(LOOKUP(DG$23,Timeseries!$A:$A,Timeseries!$F:$F),"")</f>
        <v>7500</v>
      </c>
      <c r="DH37" s="8">
        <f>IFERROR(LOOKUP(DH$23,Timeseries!$A:$A,Timeseries!$F:$F),"")</f>
        <v>7500</v>
      </c>
      <c r="DI37" s="8">
        <f>IFERROR(LOOKUP(DI$23,Timeseries!$A:$A,Timeseries!$F:$F),"")</f>
        <v>7500</v>
      </c>
      <c r="DJ37" s="8">
        <f>IFERROR(LOOKUP(DJ$23,Timeseries!$A:$A,Timeseries!$F:$F),"")</f>
        <v>7500</v>
      </c>
      <c r="DK37" s="8">
        <f>IFERROR(LOOKUP(DK$23,Timeseries!$A:$A,Timeseries!$F:$F),"")</f>
        <v>7500</v>
      </c>
      <c r="DL37" s="8">
        <f>IFERROR(LOOKUP(DL$23,Timeseries!$A:$A,Timeseries!$F:$F),"")</f>
        <v>7500</v>
      </c>
      <c r="DM37" s="8">
        <f>IFERROR(LOOKUP(DM$23,Timeseries!$A:$A,Timeseries!$F:$F),"")</f>
        <v>7500</v>
      </c>
      <c r="DN37" s="8">
        <f>IFERROR(LOOKUP(DN$23,Timeseries!$A:$A,Timeseries!$F:$F),"")</f>
        <v>7500</v>
      </c>
      <c r="DO37" s="8">
        <f>IFERROR(LOOKUP(DO$23,Timeseries!$A:$A,Timeseries!$F:$F),"")</f>
        <v>7500</v>
      </c>
      <c r="DP37" s="8">
        <f>IFERROR(LOOKUP(DP$23,Timeseries!$A:$A,Timeseries!$F:$F),"")</f>
        <v>7500</v>
      </c>
      <c r="DQ37" s="8">
        <f>IFERROR(LOOKUP(DQ$23,Timeseries!$A:$A,Timeseries!$F:$F),"")</f>
        <v>7500</v>
      </c>
      <c r="DR37" s="8">
        <f>IFERROR(LOOKUP(DR$23,Timeseries!$A:$A,Timeseries!$F:$F),"")</f>
        <v>7500</v>
      </c>
      <c r="DS37" s="8">
        <f>IFERROR(LOOKUP(DS$23,Timeseries!$A:$A,Timeseries!$F:$F),"")</f>
        <v>7500</v>
      </c>
      <c r="DT37" s="8">
        <f>IFERROR(LOOKUP(DT$23,Timeseries!$A:$A,Timeseries!$F:$F),"")</f>
        <v>7500</v>
      </c>
      <c r="DU37" s="8">
        <f>IFERROR(LOOKUP(DU$23,Timeseries!$A:$A,Timeseries!$F:$F),"")</f>
        <v>7500</v>
      </c>
      <c r="DV37" s="8">
        <f>IFERROR(LOOKUP(DV$23,Timeseries!$A:$A,Timeseries!$F:$F),"")</f>
        <v>7500</v>
      </c>
      <c r="DW37" s="8">
        <f>IFERROR(LOOKUP(DW$23,Timeseries!$A:$A,Timeseries!$F:$F),"")</f>
        <v>7500</v>
      </c>
      <c r="DX37" s="8">
        <f>IFERROR(LOOKUP(DX$23,Timeseries!$A:$A,Timeseries!$F:$F),"")</f>
        <v>7500</v>
      </c>
      <c r="DY37" s="8">
        <f>IFERROR(LOOKUP(DY$23,Timeseries!$A:$A,Timeseries!$F:$F),"")</f>
        <v>7500</v>
      </c>
      <c r="DZ37" s="8">
        <f>IFERROR(LOOKUP(DZ$23,Timeseries!$A:$A,Timeseries!$F:$F),"")</f>
        <v>7500</v>
      </c>
      <c r="EA37" s="8">
        <f>IFERROR(LOOKUP(EA$23,Timeseries!$A:$A,Timeseries!$F:$F),"")</f>
        <v>7500</v>
      </c>
      <c r="EB37" s="8">
        <f>IFERROR(LOOKUP(EB$23,Timeseries!$A:$A,Timeseries!$F:$F),"")</f>
        <v>7500</v>
      </c>
      <c r="EC37" s="8">
        <f>IFERROR(LOOKUP(EC$23,Timeseries!$A:$A,Timeseries!$F:$F),"")</f>
        <v>7500</v>
      </c>
      <c r="ED37" s="8">
        <f>IFERROR(LOOKUP(ED$23,Timeseries!$A:$A,Timeseries!$F:$F),"")</f>
        <v>7500</v>
      </c>
      <c r="EE37" s="8">
        <f>IFERROR(LOOKUP(EE$23,Timeseries!$A:$A,Timeseries!$F:$F),"")</f>
        <v>7500</v>
      </c>
      <c r="EF37" s="8">
        <f>IFERROR(LOOKUP(EF$23,Timeseries!$A:$A,Timeseries!$F:$F),"")</f>
        <v>7500</v>
      </c>
      <c r="EG37" s="8">
        <f>IFERROR(LOOKUP(EG$23,Timeseries!$A:$A,Timeseries!$F:$F),"")</f>
        <v>7500</v>
      </c>
      <c r="EH37" s="8">
        <f>IFERROR(LOOKUP(EH$23,Timeseries!$A:$A,Timeseries!$F:$F),"")</f>
        <v>7500</v>
      </c>
      <c r="EI37" s="8">
        <f>IFERROR(LOOKUP(EI$23,Timeseries!$A:$A,Timeseries!$F:$F),"")</f>
        <v>7500</v>
      </c>
      <c r="EJ37" s="8">
        <f>IFERROR(LOOKUP(EJ$23,Timeseries!$A:$A,Timeseries!$F:$F),"")</f>
        <v>7500</v>
      </c>
      <c r="EK37" s="8">
        <f>IFERROR(LOOKUP(EK$23,Timeseries!$A:$A,Timeseries!$F:$F),"")</f>
        <v>7500</v>
      </c>
      <c r="EL37" s="8">
        <f>IFERROR(LOOKUP(EL$23,Timeseries!$A:$A,Timeseries!$F:$F),"")</f>
        <v>7500</v>
      </c>
      <c r="EM37" s="8">
        <f>IFERROR(LOOKUP(EM$23,Timeseries!$A:$A,Timeseries!$F:$F),"")</f>
        <v>7500</v>
      </c>
      <c r="EN37" s="8">
        <f>IFERROR(LOOKUP(EN$23,Timeseries!$A:$A,Timeseries!$F:$F),"")</f>
        <v>7500</v>
      </c>
      <c r="EO37" s="8">
        <f>IFERROR(LOOKUP(EO$23,Timeseries!$A:$A,Timeseries!$F:$F),"")</f>
        <v>7500</v>
      </c>
      <c r="EP37" s="8">
        <f>IFERROR(LOOKUP(EP$23,Timeseries!$A:$A,Timeseries!$F:$F),"")</f>
        <v>7500</v>
      </c>
      <c r="EQ37" s="8">
        <f>IFERROR(LOOKUP(EQ$23,Timeseries!$A:$A,Timeseries!$F:$F),"")</f>
        <v>7500</v>
      </c>
      <c r="ER37" s="8">
        <f>IFERROR(LOOKUP(ER$23,Timeseries!$A:$A,Timeseries!$F:$F),"")</f>
        <v>7500</v>
      </c>
      <c r="ES37" s="8">
        <f>IFERROR(LOOKUP(ES$23,Timeseries!$A:$A,Timeseries!$F:$F),"")</f>
        <v>7500</v>
      </c>
      <c r="ET37" s="8">
        <f>IFERROR(LOOKUP(ET$23,Timeseries!$A:$A,Timeseries!$F:$F),"")</f>
        <v>7500</v>
      </c>
      <c r="EU37" s="8">
        <f>IFERROR(LOOKUP(EU$23,Timeseries!$A:$A,Timeseries!$F:$F),"")</f>
        <v>7500</v>
      </c>
      <c r="EV37" s="8">
        <f>IFERROR(LOOKUP(EV$23,Timeseries!$A:$A,Timeseries!$F:$F),"")</f>
        <v>7500</v>
      </c>
      <c r="EW37" s="8">
        <f>IFERROR(LOOKUP(EW$23,Timeseries!$A:$A,Timeseries!$F:$F),"")</f>
        <v>7500</v>
      </c>
      <c r="EX37" s="8">
        <f>IFERROR(LOOKUP(EX$23,Timeseries!$A:$A,Timeseries!$F:$F),"")</f>
        <v>7500</v>
      </c>
      <c r="EY37" s="8">
        <f>IFERROR(LOOKUP(EY$23,Timeseries!$A:$A,Timeseries!$F:$F),"")</f>
        <v>7500</v>
      </c>
      <c r="EZ37" s="8">
        <f>IFERROR(LOOKUP(EZ$23,Timeseries!$A:$A,Timeseries!$F:$F),"")</f>
        <v>7500</v>
      </c>
      <c r="FA37" s="8">
        <f>IFERROR(LOOKUP(FA$23,Timeseries!$A:$A,Timeseries!$F:$F),"")</f>
        <v>7500</v>
      </c>
      <c r="FB37" s="8">
        <f>IFERROR(LOOKUP(FB$23,Timeseries!$A:$A,Timeseries!$F:$F),"")</f>
        <v>7500</v>
      </c>
      <c r="FC37" s="8">
        <f>IFERROR(LOOKUP(FC$23,Timeseries!$A:$A,Timeseries!$F:$F),"")</f>
        <v>7500</v>
      </c>
      <c r="FD37" s="8">
        <f>IFERROR(LOOKUP(FD$23,Timeseries!$A:$A,Timeseries!$F:$F),"")</f>
        <v>7500</v>
      </c>
      <c r="FE37" s="8">
        <f>IFERROR(LOOKUP(FE$23,Timeseries!$A:$A,Timeseries!$F:$F),"")</f>
        <v>7500</v>
      </c>
      <c r="FF37" s="8">
        <f>IFERROR(LOOKUP(FF$23,Timeseries!$A:$A,Timeseries!$F:$F),"")</f>
        <v>7500</v>
      </c>
      <c r="FG37" s="8">
        <f>IFERROR(LOOKUP(FG$23,Timeseries!$A:$A,Timeseries!$F:$F),"")</f>
        <v>7500</v>
      </c>
      <c r="FH37" s="8">
        <f>IFERROR(LOOKUP(FH$23,Timeseries!$A:$A,Timeseries!$F:$F),"")</f>
        <v>7500</v>
      </c>
      <c r="FI37" s="8">
        <f>IFERROR(LOOKUP(FI$23,Timeseries!$A:$A,Timeseries!$F:$F),"")</f>
        <v>7500</v>
      </c>
      <c r="FJ37" s="8">
        <f>IFERROR(LOOKUP(FJ$23,Timeseries!$A:$A,Timeseries!$F:$F),"")</f>
        <v>7500</v>
      </c>
      <c r="FK37" s="8">
        <f>IFERROR(LOOKUP(FK$23,Timeseries!$A:$A,Timeseries!$F:$F),"")</f>
        <v>7500</v>
      </c>
      <c r="FL37" s="8">
        <f>IFERROR(LOOKUP(FL$23,Timeseries!$A:$A,Timeseries!$F:$F),"")</f>
        <v>7500</v>
      </c>
      <c r="FM37" s="8">
        <f>IFERROR(LOOKUP(FM$23,Timeseries!$A:$A,Timeseries!$F:$F),"")</f>
        <v>7500</v>
      </c>
      <c r="FN37" s="8">
        <f>IFERROR(LOOKUP(FN$23,Timeseries!$A:$A,Timeseries!$F:$F),"")</f>
        <v>7500</v>
      </c>
      <c r="FO37" s="8">
        <f>IFERROR(LOOKUP(FO$23,Timeseries!$A:$A,Timeseries!$F:$F),"")</f>
        <v>7500</v>
      </c>
      <c r="FP37" s="8">
        <f>IFERROR(LOOKUP(FP$23,Timeseries!$A:$A,Timeseries!$F:$F),"")</f>
        <v>7500</v>
      </c>
      <c r="FQ37" s="8">
        <f>IFERROR(LOOKUP(FQ$23,Timeseries!$A:$A,Timeseries!$F:$F),"")</f>
        <v>7500</v>
      </c>
      <c r="FR37" s="8">
        <f>IFERROR(LOOKUP(FR$23,Timeseries!$A:$A,Timeseries!$F:$F),"")</f>
        <v>7500</v>
      </c>
      <c r="FS37" s="8">
        <f>IFERROR(LOOKUP(FS$23,Timeseries!$A:$A,Timeseries!$F:$F),"")</f>
        <v>15000</v>
      </c>
    </row>
    <row r="38" spans="4:175" ht="15.75" customHeight="1">
      <c r="D38" s="38" t="s">
        <v>103</v>
      </c>
      <c r="E38" s="2" t="s">
        <v>99</v>
      </c>
      <c r="F38" s="8" t="s">
        <v>151</v>
      </c>
      <c r="G38" s="4" t="b">
        <v>1</v>
      </c>
      <c r="H38" s="26" t="str">
        <f>IF(H67=AE67,"","Might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39" spans="4:175" ht="15.75" customHeight="1">
      <c r="D39" s="38" t="s">
        <v>147</v>
      </c>
      <c r="E39" s="2" t="s">
        <v>145</v>
      </c>
      <c r="F39" s="8" t="s">
        <v>151</v>
      </c>
      <c r="G39" s="8">
        <v>3</v>
      </c>
      <c r="H39" s="26"/>
    </row>
    <row r="40" spans="4:175" ht="15.75" customHeight="1">
      <c r="D40" s="38" t="s">
        <v>148</v>
      </c>
      <c r="E40" s="2" t="s">
        <v>146</v>
      </c>
      <c r="F40" s="8" t="s">
        <v>151</v>
      </c>
      <c r="G40" s="8">
        <v>3</v>
      </c>
      <c r="H40" s="37"/>
    </row>
    <row r="41" spans="4:175" ht="15.75" customHeight="1" thickBot="1">
      <c r="D41" s="36" t="s">
        <v>259</v>
      </c>
      <c r="E41" s="2" t="s">
        <v>220</v>
      </c>
      <c r="F41" s="8" t="s">
        <v>151</v>
      </c>
      <c r="G41" s="8">
        <v>4</v>
      </c>
      <c r="H41" s="37"/>
    </row>
    <row r="42" spans="4:175" ht="15.75" customHeight="1" thickBot="1">
      <c r="D42" s="18" t="s">
        <v>144</v>
      </c>
      <c r="E42" s="2" t="s">
        <v>94</v>
      </c>
      <c r="F42" s="2"/>
      <c r="G42" s="4" t="b">
        <v>1</v>
      </c>
    </row>
    <row r="43" spans="4:175">
      <c r="D43" s="17" t="s">
        <v>71</v>
      </c>
      <c r="E43" s="2" t="s">
        <v>64</v>
      </c>
      <c r="F43" s="8" t="s">
        <v>151</v>
      </c>
      <c r="G43" s="8">
        <v>10000</v>
      </c>
    </row>
    <row r="44" spans="4:175">
      <c r="D44" s="17" t="s">
        <v>70</v>
      </c>
      <c r="E44" s="2" t="s">
        <v>65</v>
      </c>
      <c r="F44" s="8" t="s">
        <v>151</v>
      </c>
      <c r="G44" s="8">
        <v>10000</v>
      </c>
    </row>
    <row r="45" spans="4:175">
      <c r="D45" s="17" t="s">
        <v>82</v>
      </c>
      <c r="E45" s="2" t="s">
        <v>76</v>
      </c>
      <c r="F45" s="8" t="s">
        <v>151</v>
      </c>
      <c r="G45" s="2"/>
      <c r="H45" s="8">
        <f>IFERROR(LOOKUP(H$23,Timeseries!$A:$A,Timeseries!$G:$G),"")</f>
        <v>2400</v>
      </c>
      <c r="I45" s="8">
        <f>IFERROR(LOOKUP(I$23,Timeseries!$A:$A,Timeseries!$G:$G),"")</f>
        <v>2400</v>
      </c>
      <c r="J45" s="8">
        <f>IFERROR(LOOKUP(J$23,Timeseries!$A:$A,Timeseries!$G:$G),"")</f>
        <v>2400</v>
      </c>
      <c r="K45" s="8">
        <f>IFERROR(LOOKUP(K$23,Timeseries!$A:$A,Timeseries!$G:$G),"")</f>
        <v>2400</v>
      </c>
      <c r="L45" s="8">
        <f>IFERROR(LOOKUP(L$23,Timeseries!$A:$A,Timeseries!$G:$G),"")</f>
        <v>2400</v>
      </c>
      <c r="M45" s="8">
        <f>IFERROR(LOOKUP(M$23,Timeseries!$A:$A,Timeseries!$G:$G),"")</f>
        <v>2400</v>
      </c>
      <c r="N45" s="8">
        <f>IFERROR(LOOKUP(N$23,Timeseries!$A:$A,Timeseries!$G:$G),"")</f>
        <v>2400</v>
      </c>
      <c r="O45" s="8">
        <f>IFERROR(LOOKUP(O$23,Timeseries!$A:$A,Timeseries!$G:$G),"")</f>
        <v>2400</v>
      </c>
      <c r="P45" s="8">
        <f>IFERROR(LOOKUP(P$23,Timeseries!$A:$A,Timeseries!$G:$G),"")</f>
        <v>2400</v>
      </c>
      <c r="Q45" s="8">
        <f>IFERROR(LOOKUP(Q$23,Timeseries!$A:$A,Timeseries!$G:$G),"")</f>
        <v>2400</v>
      </c>
      <c r="R45" s="8">
        <f>IFERROR(LOOKUP(R$23,Timeseries!$A:$A,Timeseries!$G:$G),"")</f>
        <v>2400</v>
      </c>
      <c r="S45" s="8">
        <f>IFERROR(LOOKUP(S$23,Timeseries!$A:$A,Timeseries!$G:$G),"")</f>
        <v>2400</v>
      </c>
      <c r="T45" s="8">
        <f>IFERROR(LOOKUP(T$23,Timeseries!$A:$A,Timeseries!$G:$G),"")</f>
        <v>2400</v>
      </c>
      <c r="U45" s="8">
        <f>IFERROR(LOOKUP(U$23,Timeseries!$A:$A,Timeseries!$G:$G),"")</f>
        <v>2400</v>
      </c>
      <c r="V45" s="8">
        <f>IFERROR(LOOKUP(V$23,Timeseries!$A:$A,Timeseries!$G:$G),"")</f>
        <v>2400</v>
      </c>
      <c r="W45" s="8">
        <f>IFERROR(LOOKUP(W$23,Timeseries!$A:$A,Timeseries!$G:$G),"")</f>
        <v>2400</v>
      </c>
      <c r="X45" s="8">
        <f>IFERROR(LOOKUP(X$23,Timeseries!$A:$A,Timeseries!$G:$G),"")</f>
        <v>2400</v>
      </c>
      <c r="Y45" s="8">
        <f>IFERROR(LOOKUP(Y$23,Timeseries!$A:$A,Timeseries!$G:$G),"")</f>
        <v>2400</v>
      </c>
      <c r="Z45" s="8">
        <f>IFERROR(LOOKUP(Z$23,Timeseries!$A:$A,Timeseries!$G:$G),"")</f>
        <v>2400</v>
      </c>
      <c r="AA45" s="8">
        <f>IFERROR(LOOKUP(AA$23,Timeseries!$A:$A,Timeseries!$G:$G),"")</f>
        <v>2400</v>
      </c>
      <c r="AB45" s="8">
        <f>IFERROR(LOOKUP(AB$23,Timeseries!$A:$A,Timeseries!$G:$G),"")</f>
        <v>2400</v>
      </c>
      <c r="AC45" s="8">
        <f>IFERROR(LOOKUP(AC$23,Timeseries!$A:$A,Timeseries!$G:$G),"")</f>
        <v>2400</v>
      </c>
      <c r="AD45" s="8">
        <f>IFERROR(LOOKUP(AD$23,Timeseries!$A:$A,Timeseries!$G:$G),"")</f>
        <v>2400</v>
      </c>
      <c r="AE45" s="8">
        <f>IFERROR(LOOKUP(AE$23,Timeseries!$A:$A,Timeseries!$G:$G),"")</f>
        <v>2400</v>
      </c>
      <c r="AF45" s="8">
        <f>IFERROR(LOOKUP(AF$23,Timeseries!$A:$A,Timeseries!$G:$G),"")</f>
        <v>2400</v>
      </c>
      <c r="AG45" s="8">
        <f>IFERROR(LOOKUP(AG$23,Timeseries!$A:$A,Timeseries!$G:$G),"")</f>
        <v>2400</v>
      </c>
      <c r="AH45" s="8">
        <f>IFERROR(LOOKUP(AH$23,Timeseries!$A:$A,Timeseries!$G:$G),"")</f>
        <v>2400</v>
      </c>
      <c r="AI45" s="8">
        <f>IFERROR(LOOKUP(AI$23,Timeseries!$A:$A,Timeseries!$G:$G),"")</f>
        <v>2400</v>
      </c>
      <c r="AJ45" s="8">
        <f>IFERROR(LOOKUP(AJ$23,Timeseries!$A:$A,Timeseries!$G:$G),"")</f>
        <v>2400</v>
      </c>
      <c r="AK45" s="8">
        <f>IFERROR(LOOKUP(AK$23,Timeseries!$A:$A,Timeseries!$G:$G),"")</f>
        <v>2400</v>
      </c>
      <c r="AL45" s="8">
        <f>IFERROR(LOOKUP(AL$23,Timeseries!$A:$A,Timeseries!$G:$G),"")</f>
        <v>2400</v>
      </c>
      <c r="AM45" s="8">
        <f>IFERROR(LOOKUP(AM$23,Timeseries!$A:$A,Timeseries!$G:$G),"")</f>
        <v>2400</v>
      </c>
      <c r="AN45" s="8">
        <f>IFERROR(LOOKUP(AN$23,Timeseries!$A:$A,Timeseries!$G:$G),"")</f>
        <v>2400</v>
      </c>
      <c r="AO45" s="8">
        <f>IFERROR(LOOKUP(AO$23,Timeseries!$A:$A,Timeseries!$G:$G),"")</f>
        <v>2400</v>
      </c>
      <c r="AP45" s="8">
        <f>IFERROR(LOOKUP(AP$23,Timeseries!$A:$A,Timeseries!$G:$G),"")</f>
        <v>2400</v>
      </c>
      <c r="AQ45" s="8">
        <f>IFERROR(LOOKUP(AQ$23,Timeseries!$A:$A,Timeseries!$G:$G),"")</f>
        <v>2400</v>
      </c>
      <c r="AR45" s="8">
        <f>IFERROR(LOOKUP(AR$23,Timeseries!$A:$A,Timeseries!$G:$G),"")</f>
        <v>2400</v>
      </c>
      <c r="AS45" s="8">
        <f>IFERROR(LOOKUP(AS$23,Timeseries!$A:$A,Timeseries!$G:$G),"")</f>
        <v>2400</v>
      </c>
      <c r="AT45" s="8">
        <f>IFERROR(LOOKUP(AT$23,Timeseries!$A:$A,Timeseries!$G:$G),"")</f>
        <v>2400</v>
      </c>
      <c r="AU45" s="8">
        <f>IFERROR(LOOKUP(AU$23,Timeseries!$A:$A,Timeseries!$G:$G),"")</f>
        <v>2400</v>
      </c>
      <c r="AV45" s="8">
        <f>IFERROR(LOOKUP(AV$23,Timeseries!$A:$A,Timeseries!$G:$G),"")</f>
        <v>2400</v>
      </c>
      <c r="AW45" s="8">
        <f>IFERROR(LOOKUP(AW$23,Timeseries!$A:$A,Timeseries!$G:$G),"")</f>
        <v>2400</v>
      </c>
      <c r="AX45" s="8">
        <f>IFERROR(LOOKUP(AX$23,Timeseries!$A:$A,Timeseries!$G:$G),"")</f>
        <v>2400</v>
      </c>
      <c r="AY45" s="8">
        <f>IFERROR(LOOKUP(AY$23,Timeseries!$A:$A,Timeseries!$G:$G),"")</f>
        <v>2400</v>
      </c>
      <c r="AZ45" s="8">
        <f>IFERROR(LOOKUP(AZ$23,Timeseries!$A:$A,Timeseries!$G:$G),"")</f>
        <v>2400</v>
      </c>
      <c r="BA45" s="8">
        <f>IFERROR(LOOKUP(BA$23,Timeseries!$A:$A,Timeseries!$G:$G),"")</f>
        <v>2400</v>
      </c>
      <c r="BB45" s="8">
        <f>IFERROR(LOOKUP(BB$23,Timeseries!$A:$A,Timeseries!$G:$G),"")</f>
        <v>2400</v>
      </c>
      <c r="BC45" s="8">
        <f>IFERROR(LOOKUP(BC$23,Timeseries!$A:$A,Timeseries!$G:$G),"")</f>
        <v>2400</v>
      </c>
      <c r="BD45" s="8">
        <f>IFERROR(LOOKUP(BD$23,Timeseries!$A:$A,Timeseries!$G:$G),"")</f>
        <v>2400</v>
      </c>
      <c r="BE45" s="8">
        <f>IFERROR(LOOKUP(BE$23,Timeseries!$A:$A,Timeseries!$G:$G),"")</f>
        <v>2400</v>
      </c>
      <c r="BF45" s="8">
        <f>IFERROR(LOOKUP(BF$23,Timeseries!$A:$A,Timeseries!$G:$G),"")</f>
        <v>2400</v>
      </c>
      <c r="BG45" s="8">
        <f>IFERROR(LOOKUP(BG$23,Timeseries!$A:$A,Timeseries!$G:$G),"")</f>
        <v>2400</v>
      </c>
      <c r="BH45" s="8">
        <f>IFERROR(LOOKUP(BH$23,Timeseries!$A:$A,Timeseries!$G:$G),"")</f>
        <v>2400</v>
      </c>
      <c r="BI45" s="8">
        <f>IFERROR(LOOKUP(BI$23,Timeseries!$A:$A,Timeseries!$G:$G),"")</f>
        <v>2400</v>
      </c>
      <c r="BJ45" s="8">
        <f>IFERROR(LOOKUP(BJ$23,Timeseries!$A:$A,Timeseries!$G:$G),"")</f>
        <v>2400</v>
      </c>
      <c r="BK45" s="8">
        <f>IFERROR(LOOKUP(BK$23,Timeseries!$A:$A,Timeseries!$G:$G),"")</f>
        <v>2400</v>
      </c>
      <c r="BL45" s="8">
        <f>IFERROR(LOOKUP(BL$23,Timeseries!$A:$A,Timeseries!$G:$G),"")</f>
        <v>2400</v>
      </c>
      <c r="BM45" s="8">
        <f>IFERROR(LOOKUP(BM$23,Timeseries!$A:$A,Timeseries!$G:$G),"")</f>
        <v>2400</v>
      </c>
      <c r="BN45" s="8">
        <f>IFERROR(LOOKUP(BN$23,Timeseries!$A:$A,Timeseries!$G:$G),"")</f>
        <v>2400</v>
      </c>
      <c r="BO45" s="8">
        <f>IFERROR(LOOKUP(BO$23,Timeseries!$A:$A,Timeseries!$G:$G),"")</f>
        <v>2400</v>
      </c>
      <c r="BP45" s="8">
        <f>IFERROR(LOOKUP(BP$23,Timeseries!$A:$A,Timeseries!$G:$G),"")</f>
        <v>2400</v>
      </c>
      <c r="BQ45" s="8">
        <f>IFERROR(LOOKUP(BQ$23,Timeseries!$A:$A,Timeseries!$G:$G),"")</f>
        <v>2400</v>
      </c>
      <c r="BR45" s="8">
        <f>IFERROR(LOOKUP(BR$23,Timeseries!$A:$A,Timeseries!$G:$G),"")</f>
        <v>2400</v>
      </c>
      <c r="BS45" s="8">
        <f>IFERROR(LOOKUP(BS$23,Timeseries!$A:$A,Timeseries!$G:$G),"")</f>
        <v>2400</v>
      </c>
      <c r="BT45" s="8">
        <f>IFERROR(LOOKUP(BT$23,Timeseries!$A:$A,Timeseries!$G:$G),"")</f>
        <v>2400</v>
      </c>
      <c r="BU45" s="8">
        <f>IFERROR(LOOKUP(BU$23,Timeseries!$A:$A,Timeseries!$G:$G),"")</f>
        <v>2400</v>
      </c>
      <c r="BV45" s="8">
        <f>IFERROR(LOOKUP(BV$23,Timeseries!$A:$A,Timeseries!$G:$G),"")</f>
        <v>2400</v>
      </c>
      <c r="BW45" s="8">
        <f>IFERROR(LOOKUP(BW$23,Timeseries!$A:$A,Timeseries!$G:$G),"")</f>
        <v>2400</v>
      </c>
      <c r="BX45" s="8">
        <f>IFERROR(LOOKUP(BX$23,Timeseries!$A:$A,Timeseries!$G:$G),"")</f>
        <v>2400</v>
      </c>
      <c r="BY45" s="8">
        <f>IFERROR(LOOKUP(BY$23,Timeseries!$A:$A,Timeseries!$G:$G),"")</f>
        <v>2400</v>
      </c>
      <c r="BZ45" s="8">
        <f>IFERROR(LOOKUP(BZ$23,Timeseries!$A:$A,Timeseries!$G:$G),"")</f>
        <v>2400</v>
      </c>
      <c r="CA45" s="8">
        <f>IFERROR(LOOKUP(CA$23,Timeseries!$A:$A,Timeseries!$G:$G),"")</f>
        <v>2400</v>
      </c>
      <c r="CB45" s="8">
        <f>IFERROR(LOOKUP(CB$23,Timeseries!$A:$A,Timeseries!$G:$G),"")</f>
        <v>2400</v>
      </c>
      <c r="CC45" s="8">
        <f>IFERROR(LOOKUP(CC$23,Timeseries!$A:$A,Timeseries!$G:$G),"")</f>
        <v>2400</v>
      </c>
      <c r="CD45" s="8">
        <f>IFERROR(LOOKUP(CD$23,Timeseries!$A:$A,Timeseries!$G:$G),"")</f>
        <v>2400</v>
      </c>
      <c r="CE45" s="8">
        <f>IFERROR(LOOKUP(CE$23,Timeseries!$A:$A,Timeseries!$G:$G),"")</f>
        <v>2400</v>
      </c>
      <c r="CF45" s="8">
        <f>IFERROR(LOOKUP(CF$23,Timeseries!$A:$A,Timeseries!$G:$G),"")</f>
        <v>2400</v>
      </c>
      <c r="CG45" s="8">
        <f>IFERROR(LOOKUP(CG$23,Timeseries!$A:$A,Timeseries!$G:$G),"")</f>
        <v>2400</v>
      </c>
      <c r="CH45" s="8">
        <f>IFERROR(LOOKUP(CH$23,Timeseries!$A:$A,Timeseries!$G:$G),"")</f>
        <v>2400</v>
      </c>
      <c r="CI45" s="8">
        <f>IFERROR(LOOKUP(CI$23,Timeseries!$A:$A,Timeseries!$G:$G),"")</f>
        <v>2400</v>
      </c>
      <c r="CJ45" s="8">
        <f>IFERROR(LOOKUP(CJ$23,Timeseries!$A:$A,Timeseries!$G:$G),"")</f>
        <v>2400</v>
      </c>
      <c r="CK45" s="8">
        <f>IFERROR(LOOKUP(CK$23,Timeseries!$A:$A,Timeseries!$G:$G),"")</f>
        <v>2400</v>
      </c>
      <c r="CL45" s="8">
        <f>IFERROR(LOOKUP(CL$23,Timeseries!$A:$A,Timeseries!$G:$G),"")</f>
        <v>2400</v>
      </c>
      <c r="CM45" s="8">
        <f>IFERROR(LOOKUP(CM$23,Timeseries!$A:$A,Timeseries!$G:$G),"")</f>
        <v>2400</v>
      </c>
      <c r="CN45" s="8">
        <f>IFERROR(LOOKUP(CN$23,Timeseries!$A:$A,Timeseries!$G:$G),"")</f>
        <v>2400</v>
      </c>
      <c r="CO45" s="8">
        <f>IFERROR(LOOKUP(CO$23,Timeseries!$A:$A,Timeseries!$G:$G),"")</f>
        <v>2400</v>
      </c>
      <c r="CP45" s="8">
        <f>IFERROR(LOOKUP(CP$23,Timeseries!$A:$A,Timeseries!$G:$G),"")</f>
        <v>2400</v>
      </c>
      <c r="CQ45" s="8">
        <f>IFERROR(LOOKUP(CQ$23,Timeseries!$A:$A,Timeseries!$G:$G),"")</f>
        <v>2400</v>
      </c>
      <c r="CR45" s="8">
        <f>IFERROR(LOOKUP(CR$23,Timeseries!$A:$A,Timeseries!$G:$G),"")</f>
        <v>2400</v>
      </c>
      <c r="CS45" s="8">
        <f>IFERROR(LOOKUP(CS$23,Timeseries!$A:$A,Timeseries!$G:$G),"")</f>
        <v>2400</v>
      </c>
      <c r="CT45" s="8">
        <f>IFERROR(LOOKUP(CT$23,Timeseries!$A:$A,Timeseries!$G:$G),"")</f>
        <v>2400</v>
      </c>
      <c r="CU45" s="8">
        <f>IFERROR(LOOKUP(CU$23,Timeseries!$A:$A,Timeseries!$G:$G),"")</f>
        <v>2400</v>
      </c>
      <c r="CV45" s="8">
        <f>IFERROR(LOOKUP(CV$23,Timeseries!$A:$A,Timeseries!$G:$G),"")</f>
        <v>2400</v>
      </c>
      <c r="CW45" s="8">
        <f>IFERROR(LOOKUP(CW$23,Timeseries!$A:$A,Timeseries!$G:$G),"")</f>
        <v>2400</v>
      </c>
      <c r="CX45" s="8">
        <f>IFERROR(LOOKUP(CX$23,Timeseries!$A:$A,Timeseries!$G:$G),"")</f>
        <v>2400</v>
      </c>
      <c r="CY45" s="8">
        <f>IFERROR(LOOKUP(CY$23,Timeseries!$A:$A,Timeseries!$G:$G),"")</f>
        <v>2400</v>
      </c>
      <c r="CZ45" s="8">
        <f>IFERROR(LOOKUP(CZ$23,Timeseries!$A:$A,Timeseries!$G:$G),"")</f>
        <v>2400</v>
      </c>
      <c r="DA45" s="8">
        <f>IFERROR(LOOKUP(DA$23,Timeseries!$A:$A,Timeseries!$G:$G),"")</f>
        <v>2400</v>
      </c>
      <c r="DB45" s="8">
        <f>IFERROR(LOOKUP(DB$23,Timeseries!$A:$A,Timeseries!$G:$G),"")</f>
        <v>2400</v>
      </c>
      <c r="DC45" s="8">
        <f>IFERROR(LOOKUP(DC$23,Timeseries!$A:$A,Timeseries!$G:$G),"")</f>
        <v>2400</v>
      </c>
      <c r="DD45" s="8">
        <f>IFERROR(LOOKUP(DD$23,Timeseries!$A:$A,Timeseries!$G:$G),"")</f>
        <v>2400</v>
      </c>
      <c r="DE45" s="8">
        <f>IFERROR(LOOKUP(DE$23,Timeseries!$A:$A,Timeseries!$G:$G),"")</f>
        <v>2400</v>
      </c>
      <c r="DF45" s="8">
        <f>IFERROR(LOOKUP(DF$23,Timeseries!$A:$A,Timeseries!$G:$G),"")</f>
        <v>2400</v>
      </c>
      <c r="DG45" s="8">
        <f>IFERROR(LOOKUP(DG$23,Timeseries!$A:$A,Timeseries!$G:$G),"")</f>
        <v>2400</v>
      </c>
      <c r="DH45" s="8">
        <f>IFERROR(LOOKUP(DH$23,Timeseries!$A:$A,Timeseries!$G:$G),"")</f>
        <v>2400</v>
      </c>
      <c r="DI45" s="8">
        <f>IFERROR(LOOKUP(DI$23,Timeseries!$A:$A,Timeseries!$G:$G),"")</f>
        <v>2400</v>
      </c>
      <c r="DJ45" s="8">
        <f>IFERROR(LOOKUP(DJ$23,Timeseries!$A:$A,Timeseries!$G:$G),"")</f>
        <v>2400</v>
      </c>
      <c r="DK45" s="8">
        <f>IFERROR(LOOKUP(DK$23,Timeseries!$A:$A,Timeseries!$G:$G),"")</f>
        <v>2400</v>
      </c>
      <c r="DL45" s="8">
        <f>IFERROR(LOOKUP(DL$23,Timeseries!$A:$A,Timeseries!$G:$G),"")</f>
        <v>2400</v>
      </c>
      <c r="DM45" s="8">
        <f>IFERROR(LOOKUP(DM$23,Timeseries!$A:$A,Timeseries!$G:$G),"")</f>
        <v>2400</v>
      </c>
      <c r="DN45" s="8">
        <f>IFERROR(LOOKUP(DN$23,Timeseries!$A:$A,Timeseries!$G:$G),"")</f>
        <v>2400</v>
      </c>
      <c r="DO45" s="8">
        <f>IFERROR(LOOKUP(DO$23,Timeseries!$A:$A,Timeseries!$G:$G),"")</f>
        <v>2400</v>
      </c>
      <c r="DP45" s="8">
        <f>IFERROR(LOOKUP(DP$23,Timeseries!$A:$A,Timeseries!$G:$G),"")</f>
        <v>2400</v>
      </c>
      <c r="DQ45" s="8">
        <f>IFERROR(LOOKUP(DQ$23,Timeseries!$A:$A,Timeseries!$G:$G),"")</f>
        <v>2400</v>
      </c>
      <c r="DR45" s="8">
        <f>IFERROR(LOOKUP(DR$23,Timeseries!$A:$A,Timeseries!$G:$G),"")</f>
        <v>2400</v>
      </c>
      <c r="DS45" s="8">
        <f>IFERROR(LOOKUP(DS$23,Timeseries!$A:$A,Timeseries!$G:$G),"")</f>
        <v>2400</v>
      </c>
      <c r="DT45" s="8">
        <f>IFERROR(LOOKUP(DT$23,Timeseries!$A:$A,Timeseries!$G:$G),"")</f>
        <v>2400</v>
      </c>
      <c r="DU45" s="8">
        <f>IFERROR(LOOKUP(DU$23,Timeseries!$A:$A,Timeseries!$G:$G),"")</f>
        <v>2400</v>
      </c>
      <c r="DV45" s="8">
        <f>IFERROR(LOOKUP(DV$23,Timeseries!$A:$A,Timeseries!$G:$G),"")</f>
        <v>2400</v>
      </c>
      <c r="DW45" s="8">
        <f>IFERROR(LOOKUP(DW$23,Timeseries!$A:$A,Timeseries!$G:$G),"")</f>
        <v>2400</v>
      </c>
      <c r="DX45" s="8">
        <f>IFERROR(LOOKUP(DX$23,Timeseries!$A:$A,Timeseries!$G:$G),"")</f>
        <v>2400</v>
      </c>
      <c r="DY45" s="8">
        <f>IFERROR(LOOKUP(DY$23,Timeseries!$A:$A,Timeseries!$G:$G),"")</f>
        <v>2400</v>
      </c>
      <c r="DZ45" s="8">
        <f>IFERROR(LOOKUP(DZ$23,Timeseries!$A:$A,Timeseries!$G:$G),"")</f>
        <v>2400</v>
      </c>
      <c r="EA45" s="8">
        <f>IFERROR(LOOKUP(EA$23,Timeseries!$A:$A,Timeseries!$G:$G),"")</f>
        <v>2400</v>
      </c>
      <c r="EB45" s="8">
        <f>IFERROR(LOOKUP(EB$23,Timeseries!$A:$A,Timeseries!$G:$G),"")</f>
        <v>2400</v>
      </c>
      <c r="EC45" s="8">
        <f>IFERROR(LOOKUP(EC$23,Timeseries!$A:$A,Timeseries!$G:$G),"")</f>
        <v>2400</v>
      </c>
      <c r="ED45" s="8">
        <f>IFERROR(LOOKUP(ED$23,Timeseries!$A:$A,Timeseries!$G:$G),"")</f>
        <v>2400</v>
      </c>
      <c r="EE45" s="8">
        <f>IFERROR(LOOKUP(EE$23,Timeseries!$A:$A,Timeseries!$G:$G),"")</f>
        <v>2400</v>
      </c>
      <c r="EF45" s="8">
        <f>IFERROR(LOOKUP(EF$23,Timeseries!$A:$A,Timeseries!$G:$G),"")</f>
        <v>2400</v>
      </c>
      <c r="EG45" s="8">
        <f>IFERROR(LOOKUP(EG$23,Timeseries!$A:$A,Timeseries!$G:$G),"")</f>
        <v>2400</v>
      </c>
      <c r="EH45" s="8">
        <f>IFERROR(LOOKUP(EH$23,Timeseries!$A:$A,Timeseries!$G:$G),"")</f>
        <v>2400</v>
      </c>
      <c r="EI45" s="8">
        <f>IFERROR(LOOKUP(EI$23,Timeseries!$A:$A,Timeseries!$G:$G),"")</f>
        <v>2400</v>
      </c>
      <c r="EJ45" s="8">
        <f>IFERROR(LOOKUP(EJ$23,Timeseries!$A:$A,Timeseries!$G:$G),"")</f>
        <v>2400</v>
      </c>
      <c r="EK45" s="8">
        <f>IFERROR(LOOKUP(EK$23,Timeseries!$A:$A,Timeseries!$G:$G),"")</f>
        <v>2400</v>
      </c>
      <c r="EL45" s="8">
        <f>IFERROR(LOOKUP(EL$23,Timeseries!$A:$A,Timeseries!$G:$G),"")</f>
        <v>2400</v>
      </c>
      <c r="EM45" s="8">
        <f>IFERROR(LOOKUP(EM$23,Timeseries!$A:$A,Timeseries!$G:$G),"")</f>
        <v>2400</v>
      </c>
      <c r="EN45" s="8">
        <f>IFERROR(LOOKUP(EN$23,Timeseries!$A:$A,Timeseries!$G:$G),"")</f>
        <v>2400</v>
      </c>
      <c r="EO45" s="8">
        <f>IFERROR(LOOKUP(EO$23,Timeseries!$A:$A,Timeseries!$G:$G),"")</f>
        <v>2400</v>
      </c>
      <c r="EP45" s="8">
        <f>IFERROR(LOOKUP(EP$23,Timeseries!$A:$A,Timeseries!$G:$G),"")</f>
        <v>2400</v>
      </c>
      <c r="EQ45" s="8">
        <f>IFERROR(LOOKUP(EQ$23,Timeseries!$A:$A,Timeseries!$G:$G),"")</f>
        <v>2400</v>
      </c>
      <c r="ER45" s="8">
        <f>IFERROR(LOOKUP(ER$23,Timeseries!$A:$A,Timeseries!$G:$G),"")</f>
        <v>2400</v>
      </c>
      <c r="ES45" s="8">
        <f>IFERROR(LOOKUP(ES$23,Timeseries!$A:$A,Timeseries!$G:$G),"")</f>
        <v>2400</v>
      </c>
      <c r="ET45" s="8">
        <f>IFERROR(LOOKUP(ET$23,Timeseries!$A:$A,Timeseries!$G:$G),"")</f>
        <v>2400</v>
      </c>
      <c r="EU45" s="8">
        <f>IFERROR(LOOKUP(EU$23,Timeseries!$A:$A,Timeseries!$G:$G),"")</f>
        <v>2400</v>
      </c>
      <c r="EV45" s="8">
        <f>IFERROR(LOOKUP(EV$23,Timeseries!$A:$A,Timeseries!$G:$G),"")</f>
        <v>2400</v>
      </c>
      <c r="EW45" s="8">
        <f>IFERROR(LOOKUP(EW$23,Timeseries!$A:$A,Timeseries!$G:$G),"")</f>
        <v>2400</v>
      </c>
      <c r="EX45" s="8">
        <f>IFERROR(LOOKUP(EX$23,Timeseries!$A:$A,Timeseries!$G:$G),"")</f>
        <v>2400</v>
      </c>
      <c r="EY45" s="8">
        <f>IFERROR(LOOKUP(EY$23,Timeseries!$A:$A,Timeseries!$G:$G),"")</f>
        <v>2400</v>
      </c>
      <c r="EZ45" s="8">
        <f>IFERROR(LOOKUP(EZ$23,Timeseries!$A:$A,Timeseries!$G:$G),"")</f>
        <v>2400</v>
      </c>
      <c r="FA45" s="8">
        <f>IFERROR(LOOKUP(FA$23,Timeseries!$A:$A,Timeseries!$G:$G),"")</f>
        <v>2400</v>
      </c>
      <c r="FB45" s="8">
        <f>IFERROR(LOOKUP(FB$23,Timeseries!$A:$A,Timeseries!$G:$G),"")</f>
        <v>2400</v>
      </c>
      <c r="FC45" s="8">
        <f>IFERROR(LOOKUP(FC$23,Timeseries!$A:$A,Timeseries!$G:$G),"")</f>
        <v>2400</v>
      </c>
      <c r="FD45" s="8">
        <f>IFERROR(LOOKUP(FD$23,Timeseries!$A:$A,Timeseries!$G:$G),"")</f>
        <v>2400</v>
      </c>
      <c r="FE45" s="8">
        <f>IFERROR(LOOKUP(FE$23,Timeseries!$A:$A,Timeseries!$G:$G),"")</f>
        <v>2400</v>
      </c>
      <c r="FF45" s="8">
        <f>IFERROR(LOOKUP(FF$23,Timeseries!$A:$A,Timeseries!$G:$G),"")</f>
        <v>2400</v>
      </c>
      <c r="FG45" s="8">
        <f>IFERROR(LOOKUP(FG$23,Timeseries!$A:$A,Timeseries!$G:$G),"")</f>
        <v>2400</v>
      </c>
      <c r="FH45" s="8">
        <f>IFERROR(LOOKUP(FH$23,Timeseries!$A:$A,Timeseries!$G:$G),"")</f>
        <v>2400</v>
      </c>
      <c r="FI45" s="8">
        <f>IFERROR(LOOKUP(FI$23,Timeseries!$A:$A,Timeseries!$G:$G),"")</f>
        <v>2400</v>
      </c>
      <c r="FJ45" s="8">
        <f>IFERROR(LOOKUP(FJ$23,Timeseries!$A:$A,Timeseries!$G:$G),"")</f>
        <v>2400</v>
      </c>
      <c r="FK45" s="8">
        <f>IFERROR(LOOKUP(FK$23,Timeseries!$A:$A,Timeseries!$G:$G),"")</f>
        <v>2400</v>
      </c>
      <c r="FL45" s="8">
        <f>IFERROR(LOOKUP(FL$23,Timeseries!$A:$A,Timeseries!$G:$G),"")</f>
        <v>2400</v>
      </c>
      <c r="FM45" s="8">
        <f>IFERROR(LOOKUP(FM$23,Timeseries!$A:$A,Timeseries!$G:$G),"")</f>
        <v>2400</v>
      </c>
      <c r="FN45" s="8">
        <f>IFERROR(LOOKUP(FN$23,Timeseries!$A:$A,Timeseries!$G:$G),"")</f>
        <v>2400</v>
      </c>
      <c r="FO45" s="8">
        <f>IFERROR(LOOKUP(FO$23,Timeseries!$A:$A,Timeseries!$G:$G),"")</f>
        <v>2400</v>
      </c>
      <c r="FP45" s="8">
        <f>IFERROR(LOOKUP(FP$23,Timeseries!$A:$A,Timeseries!$G:$G),"")</f>
        <v>2400</v>
      </c>
      <c r="FQ45" s="8">
        <f>IFERROR(LOOKUP(FQ$23,Timeseries!$A:$A,Timeseries!$G:$G),"")</f>
        <v>2400</v>
      </c>
      <c r="FR45" s="8">
        <f>IFERROR(LOOKUP(FR$23,Timeseries!$A:$A,Timeseries!$G:$G),"")</f>
        <v>2400</v>
      </c>
      <c r="FS45" s="8">
        <f>IFERROR(LOOKUP(FS$23,Timeseries!$A:$A,Timeseries!$G:$G),"")</f>
        <v>2400</v>
      </c>
    </row>
    <row r="46" spans="4:175">
      <c r="D46" s="17" t="s">
        <v>83</v>
      </c>
      <c r="E46" s="2" t="s">
        <v>77</v>
      </c>
      <c r="F46" s="8" t="s">
        <v>151</v>
      </c>
      <c r="G46" s="2"/>
      <c r="H46" s="8">
        <f>IFERROR(LOOKUP(H$23,Timeseries!$A:$A,Timeseries!$H:$H),"")</f>
        <v>25000</v>
      </c>
      <c r="I46" s="8">
        <f>IFERROR(LOOKUP(I$23,Timeseries!$A:$A,Timeseries!$H:$H),"")</f>
        <v>25000</v>
      </c>
      <c r="J46" s="8">
        <f>IFERROR(LOOKUP(J$23,Timeseries!$A:$A,Timeseries!$H:$H),"")</f>
        <v>25000</v>
      </c>
      <c r="K46" s="8">
        <f>IFERROR(LOOKUP(K$23,Timeseries!$A:$A,Timeseries!$H:$H),"")</f>
        <v>25000</v>
      </c>
      <c r="L46" s="8">
        <f>IFERROR(LOOKUP(L$23,Timeseries!$A:$A,Timeseries!$H:$H),"")</f>
        <v>25000</v>
      </c>
      <c r="M46" s="8">
        <f>IFERROR(LOOKUP(M$23,Timeseries!$A:$A,Timeseries!$H:$H),"")</f>
        <v>25000</v>
      </c>
      <c r="N46" s="8">
        <f>IFERROR(LOOKUP(N$23,Timeseries!$A:$A,Timeseries!$H:$H),"")</f>
        <v>25000</v>
      </c>
      <c r="O46" s="8">
        <f>IFERROR(LOOKUP(O$23,Timeseries!$A:$A,Timeseries!$H:$H),"")</f>
        <v>25000</v>
      </c>
      <c r="P46" s="8">
        <f>IFERROR(LOOKUP(P$23,Timeseries!$A:$A,Timeseries!$H:$H),"")</f>
        <v>25000</v>
      </c>
      <c r="Q46" s="8">
        <f>IFERROR(LOOKUP(Q$23,Timeseries!$A:$A,Timeseries!$H:$H),"")</f>
        <v>25000</v>
      </c>
      <c r="R46" s="8">
        <f>IFERROR(LOOKUP(R$23,Timeseries!$A:$A,Timeseries!$H:$H),"")</f>
        <v>25000</v>
      </c>
      <c r="S46" s="8">
        <f>IFERROR(LOOKUP(S$23,Timeseries!$A:$A,Timeseries!$H:$H),"")</f>
        <v>25000</v>
      </c>
      <c r="T46" s="8">
        <f>IFERROR(LOOKUP(T$23,Timeseries!$A:$A,Timeseries!$H:$H),"")</f>
        <v>25000</v>
      </c>
      <c r="U46" s="8">
        <f>IFERROR(LOOKUP(U$23,Timeseries!$A:$A,Timeseries!$H:$H),"")</f>
        <v>25000</v>
      </c>
      <c r="V46" s="8">
        <f>IFERROR(LOOKUP(V$23,Timeseries!$A:$A,Timeseries!$H:$H),"")</f>
        <v>25000</v>
      </c>
      <c r="W46" s="8">
        <f>IFERROR(LOOKUP(W$23,Timeseries!$A:$A,Timeseries!$H:$H),"")</f>
        <v>25000</v>
      </c>
      <c r="X46" s="8">
        <f>IFERROR(LOOKUP(X$23,Timeseries!$A:$A,Timeseries!$H:$H),"")</f>
        <v>25000</v>
      </c>
      <c r="Y46" s="8">
        <f>IFERROR(LOOKUP(Y$23,Timeseries!$A:$A,Timeseries!$H:$H),"")</f>
        <v>25000</v>
      </c>
      <c r="Z46" s="8">
        <f>IFERROR(LOOKUP(Z$23,Timeseries!$A:$A,Timeseries!$H:$H),"")</f>
        <v>25000</v>
      </c>
      <c r="AA46" s="8">
        <f>IFERROR(LOOKUP(AA$23,Timeseries!$A:$A,Timeseries!$H:$H),"")</f>
        <v>25000</v>
      </c>
      <c r="AB46" s="8">
        <f>IFERROR(LOOKUP(AB$23,Timeseries!$A:$A,Timeseries!$H:$H),"")</f>
        <v>25000</v>
      </c>
      <c r="AC46" s="8">
        <f>IFERROR(LOOKUP(AC$23,Timeseries!$A:$A,Timeseries!$H:$H),"")</f>
        <v>25000</v>
      </c>
      <c r="AD46" s="8">
        <f>IFERROR(LOOKUP(AD$23,Timeseries!$A:$A,Timeseries!$H:$H),"")</f>
        <v>25000</v>
      </c>
      <c r="AE46" s="8">
        <f>IFERROR(LOOKUP(AE$23,Timeseries!$A:$A,Timeseries!$H:$H),"")</f>
        <v>25000</v>
      </c>
      <c r="AF46" s="8">
        <f>IFERROR(LOOKUP(AF$23,Timeseries!$A:$A,Timeseries!$H:$H),"")</f>
        <v>25000</v>
      </c>
      <c r="AG46" s="8">
        <f>IFERROR(LOOKUP(AG$23,Timeseries!$A:$A,Timeseries!$H:$H),"")</f>
        <v>25000</v>
      </c>
      <c r="AH46" s="8">
        <f>IFERROR(LOOKUP(AH$23,Timeseries!$A:$A,Timeseries!$H:$H),"")</f>
        <v>25000</v>
      </c>
      <c r="AI46" s="8">
        <f>IFERROR(LOOKUP(AI$23,Timeseries!$A:$A,Timeseries!$H:$H),"")</f>
        <v>25000</v>
      </c>
      <c r="AJ46" s="8">
        <f>IFERROR(LOOKUP(AJ$23,Timeseries!$A:$A,Timeseries!$H:$H),"")</f>
        <v>25000</v>
      </c>
      <c r="AK46" s="8">
        <f>IFERROR(LOOKUP(AK$23,Timeseries!$A:$A,Timeseries!$H:$H),"")</f>
        <v>25000</v>
      </c>
      <c r="AL46" s="8">
        <f>IFERROR(LOOKUP(AL$23,Timeseries!$A:$A,Timeseries!$H:$H),"")</f>
        <v>25000</v>
      </c>
      <c r="AM46" s="8">
        <f>IFERROR(LOOKUP(AM$23,Timeseries!$A:$A,Timeseries!$H:$H),"")</f>
        <v>25000</v>
      </c>
      <c r="AN46" s="8">
        <f>IFERROR(LOOKUP(AN$23,Timeseries!$A:$A,Timeseries!$H:$H),"")</f>
        <v>25000</v>
      </c>
      <c r="AO46" s="8">
        <f>IFERROR(LOOKUP(AO$23,Timeseries!$A:$A,Timeseries!$H:$H),"")</f>
        <v>25000</v>
      </c>
      <c r="AP46" s="8">
        <f>IFERROR(LOOKUP(AP$23,Timeseries!$A:$A,Timeseries!$H:$H),"")</f>
        <v>25000</v>
      </c>
      <c r="AQ46" s="8">
        <f>IFERROR(LOOKUP(AQ$23,Timeseries!$A:$A,Timeseries!$H:$H),"")</f>
        <v>25000</v>
      </c>
      <c r="AR46" s="8">
        <f>IFERROR(LOOKUP(AR$23,Timeseries!$A:$A,Timeseries!$H:$H),"")</f>
        <v>25000</v>
      </c>
      <c r="AS46" s="8">
        <f>IFERROR(LOOKUP(AS$23,Timeseries!$A:$A,Timeseries!$H:$H),"")</f>
        <v>25000</v>
      </c>
      <c r="AT46" s="8">
        <f>IFERROR(LOOKUP(AT$23,Timeseries!$A:$A,Timeseries!$H:$H),"")</f>
        <v>25000</v>
      </c>
      <c r="AU46" s="8">
        <f>IFERROR(LOOKUP(AU$23,Timeseries!$A:$A,Timeseries!$H:$H),"")</f>
        <v>25000</v>
      </c>
      <c r="AV46" s="8">
        <f>IFERROR(LOOKUP(AV$23,Timeseries!$A:$A,Timeseries!$H:$H),"")</f>
        <v>25000</v>
      </c>
      <c r="AW46" s="8">
        <f>IFERROR(LOOKUP(AW$23,Timeseries!$A:$A,Timeseries!$H:$H),"")</f>
        <v>25000</v>
      </c>
      <c r="AX46" s="8">
        <f>IFERROR(LOOKUP(AX$23,Timeseries!$A:$A,Timeseries!$H:$H),"")</f>
        <v>25000</v>
      </c>
      <c r="AY46" s="8">
        <f>IFERROR(LOOKUP(AY$23,Timeseries!$A:$A,Timeseries!$H:$H),"")</f>
        <v>25000</v>
      </c>
      <c r="AZ46" s="8">
        <f>IFERROR(LOOKUP(AZ$23,Timeseries!$A:$A,Timeseries!$H:$H),"")</f>
        <v>25000</v>
      </c>
      <c r="BA46" s="8">
        <f>IFERROR(LOOKUP(BA$23,Timeseries!$A:$A,Timeseries!$H:$H),"")</f>
        <v>25000</v>
      </c>
      <c r="BB46" s="8">
        <f>IFERROR(LOOKUP(BB$23,Timeseries!$A:$A,Timeseries!$H:$H),"")</f>
        <v>25000</v>
      </c>
      <c r="BC46" s="8">
        <f>IFERROR(LOOKUP(BC$23,Timeseries!$A:$A,Timeseries!$H:$H),"")</f>
        <v>25000</v>
      </c>
      <c r="BD46" s="8">
        <f>IFERROR(LOOKUP(BD$23,Timeseries!$A:$A,Timeseries!$H:$H),"")</f>
        <v>25000</v>
      </c>
      <c r="BE46" s="8">
        <f>IFERROR(LOOKUP(BE$23,Timeseries!$A:$A,Timeseries!$H:$H),"")</f>
        <v>25000</v>
      </c>
      <c r="BF46" s="8">
        <f>IFERROR(LOOKUP(BF$23,Timeseries!$A:$A,Timeseries!$H:$H),"")</f>
        <v>25000</v>
      </c>
      <c r="BG46" s="8">
        <f>IFERROR(LOOKUP(BG$23,Timeseries!$A:$A,Timeseries!$H:$H),"")</f>
        <v>25000</v>
      </c>
      <c r="BH46" s="8">
        <f>IFERROR(LOOKUP(BH$23,Timeseries!$A:$A,Timeseries!$H:$H),"")</f>
        <v>25000</v>
      </c>
      <c r="BI46" s="8">
        <f>IFERROR(LOOKUP(BI$23,Timeseries!$A:$A,Timeseries!$H:$H),"")</f>
        <v>25000</v>
      </c>
      <c r="BJ46" s="8">
        <f>IFERROR(LOOKUP(BJ$23,Timeseries!$A:$A,Timeseries!$H:$H),"")</f>
        <v>25000</v>
      </c>
      <c r="BK46" s="8">
        <f>IFERROR(LOOKUP(BK$23,Timeseries!$A:$A,Timeseries!$H:$H),"")</f>
        <v>25000</v>
      </c>
      <c r="BL46" s="8">
        <f>IFERROR(LOOKUP(BL$23,Timeseries!$A:$A,Timeseries!$H:$H),"")</f>
        <v>25000</v>
      </c>
      <c r="BM46" s="8">
        <f>IFERROR(LOOKUP(BM$23,Timeseries!$A:$A,Timeseries!$H:$H),"")</f>
        <v>25000</v>
      </c>
      <c r="BN46" s="8">
        <f>IFERROR(LOOKUP(BN$23,Timeseries!$A:$A,Timeseries!$H:$H),"")</f>
        <v>25000</v>
      </c>
      <c r="BO46" s="8">
        <f>IFERROR(LOOKUP(BO$23,Timeseries!$A:$A,Timeseries!$H:$H),"")</f>
        <v>25000</v>
      </c>
      <c r="BP46" s="8">
        <f>IFERROR(LOOKUP(BP$23,Timeseries!$A:$A,Timeseries!$H:$H),"")</f>
        <v>25000</v>
      </c>
      <c r="BQ46" s="8">
        <f>IFERROR(LOOKUP(BQ$23,Timeseries!$A:$A,Timeseries!$H:$H),"")</f>
        <v>25000</v>
      </c>
      <c r="BR46" s="8">
        <f>IFERROR(LOOKUP(BR$23,Timeseries!$A:$A,Timeseries!$H:$H),"")</f>
        <v>25000</v>
      </c>
      <c r="BS46" s="8">
        <f>IFERROR(LOOKUP(BS$23,Timeseries!$A:$A,Timeseries!$H:$H),"")</f>
        <v>25000</v>
      </c>
      <c r="BT46" s="8">
        <f>IFERROR(LOOKUP(BT$23,Timeseries!$A:$A,Timeseries!$H:$H),"")</f>
        <v>25000</v>
      </c>
      <c r="BU46" s="8">
        <f>IFERROR(LOOKUP(BU$23,Timeseries!$A:$A,Timeseries!$H:$H),"")</f>
        <v>25000</v>
      </c>
      <c r="BV46" s="8">
        <f>IFERROR(LOOKUP(BV$23,Timeseries!$A:$A,Timeseries!$H:$H),"")</f>
        <v>25000</v>
      </c>
      <c r="BW46" s="8">
        <f>IFERROR(LOOKUP(BW$23,Timeseries!$A:$A,Timeseries!$H:$H),"")</f>
        <v>25000</v>
      </c>
      <c r="BX46" s="8">
        <f>IFERROR(LOOKUP(BX$23,Timeseries!$A:$A,Timeseries!$H:$H),"")</f>
        <v>25000</v>
      </c>
      <c r="BY46" s="8">
        <f>IFERROR(LOOKUP(BY$23,Timeseries!$A:$A,Timeseries!$H:$H),"")</f>
        <v>25000</v>
      </c>
      <c r="BZ46" s="8">
        <f>IFERROR(LOOKUP(BZ$23,Timeseries!$A:$A,Timeseries!$H:$H),"")</f>
        <v>25000</v>
      </c>
      <c r="CA46" s="8">
        <f>IFERROR(LOOKUP(CA$23,Timeseries!$A:$A,Timeseries!$H:$H),"")</f>
        <v>25000</v>
      </c>
      <c r="CB46" s="8">
        <f>IFERROR(LOOKUP(CB$23,Timeseries!$A:$A,Timeseries!$H:$H),"")</f>
        <v>25000</v>
      </c>
      <c r="CC46" s="8">
        <f>IFERROR(LOOKUP(CC$23,Timeseries!$A:$A,Timeseries!$H:$H),"")</f>
        <v>25000</v>
      </c>
      <c r="CD46" s="8">
        <f>IFERROR(LOOKUP(CD$23,Timeseries!$A:$A,Timeseries!$H:$H),"")</f>
        <v>25000</v>
      </c>
      <c r="CE46" s="8">
        <f>IFERROR(LOOKUP(CE$23,Timeseries!$A:$A,Timeseries!$H:$H),"")</f>
        <v>25000</v>
      </c>
      <c r="CF46" s="8">
        <f>IFERROR(LOOKUP(CF$23,Timeseries!$A:$A,Timeseries!$H:$H),"")</f>
        <v>25000</v>
      </c>
      <c r="CG46" s="8">
        <f>IFERROR(LOOKUP(CG$23,Timeseries!$A:$A,Timeseries!$H:$H),"")</f>
        <v>25000</v>
      </c>
      <c r="CH46" s="8">
        <f>IFERROR(LOOKUP(CH$23,Timeseries!$A:$A,Timeseries!$H:$H),"")</f>
        <v>25000</v>
      </c>
      <c r="CI46" s="8">
        <f>IFERROR(LOOKUP(CI$23,Timeseries!$A:$A,Timeseries!$H:$H),"")</f>
        <v>25000</v>
      </c>
      <c r="CJ46" s="8">
        <f>IFERROR(LOOKUP(CJ$23,Timeseries!$A:$A,Timeseries!$H:$H),"")</f>
        <v>25000</v>
      </c>
      <c r="CK46" s="8">
        <f>IFERROR(LOOKUP(CK$23,Timeseries!$A:$A,Timeseries!$H:$H),"")</f>
        <v>25000</v>
      </c>
      <c r="CL46" s="8">
        <f>IFERROR(LOOKUP(CL$23,Timeseries!$A:$A,Timeseries!$H:$H),"")</f>
        <v>25000</v>
      </c>
      <c r="CM46" s="8">
        <f>IFERROR(LOOKUP(CM$23,Timeseries!$A:$A,Timeseries!$H:$H),"")</f>
        <v>25000</v>
      </c>
      <c r="CN46" s="8">
        <f>IFERROR(LOOKUP(CN$23,Timeseries!$A:$A,Timeseries!$H:$H),"")</f>
        <v>25000</v>
      </c>
      <c r="CO46" s="8">
        <f>IFERROR(LOOKUP(CO$23,Timeseries!$A:$A,Timeseries!$H:$H),"")</f>
        <v>25000</v>
      </c>
      <c r="CP46" s="8">
        <f>IFERROR(LOOKUP(CP$23,Timeseries!$A:$A,Timeseries!$H:$H),"")</f>
        <v>25000</v>
      </c>
      <c r="CQ46" s="8">
        <f>IFERROR(LOOKUP(CQ$23,Timeseries!$A:$A,Timeseries!$H:$H),"")</f>
        <v>25000</v>
      </c>
      <c r="CR46" s="8">
        <f>IFERROR(LOOKUP(CR$23,Timeseries!$A:$A,Timeseries!$H:$H),"")</f>
        <v>25000</v>
      </c>
      <c r="CS46" s="8">
        <f>IFERROR(LOOKUP(CS$23,Timeseries!$A:$A,Timeseries!$H:$H),"")</f>
        <v>25000</v>
      </c>
      <c r="CT46" s="8">
        <f>IFERROR(LOOKUP(CT$23,Timeseries!$A:$A,Timeseries!$H:$H),"")</f>
        <v>25000</v>
      </c>
      <c r="CU46" s="8">
        <f>IFERROR(LOOKUP(CU$23,Timeseries!$A:$A,Timeseries!$H:$H),"")</f>
        <v>25000</v>
      </c>
      <c r="CV46" s="8">
        <f>IFERROR(LOOKUP(CV$23,Timeseries!$A:$A,Timeseries!$H:$H),"")</f>
        <v>25000</v>
      </c>
      <c r="CW46" s="8">
        <f>IFERROR(LOOKUP(CW$23,Timeseries!$A:$A,Timeseries!$H:$H),"")</f>
        <v>25000</v>
      </c>
      <c r="CX46" s="8">
        <f>IFERROR(LOOKUP(CX$23,Timeseries!$A:$A,Timeseries!$H:$H),"")</f>
        <v>25000</v>
      </c>
      <c r="CY46" s="8">
        <f>IFERROR(LOOKUP(CY$23,Timeseries!$A:$A,Timeseries!$H:$H),"")</f>
        <v>25000</v>
      </c>
      <c r="CZ46" s="8">
        <f>IFERROR(LOOKUP(CZ$23,Timeseries!$A:$A,Timeseries!$H:$H),"")</f>
        <v>25000</v>
      </c>
      <c r="DA46" s="8">
        <f>IFERROR(LOOKUP(DA$23,Timeseries!$A:$A,Timeseries!$H:$H),"")</f>
        <v>25000</v>
      </c>
      <c r="DB46" s="8">
        <f>IFERROR(LOOKUP(DB$23,Timeseries!$A:$A,Timeseries!$H:$H),"")</f>
        <v>25000</v>
      </c>
      <c r="DC46" s="8">
        <f>IFERROR(LOOKUP(DC$23,Timeseries!$A:$A,Timeseries!$H:$H),"")</f>
        <v>25000</v>
      </c>
      <c r="DD46" s="8">
        <f>IFERROR(LOOKUP(DD$23,Timeseries!$A:$A,Timeseries!$H:$H),"")</f>
        <v>25000</v>
      </c>
      <c r="DE46" s="8">
        <f>IFERROR(LOOKUP(DE$23,Timeseries!$A:$A,Timeseries!$H:$H),"")</f>
        <v>25000</v>
      </c>
      <c r="DF46" s="8">
        <f>IFERROR(LOOKUP(DF$23,Timeseries!$A:$A,Timeseries!$H:$H),"")</f>
        <v>25000</v>
      </c>
      <c r="DG46" s="8">
        <f>IFERROR(LOOKUP(DG$23,Timeseries!$A:$A,Timeseries!$H:$H),"")</f>
        <v>25000</v>
      </c>
      <c r="DH46" s="8">
        <f>IFERROR(LOOKUP(DH$23,Timeseries!$A:$A,Timeseries!$H:$H),"")</f>
        <v>25000</v>
      </c>
      <c r="DI46" s="8">
        <f>IFERROR(LOOKUP(DI$23,Timeseries!$A:$A,Timeseries!$H:$H),"")</f>
        <v>25000</v>
      </c>
      <c r="DJ46" s="8">
        <f>IFERROR(LOOKUP(DJ$23,Timeseries!$A:$A,Timeseries!$H:$H),"")</f>
        <v>25000</v>
      </c>
      <c r="DK46" s="8">
        <f>IFERROR(LOOKUP(DK$23,Timeseries!$A:$A,Timeseries!$H:$H),"")</f>
        <v>25000</v>
      </c>
      <c r="DL46" s="8">
        <f>IFERROR(LOOKUP(DL$23,Timeseries!$A:$A,Timeseries!$H:$H),"")</f>
        <v>25000</v>
      </c>
      <c r="DM46" s="8">
        <f>IFERROR(LOOKUP(DM$23,Timeseries!$A:$A,Timeseries!$H:$H),"")</f>
        <v>25000</v>
      </c>
      <c r="DN46" s="8">
        <f>IFERROR(LOOKUP(DN$23,Timeseries!$A:$A,Timeseries!$H:$H),"")</f>
        <v>25000</v>
      </c>
      <c r="DO46" s="8">
        <f>IFERROR(LOOKUP(DO$23,Timeseries!$A:$A,Timeseries!$H:$H),"")</f>
        <v>25000</v>
      </c>
      <c r="DP46" s="8">
        <f>IFERROR(LOOKUP(DP$23,Timeseries!$A:$A,Timeseries!$H:$H),"")</f>
        <v>25000</v>
      </c>
      <c r="DQ46" s="8">
        <f>IFERROR(LOOKUP(DQ$23,Timeseries!$A:$A,Timeseries!$H:$H),"")</f>
        <v>25000</v>
      </c>
      <c r="DR46" s="8">
        <f>IFERROR(LOOKUP(DR$23,Timeseries!$A:$A,Timeseries!$H:$H),"")</f>
        <v>25000</v>
      </c>
      <c r="DS46" s="8">
        <f>IFERROR(LOOKUP(DS$23,Timeseries!$A:$A,Timeseries!$H:$H),"")</f>
        <v>25000</v>
      </c>
      <c r="DT46" s="8">
        <f>IFERROR(LOOKUP(DT$23,Timeseries!$A:$A,Timeseries!$H:$H),"")</f>
        <v>25000</v>
      </c>
      <c r="DU46" s="8">
        <f>IFERROR(LOOKUP(DU$23,Timeseries!$A:$A,Timeseries!$H:$H),"")</f>
        <v>25000</v>
      </c>
      <c r="DV46" s="8">
        <f>IFERROR(LOOKUP(DV$23,Timeseries!$A:$A,Timeseries!$H:$H),"")</f>
        <v>25000</v>
      </c>
      <c r="DW46" s="8">
        <f>IFERROR(LOOKUP(DW$23,Timeseries!$A:$A,Timeseries!$H:$H),"")</f>
        <v>25000</v>
      </c>
      <c r="DX46" s="8">
        <f>IFERROR(LOOKUP(DX$23,Timeseries!$A:$A,Timeseries!$H:$H),"")</f>
        <v>25000</v>
      </c>
      <c r="DY46" s="8">
        <f>IFERROR(LOOKUP(DY$23,Timeseries!$A:$A,Timeseries!$H:$H),"")</f>
        <v>25000</v>
      </c>
      <c r="DZ46" s="8">
        <f>IFERROR(LOOKUP(DZ$23,Timeseries!$A:$A,Timeseries!$H:$H),"")</f>
        <v>25000</v>
      </c>
      <c r="EA46" s="8">
        <f>IFERROR(LOOKUP(EA$23,Timeseries!$A:$A,Timeseries!$H:$H),"")</f>
        <v>25000</v>
      </c>
      <c r="EB46" s="8">
        <f>IFERROR(LOOKUP(EB$23,Timeseries!$A:$A,Timeseries!$H:$H),"")</f>
        <v>25000</v>
      </c>
      <c r="EC46" s="8">
        <f>IFERROR(LOOKUP(EC$23,Timeseries!$A:$A,Timeseries!$H:$H),"")</f>
        <v>25000</v>
      </c>
      <c r="ED46" s="8">
        <f>IFERROR(LOOKUP(ED$23,Timeseries!$A:$A,Timeseries!$H:$H),"")</f>
        <v>25000</v>
      </c>
      <c r="EE46" s="8">
        <f>IFERROR(LOOKUP(EE$23,Timeseries!$A:$A,Timeseries!$H:$H),"")</f>
        <v>25000</v>
      </c>
      <c r="EF46" s="8">
        <f>IFERROR(LOOKUP(EF$23,Timeseries!$A:$A,Timeseries!$H:$H),"")</f>
        <v>25000</v>
      </c>
      <c r="EG46" s="8">
        <f>IFERROR(LOOKUP(EG$23,Timeseries!$A:$A,Timeseries!$H:$H),"")</f>
        <v>25000</v>
      </c>
      <c r="EH46" s="8">
        <f>IFERROR(LOOKUP(EH$23,Timeseries!$A:$A,Timeseries!$H:$H),"")</f>
        <v>25000</v>
      </c>
      <c r="EI46" s="8">
        <f>IFERROR(LOOKUP(EI$23,Timeseries!$A:$A,Timeseries!$H:$H),"")</f>
        <v>25000</v>
      </c>
      <c r="EJ46" s="8">
        <f>IFERROR(LOOKUP(EJ$23,Timeseries!$A:$A,Timeseries!$H:$H),"")</f>
        <v>25000</v>
      </c>
      <c r="EK46" s="8">
        <f>IFERROR(LOOKUP(EK$23,Timeseries!$A:$A,Timeseries!$H:$H),"")</f>
        <v>25000</v>
      </c>
      <c r="EL46" s="8">
        <f>IFERROR(LOOKUP(EL$23,Timeseries!$A:$A,Timeseries!$H:$H),"")</f>
        <v>25000</v>
      </c>
      <c r="EM46" s="8">
        <f>IFERROR(LOOKUP(EM$23,Timeseries!$A:$A,Timeseries!$H:$H),"")</f>
        <v>25000</v>
      </c>
      <c r="EN46" s="8">
        <f>IFERROR(LOOKUP(EN$23,Timeseries!$A:$A,Timeseries!$H:$H),"")</f>
        <v>25000</v>
      </c>
      <c r="EO46" s="8">
        <f>IFERROR(LOOKUP(EO$23,Timeseries!$A:$A,Timeseries!$H:$H),"")</f>
        <v>25000</v>
      </c>
      <c r="EP46" s="8">
        <f>IFERROR(LOOKUP(EP$23,Timeseries!$A:$A,Timeseries!$H:$H),"")</f>
        <v>25000</v>
      </c>
      <c r="EQ46" s="8">
        <f>IFERROR(LOOKUP(EQ$23,Timeseries!$A:$A,Timeseries!$H:$H),"")</f>
        <v>25000</v>
      </c>
      <c r="ER46" s="8">
        <f>IFERROR(LOOKUP(ER$23,Timeseries!$A:$A,Timeseries!$H:$H),"")</f>
        <v>25000</v>
      </c>
      <c r="ES46" s="8">
        <f>IFERROR(LOOKUP(ES$23,Timeseries!$A:$A,Timeseries!$H:$H),"")</f>
        <v>25000</v>
      </c>
      <c r="ET46" s="8">
        <f>IFERROR(LOOKUP(ET$23,Timeseries!$A:$A,Timeseries!$H:$H),"")</f>
        <v>25000</v>
      </c>
      <c r="EU46" s="8">
        <f>IFERROR(LOOKUP(EU$23,Timeseries!$A:$A,Timeseries!$H:$H),"")</f>
        <v>25000</v>
      </c>
      <c r="EV46" s="8">
        <f>IFERROR(LOOKUP(EV$23,Timeseries!$A:$A,Timeseries!$H:$H),"")</f>
        <v>25000</v>
      </c>
      <c r="EW46" s="8">
        <f>IFERROR(LOOKUP(EW$23,Timeseries!$A:$A,Timeseries!$H:$H),"")</f>
        <v>25000</v>
      </c>
      <c r="EX46" s="8">
        <f>IFERROR(LOOKUP(EX$23,Timeseries!$A:$A,Timeseries!$H:$H),"")</f>
        <v>25000</v>
      </c>
      <c r="EY46" s="8">
        <f>IFERROR(LOOKUP(EY$23,Timeseries!$A:$A,Timeseries!$H:$H),"")</f>
        <v>25000</v>
      </c>
      <c r="EZ46" s="8">
        <f>IFERROR(LOOKUP(EZ$23,Timeseries!$A:$A,Timeseries!$H:$H),"")</f>
        <v>25000</v>
      </c>
      <c r="FA46" s="8">
        <f>IFERROR(LOOKUP(FA$23,Timeseries!$A:$A,Timeseries!$H:$H),"")</f>
        <v>25000</v>
      </c>
      <c r="FB46" s="8">
        <f>IFERROR(LOOKUP(FB$23,Timeseries!$A:$A,Timeseries!$H:$H),"")</f>
        <v>25000</v>
      </c>
      <c r="FC46" s="8">
        <f>IFERROR(LOOKUP(FC$23,Timeseries!$A:$A,Timeseries!$H:$H),"")</f>
        <v>25000</v>
      </c>
      <c r="FD46" s="8">
        <f>IFERROR(LOOKUP(FD$23,Timeseries!$A:$A,Timeseries!$H:$H),"")</f>
        <v>25000</v>
      </c>
      <c r="FE46" s="8">
        <f>IFERROR(LOOKUP(FE$23,Timeseries!$A:$A,Timeseries!$H:$H),"")</f>
        <v>25000</v>
      </c>
      <c r="FF46" s="8">
        <f>IFERROR(LOOKUP(FF$23,Timeseries!$A:$A,Timeseries!$H:$H),"")</f>
        <v>25000</v>
      </c>
      <c r="FG46" s="8">
        <f>IFERROR(LOOKUP(FG$23,Timeseries!$A:$A,Timeseries!$H:$H),"")</f>
        <v>25000</v>
      </c>
      <c r="FH46" s="8">
        <f>IFERROR(LOOKUP(FH$23,Timeseries!$A:$A,Timeseries!$H:$H),"")</f>
        <v>25000</v>
      </c>
      <c r="FI46" s="8">
        <f>IFERROR(LOOKUP(FI$23,Timeseries!$A:$A,Timeseries!$H:$H),"")</f>
        <v>25000</v>
      </c>
      <c r="FJ46" s="8">
        <f>IFERROR(LOOKUP(FJ$23,Timeseries!$A:$A,Timeseries!$H:$H),"")</f>
        <v>25000</v>
      </c>
      <c r="FK46" s="8">
        <f>IFERROR(LOOKUP(FK$23,Timeseries!$A:$A,Timeseries!$H:$H),"")</f>
        <v>25000</v>
      </c>
      <c r="FL46" s="8">
        <f>IFERROR(LOOKUP(FL$23,Timeseries!$A:$A,Timeseries!$H:$H),"")</f>
        <v>25000</v>
      </c>
      <c r="FM46" s="8">
        <f>IFERROR(LOOKUP(FM$23,Timeseries!$A:$A,Timeseries!$H:$H),"")</f>
        <v>25000</v>
      </c>
      <c r="FN46" s="8">
        <f>IFERROR(LOOKUP(FN$23,Timeseries!$A:$A,Timeseries!$H:$H),"")</f>
        <v>25000</v>
      </c>
      <c r="FO46" s="8">
        <f>IFERROR(LOOKUP(FO$23,Timeseries!$A:$A,Timeseries!$H:$H),"")</f>
        <v>25000</v>
      </c>
      <c r="FP46" s="8">
        <f>IFERROR(LOOKUP(FP$23,Timeseries!$A:$A,Timeseries!$H:$H),"")</f>
        <v>25000</v>
      </c>
      <c r="FQ46" s="8">
        <f>IFERROR(LOOKUP(FQ$23,Timeseries!$A:$A,Timeseries!$H:$H),"")</f>
        <v>25000</v>
      </c>
      <c r="FR46" s="8">
        <f>IFERROR(LOOKUP(FR$23,Timeseries!$A:$A,Timeseries!$H:$H),"")</f>
        <v>25000</v>
      </c>
      <c r="FS46" s="8">
        <f>IFERROR(LOOKUP(FS$23,Timeseries!$A:$A,Timeseries!$H:$H),"")</f>
        <v>25000</v>
      </c>
    </row>
    <row r="47" spans="4:175" ht="15.75" customHeight="1">
      <c r="D47" s="38" t="s">
        <v>104</v>
      </c>
      <c r="E47" s="2" t="s">
        <v>100</v>
      </c>
      <c r="F47" s="8" t="s">
        <v>151</v>
      </c>
      <c r="G47" s="4" t="b">
        <v>0</v>
      </c>
      <c r="H47" s="26" t="str">
        <f>IF(H67=AE67,"","Might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8" spans="4:175" ht="15.75" customHeight="1" thickBot="1">
      <c r="D48" s="18" t="s">
        <v>142</v>
      </c>
      <c r="E48" s="2" t="s">
        <v>96</v>
      </c>
      <c r="F48" s="2"/>
      <c r="G48" s="4" t="b">
        <v>1</v>
      </c>
    </row>
    <row r="49" spans="4:175">
      <c r="D49" s="17" t="s">
        <v>72</v>
      </c>
      <c r="E49" s="2" t="s">
        <v>66</v>
      </c>
      <c r="F49" s="8" t="s">
        <v>151</v>
      </c>
      <c r="G49" s="8">
        <v>4000</v>
      </c>
    </row>
    <row r="50" spans="4:175">
      <c r="D50" s="17" t="s">
        <v>73</v>
      </c>
      <c r="E50" s="2" t="s">
        <v>67</v>
      </c>
      <c r="F50" s="8" t="s">
        <v>151</v>
      </c>
      <c r="G50" s="8">
        <v>2500</v>
      </c>
    </row>
    <row r="51" spans="4:175">
      <c r="D51" s="17" t="s">
        <v>84</v>
      </c>
      <c r="E51" s="2" t="s">
        <v>78</v>
      </c>
      <c r="F51" s="8" t="s">
        <v>151</v>
      </c>
      <c r="G51" s="2"/>
      <c r="H51" s="8">
        <f>IFERROR(LOOKUP(H$23,Timeseries!$A:$A,Timeseries!$I:$I),"")</f>
        <v>5000</v>
      </c>
      <c r="I51" s="8">
        <f>IFERROR(LOOKUP(I$23,Timeseries!$A:$A,Timeseries!$I:$I),"")</f>
        <v>5000</v>
      </c>
      <c r="J51" s="8">
        <f>IFERROR(LOOKUP(J$23,Timeseries!$A:$A,Timeseries!$I:$I),"")</f>
        <v>5000</v>
      </c>
      <c r="K51" s="8">
        <f>IFERROR(LOOKUP(K$23,Timeseries!$A:$A,Timeseries!$I:$I),"")</f>
        <v>5000</v>
      </c>
      <c r="L51" s="8">
        <f>IFERROR(LOOKUP(L$23,Timeseries!$A:$A,Timeseries!$I:$I),"")</f>
        <v>5000</v>
      </c>
      <c r="M51" s="8">
        <f>IFERROR(LOOKUP(M$23,Timeseries!$A:$A,Timeseries!$I:$I),"")</f>
        <v>5000</v>
      </c>
      <c r="N51" s="8">
        <f>IFERROR(LOOKUP(N$23,Timeseries!$A:$A,Timeseries!$I:$I),"")</f>
        <v>8000</v>
      </c>
      <c r="O51" s="8">
        <f>IFERROR(LOOKUP(O$23,Timeseries!$A:$A,Timeseries!$I:$I),"")</f>
        <v>8000</v>
      </c>
      <c r="P51" s="8">
        <f>IFERROR(LOOKUP(P$23,Timeseries!$A:$A,Timeseries!$I:$I),"")</f>
        <v>8000</v>
      </c>
      <c r="Q51" s="8">
        <f>IFERROR(LOOKUP(Q$23,Timeseries!$A:$A,Timeseries!$I:$I),"")</f>
        <v>8000</v>
      </c>
      <c r="R51" s="8">
        <f>IFERROR(LOOKUP(R$23,Timeseries!$A:$A,Timeseries!$I:$I),"")</f>
        <v>8000</v>
      </c>
      <c r="S51" s="8">
        <f>IFERROR(LOOKUP(S$23,Timeseries!$A:$A,Timeseries!$I:$I),"")</f>
        <v>8000</v>
      </c>
      <c r="T51" s="8">
        <f>IFERROR(LOOKUP(T$23,Timeseries!$A:$A,Timeseries!$I:$I),"")</f>
        <v>8000</v>
      </c>
      <c r="U51" s="8">
        <f>IFERROR(LOOKUP(U$23,Timeseries!$A:$A,Timeseries!$I:$I),"")</f>
        <v>8000</v>
      </c>
      <c r="V51" s="8">
        <f>IFERROR(LOOKUP(V$23,Timeseries!$A:$A,Timeseries!$I:$I),"")</f>
        <v>8000</v>
      </c>
      <c r="W51" s="8">
        <f>IFERROR(LOOKUP(W$23,Timeseries!$A:$A,Timeseries!$I:$I),"")</f>
        <v>8000</v>
      </c>
      <c r="X51" s="8">
        <f>IFERROR(LOOKUP(X$23,Timeseries!$A:$A,Timeseries!$I:$I),"")</f>
        <v>8000</v>
      </c>
      <c r="Y51" s="8">
        <f>IFERROR(LOOKUP(Y$23,Timeseries!$A:$A,Timeseries!$I:$I),"")</f>
        <v>8000</v>
      </c>
      <c r="Z51" s="8">
        <f>IFERROR(LOOKUP(Z$23,Timeseries!$A:$A,Timeseries!$I:$I),"")</f>
        <v>5000</v>
      </c>
      <c r="AA51" s="8">
        <f>IFERROR(LOOKUP(AA$23,Timeseries!$A:$A,Timeseries!$I:$I),"")</f>
        <v>5000</v>
      </c>
      <c r="AB51" s="8">
        <f>IFERROR(LOOKUP(AB$23,Timeseries!$A:$A,Timeseries!$I:$I),"")</f>
        <v>5000</v>
      </c>
      <c r="AC51" s="8">
        <f>IFERROR(LOOKUP(AC$23,Timeseries!$A:$A,Timeseries!$I:$I),"")</f>
        <v>5000</v>
      </c>
      <c r="AD51" s="8">
        <f>IFERROR(LOOKUP(AD$23,Timeseries!$A:$A,Timeseries!$I:$I),"")</f>
        <v>5000</v>
      </c>
      <c r="AE51" s="8">
        <f>IFERROR(LOOKUP(AE$23,Timeseries!$A:$A,Timeseries!$I:$I),"")</f>
        <v>5000</v>
      </c>
      <c r="AF51" s="8">
        <f>IFERROR(LOOKUP(AF$23,Timeseries!$A:$A,Timeseries!$I:$I),"")</f>
        <v>5000</v>
      </c>
      <c r="AG51" s="8">
        <f>IFERROR(LOOKUP(AG$23,Timeseries!$A:$A,Timeseries!$I:$I),"")</f>
        <v>5000</v>
      </c>
      <c r="AH51" s="8">
        <f>IFERROR(LOOKUP(AH$23,Timeseries!$A:$A,Timeseries!$I:$I),"")</f>
        <v>5000</v>
      </c>
      <c r="AI51" s="8">
        <f>IFERROR(LOOKUP(AI$23,Timeseries!$A:$A,Timeseries!$I:$I),"")</f>
        <v>5000</v>
      </c>
      <c r="AJ51" s="8">
        <f>IFERROR(LOOKUP(AJ$23,Timeseries!$A:$A,Timeseries!$I:$I),"")</f>
        <v>5000</v>
      </c>
      <c r="AK51" s="8">
        <f>IFERROR(LOOKUP(AK$23,Timeseries!$A:$A,Timeseries!$I:$I),"")</f>
        <v>5000</v>
      </c>
      <c r="AL51" s="8">
        <f>IFERROR(LOOKUP(AL$23,Timeseries!$A:$A,Timeseries!$I:$I),"")</f>
        <v>8000</v>
      </c>
      <c r="AM51" s="8">
        <f>IFERROR(LOOKUP(AM$23,Timeseries!$A:$A,Timeseries!$I:$I),"")</f>
        <v>8000</v>
      </c>
      <c r="AN51" s="8">
        <f>IFERROR(LOOKUP(AN$23,Timeseries!$A:$A,Timeseries!$I:$I),"")</f>
        <v>8000</v>
      </c>
      <c r="AO51" s="8">
        <f>IFERROR(LOOKUP(AO$23,Timeseries!$A:$A,Timeseries!$I:$I),"")</f>
        <v>8000</v>
      </c>
      <c r="AP51" s="8">
        <f>IFERROR(LOOKUP(AP$23,Timeseries!$A:$A,Timeseries!$I:$I),"")</f>
        <v>8000</v>
      </c>
      <c r="AQ51" s="8">
        <f>IFERROR(LOOKUP(AQ$23,Timeseries!$A:$A,Timeseries!$I:$I),"")</f>
        <v>8000</v>
      </c>
      <c r="AR51" s="8">
        <f>IFERROR(LOOKUP(AR$23,Timeseries!$A:$A,Timeseries!$I:$I),"")</f>
        <v>8000</v>
      </c>
      <c r="AS51" s="8">
        <f>IFERROR(LOOKUP(AS$23,Timeseries!$A:$A,Timeseries!$I:$I),"")</f>
        <v>8000</v>
      </c>
      <c r="AT51" s="8">
        <f>IFERROR(LOOKUP(AT$23,Timeseries!$A:$A,Timeseries!$I:$I),"")</f>
        <v>8000</v>
      </c>
      <c r="AU51" s="8">
        <f>IFERROR(LOOKUP(AU$23,Timeseries!$A:$A,Timeseries!$I:$I),"")</f>
        <v>8000</v>
      </c>
      <c r="AV51" s="8">
        <f>IFERROR(LOOKUP(AV$23,Timeseries!$A:$A,Timeseries!$I:$I),"")</f>
        <v>8000</v>
      </c>
      <c r="AW51" s="8">
        <f>IFERROR(LOOKUP(AW$23,Timeseries!$A:$A,Timeseries!$I:$I),"")</f>
        <v>8000</v>
      </c>
      <c r="AX51" s="8">
        <f>IFERROR(LOOKUP(AX$23,Timeseries!$A:$A,Timeseries!$I:$I),"")</f>
        <v>5000</v>
      </c>
      <c r="AY51" s="8">
        <f>IFERROR(LOOKUP(AY$23,Timeseries!$A:$A,Timeseries!$I:$I),"")</f>
        <v>5000</v>
      </c>
      <c r="AZ51" s="8">
        <f>IFERROR(LOOKUP(AZ$23,Timeseries!$A:$A,Timeseries!$I:$I),"")</f>
        <v>5000</v>
      </c>
      <c r="BA51" s="8">
        <f>IFERROR(LOOKUP(BA$23,Timeseries!$A:$A,Timeseries!$I:$I),"")</f>
        <v>5000</v>
      </c>
      <c r="BB51" s="8">
        <f>IFERROR(LOOKUP(BB$23,Timeseries!$A:$A,Timeseries!$I:$I),"")</f>
        <v>5000</v>
      </c>
      <c r="BC51" s="8">
        <f>IFERROR(LOOKUP(BC$23,Timeseries!$A:$A,Timeseries!$I:$I),"")</f>
        <v>5000</v>
      </c>
      <c r="BD51" s="8">
        <f>IFERROR(LOOKUP(BD$23,Timeseries!$A:$A,Timeseries!$I:$I),"")</f>
        <v>5000</v>
      </c>
      <c r="BE51" s="8">
        <f>IFERROR(LOOKUP(BE$23,Timeseries!$A:$A,Timeseries!$I:$I),"")</f>
        <v>5000</v>
      </c>
      <c r="BF51" s="8">
        <f>IFERROR(LOOKUP(BF$23,Timeseries!$A:$A,Timeseries!$I:$I),"")</f>
        <v>5000</v>
      </c>
      <c r="BG51" s="8">
        <f>IFERROR(LOOKUP(BG$23,Timeseries!$A:$A,Timeseries!$I:$I),"")</f>
        <v>5000</v>
      </c>
      <c r="BH51" s="8">
        <f>IFERROR(LOOKUP(BH$23,Timeseries!$A:$A,Timeseries!$I:$I),"")</f>
        <v>5000</v>
      </c>
      <c r="BI51" s="8">
        <f>IFERROR(LOOKUP(BI$23,Timeseries!$A:$A,Timeseries!$I:$I),"")</f>
        <v>5000</v>
      </c>
      <c r="BJ51" s="8">
        <f>IFERROR(LOOKUP(BJ$23,Timeseries!$A:$A,Timeseries!$I:$I),"")</f>
        <v>8000</v>
      </c>
      <c r="BK51" s="8">
        <f>IFERROR(LOOKUP(BK$23,Timeseries!$A:$A,Timeseries!$I:$I),"")</f>
        <v>8000</v>
      </c>
      <c r="BL51" s="8">
        <f>IFERROR(LOOKUP(BL$23,Timeseries!$A:$A,Timeseries!$I:$I),"")</f>
        <v>8000</v>
      </c>
      <c r="BM51" s="8">
        <f>IFERROR(LOOKUP(BM$23,Timeseries!$A:$A,Timeseries!$I:$I),"")</f>
        <v>8000</v>
      </c>
      <c r="BN51" s="8">
        <f>IFERROR(LOOKUP(BN$23,Timeseries!$A:$A,Timeseries!$I:$I),"")</f>
        <v>8000</v>
      </c>
      <c r="BO51" s="8">
        <f>IFERROR(LOOKUP(BO$23,Timeseries!$A:$A,Timeseries!$I:$I),"")</f>
        <v>8000</v>
      </c>
      <c r="BP51" s="8">
        <f>IFERROR(LOOKUP(BP$23,Timeseries!$A:$A,Timeseries!$I:$I),"")</f>
        <v>8000</v>
      </c>
      <c r="BQ51" s="8">
        <f>IFERROR(LOOKUP(BQ$23,Timeseries!$A:$A,Timeseries!$I:$I),"")</f>
        <v>8000</v>
      </c>
      <c r="BR51" s="8">
        <f>IFERROR(LOOKUP(BR$23,Timeseries!$A:$A,Timeseries!$I:$I),"")</f>
        <v>8000</v>
      </c>
      <c r="BS51" s="8">
        <f>IFERROR(LOOKUP(BS$23,Timeseries!$A:$A,Timeseries!$I:$I),"")</f>
        <v>8000</v>
      </c>
      <c r="BT51" s="8">
        <f>IFERROR(LOOKUP(BT$23,Timeseries!$A:$A,Timeseries!$I:$I),"")</f>
        <v>8000</v>
      </c>
      <c r="BU51" s="8">
        <f>IFERROR(LOOKUP(BU$23,Timeseries!$A:$A,Timeseries!$I:$I),"")</f>
        <v>8000</v>
      </c>
      <c r="BV51" s="8">
        <f>IFERROR(LOOKUP(BV$23,Timeseries!$A:$A,Timeseries!$I:$I),"")</f>
        <v>5000</v>
      </c>
      <c r="BW51" s="8">
        <f>IFERROR(LOOKUP(BW$23,Timeseries!$A:$A,Timeseries!$I:$I),"")</f>
        <v>5000</v>
      </c>
      <c r="BX51" s="8">
        <f>IFERROR(LOOKUP(BX$23,Timeseries!$A:$A,Timeseries!$I:$I),"")</f>
        <v>5000</v>
      </c>
      <c r="BY51" s="8">
        <f>IFERROR(LOOKUP(BY$23,Timeseries!$A:$A,Timeseries!$I:$I),"")</f>
        <v>5000</v>
      </c>
      <c r="BZ51" s="8">
        <f>IFERROR(LOOKUP(BZ$23,Timeseries!$A:$A,Timeseries!$I:$I),"")</f>
        <v>5000</v>
      </c>
      <c r="CA51" s="8">
        <f>IFERROR(LOOKUP(CA$23,Timeseries!$A:$A,Timeseries!$I:$I),"")</f>
        <v>5000</v>
      </c>
      <c r="CB51" s="8">
        <f>IFERROR(LOOKUP(CB$23,Timeseries!$A:$A,Timeseries!$I:$I),"")</f>
        <v>5000</v>
      </c>
      <c r="CC51" s="8">
        <f>IFERROR(LOOKUP(CC$23,Timeseries!$A:$A,Timeseries!$I:$I),"")</f>
        <v>5000</v>
      </c>
      <c r="CD51" s="8">
        <f>IFERROR(LOOKUP(CD$23,Timeseries!$A:$A,Timeseries!$I:$I),"")</f>
        <v>5000</v>
      </c>
      <c r="CE51" s="8">
        <f>IFERROR(LOOKUP(CE$23,Timeseries!$A:$A,Timeseries!$I:$I),"")</f>
        <v>5000</v>
      </c>
      <c r="CF51" s="8">
        <f>IFERROR(LOOKUP(CF$23,Timeseries!$A:$A,Timeseries!$I:$I),"")</f>
        <v>5000</v>
      </c>
      <c r="CG51" s="8">
        <f>IFERROR(LOOKUP(CG$23,Timeseries!$A:$A,Timeseries!$I:$I),"")</f>
        <v>5000</v>
      </c>
      <c r="CH51" s="8">
        <f>IFERROR(LOOKUP(CH$23,Timeseries!$A:$A,Timeseries!$I:$I),"")</f>
        <v>8000</v>
      </c>
      <c r="CI51" s="8">
        <f>IFERROR(LOOKUP(CI$23,Timeseries!$A:$A,Timeseries!$I:$I),"")</f>
        <v>8000</v>
      </c>
      <c r="CJ51" s="8">
        <f>IFERROR(LOOKUP(CJ$23,Timeseries!$A:$A,Timeseries!$I:$I),"")</f>
        <v>8000</v>
      </c>
      <c r="CK51" s="8">
        <f>IFERROR(LOOKUP(CK$23,Timeseries!$A:$A,Timeseries!$I:$I),"")</f>
        <v>8000</v>
      </c>
      <c r="CL51" s="8">
        <f>IFERROR(LOOKUP(CL$23,Timeseries!$A:$A,Timeseries!$I:$I),"")</f>
        <v>8000</v>
      </c>
      <c r="CM51" s="8">
        <f>IFERROR(LOOKUP(CM$23,Timeseries!$A:$A,Timeseries!$I:$I),"")</f>
        <v>8000</v>
      </c>
      <c r="CN51" s="8">
        <f>IFERROR(LOOKUP(CN$23,Timeseries!$A:$A,Timeseries!$I:$I),"")</f>
        <v>8000</v>
      </c>
      <c r="CO51" s="8">
        <f>IFERROR(LOOKUP(CO$23,Timeseries!$A:$A,Timeseries!$I:$I),"")</f>
        <v>8000</v>
      </c>
      <c r="CP51" s="8">
        <f>IFERROR(LOOKUP(CP$23,Timeseries!$A:$A,Timeseries!$I:$I),"")</f>
        <v>8000</v>
      </c>
      <c r="CQ51" s="8">
        <f>IFERROR(LOOKUP(CQ$23,Timeseries!$A:$A,Timeseries!$I:$I),"")</f>
        <v>8000</v>
      </c>
      <c r="CR51" s="8">
        <f>IFERROR(LOOKUP(CR$23,Timeseries!$A:$A,Timeseries!$I:$I),"")</f>
        <v>8000</v>
      </c>
      <c r="CS51" s="8">
        <f>IFERROR(LOOKUP(CS$23,Timeseries!$A:$A,Timeseries!$I:$I),"")</f>
        <v>8000</v>
      </c>
      <c r="CT51" s="8">
        <f>IFERROR(LOOKUP(CT$23,Timeseries!$A:$A,Timeseries!$I:$I),"")</f>
        <v>5000</v>
      </c>
      <c r="CU51" s="8">
        <f>IFERROR(LOOKUP(CU$23,Timeseries!$A:$A,Timeseries!$I:$I),"")</f>
        <v>5000</v>
      </c>
      <c r="CV51" s="8">
        <f>IFERROR(LOOKUP(CV$23,Timeseries!$A:$A,Timeseries!$I:$I),"")</f>
        <v>5000</v>
      </c>
      <c r="CW51" s="8">
        <f>IFERROR(LOOKUP(CW$23,Timeseries!$A:$A,Timeseries!$I:$I),"")</f>
        <v>5000</v>
      </c>
      <c r="CX51" s="8">
        <f>IFERROR(LOOKUP(CX$23,Timeseries!$A:$A,Timeseries!$I:$I),"")</f>
        <v>5000</v>
      </c>
      <c r="CY51" s="8">
        <f>IFERROR(LOOKUP(CY$23,Timeseries!$A:$A,Timeseries!$I:$I),"")</f>
        <v>5000</v>
      </c>
      <c r="CZ51" s="8">
        <f>IFERROR(LOOKUP(CZ$23,Timeseries!$A:$A,Timeseries!$I:$I),"")</f>
        <v>5000</v>
      </c>
      <c r="DA51" s="8">
        <f>IFERROR(LOOKUP(DA$23,Timeseries!$A:$A,Timeseries!$I:$I),"")</f>
        <v>5000</v>
      </c>
      <c r="DB51" s="8">
        <f>IFERROR(LOOKUP(DB$23,Timeseries!$A:$A,Timeseries!$I:$I),"")</f>
        <v>5000</v>
      </c>
      <c r="DC51" s="8">
        <f>IFERROR(LOOKUP(DC$23,Timeseries!$A:$A,Timeseries!$I:$I),"")</f>
        <v>5000</v>
      </c>
      <c r="DD51" s="8">
        <f>IFERROR(LOOKUP(DD$23,Timeseries!$A:$A,Timeseries!$I:$I),"")</f>
        <v>5000</v>
      </c>
      <c r="DE51" s="8">
        <f>IFERROR(LOOKUP(DE$23,Timeseries!$A:$A,Timeseries!$I:$I),"")</f>
        <v>5000</v>
      </c>
      <c r="DF51" s="8">
        <f>IFERROR(LOOKUP(DF$23,Timeseries!$A:$A,Timeseries!$I:$I),"")</f>
        <v>8000</v>
      </c>
      <c r="DG51" s="8">
        <f>IFERROR(LOOKUP(DG$23,Timeseries!$A:$A,Timeseries!$I:$I),"")</f>
        <v>8000</v>
      </c>
      <c r="DH51" s="8">
        <f>IFERROR(LOOKUP(DH$23,Timeseries!$A:$A,Timeseries!$I:$I),"")</f>
        <v>8000</v>
      </c>
      <c r="DI51" s="8">
        <f>IFERROR(LOOKUP(DI$23,Timeseries!$A:$A,Timeseries!$I:$I),"")</f>
        <v>8000</v>
      </c>
      <c r="DJ51" s="8">
        <f>IFERROR(LOOKUP(DJ$23,Timeseries!$A:$A,Timeseries!$I:$I),"")</f>
        <v>8000</v>
      </c>
      <c r="DK51" s="8">
        <f>IFERROR(LOOKUP(DK$23,Timeseries!$A:$A,Timeseries!$I:$I),"")</f>
        <v>8000</v>
      </c>
      <c r="DL51" s="8">
        <f>IFERROR(LOOKUP(DL$23,Timeseries!$A:$A,Timeseries!$I:$I),"")</f>
        <v>8000</v>
      </c>
      <c r="DM51" s="8">
        <f>IFERROR(LOOKUP(DM$23,Timeseries!$A:$A,Timeseries!$I:$I),"")</f>
        <v>8000</v>
      </c>
      <c r="DN51" s="8">
        <f>IFERROR(LOOKUP(DN$23,Timeseries!$A:$A,Timeseries!$I:$I),"")</f>
        <v>8000</v>
      </c>
      <c r="DO51" s="8">
        <f>IFERROR(LOOKUP(DO$23,Timeseries!$A:$A,Timeseries!$I:$I),"")</f>
        <v>8000</v>
      </c>
      <c r="DP51" s="8">
        <f>IFERROR(LOOKUP(DP$23,Timeseries!$A:$A,Timeseries!$I:$I),"")</f>
        <v>8000</v>
      </c>
      <c r="DQ51" s="8">
        <f>IFERROR(LOOKUP(DQ$23,Timeseries!$A:$A,Timeseries!$I:$I),"")</f>
        <v>8000</v>
      </c>
      <c r="DR51" s="8">
        <f>IFERROR(LOOKUP(DR$23,Timeseries!$A:$A,Timeseries!$I:$I),"")</f>
        <v>5000</v>
      </c>
      <c r="DS51" s="8">
        <f>IFERROR(LOOKUP(DS$23,Timeseries!$A:$A,Timeseries!$I:$I),"")</f>
        <v>5000</v>
      </c>
      <c r="DT51" s="8">
        <f>IFERROR(LOOKUP(DT$23,Timeseries!$A:$A,Timeseries!$I:$I),"")</f>
        <v>5000</v>
      </c>
      <c r="DU51" s="8">
        <f>IFERROR(LOOKUP(DU$23,Timeseries!$A:$A,Timeseries!$I:$I),"")</f>
        <v>5000</v>
      </c>
      <c r="DV51" s="8">
        <f>IFERROR(LOOKUP(DV$23,Timeseries!$A:$A,Timeseries!$I:$I),"")</f>
        <v>5000</v>
      </c>
      <c r="DW51" s="8">
        <f>IFERROR(LOOKUP(DW$23,Timeseries!$A:$A,Timeseries!$I:$I),"")</f>
        <v>5000</v>
      </c>
      <c r="DX51" s="8">
        <f>IFERROR(LOOKUP(DX$23,Timeseries!$A:$A,Timeseries!$I:$I),"")</f>
        <v>5000</v>
      </c>
      <c r="DY51" s="8">
        <f>IFERROR(LOOKUP(DY$23,Timeseries!$A:$A,Timeseries!$I:$I),"")</f>
        <v>5000</v>
      </c>
      <c r="DZ51" s="8">
        <f>IFERROR(LOOKUP(DZ$23,Timeseries!$A:$A,Timeseries!$I:$I),"")</f>
        <v>5000</v>
      </c>
      <c r="EA51" s="8">
        <f>IFERROR(LOOKUP(EA$23,Timeseries!$A:$A,Timeseries!$I:$I),"")</f>
        <v>5000</v>
      </c>
      <c r="EB51" s="8">
        <f>IFERROR(LOOKUP(EB$23,Timeseries!$A:$A,Timeseries!$I:$I),"")</f>
        <v>5000</v>
      </c>
      <c r="EC51" s="8">
        <f>IFERROR(LOOKUP(EC$23,Timeseries!$A:$A,Timeseries!$I:$I),"")</f>
        <v>5000</v>
      </c>
      <c r="ED51" s="8">
        <f>IFERROR(LOOKUP(ED$23,Timeseries!$A:$A,Timeseries!$I:$I),"")</f>
        <v>8000</v>
      </c>
      <c r="EE51" s="8">
        <f>IFERROR(LOOKUP(EE$23,Timeseries!$A:$A,Timeseries!$I:$I),"")</f>
        <v>8000</v>
      </c>
      <c r="EF51" s="8">
        <f>IFERROR(LOOKUP(EF$23,Timeseries!$A:$A,Timeseries!$I:$I),"")</f>
        <v>8000</v>
      </c>
      <c r="EG51" s="8">
        <f>IFERROR(LOOKUP(EG$23,Timeseries!$A:$A,Timeseries!$I:$I),"")</f>
        <v>8000</v>
      </c>
      <c r="EH51" s="8">
        <f>IFERROR(LOOKUP(EH$23,Timeseries!$A:$A,Timeseries!$I:$I),"")</f>
        <v>8000</v>
      </c>
      <c r="EI51" s="8">
        <f>IFERROR(LOOKUP(EI$23,Timeseries!$A:$A,Timeseries!$I:$I),"")</f>
        <v>8000</v>
      </c>
      <c r="EJ51" s="8">
        <f>IFERROR(LOOKUP(EJ$23,Timeseries!$A:$A,Timeseries!$I:$I),"")</f>
        <v>8000</v>
      </c>
      <c r="EK51" s="8">
        <f>IFERROR(LOOKUP(EK$23,Timeseries!$A:$A,Timeseries!$I:$I),"")</f>
        <v>8000</v>
      </c>
      <c r="EL51" s="8">
        <f>IFERROR(LOOKUP(EL$23,Timeseries!$A:$A,Timeseries!$I:$I),"")</f>
        <v>8000</v>
      </c>
      <c r="EM51" s="8">
        <f>IFERROR(LOOKUP(EM$23,Timeseries!$A:$A,Timeseries!$I:$I),"")</f>
        <v>8000</v>
      </c>
      <c r="EN51" s="8">
        <f>IFERROR(LOOKUP(EN$23,Timeseries!$A:$A,Timeseries!$I:$I),"")</f>
        <v>8000</v>
      </c>
      <c r="EO51" s="8">
        <f>IFERROR(LOOKUP(EO$23,Timeseries!$A:$A,Timeseries!$I:$I),"")</f>
        <v>8000</v>
      </c>
      <c r="EP51" s="8">
        <f>IFERROR(LOOKUP(EP$23,Timeseries!$A:$A,Timeseries!$I:$I),"")</f>
        <v>5000</v>
      </c>
      <c r="EQ51" s="8">
        <f>IFERROR(LOOKUP(EQ$23,Timeseries!$A:$A,Timeseries!$I:$I),"")</f>
        <v>5000</v>
      </c>
      <c r="ER51" s="8">
        <f>IFERROR(LOOKUP(ER$23,Timeseries!$A:$A,Timeseries!$I:$I),"")</f>
        <v>5000</v>
      </c>
      <c r="ES51" s="8">
        <f>IFERROR(LOOKUP(ES$23,Timeseries!$A:$A,Timeseries!$I:$I),"")</f>
        <v>5000</v>
      </c>
      <c r="ET51" s="8">
        <f>IFERROR(LOOKUP(ET$23,Timeseries!$A:$A,Timeseries!$I:$I),"")</f>
        <v>5000</v>
      </c>
      <c r="EU51" s="8">
        <f>IFERROR(LOOKUP(EU$23,Timeseries!$A:$A,Timeseries!$I:$I),"")</f>
        <v>5000</v>
      </c>
      <c r="EV51" s="8">
        <f>IFERROR(LOOKUP(EV$23,Timeseries!$A:$A,Timeseries!$I:$I),"")</f>
        <v>5000</v>
      </c>
      <c r="EW51" s="8">
        <f>IFERROR(LOOKUP(EW$23,Timeseries!$A:$A,Timeseries!$I:$I),"")</f>
        <v>5000</v>
      </c>
      <c r="EX51" s="8">
        <f>IFERROR(LOOKUP(EX$23,Timeseries!$A:$A,Timeseries!$I:$I),"")</f>
        <v>5000</v>
      </c>
      <c r="EY51" s="8">
        <f>IFERROR(LOOKUP(EY$23,Timeseries!$A:$A,Timeseries!$I:$I),"")</f>
        <v>5000</v>
      </c>
      <c r="EZ51" s="8">
        <f>IFERROR(LOOKUP(EZ$23,Timeseries!$A:$A,Timeseries!$I:$I),"")</f>
        <v>5000</v>
      </c>
      <c r="FA51" s="8">
        <f>IFERROR(LOOKUP(FA$23,Timeseries!$A:$A,Timeseries!$I:$I),"")</f>
        <v>5000</v>
      </c>
      <c r="FB51" s="8">
        <f>IFERROR(LOOKUP(FB$23,Timeseries!$A:$A,Timeseries!$I:$I),"")</f>
        <v>8000</v>
      </c>
      <c r="FC51" s="8">
        <f>IFERROR(LOOKUP(FC$23,Timeseries!$A:$A,Timeseries!$I:$I),"")</f>
        <v>8000</v>
      </c>
      <c r="FD51" s="8">
        <f>IFERROR(LOOKUP(FD$23,Timeseries!$A:$A,Timeseries!$I:$I),"")</f>
        <v>8000</v>
      </c>
      <c r="FE51" s="8">
        <f>IFERROR(LOOKUP(FE$23,Timeseries!$A:$A,Timeseries!$I:$I),"")</f>
        <v>8000</v>
      </c>
      <c r="FF51" s="8">
        <f>IFERROR(LOOKUP(FF$23,Timeseries!$A:$A,Timeseries!$I:$I),"")</f>
        <v>8000</v>
      </c>
      <c r="FG51" s="8">
        <f>IFERROR(LOOKUP(FG$23,Timeseries!$A:$A,Timeseries!$I:$I),"")</f>
        <v>8000</v>
      </c>
      <c r="FH51" s="8">
        <f>IFERROR(LOOKUP(FH$23,Timeseries!$A:$A,Timeseries!$I:$I),"")</f>
        <v>8000</v>
      </c>
      <c r="FI51" s="8">
        <f>IFERROR(LOOKUP(FI$23,Timeseries!$A:$A,Timeseries!$I:$I),"")</f>
        <v>8000</v>
      </c>
      <c r="FJ51" s="8">
        <f>IFERROR(LOOKUP(FJ$23,Timeseries!$A:$A,Timeseries!$I:$I),"")</f>
        <v>8000</v>
      </c>
      <c r="FK51" s="8">
        <f>IFERROR(LOOKUP(FK$23,Timeseries!$A:$A,Timeseries!$I:$I),"")</f>
        <v>8000</v>
      </c>
      <c r="FL51" s="8">
        <f>IFERROR(LOOKUP(FL$23,Timeseries!$A:$A,Timeseries!$I:$I),"")</f>
        <v>8000</v>
      </c>
      <c r="FM51" s="8">
        <f>IFERROR(LOOKUP(FM$23,Timeseries!$A:$A,Timeseries!$I:$I),"")</f>
        <v>8000</v>
      </c>
      <c r="FN51" s="8">
        <f>IFERROR(LOOKUP(FN$23,Timeseries!$A:$A,Timeseries!$I:$I),"")</f>
        <v>5000</v>
      </c>
      <c r="FO51" s="8">
        <f>IFERROR(LOOKUP(FO$23,Timeseries!$A:$A,Timeseries!$I:$I),"")</f>
        <v>5000</v>
      </c>
      <c r="FP51" s="8">
        <f>IFERROR(LOOKUP(FP$23,Timeseries!$A:$A,Timeseries!$I:$I),"")</f>
        <v>5000</v>
      </c>
      <c r="FQ51" s="8">
        <f>IFERROR(LOOKUP(FQ$23,Timeseries!$A:$A,Timeseries!$I:$I),"")</f>
        <v>5000</v>
      </c>
      <c r="FR51" s="8">
        <f>IFERROR(LOOKUP(FR$23,Timeseries!$A:$A,Timeseries!$I:$I),"")</f>
        <v>5000</v>
      </c>
      <c r="FS51" s="8">
        <f>IFERROR(LOOKUP(FS$23,Timeseries!$A:$A,Timeseries!$I:$I),"")</f>
        <v>5000</v>
      </c>
    </row>
    <row r="52" spans="4:175">
      <c r="D52" s="17" t="s">
        <v>85</v>
      </c>
      <c r="E52" s="2" t="s">
        <v>79</v>
      </c>
      <c r="F52" s="8" t="s">
        <v>151</v>
      </c>
      <c r="G52" s="2"/>
      <c r="H52" s="8">
        <f>IFERROR(LOOKUP(H$23,Timeseries!$A:$A,Timeseries!$J:$J),"")</f>
        <v>25000</v>
      </c>
      <c r="I52" s="8">
        <f>IFERROR(LOOKUP(I$23,Timeseries!$A:$A,Timeseries!$J:$J),"")</f>
        <v>25000</v>
      </c>
      <c r="J52" s="8">
        <f>IFERROR(LOOKUP(J$23,Timeseries!$A:$A,Timeseries!$J:$J),"")</f>
        <v>25000</v>
      </c>
      <c r="K52" s="8">
        <f>IFERROR(LOOKUP(K$23,Timeseries!$A:$A,Timeseries!$J:$J),"")</f>
        <v>25000</v>
      </c>
      <c r="L52" s="8">
        <f>IFERROR(LOOKUP(L$23,Timeseries!$A:$A,Timeseries!$J:$J),"")</f>
        <v>25000</v>
      </c>
      <c r="M52" s="8">
        <f>IFERROR(LOOKUP(M$23,Timeseries!$A:$A,Timeseries!$J:$J),"")</f>
        <v>25000</v>
      </c>
      <c r="N52" s="8">
        <f>IFERROR(LOOKUP(N$23,Timeseries!$A:$A,Timeseries!$J:$J),"")</f>
        <v>25000</v>
      </c>
      <c r="O52" s="8">
        <f>IFERROR(LOOKUP(O$23,Timeseries!$A:$A,Timeseries!$J:$J),"")</f>
        <v>25000</v>
      </c>
      <c r="P52" s="8">
        <f>IFERROR(LOOKUP(P$23,Timeseries!$A:$A,Timeseries!$J:$J),"")</f>
        <v>25000</v>
      </c>
      <c r="Q52" s="8">
        <f>IFERROR(LOOKUP(Q$23,Timeseries!$A:$A,Timeseries!$J:$J),"")</f>
        <v>25000</v>
      </c>
      <c r="R52" s="8">
        <f>IFERROR(LOOKUP(R$23,Timeseries!$A:$A,Timeseries!$J:$J),"")</f>
        <v>25000</v>
      </c>
      <c r="S52" s="8">
        <f>IFERROR(LOOKUP(S$23,Timeseries!$A:$A,Timeseries!$J:$J),"")</f>
        <v>25000</v>
      </c>
      <c r="T52" s="8">
        <f>IFERROR(LOOKUP(T$23,Timeseries!$A:$A,Timeseries!$J:$J),"")</f>
        <v>25000</v>
      </c>
      <c r="U52" s="8">
        <f>IFERROR(LOOKUP(U$23,Timeseries!$A:$A,Timeseries!$J:$J),"")</f>
        <v>25000</v>
      </c>
      <c r="V52" s="8">
        <f>IFERROR(LOOKUP(V$23,Timeseries!$A:$A,Timeseries!$J:$J),"")</f>
        <v>25000</v>
      </c>
      <c r="W52" s="8">
        <f>IFERROR(LOOKUP(W$23,Timeseries!$A:$A,Timeseries!$J:$J),"")</f>
        <v>25000</v>
      </c>
      <c r="X52" s="8">
        <f>IFERROR(LOOKUP(X$23,Timeseries!$A:$A,Timeseries!$J:$J),"")</f>
        <v>25000</v>
      </c>
      <c r="Y52" s="8">
        <f>IFERROR(LOOKUP(Y$23,Timeseries!$A:$A,Timeseries!$J:$J),"")</f>
        <v>25000</v>
      </c>
      <c r="Z52" s="8">
        <f>IFERROR(LOOKUP(Z$23,Timeseries!$A:$A,Timeseries!$J:$J),"")</f>
        <v>25000</v>
      </c>
      <c r="AA52" s="8">
        <f>IFERROR(LOOKUP(AA$23,Timeseries!$A:$A,Timeseries!$J:$J),"")</f>
        <v>25000</v>
      </c>
      <c r="AB52" s="8">
        <f>IFERROR(LOOKUP(AB$23,Timeseries!$A:$A,Timeseries!$J:$J),"")</f>
        <v>25000</v>
      </c>
      <c r="AC52" s="8">
        <f>IFERROR(LOOKUP(AC$23,Timeseries!$A:$A,Timeseries!$J:$J),"")</f>
        <v>25000</v>
      </c>
      <c r="AD52" s="8">
        <f>IFERROR(LOOKUP(AD$23,Timeseries!$A:$A,Timeseries!$J:$J),"")</f>
        <v>25000</v>
      </c>
      <c r="AE52" s="8">
        <f>IFERROR(LOOKUP(AE$23,Timeseries!$A:$A,Timeseries!$J:$J),"")</f>
        <v>25000</v>
      </c>
      <c r="AF52" s="8">
        <f>IFERROR(LOOKUP(AF$23,Timeseries!$A:$A,Timeseries!$J:$J),"")</f>
        <v>25000</v>
      </c>
      <c r="AG52" s="8">
        <f>IFERROR(LOOKUP(AG$23,Timeseries!$A:$A,Timeseries!$J:$J),"")</f>
        <v>25000</v>
      </c>
      <c r="AH52" s="8">
        <f>IFERROR(LOOKUP(AH$23,Timeseries!$A:$A,Timeseries!$J:$J),"")</f>
        <v>25000</v>
      </c>
      <c r="AI52" s="8">
        <f>IFERROR(LOOKUP(AI$23,Timeseries!$A:$A,Timeseries!$J:$J),"")</f>
        <v>25000</v>
      </c>
      <c r="AJ52" s="8">
        <f>IFERROR(LOOKUP(AJ$23,Timeseries!$A:$A,Timeseries!$J:$J),"")</f>
        <v>25000</v>
      </c>
      <c r="AK52" s="8">
        <f>IFERROR(LOOKUP(AK$23,Timeseries!$A:$A,Timeseries!$J:$J),"")</f>
        <v>25000</v>
      </c>
      <c r="AL52" s="8">
        <f>IFERROR(LOOKUP(AL$23,Timeseries!$A:$A,Timeseries!$J:$J),"")</f>
        <v>25000</v>
      </c>
      <c r="AM52" s="8">
        <f>IFERROR(LOOKUP(AM$23,Timeseries!$A:$A,Timeseries!$J:$J),"")</f>
        <v>25000</v>
      </c>
      <c r="AN52" s="8">
        <f>IFERROR(LOOKUP(AN$23,Timeseries!$A:$A,Timeseries!$J:$J),"")</f>
        <v>25000</v>
      </c>
      <c r="AO52" s="8">
        <f>IFERROR(LOOKUP(AO$23,Timeseries!$A:$A,Timeseries!$J:$J),"")</f>
        <v>25000</v>
      </c>
      <c r="AP52" s="8">
        <f>IFERROR(LOOKUP(AP$23,Timeseries!$A:$A,Timeseries!$J:$J),"")</f>
        <v>25000</v>
      </c>
      <c r="AQ52" s="8">
        <f>IFERROR(LOOKUP(AQ$23,Timeseries!$A:$A,Timeseries!$J:$J),"")</f>
        <v>25000</v>
      </c>
      <c r="AR52" s="8">
        <f>IFERROR(LOOKUP(AR$23,Timeseries!$A:$A,Timeseries!$J:$J),"")</f>
        <v>25000</v>
      </c>
      <c r="AS52" s="8">
        <f>IFERROR(LOOKUP(AS$23,Timeseries!$A:$A,Timeseries!$J:$J),"")</f>
        <v>25000</v>
      </c>
      <c r="AT52" s="8">
        <f>IFERROR(LOOKUP(AT$23,Timeseries!$A:$A,Timeseries!$J:$J),"")</f>
        <v>25000</v>
      </c>
      <c r="AU52" s="8">
        <f>IFERROR(LOOKUP(AU$23,Timeseries!$A:$A,Timeseries!$J:$J),"")</f>
        <v>25000</v>
      </c>
      <c r="AV52" s="8">
        <f>IFERROR(LOOKUP(AV$23,Timeseries!$A:$A,Timeseries!$J:$J),"")</f>
        <v>25000</v>
      </c>
      <c r="AW52" s="8">
        <f>IFERROR(LOOKUP(AW$23,Timeseries!$A:$A,Timeseries!$J:$J),"")</f>
        <v>25000</v>
      </c>
      <c r="AX52" s="8">
        <f>IFERROR(LOOKUP(AX$23,Timeseries!$A:$A,Timeseries!$J:$J),"")</f>
        <v>25000</v>
      </c>
      <c r="AY52" s="8">
        <f>IFERROR(LOOKUP(AY$23,Timeseries!$A:$A,Timeseries!$J:$J),"")</f>
        <v>25000</v>
      </c>
      <c r="AZ52" s="8">
        <f>IFERROR(LOOKUP(AZ$23,Timeseries!$A:$A,Timeseries!$J:$J),"")</f>
        <v>25000</v>
      </c>
      <c r="BA52" s="8">
        <f>IFERROR(LOOKUP(BA$23,Timeseries!$A:$A,Timeseries!$J:$J),"")</f>
        <v>25000</v>
      </c>
      <c r="BB52" s="8">
        <f>IFERROR(LOOKUP(BB$23,Timeseries!$A:$A,Timeseries!$J:$J),"")</f>
        <v>25000</v>
      </c>
      <c r="BC52" s="8">
        <f>IFERROR(LOOKUP(BC$23,Timeseries!$A:$A,Timeseries!$J:$J),"")</f>
        <v>25000</v>
      </c>
      <c r="BD52" s="8">
        <f>IFERROR(LOOKUP(BD$23,Timeseries!$A:$A,Timeseries!$J:$J),"")</f>
        <v>25000</v>
      </c>
      <c r="BE52" s="8">
        <f>IFERROR(LOOKUP(BE$23,Timeseries!$A:$A,Timeseries!$J:$J),"")</f>
        <v>25000</v>
      </c>
      <c r="BF52" s="8">
        <f>IFERROR(LOOKUP(BF$23,Timeseries!$A:$A,Timeseries!$J:$J),"")</f>
        <v>25000</v>
      </c>
      <c r="BG52" s="8">
        <f>IFERROR(LOOKUP(BG$23,Timeseries!$A:$A,Timeseries!$J:$J),"")</f>
        <v>25000</v>
      </c>
      <c r="BH52" s="8">
        <f>IFERROR(LOOKUP(BH$23,Timeseries!$A:$A,Timeseries!$J:$J),"")</f>
        <v>25000</v>
      </c>
      <c r="BI52" s="8">
        <f>IFERROR(LOOKUP(BI$23,Timeseries!$A:$A,Timeseries!$J:$J),"")</f>
        <v>25000</v>
      </c>
      <c r="BJ52" s="8">
        <f>IFERROR(LOOKUP(BJ$23,Timeseries!$A:$A,Timeseries!$J:$J),"")</f>
        <v>25000</v>
      </c>
      <c r="BK52" s="8">
        <f>IFERROR(LOOKUP(BK$23,Timeseries!$A:$A,Timeseries!$J:$J),"")</f>
        <v>25000</v>
      </c>
      <c r="BL52" s="8">
        <f>IFERROR(LOOKUP(BL$23,Timeseries!$A:$A,Timeseries!$J:$J),"")</f>
        <v>25000</v>
      </c>
      <c r="BM52" s="8">
        <f>IFERROR(LOOKUP(BM$23,Timeseries!$A:$A,Timeseries!$J:$J),"")</f>
        <v>25000</v>
      </c>
      <c r="BN52" s="8">
        <f>IFERROR(LOOKUP(BN$23,Timeseries!$A:$A,Timeseries!$J:$J),"")</f>
        <v>25000</v>
      </c>
      <c r="BO52" s="8">
        <f>IFERROR(LOOKUP(BO$23,Timeseries!$A:$A,Timeseries!$J:$J),"")</f>
        <v>25000</v>
      </c>
      <c r="BP52" s="8">
        <f>IFERROR(LOOKUP(BP$23,Timeseries!$A:$A,Timeseries!$J:$J),"")</f>
        <v>25000</v>
      </c>
      <c r="BQ52" s="8">
        <f>IFERROR(LOOKUP(BQ$23,Timeseries!$A:$A,Timeseries!$J:$J),"")</f>
        <v>25000</v>
      </c>
      <c r="BR52" s="8">
        <f>IFERROR(LOOKUP(BR$23,Timeseries!$A:$A,Timeseries!$J:$J),"")</f>
        <v>25000</v>
      </c>
      <c r="BS52" s="8">
        <f>IFERROR(LOOKUP(BS$23,Timeseries!$A:$A,Timeseries!$J:$J),"")</f>
        <v>25000</v>
      </c>
      <c r="BT52" s="8">
        <f>IFERROR(LOOKUP(BT$23,Timeseries!$A:$A,Timeseries!$J:$J),"")</f>
        <v>25000</v>
      </c>
      <c r="BU52" s="8">
        <f>IFERROR(LOOKUP(BU$23,Timeseries!$A:$A,Timeseries!$J:$J),"")</f>
        <v>25000</v>
      </c>
      <c r="BV52" s="8">
        <f>IFERROR(LOOKUP(BV$23,Timeseries!$A:$A,Timeseries!$J:$J),"")</f>
        <v>25000</v>
      </c>
      <c r="BW52" s="8">
        <f>IFERROR(LOOKUP(BW$23,Timeseries!$A:$A,Timeseries!$J:$J),"")</f>
        <v>25000</v>
      </c>
      <c r="BX52" s="8">
        <f>IFERROR(LOOKUP(BX$23,Timeseries!$A:$A,Timeseries!$J:$J),"")</f>
        <v>25000</v>
      </c>
      <c r="BY52" s="8">
        <f>IFERROR(LOOKUP(BY$23,Timeseries!$A:$A,Timeseries!$J:$J),"")</f>
        <v>25000</v>
      </c>
      <c r="BZ52" s="8">
        <f>IFERROR(LOOKUP(BZ$23,Timeseries!$A:$A,Timeseries!$J:$J),"")</f>
        <v>25000</v>
      </c>
      <c r="CA52" s="8">
        <f>IFERROR(LOOKUP(CA$23,Timeseries!$A:$A,Timeseries!$J:$J),"")</f>
        <v>25000</v>
      </c>
      <c r="CB52" s="8">
        <f>IFERROR(LOOKUP(CB$23,Timeseries!$A:$A,Timeseries!$J:$J),"")</f>
        <v>25000</v>
      </c>
      <c r="CC52" s="8">
        <f>IFERROR(LOOKUP(CC$23,Timeseries!$A:$A,Timeseries!$J:$J),"")</f>
        <v>25000</v>
      </c>
      <c r="CD52" s="8">
        <f>IFERROR(LOOKUP(CD$23,Timeseries!$A:$A,Timeseries!$J:$J),"")</f>
        <v>25000</v>
      </c>
      <c r="CE52" s="8">
        <f>IFERROR(LOOKUP(CE$23,Timeseries!$A:$A,Timeseries!$J:$J),"")</f>
        <v>25000</v>
      </c>
      <c r="CF52" s="8">
        <f>IFERROR(LOOKUP(CF$23,Timeseries!$A:$A,Timeseries!$J:$J),"")</f>
        <v>25000</v>
      </c>
      <c r="CG52" s="8">
        <f>IFERROR(LOOKUP(CG$23,Timeseries!$A:$A,Timeseries!$J:$J),"")</f>
        <v>25000</v>
      </c>
      <c r="CH52" s="8">
        <f>IFERROR(LOOKUP(CH$23,Timeseries!$A:$A,Timeseries!$J:$J),"")</f>
        <v>25000</v>
      </c>
      <c r="CI52" s="8">
        <f>IFERROR(LOOKUP(CI$23,Timeseries!$A:$A,Timeseries!$J:$J),"")</f>
        <v>25000</v>
      </c>
      <c r="CJ52" s="8">
        <f>IFERROR(LOOKUP(CJ$23,Timeseries!$A:$A,Timeseries!$J:$J),"")</f>
        <v>25000</v>
      </c>
      <c r="CK52" s="8">
        <f>IFERROR(LOOKUP(CK$23,Timeseries!$A:$A,Timeseries!$J:$J),"")</f>
        <v>25000</v>
      </c>
      <c r="CL52" s="8">
        <f>IFERROR(LOOKUP(CL$23,Timeseries!$A:$A,Timeseries!$J:$J),"")</f>
        <v>25000</v>
      </c>
      <c r="CM52" s="8">
        <f>IFERROR(LOOKUP(CM$23,Timeseries!$A:$A,Timeseries!$J:$J),"")</f>
        <v>25000</v>
      </c>
      <c r="CN52" s="8">
        <f>IFERROR(LOOKUP(CN$23,Timeseries!$A:$A,Timeseries!$J:$J),"")</f>
        <v>25000</v>
      </c>
      <c r="CO52" s="8">
        <f>IFERROR(LOOKUP(CO$23,Timeseries!$A:$A,Timeseries!$J:$J),"")</f>
        <v>25000</v>
      </c>
      <c r="CP52" s="8">
        <f>IFERROR(LOOKUP(CP$23,Timeseries!$A:$A,Timeseries!$J:$J),"")</f>
        <v>25000</v>
      </c>
      <c r="CQ52" s="8">
        <f>IFERROR(LOOKUP(CQ$23,Timeseries!$A:$A,Timeseries!$J:$J),"")</f>
        <v>25000</v>
      </c>
      <c r="CR52" s="8">
        <f>IFERROR(LOOKUP(CR$23,Timeseries!$A:$A,Timeseries!$J:$J),"")</f>
        <v>25000</v>
      </c>
      <c r="CS52" s="8">
        <f>IFERROR(LOOKUP(CS$23,Timeseries!$A:$A,Timeseries!$J:$J),"")</f>
        <v>25000</v>
      </c>
      <c r="CT52" s="8">
        <f>IFERROR(LOOKUP(CT$23,Timeseries!$A:$A,Timeseries!$J:$J),"")</f>
        <v>25000</v>
      </c>
      <c r="CU52" s="8">
        <f>IFERROR(LOOKUP(CU$23,Timeseries!$A:$A,Timeseries!$J:$J),"")</f>
        <v>25000</v>
      </c>
      <c r="CV52" s="8">
        <f>IFERROR(LOOKUP(CV$23,Timeseries!$A:$A,Timeseries!$J:$J),"")</f>
        <v>25000</v>
      </c>
      <c r="CW52" s="8">
        <f>IFERROR(LOOKUP(CW$23,Timeseries!$A:$A,Timeseries!$J:$J),"")</f>
        <v>25000</v>
      </c>
      <c r="CX52" s="8">
        <f>IFERROR(LOOKUP(CX$23,Timeseries!$A:$A,Timeseries!$J:$J),"")</f>
        <v>25000</v>
      </c>
      <c r="CY52" s="8">
        <f>IFERROR(LOOKUP(CY$23,Timeseries!$A:$A,Timeseries!$J:$J),"")</f>
        <v>25000</v>
      </c>
      <c r="CZ52" s="8">
        <f>IFERROR(LOOKUP(CZ$23,Timeseries!$A:$A,Timeseries!$J:$J),"")</f>
        <v>25000</v>
      </c>
      <c r="DA52" s="8">
        <f>IFERROR(LOOKUP(DA$23,Timeseries!$A:$A,Timeseries!$J:$J),"")</f>
        <v>25000</v>
      </c>
      <c r="DB52" s="8">
        <f>IFERROR(LOOKUP(DB$23,Timeseries!$A:$A,Timeseries!$J:$J),"")</f>
        <v>25000</v>
      </c>
      <c r="DC52" s="8">
        <f>IFERROR(LOOKUP(DC$23,Timeseries!$A:$A,Timeseries!$J:$J),"")</f>
        <v>25000</v>
      </c>
      <c r="DD52" s="8">
        <f>IFERROR(LOOKUP(DD$23,Timeseries!$A:$A,Timeseries!$J:$J),"")</f>
        <v>25000</v>
      </c>
      <c r="DE52" s="8">
        <f>IFERROR(LOOKUP(DE$23,Timeseries!$A:$A,Timeseries!$J:$J),"")</f>
        <v>25000</v>
      </c>
      <c r="DF52" s="8">
        <f>IFERROR(LOOKUP(DF$23,Timeseries!$A:$A,Timeseries!$J:$J),"")</f>
        <v>25000</v>
      </c>
      <c r="DG52" s="8">
        <f>IFERROR(LOOKUP(DG$23,Timeseries!$A:$A,Timeseries!$J:$J),"")</f>
        <v>25000</v>
      </c>
      <c r="DH52" s="8">
        <f>IFERROR(LOOKUP(DH$23,Timeseries!$A:$A,Timeseries!$J:$J),"")</f>
        <v>25000</v>
      </c>
      <c r="DI52" s="8">
        <f>IFERROR(LOOKUP(DI$23,Timeseries!$A:$A,Timeseries!$J:$J),"")</f>
        <v>25000</v>
      </c>
      <c r="DJ52" s="8">
        <f>IFERROR(LOOKUP(DJ$23,Timeseries!$A:$A,Timeseries!$J:$J),"")</f>
        <v>25000</v>
      </c>
      <c r="DK52" s="8">
        <f>IFERROR(LOOKUP(DK$23,Timeseries!$A:$A,Timeseries!$J:$J),"")</f>
        <v>25000</v>
      </c>
      <c r="DL52" s="8">
        <f>IFERROR(LOOKUP(DL$23,Timeseries!$A:$A,Timeseries!$J:$J),"")</f>
        <v>25000</v>
      </c>
      <c r="DM52" s="8">
        <f>IFERROR(LOOKUP(DM$23,Timeseries!$A:$A,Timeseries!$J:$J),"")</f>
        <v>25000</v>
      </c>
      <c r="DN52" s="8">
        <f>IFERROR(LOOKUP(DN$23,Timeseries!$A:$A,Timeseries!$J:$J),"")</f>
        <v>25000</v>
      </c>
      <c r="DO52" s="8">
        <f>IFERROR(LOOKUP(DO$23,Timeseries!$A:$A,Timeseries!$J:$J),"")</f>
        <v>25000</v>
      </c>
      <c r="DP52" s="8">
        <f>IFERROR(LOOKUP(DP$23,Timeseries!$A:$A,Timeseries!$J:$J),"")</f>
        <v>25000</v>
      </c>
      <c r="DQ52" s="8">
        <f>IFERROR(LOOKUP(DQ$23,Timeseries!$A:$A,Timeseries!$J:$J),"")</f>
        <v>25000</v>
      </c>
      <c r="DR52" s="8">
        <f>IFERROR(LOOKUP(DR$23,Timeseries!$A:$A,Timeseries!$J:$J),"")</f>
        <v>25000</v>
      </c>
      <c r="DS52" s="8">
        <f>IFERROR(LOOKUP(DS$23,Timeseries!$A:$A,Timeseries!$J:$J),"")</f>
        <v>25000</v>
      </c>
      <c r="DT52" s="8">
        <f>IFERROR(LOOKUP(DT$23,Timeseries!$A:$A,Timeseries!$J:$J),"")</f>
        <v>25000</v>
      </c>
      <c r="DU52" s="8">
        <f>IFERROR(LOOKUP(DU$23,Timeseries!$A:$A,Timeseries!$J:$J),"")</f>
        <v>25000</v>
      </c>
      <c r="DV52" s="8">
        <f>IFERROR(LOOKUP(DV$23,Timeseries!$A:$A,Timeseries!$J:$J),"")</f>
        <v>25000</v>
      </c>
      <c r="DW52" s="8">
        <f>IFERROR(LOOKUP(DW$23,Timeseries!$A:$A,Timeseries!$J:$J),"")</f>
        <v>25000</v>
      </c>
      <c r="DX52" s="8">
        <f>IFERROR(LOOKUP(DX$23,Timeseries!$A:$A,Timeseries!$J:$J),"")</f>
        <v>25000</v>
      </c>
      <c r="DY52" s="8">
        <f>IFERROR(LOOKUP(DY$23,Timeseries!$A:$A,Timeseries!$J:$J),"")</f>
        <v>25000</v>
      </c>
      <c r="DZ52" s="8">
        <f>IFERROR(LOOKUP(DZ$23,Timeseries!$A:$A,Timeseries!$J:$J),"")</f>
        <v>25000</v>
      </c>
      <c r="EA52" s="8">
        <f>IFERROR(LOOKUP(EA$23,Timeseries!$A:$A,Timeseries!$J:$J),"")</f>
        <v>25000</v>
      </c>
      <c r="EB52" s="8">
        <f>IFERROR(LOOKUP(EB$23,Timeseries!$A:$A,Timeseries!$J:$J),"")</f>
        <v>25000</v>
      </c>
      <c r="EC52" s="8">
        <f>IFERROR(LOOKUP(EC$23,Timeseries!$A:$A,Timeseries!$J:$J),"")</f>
        <v>25000</v>
      </c>
      <c r="ED52" s="8">
        <f>IFERROR(LOOKUP(ED$23,Timeseries!$A:$A,Timeseries!$J:$J),"")</f>
        <v>25000</v>
      </c>
      <c r="EE52" s="8">
        <f>IFERROR(LOOKUP(EE$23,Timeseries!$A:$A,Timeseries!$J:$J),"")</f>
        <v>25000</v>
      </c>
      <c r="EF52" s="8">
        <f>IFERROR(LOOKUP(EF$23,Timeseries!$A:$A,Timeseries!$J:$J),"")</f>
        <v>25000</v>
      </c>
      <c r="EG52" s="8">
        <f>IFERROR(LOOKUP(EG$23,Timeseries!$A:$A,Timeseries!$J:$J),"")</f>
        <v>25000</v>
      </c>
      <c r="EH52" s="8">
        <f>IFERROR(LOOKUP(EH$23,Timeseries!$A:$A,Timeseries!$J:$J),"")</f>
        <v>25000</v>
      </c>
      <c r="EI52" s="8">
        <f>IFERROR(LOOKUP(EI$23,Timeseries!$A:$A,Timeseries!$J:$J),"")</f>
        <v>25000</v>
      </c>
      <c r="EJ52" s="8">
        <f>IFERROR(LOOKUP(EJ$23,Timeseries!$A:$A,Timeseries!$J:$J),"")</f>
        <v>25000</v>
      </c>
      <c r="EK52" s="8">
        <f>IFERROR(LOOKUP(EK$23,Timeseries!$A:$A,Timeseries!$J:$J),"")</f>
        <v>25000</v>
      </c>
      <c r="EL52" s="8">
        <f>IFERROR(LOOKUP(EL$23,Timeseries!$A:$A,Timeseries!$J:$J),"")</f>
        <v>25000</v>
      </c>
      <c r="EM52" s="8">
        <f>IFERROR(LOOKUP(EM$23,Timeseries!$A:$A,Timeseries!$J:$J),"")</f>
        <v>25000</v>
      </c>
      <c r="EN52" s="8">
        <f>IFERROR(LOOKUP(EN$23,Timeseries!$A:$A,Timeseries!$J:$J),"")</f>
        <v>25000</v>
      </c>
      <c r="EO52" s="8">
        <f>IFERROR(LOOKUP(EO$23,Timeseries!$A:$A,Timeseries!$J:$J),"")</f>
        <v>25000</v>
      </c>
      <c r="EP52" s="8">
        <f>IFERROR(LOOKUP(EP$23,Timeseries!$A:$A,Timeseries!$J:$J),"")</f>
        <v>25000</v>
      </c>
      <c r="EQ52" s="8">
        <f>IFERROR(LOOKUP(EQ$23,Timeseries!$A:$A,Timeseries!$J:$J),"")</f>
        <v>25000</v>
      </c>
      <c r="ER52" s="8">
        <f>IFERROR(LOOKUP(ER$23,Timeseries!$A:$A,Timeseries!$J:$J),"")</f>
        <v>25000</v>
      </c>
      <c r="ES52" s="8">
        <f>IFERROR(LOOKUP(ES$23,Timeseries!$A:$A,Timeseries!$J:$J),"")</f>
        <v>25000</v>
      </c>
      <c r="ET52" s="8">
        <f>IFERROR(LOOKUP(ET$23,Timeseries!$A:$A,Timeseries!$J:$J),"")</f>
        <v>25000</v>
      </c>
      <c r="EU52" s="8">
        <f>IFERROR(LOOKUP(EU$23,Timeseries!$A:$A,Timeseries!$J:$J),"")</f>
        <v>25000</v>
      </c>
      <c r="EV52" s="8">
        <f>IFERROR(LOOKUP(EV$23,Timeseries!$A:$A,Timeseries!$J:$J),"")</f>
        <v>25000</v>
      </c>
      <c r="EW52" s="8">
        <f>IFERROR(LOOKUP(EW$23,Timeseries!$A:$A,Timeseries!$J:$J),"")</f>
        <v>25000</v>
      </c>
      <c r="EX52" s="8">
        <f>IFERROR(LOOKUP(EX$23,Timeseries!$A:$A,Timeseries!$J:$J),"")</f>
        <v>25000</v>
      </c>
      <c r="EY52" s="8">
        <f>IFERROR(LOOKUP(EY$23,Timeseries!$A:$A,Timeseries!$J:$J),"")</f>
        <v>25000</v>
      </c>
      <c r="EZ52" s="8">
        <f>IFERROR(LOOKUP(EZ$23,Timeseries!$A:$A,Timeseries!$J:$J),"")</f>
        <v>25000</v>
      </c>
      <c r="FA52" s="8">
        <f>IFERROR(LOOKUP(FA$23,Timeseries!$A:$A,Timeseries!$J:$J),"")</f>
        <v>25000</v>
      </c>
      <c r="FB52" s="8">
        <f>IFERROR(LOOKUP(FB$23,Timeseries!$A:$A,Timeseries!$J:$J),"")</f>
        <v>25000</v>
      </c>
      <c r="FC52" s="8">
        <f>IFERROR(LOOKUP(FC$23,Timeseries!$A:$A,Timeseries!$J:$J),"")</f>
        <v>25000</v>
      </c>
      <c r="FD52" s="8">
        <f>IFERROR(LOOKUP(FD$23,Timeseries!$A:$A,Timeseries!$J:$J),"")</f>
        <v>25000</v>
      </c>
      <c r="FE52" s="8">
        <f>IFERROR(LOOKUP(FE$23,Timeseries!$A:$A,Timeseries!$J:$J),"")</f>
        <v>25000</v>
      </c>
      <c r="FF52" s="8">
        <f>IFERROR(LOOKUP(FF$23,Timeseries!$A:$A,Timeseries!$J:$J),"")</f>
        <v>25000</v>
      </c>
      <c r="FG52" s="8">
        <f>IFERROR(LOOKUP(FG$23,Timeseries!$A:$A,Timeseries!$J:$J),"")</f>
        <v>25000</v>
      </c>
      <c r="FH52" s="8">
        <f>IFERROR(LOOKUP(FH$23,Timeseries!$A:$A,Timeseries!$J:$J),"")</f>
        <v>25000</v>
      </c>
      <c r="FI52" s="8">
        <f>IFERROR(LOOKUP(FI$23,Timeseries!$A:$A,Timeseries!$J:$J),"")</f>
        <v>25000</v>
      </c>
      <c r="FJ52" s="8">
        <f>IFERROR(LOOKUP(FJ$23,Timeseries!$A:$A,Timeseries!$J:$J),"")</f>
        <v>25000</v>
      </c>
      <c r="FK52" s="8">
        <f>IFERROR(LOOKUP(FK$23,Timeseries!$A:$A,Timeseries!$J:$J),"")</f>
        <v>25000</v>
      </c>
      <c r="FL52" s="8">
        <f>IFERROR(LOOKUP(FL$23,Timeseries!$A:$A,Timeseries!$J:$J),"")</f>
        <v>25000</v>
      </c>
      <c r="FM52" s="8">
        <f>IFERROR(LOOKUP(FM$23,Timeseries!$A:$A,Timeseries!$J:$J),"")</f>
        <v>25000</v>
      </c>
      <c r="FN52" s="8">
        <f>IFERROR(LOOKUP(FN$23,Timeseries!$A:$A,Timeseries!$J:$J),"")</f>
        <v>25000</v>
      </c>
      <c r="FO52" s="8">
        <f>IFERROR(LOOKUP(FO$23,Timeseries!$A:$A,Timeseries!$J:$J),"")</f>
        <v>25000</v>
      </c>
      <c r="FP52" s="8">
        <f>IFERROR(LOOKUP(FP$23,Timeseries!$A:$A,Timeseries!$J:$J),"")</f>
        <v>25000</v>
      </c>
      <c r="FQ52" s="8">
        <f>IFERROR(LOOKUP(FQ$23,Timeseries!$A:$A,Timeseries!$J:$J),"")</f>
        <v>25000</v>
      </c>
      <c r="FR52" s="8">
        <f>IFERROR(LOOKUP(FR$23,Timeseries!$A:$A,Timeseries!$J:$J),"")</f>
        <v>25000</v>
      </c>
      <c r="FS52" s="8">
        <f>IFERROR(LOOKUP(FS$23,Timeseries!$A:$A,Timeseries!$J:$J),"")</f>
        <v>25000</v>
      </c>
    </row>
    <row r="53" spans="4:175" ht="15.75" customHeight="1">
      <c r="D53" s="38" t="s">
        <v>105</v>
      </c>
      <c r="E53" s="2" t="s">
        <v>101</v>
      </c>
      <c r="F53" s="8" t="s">
        <v>151</v>
      </c>
      <c r="G53" s="4" t="b">
        <v>1</v>
      </c>
      <c r="H53" s="26" t="str">
        <f>IF(H67=AE67,"","Might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4" spans="4:175" ht="15.75" customHeight="1" thickBot="1">
      <c r="D54" s="18" t="s">
        <v>189</v>
      </c>
      <c r="E54" s="2" t="s">
        <v>200</v>
      </c>
      <c r="F54" s="2"/>
      <c r="G54" s="4" t="b">
        <v>0</v>
      </c>
    </row>
    <row r="55" spans="4:175">
      <c r="D55" s="17" t="s">
        <v>190</v>
      </c>
      <c r="E55" s="2" t="s">
        <v>191</v>
      </c>
      <c r="F55" s="8" t="s">
        <v>153</v>
      </c>
      <c r="G55" s="8">
        <v>15000</v>
      </c>
    </row>
    <row r="56" spans="4:175">
      <c r="D56" s="17" t="s">
        <v>192</v>
      </c>
      <c r="E56" s="2" t="s">
        <v>193</v>
      </c>
      <c r="F56" s="8" t="s">
        <v>153</v>
      </c>
      <c r="G56" s="8">
        <v>15000</v>
      </c>
    </row>
    <row r="57" spans="4:175">
      <c r="D57" s="17" t="s">
        <v>194</v>
      </c>
      <c r="E57" s="2" t="s">
        <v>195</v>
      </c>
      <c r="F57" s="8" t="s">
        <v>153</v>
      </c>
      <c r="G57" s="2"/>
      <c r="H57" s="8">
        <f>IFERROR(LOOKUP(H$23,Timeseries!$A:$A,Timeseries!$K:$K),"")</f>
        <v>5000</v>
      </c>
      <c r="I57" s="8">
        <f>IFERROR(LOOKUP(I$23,Timeseries!$A:$A,Timeseries!$K:$K),"")</f>
        <v>5000</v>
      </c>
      <c r="J57" s="8">
        <f>IFERROR(LOOKUP(J$23,Timeseries!$A:$A,Timeseries!$K:$K),"")</f>
        <v>5000</v>
      </c>
      <c r="K57" s="8">
        <f>IFERROR(LOOKUP(K$23,Timeseries!$A:$A,Timeseries!$K:$K),"")</f>
        <v>5000</v>
      </c>
      <c r="L57" s="8">
        <f>IFERROR(LOOKUP(L$23,Timeseries!$A:$A,Timeseries!$K:$K),"")</f>
        <v>5000</v>
      </c>
      <c r="M57" s="8">
        <f>IFERROR(LOOKUP(M$23,Timeseries!$A:$A,Timeseries!$K:$K),"")</f>
        <v>5000</v>
      </c>
      <c r="N57" s="8">
        <f>IFERROR(LOOKUP(N$23,Timeseries!$A:$A,Timeseries!$K:$K),"")</f>
        <v>8000</v>
      </c>
      <c r="O57" s="8">
        <f>IFERROR(LOOKUP(O$23,Timeseries!$A:$A,Timeseries!$K:$K),"")</f>
        <v>8000</v>
      </c>
      <c r="P57" s="8">
        <f>IFERROR(LOOKUP(P$23,Timeseries!$A:$A,Timeseries!$K:$K),"")</f>
        <v>8000</v>
      </c>
      <c r="Q57" s="8">
        <f>IFERROR(LOOKUP(Q$23,Timeseries!$A:$A,Timeseries!$K:$K),"")</f>
        <v>8000</v>
      </c>
      <c r="R57" s="8">
        <f>IFERROR(LOOKUP(R$23,Timeseries!$A:$A,Timeseries!$K:$K),"")</f>
        <v>8000</v>
      </c>
      <c r="S57" s="8">
        <f>IFERROR(LOOKUP(S$23,Timeseries!$A:$A,Timeseries!$K:$K),"")</f>
        <v>8000</v>
      </c>
      <c r="T57" s="8">
        <f>IFERROR(LOOKUP(T$23,Timeseries!$A:$A,Timeseries!$K:$K),"")</f>
        <v>8000</v>
      </c>
      <c r="U57" s="8">
        <f>IFERROR(LOOKUP(U$23,Timeseries!$A:$A,Timeseries!$K:$K),"")</f>
        <v>8000</v>
      </c>
      <c r="V57" s="8">
        <f>IFERROR(LOOKUP(V$23,Timeseries!$A:$A,Timeseries!$K:$K),"")</f>
        <v>8000</v>
      </c>
      <c r="W57" s="8">
        <f>IFERROR(LOOKUP(W$23,Timeseries!$A:$A,Timeseries!$K:$K),"")</f>
        <v>8000</v>
      </c>
      <c r="X57" s="8">
        <f>IFERROR(LOOKUP(X$23,Timeseries!$A:$A,Timeseries!$K:$K),"")</f>
        <v>8000</v>
      </c>
      <c r="Y57" s="8">
        <f>IFERROR(LOOKUP(Y$23,Timeseries!$A:$A,Timeseries!$K:$K),"")</f>
        <v>8000</v>
      </c>
      <c r="Z57" s="8">
        <f>IFERROR(LOOKUP(Z$23,Timeseries!$A:$A,Timeseries!$K:$K),"")</f>
        <v>5000</v>
      </c>
      <c r="AA57" s="8">
        <f>IFERROR(LOOKUP(AA$23,Timeseries!$A:$A,Timeseries!$K:$K),"")</f>
        <v>5000</v>
      </c>
      <c r="AB57" s="8">
        <f>IFERROR(LOOKUP(AB$23,Timeseries!$A:$A,Timeseries!$K:$K),"")</f>
        <v>5000</v>
      </c>
      <c r="AC57" s="8">
        <f>IFERROR(LOOKUP(AC$23,Timeseries!$A:$A,Timeseries!$K:$K),"")</f>
        <v>5000</v>
      </c>
      <c r="AD57" s="8">
        <f>IFERROR(LOOKUP(AD$23,Timeseries!$A:$A,Timeseries!$K:$K),"")</f>
        <v>5000</v>
      </c>
      <c r="AE57" s="8">
        <f>IFERROR(LOOKUP(AE$23,Timeseries!$A:$A,Timeseries!$K:$K),"")</f>
        <v>5000</v>
      </c>
      <c r="AF57" s="8">
        <f>IFERROR(LOOKUP(AF$23,Timeseries!$A:$A,Timeseries!$K:$K),"")</f>
        <v>5000</v>
      </c>
      <c r="AG57" s="8">
        <f>IFERROR(LOOKUP(AG$23,Timeseries!$A:$A,Timeseries!$K:$K),"")</f>
        <v>5000</v>
      </c>
      <c r="AH57" s="8">
        <f>IFERROR(LOOKUP(AH$23,Timeseries!$A:$A,Timeseries!$K:$K),"")</f>
        <v>5000</v>
      </c>
      <c r="AI57" s="8">
        <f>IFERROR(LOOKUP(AI$23,Timeseries!$A:$A,Timeseries!$K:$K),"")</f>
        <v>5000</v>
      </c>
      <c r="AJ57" s="8">
        <f>IFERROR(LOOKUP(AJ$23,Timeseries!$A:$A,Timeseries!$K:$K),"")</f>
        <v>5000</v>
      </c>
      <c r="AK57" s="8">
        <f>IFERROR(LOOKUP(AK$23,Timeseries!$A:$A,Timeseries!$K:$K),"")</f>
        <v>5000</v>
      </c>
      <c r="AL57" s="8">
        <f>IFERROR(LOOKUP(AL$23,Timeseries!$A:$A,Timeseries!$K:$K),"")</f>
        <v>8000</v>
      </c>
      <c r="AM57" s="8">
        <f>IFERROR(LOOKUP(AM$23,Timeseries!$A:$A,Timeseries!$K:$K),"")</f>
        <v>8000</v>
      </c>
      <c r="AN57" s="8">
        <f>IFERROR(LOOKUP(AN$23,Timeseries!$A:$A,Timeseries!$K:$K),"")</f>
        <v>8000</v>
      </c>
      <c r="AO57" s="8">
        <f>IFERROR(LOOKUP(AO$23,Timeseries!$A:$A,Timeseries!$K:$K),"")</f>
        <v>8000</v>
      </c>
      <c r="AP57" s="8">
        <f>IFERROR(LOOKUP(AP$23,Timeseries!$A:$A,Timeseries!$K:$K),"")</f>
        <v>8000</v>
      </c>
      <c r="AQ57" s="8">
        <f>IFERROR(LOOKUP(AQ$23,Timeseries!$A:$A,Timeseries!$K:$K),"")</f>
        <v>8000</v>
      </c>
      <c r="AR57" s="8">
        <f>IFERROR(LOOKUP(AR$23,Timeseries!$A:$A,Timeseries!$K:$K),"")</f>
        <v>8000</v>
      </c>
      <c r="AS57" s="8">
        <f>IFERROR(LOOKUP(AS$23,Timeseries!$A:$A,Timeseries!$K:$K),"")</f>
        <v>8000</v>
      </c>
      <c r="AT57" s="8">
        <f>IFERROR(LOOKUP(AT$23,Timeseries!$A:$A,Timeseries!$K:$K),"")</f>
        <v>8000</v>
      </c>
      <c r="AU57" s="8">
        <f>IFERROR(LOOKUP(AU$23,Timeseries!$A:$A,Timeseries!$K:$K),"")</f>
        <v>8000</v>
      </c>
      <c r="AV57" s="8">
        <f>IFERROR(LOOKUP(AV$23,Timeseries!$A:$A,Timeseries!$K:$K),"")</f>
        <v>8000</v>
      </c>
      <c r="AW57" s="8">
        <f>IFERROR(LOOKUP(AW$23,Timeseries!$A:$A,Timeseries!$K:$K),"")</f>
        <v>8000</v>
      </c>
      <c r="AX57" s="8">
        <f>IFERROR(LOOKUP(AX$23,Timeseries!$A:$A,Timeseries!$K:$K),"")</f>
        <v>5000</v>
      </c>
      <c r="AY57" s="8">
        <f>IFERROR(LOOKUP(AY$23,Timeseries!$A:$A,Timeseries!$K:$K),"")</f>
        <v>5000</v>
      </c>
      <c r="AZ57" s="8">
        <f>IFERROR(LOOKUP(AZ$23,Timeseries!$A:$A,Timeseries!$K:$K),"")</f>
        <v>5000</v>
      </c>
      <c r="BA57" s="8">
        <f>IFERROR(LOOKUP(BA$23,Timeseries!$A:$A,Timeseries!$K:$K),"")</f>
        <v>5000</v>
      </c>
      <c r="BB57" s="8">
        <f>IFERROR(LOOKUP(BB$23,Timeseries!$A:$A,Timeseries!$K:$K),"")</f>
        <v>5000</v>
      </c>
      <c r="BC57" s="8">
        <f>IFERROR(LOOKUP(BC$23,Timeseries!$A:$A,Timeseries!$K:$K),"")</f>
        <v>5000</v>
      </c>
      <c r="BD57" s="8">
        <f>IFERROR(LOOKUP(BD$23,Timeseries!$A:$A,Timeseries!$K:$K),"")</f>
        <v>5000</v>
      </c>
      <c r="BE57" s="8">
        <f>IFERROR(LOOKUP(BE$23,Timeseries!$A:$A,Timeseries!$K:$K),"")</f>
        <v>5000</v>
      </c>
      <c r="BF57" s="8">
        <f>IFERROR(LOOKUP(BF$23,Timeseries!$A:$A,Timeseries!$K:$K),"")</f>
        <v>5000</v>
      </c>
      <c r="BG57" s="8">
        <f>IFERROR(LOOKUP(BG$23,Timeseries!$A:$A,Timeseries!$K:$K),"")</f>
        <v>5000</v>
      </c>
      <c r="BH57" s="8">
        <f>IFERROR(LOOKUP(BH$23,Timeseries!$A:$A,Timeseries!$K:$K),"")</f>
        <v>5000</v>
      </c>
      <c r="BI57" s="8">
        <f>IFERROR(LOOKUP(BI$23,Timeseries!$A:$A,Timeseries!$K:$K),"")</f>
        <v>5000</v>
      </c>
      <c r="BJ57" s="8">
        <f>IFERROR(LOOKUP(BJ$23,Timeseries!$A:$A,Timeseries!$K:$K),"")</f>
        <v>8000</v>
      </c>
      <c r="BK57" s="8">
        <f>IFERROR(LOOKUP(BK$23,Timeseries!$A:$A,Timeseries!$K:$K),"")</f>
        <v>8000</v>
      </c>
      <c r="BL57" s="8">
        <f>IFERROR(LOOKUP(BL$23,Timeseries!$A:$A,Timeseries!$K:$K),"")</f>
        <v>8000</v>
      </c>
      <c r="BM57" s="8">
        <f>IFERROR(LOOKUP(BM$23,Timeseries!$A:$A,Timeseries!$K:$K),"")</f>
        <v>8000</v>
      </c>
      <c r="BN57" s="8">
        <f>IFERROR(LOOKUP(BN$23,Timeseries!$A:$A,Timeseries!$K:$K),"")</f>
        <v>8000</v>
      </c>
      <c r="BO57" s="8">
        <f>IFERROR(LOOKUP(BO$23,Timeseries!$A:$A,Timeseries!$K:$K),"")</f>
        <v>8000</v>
      </c>
      <c r="BP57" s="8">
        <f>IFERROR(LOOKUP(BP$23,Timeseries!$A:$A,Timeseries!$K:$K),"")</f>
        <v>8000</v>
      </c>
      <c r="BQ57" s="8">
        <f>IFERROR(LOOKUP(BQ$23,Timeseries!$A:$A,Timeseries!$K:$K),"")</f>
        <v>8000</v>
      </c>
      <c r="BR57" s="8">
        <f>IFERROR(LOOKUP(BR$23,Timeseries!$A:$A,Timeseries!$K:$K),"")</f>
        <v>8000</v>
      </c>
      <c r="BS57" s="8">
        <f>IFERROR(LOOKUP(BS$23,Timeseries!$A:$A,Timeseries!$K:$K),"")</f>
        <v>8000</v>
      </c>
      <c r="BT57" s="8">
        <f>IFERROR(LOOKUP(BT$23,Timeseries!$A:$A,Timeseries!$K:$K),"")</f>
        <v>8000</v>
      </c>
      <c r="BU57" s="8">
        <f>IFERROR(LOOKUP(BU$23,Timeseries!$A:$A,Timeseries!$K:$K),"")</f>
        <v>8000</v>
      </c>
      <c r="BV57" s="8">
        <f>IFERROR(LOOKUP(BV$23,Timeseries!$A:$A,Timeseries!$K:$K),"")</f>
        <v>5000</v>
      </c>
      <c r="BW57" s="8">
        <f>IFERROR(LOOKUP(BW$23,Timeseries!$A:$A,Timeseries!$K:$K),"")</f>
        <v>5000</v>
      </c>
      <c r="BX57" s="8">
        <f>IFERROR(LOOKUP(BX$23,Timeseries!$A:$A,Timeseries!$K:$K),"")</f>
        <v>5000</v>
      </c>
      <c r="BY57" s="8">
        <f>IFERROR(LOOKUP(BY$23,Timeseries!$A:$A,Timeseries!$K:$K),"")</f>
        <v>5000</v>
      </c>
      <c r="BZ57" s="8">
        <f>IFERROR(LOOKUP(BZ$23,Timeseries!$A:$A,Timeseries!$K:$K),"")</f>
        <v>5000</v>
      </c>
      <c r="CA57" s="8">
        <f>IFERROR(LOOKUP(CA$23,Timeseries!$A:$A,Timeseries!$K:$K),"")</f>
        <v>5000</v>
      </c>
      <c r="CB57" s="8">
        <f>IFERROR(LOOKUP(CB$23,Timeseries!$A:$A,Timeseries!$K:$K),"")</f>
        <v>5000</v>
      </c>
      <c r="CC57" s="8">
        <f>IFERROR(LOOKUP(CC$23,Timeseries!$A:$A,Timeseries!$K:$K),"")</f>
        <v>5000</v>
      </c>
      <c r="CD57" s="8">
        <f>IFERROR(LOOKUP(CD$23,Timeseries!$A:$A,Timeseries!$K:$K),"")</f>
        <v>5000</v>
      </c>
      <c r="CE57" s="8">
        <f>IFERROR(LOOKUP(CE$23,Timeseries!$A:$A,Timeseries!$K:$K),"")</f>
        <v>5000</v>
      </c>
      <c r="CF57" s="8">
        <f>IFERROR(LOOKUP(CF$23,Timeseries!$A:$A,Timeseries!$K:$K),"")</f>
        <v>5000</v>
      </c>
      <c r="CG57" s="8">
        <f>IFERROR(LOOKUP(CG$23,Timeseries!$A:$A,Timeseries!$K:$K),"")</f>
        <v>5000</v>
      </c>
      <c r="CH57" s="8">
        <f>IFERROR(LOOKUP(CH$23,Timeseries!$A:$A,Timeseries!$K:$K),"")</f>
        <v>8000</v>
      </c>
      <c r="CI57" s="8">
        <f>IFERROR(LOOKUP(CI$23,Timeseries!$A:$A,Timeseries!$K:$K),"")</f>
        <v>8000</v>
      </c>
      <c r="CJ57" s="8">
        <f>IFERROR(LOOKUP(CJ$23,Timeseries!$A:$A,Timeseries!$K:$K),"")</f>
        <v>8000</v>
      </c>
      <c r="CK57" s="8">
        <f>IFERROR(LOOKUP(CK$23,Timeseries!$A:$A,Timeseries!$K:$K),"")</f>
        <v>8000</v>
      </c>
      <c r="CL57" s="8">
        <f>IFERROR(LOOKUP(CL$23,Timeseries!$A:$A,Timeseries!$K:$K),"")</f>
        <v>8000</v>
      </c>
      <c r="CM57" s="8">
        <f>IFERROR(LOOKUP(CM$23,Timeseries!$A:$A,Timeseries!$K:$K),"")</f>
        <v>8000</v>
      </c>
      <c r="CN57" s="8">
        <f>IFERROR(LOOKUP(CN$23,Timeseries!$A:$A,Timeseries!$K:$K),"")</f>
        <v>8000</v>
      </c>
      <c r="CO57" s="8">
        <f>IFERROR(LOOKUP(CO$23,Timeseries!$A:$A,Timeseries!$K:$K),"")</f>
        <v>8000</v>
      </c>
      <c r="CP57" s="8">
        <f>IFERROR(LOOKUP(CP$23,Timeseries!$A:$A,Timeseries!$K:$K),"")</f>
        <v>8000</v>
      </c>
      <c r="CQ57" s="8">
        <f>IFERROR(LOOKUP(CQ$23,Timeseries!$A:$A,Timeseries!$K:$K),"")</f>
        <v>8000</v>
      </c>
      <c r="CR57" s="8">
        <f>IFERROR(LOOKUP(CR$23,Timeseries!$A:$A,Timeseries!$K:$K),"")</f>
        <v>8000</v>
      </c>
      <c r="CS57" s="8">
        <f>IFERROR(LOOKUP(CS$23,Timeseries!$A:$A,Timeseries!$K:$K),"")</f>
        <v>8000</v>
      </c>
      <c r="CT57" s="8">
        <f>IFERROR(LOOKUP(CT$23,Timeseries!$A:$A,Timeseries!$K:$K),"")</f>
        <v>5000</v>
      </c>
      <c r="CU57" s="8">
        <f>IFERROR(LOOKUP(CU$23,Timeseries!$A:$A,Timeseries!$K:$K),"")</f>
        <v>5000</v>
      </c>
      <c r="CV57" s="8">
        <f>IFERROR(LOOKUP(CV$23,Timeseries!$A:$A,Timeseries!$K:$K),"")</f>
        <v>5000</v>
      </c>
      <c r="CW57" s="8">
        <f>IFERROR(LOOKUP(CW$23,Timeseries!$A:$A,Timeseries!$K:$K),"")</f>
        <v>5000</v>
      </c>
      <c r="CX57" s="8">
        <f>IFERROR(LOOKUP(CX$23,Timeseries!$A:$A,Timeseries!$K:$K),"")</f>
        <v>5000</v>
      </c>
      <c r="CY57" s="8">
        <f>IFERROR(LOOKUP(CY$23,Timeseries!$A:$A,Timeseries!$K:$K),"")</f>
        <v>5000</v>
      </c>
      <c r="CZ57" s="8">
        <f>IFERROR(LOOKUP(CZ$23,Timeseries!$A:$A,Timeseries!$K:$K),"")</f>
        <v>5000</v>
      </c>
      <c r="DA57" s="8">
        <f>IFERROR(LOOKUP(DA$23,Timeseries!$A:$A,Timeseries!$K:$K),"")</f>
        <v>5000</v>
      </c>
      <c r="DB57" s="8">
        <f>IFERROR(LOOKUP(DB$23,Timeseries!$A:$A,Timeseries!$K:$K),"")</f>
        <v>5000</v>
      </c>
      <c r="DC57" s="8">
        <f>IFERROR(LOOKUP(DC$23,Timeseries!$A:$A,Timeseries!$K:$K),"")</f>
        <v>5000</v>
      </c>
      <c r="DD57" s="8">
        <f>IFERROR(LOOKUP(DD$23,Timeseries!$A:$A,Timeseries!$K:$K),"")</f>
        <v>5000</v>
      </c>
      <c r="DE57" s="8">
        <f>IFERROR(LOOKUP(DE$23,Timeseries!$A:$A,Timeseries!$K:$K),"")</f>
        <v>5000</v>
      </c>
      <c r="DF57" s="8">
        <f>IFERROR(LOOKUP(DF$23,Timeseries!$A:$A,Timeseries!$K:$K),"")</f>
        <v>8000</v>
      </c>
      <c r="DG57" s="8">
        <f>IFERROR(LOOKUP(DG$23,Timeseries!$A:$A,Timeseries!$K:$K),"")</f>
        <v>8000</v>
      </c>
      <c r="DH57" s="8">
        <f>IFERROR(LOOKUP(DH$23,Timeseries!$A:$A,Timeseries!$K:$K),"")</f>
        <v>8000</v>
      </c>
      <c r="DI57" s="8">
        <f>IFERROR(LOOKUP(DI$23,Timeseries!$A:$A,Timeseries!$K:$K),"")</f>
        <v>8000</v>
      </c>
      <c r="DJ57" s="8">
        <f>IFERROR(LOOKUP(DJ$23,Timeseries!$A:$A,Timeseries!$K:$K),"")</f>
        <v>8000</v>
      </c>
      <c r="DK57" s="8">
        <f>IFERROR(LOOKUP(DK$23,Timeseries!$A:$A,Timeseries!$K:$K),"")</f>
        <v>8000</v>
      </c>
      <c r="DL57" s="8">
        <f>IFERROR(LOOKUP(DL$23,Timeseries!$A:$A,Timeseries!$K:$K),"")</f>
        <v>8000</v>
      </c>
      <c r="DM57" s="8">
        <f>IFERROR(LOOKUP(DM$23,Timeseries!$A:$A,Timeseries!$K:$K),"")</f>
        <v>8000</v>
      </c>
      <c r="DN57" s="8">
        <f>IFERROR(LOOKUP(DN$23,Timeseries!$A:$A,Timeseries!$K:$K),"")</f>
        <v>8000</v>
      </c>
      <c r="DO57" s="8">
        <f>IFERROR(LOOKUP(DO$23,Timeseries!$A:$A,Timeseries!$K:$K),"")</f>
        <v>8000</v>
      </c>
      <c r="DP57" s="8">
        <f>IFERROR(LOOKUP(DP$23,Timeseries!$A:$A,Timeseries!$K:$K),"")</f>
        <v>8000</v>
      </c>
      <c r="DQ57" s="8">
        <f>IFERROR(LOOKUP(DQ$23,Timeseries!$A:$A,Timeseries!$K:$K),"")</f>
        <v>8000</v>
      </c>
      <c r="DR57" s="8">
        <f>IFERROR(LOOKUP(DR$23,Timeseries!$A:$A,Timeseries!$K:$K),"")</f>
        <v>5000</v>
      </c>
      <c r="DS57" s="8">
        <f>IFERROR(LOOKUP(DS$23,Timeseries!$A:$A,Timeseries!$K:$K),"")</f>
        <v>5000</v>
      </c>
      <c r="DT57" s="8">
        <f>IFERROR(LOOKUP(DT$23,Timeseries!$A:$A,Timeseries!$K:$K),"")</f>
        <v>5000</v>
      </c>
      <c r="DU57" s="8">
        <f>IFERROR(LOOKUP(DU$23,Timeseries!$A:$A,Timeseries!$K:$K),"")</f>
        <v>5000</v>
      </c>
      <c r="DV57" s="8">
        <f>IFERROR(LOOKUP(DV$23,Timeseries!$A:$A,Timeseries!$K:$K),"")</f>
        <v>5000</v>
      </c>
      <c r="DW57" s="8">
        <f>IFERROR(LOOKUP(DW$23,Timeseries!$A:$A,Timeseries!$K:$K),"")</f>
        <v>5000</v>
      </c>
      <c r="DX57" s="8">
        <f>IFERROR(LOOKUP(DX$23,Timeseries!$A:$A,Timeseries!$K:$K),"")</f>
        <v>5000</v>
      </c>
      <c r="DY57" s="8">
        <f>IFERROR(LOOKUP(DY$23,Timeseries!$A:$A,Timeseries!$K:$K),"")</f>
        <v>5000</v>
      </c>
      <c r="DZ57" s="8">
        <f>IFERROR(LOOKUP(DZ$23,Timeseries!$A:$A,Timeseries!$K:$K),"")</f>
        <v>5000</v>
      </c>
      <c r="EA57" s="8">
        <f>IFERROR(LOOKUP(EA$23,Timeseries!$A:$A,Timeseries!$K:$K),"")</f>
        <v>5000</v>
      </c>
      <c r="EB57" s="8">
        <f>IFERROR(LOOKUP(EB$23,Timeseries!$A:$A,Timeseries!$K:$K),"")</f>
        <v>5000</v>
      </c>
      <c r="EC57" s="8">
        <f>IFERROR(LOOKUP(EC$23,Timeseries!$A:$A,Timeseries!$K:$K),"")</f>
        <v>5000</v>
      </c>
      <c r="ED57" s="8">
        <f>IFERROR(LOOKUP(ED$23,Timeseries!$A:$A,Timeseries!$K:$K),"")</f>
        <v>8000</v>
      </c>
      <c r="EE57" s="8">
        <f>IFERROR(LOOKUP(EE$23,Timeseries!$A:$A,Timeseries!$K:$K),"")</f>
        <v>8000</v>
      </c>
      <c r="EF57" s="8">
        <f>IFERROR(LOOKUP(EF$23,Timeseries!$A:$A,Timeseries!$K:$K),"")</f>
        <v>8000</v>
      </c>
      <c r="EG57" s="8">
        <f>IFERROR(LOOKUP(EG$23,Timeseries!$A:$A,Timeseries!$K:$K),"")</f>
        <v>8000</v>
      </c>
      <c r="EH57" s="8">
        <f>IFERROR(LOOKUP(EH$23,Timeseries!$A:$A,Timeseries!$K:$K),"")</f>
        <v>8000</v>
      </c>
      <c r="EI57" s="8">
        <f>IFERROR(LOOKUP(EI$23,Timeseries!$A:$A,Timeseries!$K:$K),"")</f>
        <v>8000</v>
      </c>
      <c r="EJ57" s="8">
        <f>IFERROR(LOOKUP(EJ$23,Timeseries!$A:$A,Timeseries!$K:$K),"")</f>
        <v>8000</v>
      </c>
      <c r="EK57" s="8">
        <f>IFERROR(LOOKUP(EK$23,Timeseries!$A:$A,Timeseries!$K:$K),"")</f>
        <v>8000</v>
      </c>
      <c r="EL57" s="8">
        <f>IFERROR(LOOKUP(EL$23,Timeseries!$A:$A,Timeseries!$K:$K),"")</f>
        <v>8000</v>
      </c>
      <c r="EM57" s="8">
        <f>IFERROR(LOOKUP(EM$23,Timeseries!$A:$A,Timeseries!$K:$K),"")</f>
        <v>8000</v>
      </c>
      <c r="EN57" s="8">
        <f>IFERROR(LOOKUP(EN$23,Timeseries!$A:$A,Timeseries!$K:$K),"")</f>
        <v>8000</v>
      </c>
      <c r="EO57" s="8">
        <f>IFERROR(LOOKUP(EO$23,Timeseries!$A:$A,Timeseries!$K:$K),"")</f>
        <v>8000</v>
      </c>
      <c r="EP57" s="8">
        <f>IFERROR(LOOKUP(EP$23,Timeseries!$A:$A,Timeseries!$K:$K),"")</f>
        <v>5000</v>
      </c>
      <c r="EQ57" s="8">
        <f>IFERROR(LOOKUP(EQ$23,Timeseries!$A:$A,Timeseries!$K:$K),"")</f>
        <v>5000</v>
      </c>
      <c r="ER57" s="8">
        <f>IFERROR(LOOKUP(ER$23,Timeseries!$A:$A,Timeseries!$K:$K),"")</f>
        <v>5000</v>
      </c>
      <c r="ES57" s="8">
        <f>IFERROR(LOOKUP(ES$23,Timeseries!$A:$A,Timeseries!$K:$K),"")</f>
        <v>5000</v>
      </c>
      <c r="ET57" s="8">
        <f>IFERROR(LOOKUP(ET$23,Timeseries!$A:$A,Timeseries!$K:$K),"")</f>
        <v>5000</v>
      </c>
      <c r="EU57" s="8">
        <f>IFERROR(LOOKUP(EU$23,Timeseries!$A:$A,Timeseries!$K:$K),"")</f>
        <v>5000</v>
      </c>
      <c r="EV57" s="8">
        <f>IFERROR(LOOKUP(EV$23,Timeseries!$A:$A,Timeseries!$K:$K),"")</f>
        <v>5000</v>
      </c>
      <c r="EW57" s="8">
        <f>IFERROR(LOOKUP(EW$23,Timeseries!$A:$A,Timeseries!$K:$K),"")</f>
        <v>5000</v>
      </c>
      <c r="EX57" s="8">
        <f>IFERROR(LOOKUP(EX$23,Timeseries!$A:$A,Timeseries!$K:$K),"")</f>
        <v>5000</v>
      </c>
      <c r="EY57" s="8">
        <f>IFERROR(LOOKUP(EY$23,Timeseries!$A:$A,Timeseries!$K:$K),"")</f>
        <v>5000</v>
      </c>
      <c r="EZ57" s="8">
        <f>IFERROR(LOOKUP(EZ$23,Timeseries!$A:$A,Timeseries!$K:$K),"")</f>
        <v>5000</v>
      </c>
      <c r="FA57" s="8">
        <f>IFERROR(LOOKUP(FA$23,Timeseries!$A:$A,Timeseries!$K:$K),"")</f>
        <v>5000</v>
      </c>
      <c r="FB57" s="8">
        <f>IFERROR(LOOKUP(FB$23,Timeseries!$A:$A,Timeseries!$K:$K),"")</f>
        <v>8000</v>
      </c>
      <c r="FC57" s="8">
        <f>IFERROR(LOOKUP(FC$23,Timeseries!$A:$A,Timeseries!$K:$K),"")</f>
        <v>8000</v>
      </c>
      <c r="FD57" s="8">
        <f>IFERROR(LOOKUP(FD$23,Timeseries!$A:$A,Timeseries!$K:$K),"")</f>
        <v>8000</v>
      </c>
      <c r="FE57" s="8">
        <f>IFERROR(LOOKUP(FE$23,Timeseries!$A:$A,Timeseries!$K:$K),"")</f>
        <v>8000</v>
      </c>
      <c r="FF57" s="8">
        <f>IFERROR(LOOKUP(FF$23,Timeseries!$A:$A,Timeseries!$K:$K),"")</f>
        <v>8000</v>
      </c>
      <c r="FG57" s="8">
        <f>IFERROR(LOOKUP(FG$23,Timeseries!$A:$A,Timeseries!$K:$K),"")</f>
        <v>8000</v>
      </c>
      <c r="FH57" s="8">
        <f>IFERROR(LOOKUP(FH$23,Timeseries!$A:$A,Timeseries!$K:$K),"")</f>
        <v>8000</v>
      </c>
      <c r="FI57" s="8">
        <f>IFERROR(LOOKUP(FI$23,Timeseries!$A:$A,Timeseries!$K:$K),"")</f>
        <v>8000</v>
      </c>
      <c r="FJ57" s="8">
        <f>IFERROR(LOOKUP(FJ$23,Timeseries!$A:$A,Timeseries!$K:$K),"")</f>
        <v>8000</v>
      </c>
      <c r="FK57" s="8">
        <f>IFERROR(LOOKUP(FK$23,Timeseries!$A:$A,Timeseries!$K:$K),"")</f>
        <v>8000</v>
      </c>
      <c r="FL57" s="8">
        <f>IFERROR(LOOKUP(FL$23,Timeseries!$A:$A,Timeseries!$K:$K),"")</f>
        <v>8000</v>
      </c>
      <c r="FM57" s="8">
        <f>IFERROR(LOOKUP(FM$23,Timeseries!$A:$A,Timeseries!$K:$K),"")</f>
        <v>8000</v>
      </c>
      <c r="FN57" s="8">
        <f>IFERROR(LOOKUP(FN$23,Timeseries!$A:$A,Timeseries!$K:$K),"")</f>
        <v>5000</v>
      </c>
      <c r="FO57" s="8">
        <f>IFERROR(LOOKUP(FO$23,Timeseries!$A:$A,Timeseries!$K:$K),"")</f>
        <v>5000</v>
      </c>
      <c r="FP57" s="8">
        <f>IFERROR(LOOKUP(FP$23,Timeseries!$A:$A,Timeseries!$K:$K),"")</f>
        <v>5000</v>
      </c>
      <c r="FQ57" s="8">
        <f>IFERROR(LOOKUP(FQ$23,Timeseries!$A:$A,Timeseries!$K:$K),"")</f>
        <v>5000</v>
      </c>
      <c r="FR57" s="8">
        <f>IFERROR(LOOKUP(FR$23,Timeseries!$A:$A,Timeseries!$K:$K),"")</f>
        <v>5000</v>
      </c>
      <c r="FS57" s="8">
        <f>IFERROR(LOOKUP(FS$23,Timeseries!$A:$A,Timeseries!$K:$K),"")</f>
        <v>5000</v>
      </c>
    </row>
    <row r="58" spans="4:175">
      <c r="D58" s="17" t="s">
        <v>196</v>
      </c>
      <c r="E58" s="2" t="s">
        <v>197</v>
      </c>
      <c r="F58" s="8" t="s">
        <v>153</v>
      </c>
      <c r="G58" s="2"/>
      <c r="H58" s="8">
        <f>IFERROR(LOOKUP(H$23,Timeseries!$A:$A,Timeseries!$L:$L),"")</f>
        <v>25000</v>
      </c>
      <c r="I58" s="8">
        <f>IFERROR(LOOKUP(I$23,Timeseries!$A:$A,Timeseries!$L:$L),"")</f>
        <v>25000</v>
      </c>
      <c r="J58" s="8">
        <f>IFERROR(LOOKUP(J$23,Timeseries!$A:$A,Timeseries!$L:$L),"")</f>
        <v>25000</v>
      </c>
      <c r="K58" s="8">
        <f>IFERROR(LOOKUP(K$23,Timeseries!$A:$A,Timeseries!$L:$L),"")</f>
        <v>25000</v>
      </c>
      <c r="L58" s="8">
        <f>IFERROR(LOOKUP(L$23,Timeseries!$A:$A,Timeseries!$L:$L),"")</f>
        <v>25000</v>
      </c>
      <c r="M58" s="8">
        <f>IFERROR(LOOKUP(M$23,Timeseries!$A:$A,Timeseries!$L:$L),"")</f>
        <v>25000</v>
      </c>
      <c r="N58" s="8">
        <f>IFERROR(LOOKUP(N$23,Timeseries!$A:$A,Timeseries!$L:$L),"")</f>
        <v>25000</v>
      </c>
      <c r="O58" s="8">
        <f>IFERROR(LOOKUP(O$23,Timeseries!$A:$A,Timeseries!$L:$L),"")</f>
        <v>25000</v>
      </c>
      <c r="P58" s="8">
        <f>IFERROR(LOOKUP(P$23,Timeseries!$A:$A,Timeseries!$L:$L),"")</f>
        <v>25000</v>
      </c>
      <c r="Q58" s="8">
        <f>IFERROR(LOOKUP(Q$23,Timeseries!$A:$A,Timeseries!$L:$L),"")</f>
        <v>25000</v>
      </c>
      <c r="R58" s="8">
        <f>IFERROR(LOOKUP(R$23,Timeseries!$A:$A,Timeseries!$L:$L),"")</f>
        <v>25000</v>
      </c>
      <c r="S58" s="8">
        <f>IFERROR(LOOKUP(S$23,Timeseries!$A:$A,Timeseries!$L:$L),"")</f>
        <v>25000</v>
      </c>
      <c r="T58" s="8">
        <f>IFERROR(LOOKUP(T$23,Timeseries!$A:$A,Timeseries!$L:$L),"")</f>
        <v>25000</v>
      </c>
      <c r="U58" s="8">
        <f>IFERROR(LOOKUP(U$23,Timeseries!$A:$A,Timeseries!$L:$L),"")</f>
        <v>25000</v>
      </c>
      <c r="V58" s="8">
        <f>IFERROR(LOOKUP(V$23,Timeseries!$A:$A,Timeseries!$L:$L),"")</f>
        <v>25000</v>
      </c>
      <c r="W58" s="8">
        <f>IFERROR(LOOKUP(W$23,Timeseries!$A:$A,Timeseries!$L:$L),"")</f>
        <v>25000</v>
      </c>
      <c r="X58" s="8">
        <f>IFERROR(LOOKUP(X$23,Timeseries!$A:$A,Timeseries!$L:$L),"")</f>
        <v>25000</v>
      </c>
      <c r="Y58" s="8">
        <f>IFERROR(LOOKUP(Y$23,Timeseries!$A:$A,Timeseries!$L:$L),"")</f>
        <v>25000</v>
      </c>
      <c r="Z58" s="8">
        <f>IFERROR(LOOKUP(Z$23,Timeseries!$A:$A,Timeseries!$L:$L),"")</f>
        <v>25000</v>
      </c>
      <c r="AA58" s="8">
        <f>IFERROR(LOOKUP(AA$23,Timeseries!$A:$A,Timeseries!$L:$L),"")</f>
        <v>25000</v>
      </c>
      <c r="AB58" s="8">
        <f>IFERROR(LOOKUP(AB$23,Timeseries!$A:$A,Timeseries!$L:$L),"")</f>
        <v>25000</v>
      </c>
      <c r="AC58" s="8">
        <f>IFERROR(LOOKUP(AC$23,Timeseries!$A:$A,Timeseries!$L:$L),"")</f>
        <v>25000</v>
      </c>
      <c r="AD58" s="8">
        <f>IFERROR(LOOKUP(AD$23,Timeseries!$A:$A,Timeseries!$L:$L),"")</f>
        <v>25000</v>
      </c>
      <c r="AE58" s="8">
        <f>IFERROR(LOOKUP(AE$23,Timeseries!$A:$A,Timeseries!$L:$L),"")</f>
        <v>25000</v>
      </c>
      <c r="AF58" s="8">
        <f>IFERROR(LOOKUP(AF$23,Timeseries!$A:$A,Timeseries!$L:$L),"")</f>
        <v>25000</v>
      </c>
      <c r="AG58" s="8">
        <f>IFERROR(LOOKUP(AG$23,Timeseries!$A:$A,Timeseries!$L:$L),"")</f>
        <v>25000</v>
      </c>
      <c r="AH58" s="8">
        <f>IFERROR(LOOKUP(AH$23,Timeseries!$A:$A,Timeseries!$L:$L),"")</f>
        <v>25000</v>
      </c>
      <c r="AI58" s="8">
        <f>IFERROR(LOOKUP(AI$23,Timeseries!$A:$A,Timeseries!$L:$L),"")</f>
        <v>25000</v>
      </c>
      <c r="AJ58" s="8">
        <f>IFERROR(LOOKUP(AJ$23,Timeseries!$A:$A,Timeseries!$L:$L),"")</f>
        <v>25000</v>
      </c>
      <c r="AK58" s="8">
        <f>IFERROR(LOOKUP(AK$23,Timeseries!$A:$A,Timeseries!$L:$L),"")</f>
        <v>25000</v>
      </c>
      <c r="AL58" s="8">
        <f>IFERROR(LOOKUP(AL$23,Timeseries!$A:$A,Timeseries!$L:$L),"")</f>
        <v>25000</v>
      </c>
      <c r="AM58" s="8">
        <f>IFERROR(LOOKUP(AM$23,Timeseries!$A:$A,Timeseries!$L:$L),"")</f>
        <v>25000</v>
      </c>
      <c r="AN58" s="8">
        <f>IFERROR(LOOKUP(AN$23,Timeseries!$A:$A,Timeseries!$L:$L),"")</f>
        <v>25000</v>
      </c>
      <c r="AO58" s="8">
        <f>IFERROR(LOOKUP(AO$23,Timeseries!$A:$A,Timeseries!$L:$L),"")</f>
        <v>25000</v>
      </c>
      <c r="AP58" s="8">
        <f>IFERROR(LOOKUP(AP$23,Timeseries!$A:$A,Timeseries!$L:$L),"")</f>
        <v>25000</v>
      </c>
      <c r="AQ58" s="8">
        <f>IFERROR(LOOKUP(AQ$23,Timeseries!$A:$A,Timeseries!$L:$L),"")</f>
        <v>25000</v>
      </c>
      <c r="AR58" s="8">
        <f>IFERROR(LOOKUP(AR$23,Timeseries!$A:$A,Timeseries!$L:$L),"")</f>
        <v>25000</v>
      </c>
      <c r="AS58" s="8">
        <f>IFERROR(LOOKUP(AS$23,Timeseries!$A:$A,Timeseries!$L:$L),"")</f>
        <v>25000</v>
      </c>
      <c r="AT58" s="8">
        <f>IFERROR(LOOKUP(AT$23,Timeseries!$A:$A,Timeseries!$L:$L),"")</f>
        <v>25000</v>
      </c>
      <c r="AU58" s="8">
        <f>IFERROR(LOOKUP(AU$23,Timeseries!$A:$A,Timeseries!$L:$L),"")</f>
        <v>25000</v>
      </c>
      <c r="AV58" s="8">
        <f>IFERROR(LOOKUP(AV$23,Timeseries!$A:$A,Timeseries!$L:$L),"")</f>
        <v>25000</v>
      </c>
      <c r="AW58" s="8">
        <f>IFERROR(LOOKUP(AW$23,Timeseries!$A:$A,Timeseries!$L:$L),"")</f>
        <v>25000</v>
      </c>
      <c r="AX58" s="8">
        <f>IFERROR(LOOKUP(AX$23,Timeseries!$A:$A,Timeseries!$L:$L),"")</f>
        <v>25000</v>
      </c>
      <c r="AY58" s="8">
        <f>IFERROR(LOOKUP(AY$23,Timeseries!$A:$A,Timeseries!$L:$L),"")</f>
        <v>25000</v>
      </c>
      <c r="AZ58" s="8">
        <f>IFERROR(LOOKUP(AZ$23,Timeseries!$A:$A,Timeseries!$L:$L),"")</f>
        <v>25000</v>
      </c>
      <c r="BA58" s="8">
        <f>IFERROR(LOOKUP(BA$23,Timeseries!$A:$A,Timeseries!$L:$L),"")</f>
        <v>25000</v>
      </c>
      <c r="BB58" s="8">
        <f>IFERROR(LOOKUP(BB$23,Timeseries!$A:$A,Timeseries!$L:$L),"")</f>
        <v>25000</v>
      </c>
      <c r="BC58" s="8">
        <f>IFERROR(LOOKUP(BC$23,Timeseries!$A:$A,Timeseries!$L:$L),"")</f>
        <v>25000</v>
      </c>
      <c r="BD58" s="8">
        <f>IFERROR(LOOKUP(BD$23,Timeseries!$A:$A,Timeseries!$L:$L),"")</f>
        <v>25000</v>
      </c>
      <c r="BE58" s="8">
        <f>IFERROR(LOOKUP(BE$23,Timeseries!$A:$A,Timeseries!$L:$L),"")</f>
        <v>25000</v>
      </c>
      <c r="BF58" s="8">
        <f>IFERROR(LOOKUP(BF$23,Timeseries!$A:$A,Timeseries!$L:$L),"")</f>
        <v>25000</v>
      </c>
      <c r="BG58" s="8">
        <f>IFERROR(LOOKUP(BG$23,Timeseries!$A:$A,Timeseries!$L:$L),"")</f>
        <v>25000</v>
      </c>
      <c r="BH58" s="8">
        <f>IFERROR(LOOKUP(BH$23,Timeseries!$A:$A,Timeseries!$L:$L),"")</f>
        <v>25000</v>
      </c>
      <c r="BI58" s="8">
        <f>IFERROR(LOOKUP(BI$23,Timeseries!$A:$A,Timeseries!$L:$L),"")</f>
        <v>25000</v>
      </c>
      <c r="BJ58" s="8">
        <f>IFERROR(LOOKUP(BJ$23,Timeseries!$A:$A,Timeseries!$L:$L),"")</f>
        <v>25000</v>
      </c>
      <c r="BK58" s="8">
        <f>IFERROR(LOOKUP(BK$23,Timeseries!$A:$A,Timeseries!$L:$L),"")</f>
        <v>25000</v>
      </c>
      <c r="BL58" s="8">
        <f>IFERROR(LOOKUP(BL$23,Timeseries!$A:$A,Timeseries!$L:$L),"")</f>
        <v>25000</v>
      </c>
      <c r="BM58" s="8">
        <f>IFERROR(LOOKUP(BM$23,Timeseries!$A:$A,Timeseries!$L:$L),"")</f>
        <v>25000</v>
      </c>
      <c r="BN58" s="8">
        <f>IFERROR(LOOKUP(BN$23,Timeseries!$A:$A,Timeseries!$L:$L),"")</f>
        <v>25000</v>
      </c>
      <c r="BO58" s="8">
        <f>IFERROR(LOOKUP(BO$23,Timeseries!$A:$A,Timeseries!$L:$L),"")</f>
        <v>25000</v>
      </c>
      <c r="BP58" s="8">
        <f>IFERROR(LOOKUP(BP$23,Timeseries!$A:$A,Timeseries!$L:$L),"")</f>
        <v>25000</v>
      </c>
      <c r="BQ58" s="8">
        <f>IFERROR(LOOKUP(BQ$23,Timeseries!$A:$A,Timeseries!$L:$L),"")</f>
        <v>25000</v>
      </c>
      <c r="BR58" s="8">
        <f>IFERROR(LOOKUP(BR$23,Timeseries!$A:$A,Timeseries!$L:$L),"")</f>
        <v>25000</v>
      </c>
      <c r="BS58" s="8">
        <f>IFERROR(LOOKUP(BS$23,Timeseries!$A:$A,Timeseries!$L:$L),"")</f>
        <v>25000</v>
      </c>
      <c r="BT58" s="8">
        <f>IFERROR(LOOKUP(BT$23,Timeseries!$A:$A,Timeseries!$L:$L),"")</f>
        <v>25000</v>
      </c>
      <c r="BU58" s="8">
        <f>IFERROR(LOOKUP(BU$23,Timeseries!$A:$A,Timeseries!$L:$L),"")</f>
        <v>25000</v>
      </c>
      <c r="BV58" s="8">
        <f>IFERROR(LOOKUP(BV$23,Timeseries!$A:$A,Timeseries!$L:$L),"")</f>
        <v>25000</v>
      </c>
      <c r="BW58" s="8">
        <f>IFERROR(LOOKUP(BW$23,Timeseries!$A:$A,Timeseries!$L:$L),"")</f>
        <v>25000</v>
      </c>
      <c r="BX58" s="8">
        <f>IFERROR(LOOKUP(BX$23,Timeseries!$A:$A,Timeseries!$L:$L),"")</f>
        <v>25000</v>
      </c>
      <c r="BY58" s="8">
        <f>IFERROR(LOOKUP(BY$23,Timeseries!$A:$A,Timeseries!$L:$L),"")</f>
        <v>25000</v>
      </c>
      <c r="BZ58" s="8">
        <f>IFERROR(LOOKUP(BZ$23,Timeseries!$A:$A,Timeseries!$L:$L),"")</f>
        <v>25000</v>
      </c>
      <c r="CA58" s="8">
        <f>IFERROR(LOOKUP(CA$23,Timeseries!$A:$A,Timeseries!$L:$L),"")</f>
        <v>25000</v>
      </c>
      <c r="CB58" s="8">
        <f>IFERROR(LOOKUP(CB$23,Timeseries!$A:$A,Timeseries!$L:$L),"")</f>
        <v>25000</v>
      </c>
      <c r="CC58" s="8">
        <f>IFERROR(LOOKUP(CC$23,Timeseries!$A:$A,Timeseries!$L:$L),"")</f>
        <v>25000</v>
      </c>
      <c r="CD58" s="8">
        <f>IFERROR(LOOKUP(CD$23,Timeseries!$A:$A,Timeseries!$L:$L),"")</f>
        <v>25000</v>
      </c>
      <c r="CE58" s="8">
        <f>IFERROR(LOOKUP(CE$23,Timeseries!$A:$A,Timeseries!$L:$L),"")</f>
        <v>25000</v>
      </c>
      <c r="CF58" s="8">
        <f>IFERROR(LOOKUP(CF$23,Timeseries!$A:$A,Timeseries!$L:$L),"")</f>
        <v>25000</v>
      </c>
      <c r="CG58" s="8">
        <f>IFERROR(LOOKUP(CG$23,Timeseries!$A:$A,Timeseries!$L:$L),"")</f>
        <v>25000</v>
      </c>
      <c r="CH58" s="8">
        <f>IFERROR(LOOKUP(CH$23,Timeseries!$A:$A,Timeseries!$L:$L),"")</f>
        <v>25000</v>
      </c>
      <c r="CI58" s="8">
        <f>IFERROR(LOOKUP(CI$23,Timeseries!$A:$A,Timeseries!$L:$L),"")</f>
        <v>25000</v>
      </c>
      <c r="CJ58" s="8">
        <f>IFERROR(LOOKUP(CJ$23,Timeseries!$A:$A,Timeseries!$L:$L),"")</f>
        <v>25000</v>
      </c>
      <c r="CK58" s="8">
        <f>IFERROR(LOOKUP(CK$23,Timeseries!$A:$A,Timeseries!$L:$L),"")</f>
        <v>25000</v>
      </c>
      <c r="CL58" s="8">
        <f>IFERROR(LOOKUP(CL$23,Timeseries!$A:$A,Timeseries!$L:$L),"")</f>
        <v>25000</v>
      </c>
      <c r="CM58" s="8">
        <f>IFERROR(LOOKUP(CM$23,Timeseries!$A:$A,Timeseries!$L:$L),"")</f>
        <v>25000</v>
      </c>
      <c r="CN58" s="8">
        <f>IFERROR(LOOKUP(CN$23,Timeseries!$A:$A,Timeseries!$L:$L),"")</f>
        <v>25000</v>
      </c>
      <c r="CO58" s="8">
        <f>IFERROR(LOOKUP(CO$23,Timeseries!$A:$A,Timeseries!$L:$L),"")</f>
        <v>25000</v>
      </c>
      <c r="CP58" s="8">
        <f>IFERROR(LOOKUP(CP$23,Timeseries!$A:$A,Timeseries!$L:$L),"")</f>
        <v>25000</v>
      </c>
      <c r="CQ58" s="8">
        <f>IFERROR(LOOKUP(CQ$23,Timeseries!$A:$A,Timeseries!$L:$L),"")</f>
        <v>25000</v>
      </c>
      <c r="CR58" s="8">
        <f>IFERROR(LOOKUP(CR$23,Timeseries!$A:$A,Timeseries!$L:$L),"")</f>
        <v>25000</v>
      </c>
      <c r="CS58" s="8">
        <f>IFERROR(LOOKUP(CS$23,Timeseries!$A:$A,Timeseries!$L:$L),"")</f>
        <v>25000</v>
      </c>
      <c r="CT58" s="8">
        <f>IFERROR(LOOKUP(CT$23,Timeseries!$A:$A,Timeseries!$L:$L),"")</f>
        <v>25000</v>
      </c>
      <c r="CU58" s="8">
        <f>IFERROR(LOOKUP(CU$23,Timeseries!$A:$A,Timeseries!$L:$L),"")</f>
        <v>25000</v>
      </c>
      <c r="CV58" s="8">
        <f>IFERROR(LOOKUP(CV$23,Timeseries!$A:$A,Timeseries!$L:$L),"")</f>
        <v>25000</v>
      </c>
      <c r="CW58" s="8">
        <f>IFERROR(LOOKUP(CW$23,Timeseries!$A:$A,Timeseries!$L:$L),"")</f>
        <v>25000</v>
      </c>
      <c r="CX58" s="8">
        <f>IFERROR(LOOKUP(CX$23,Timeseries!$A:$A,Timeseries!$L:$L),"")</f>
        <v>25000</v>
      </c>
      <c r="CY58" s="8">
        <f>IFERROR(LOOKUP(CY$23,Timeseries!$A:$A,Timeseries!$L:$L),"")</f>
        <v>25000</v>
      </c>
      <c r="CZ58" s="8">
        <f>IFERROR(LOOKUP(CZ$23,Timeseries!$A:$A,Timeseries!$L:$L),"")</f>
        <v>25000</v>
      </c>
      <c r="DA58" s="8">
        <f>IFERROR(LOOKUP(DA$23,Timeseries!$A:$A,Timeseries!$L:$L),"")</f>
        <v>25000</v>
      </c>
      <c r="DB58" s="8">
        <f>IFERROR(LOOKUP(DB$23,Timeseries!$A:$A,Timeseries!$L:$L),"")</f>
        <v>25000</v>
      </c>
      <c r="DC58" s="8">
        <f>IFERROR(LOOKUP(DC$23,Timeseries!$A:$A,Timeseries!$L:$L),"")</f>
        <v>25000</v>
      </c>
      <c r="DD58" s="8">
        <f>IFERROR(LOOKUP(DD$23,Timeseries!$A:$A,Timeseries!$L:$L),"")</f>
        <v>25000</v>
      </c>
      <c r="DE58" s="8">
        <f>IFERROR(LOOKUP(DE$23,Timeseries!$A:$A,Timeseries!$L:$L),"")</f>
        <v>25000</v>
      </c>
      <c r="DF58" s="8">
        <f>IFERROR(LOOKUP(DF$23,Timeseries!$A:$A,Timeseries!$L:$L),"")</f>
        <v>25000</v>
      </c>
      <c r="DG58" s="8">
        <f>IFERROR(LOOKUP(DG$23,Timeseries!$A:$A,Timeseries!$L:$L),"")</f>
        <v>25000</v>
      </c>
      <c r="DH58" s="8">
        <f>IFERROR(LOOKUP(DH$23,Timeseries!$A:$A,Timeseries!$L:$L),"")</f>
        <v>25000</v>
      </c>
      <c r="DI58" s="8">
        <f>IFERROR(LOOKUP(DI$23,Timeseries!$A:$A,Timeseries!$L:$L),"")</f>
        <v>25000</v>
      </c>
      <c r="DJ58" s="8">
        <f>IFERROR(LOOKUP(DJ$23,Timeseries!$A:$A,Timeseries!$L:$L),"")</f>
        <v>25000</v>
      </c>
      <c r="DK58" s="8">
        <f>IFERROR(LOOKUP(DK$23,Timeseries!$A:$A,Timeseries!$L:$L),"")</f>
        <v>25000</v>
      </c>
      <c r="DL58" s="8">
        <f>IFERROR(LOOKUP(DL$23,Timeseries!$A:$A,Timeseries!$L:$L),"")</f>
        <v>25000</v>
      </c>
      <c r="DM58" s="8">
        <f>IFERROR(LOOKUP(DM$23,Timeseries!$A:$A,Timeseries!$L:$L),"")</f>
        <v>25000</v>
      </c>
      <c r="DN58" s="8">
        <f>IFERROR(LOOKUP(DN$23,Timeseries!$A:$A,Timeseries!$L:$L),"")</f>
        <v>25000</v>
      </c>
      <c r="DO58" s="8">
        <f>IFERROR(LOOKUP(DO$23,Timeseries!$A:$A,Timeseries!$L:$L),"")</f>
        <v>25000</v>
      </c>
      <c r="DP58" s="8">
        <f>IFERROR(LOOKUP(DP$23,Timeseries!$A:$A,Timeseries!$L:$L),"")</f>
        <v>25000</v>
      </c>
      <c r="DQ58" s="8">
        <f>IFERROR(LOOKUP(DQ$23,Timeseries!$A:$A,Timeseries!$L:$L),"")</f>
        <v>25000</v>
      </c>
      <c r="DR58" s="8">
        <f>IFERROR(LOOKUP(DR$23,Timeseries!$A:$A,Timeseries!$L:$L),"")</f>
        <v>25000</v>
      </c>
      <c r="DS58" s="8">
        <f>IFERROR(LOOKUP(DS$23,Timeseries!$A:$A,Timeseries!$L:$L),"")</f>
        <v>25000</v>
      </c>
      <c r="DT58" s="8">
        <f>IFERROR(LOOKUP(DT$23,Timeseries!$A:$A,Timeseries!$L:$L),"")</f>
        <v>25000</v>
      </c>
      <c r="DU58" s="8">
        <f>IFERROR(LOOKUP(DU$23,Timeseries!$A:$A,Timeseries!$L:$L),"")</f>
        <v>25000</v>
      </c>
      <c r="DV58" s="8">
        <f>IFERROR(LOOKUP(DV$23,Timeseries!$A:$A,Timeseries!$L:$L),"")</f>
        <v>25000</v>
      </c>
      <c r="DW58" s="8">
        <f>IFERROR(LOOKUP(DW$23,Timeseries!$A:$A,Timeseries!$L:$L),"")</f>
        <v>25000</v>
      </c>
      <c r="DX58" s="8">
        <f>IFERROR(LOOKUP(DX$23,Timeseries!$A:$A,Timeseries!$L:$L),"")</f>
        <v>25000</v>
      </c>
      <c r="DY58" s="8">
        <f>IFERROR(LOOKUP(DY$23,Timeseries!$A:$A,Timeseries!$L:$L),"")</f>
        <v>25000</v>
      </c>
      <c r="DZ58" s="8">
        <f>IFERROR(LOOKUP(DZ$23,Timeseries!$A:$A,Timeseries!$L:$L),"")</f>
        <v>25000</v>
      </c>
      <c r="EA58" s="8">
        <f>IFERROR(LOOKUP(EA$23,Timeseries!$A:$A,Timeseries!$L:$L),"")</f>
        <v>25000</v>
      </c>
      <c r="EB58" s="8">
        <f>IFERROR(LOOKUP(EB$23,Timeseries!$A:$A,Timeseries!$L:$L),"")</f>
        <v>25000</v>
      </c>
      <c r="EC58" s="8">
        <f>IFERROR(LOOKUP(EC$23,Timeseries!$A:$A,Timeseries!$L:$L),"")</f>
        <v>25000</v>
      </c>
      <c r="ED58" s="8">
        <f>IFERROR(LOOKUP(ED$23,Timeseries!$A:$A,Timeseries!$L:$L),"")</f>
        <v>25000</v>
      </c>
      <c r="EE58" s="8">
        <f>IFERROR(LOOKUP(EE$23,Timeseries!$A:$A,Timeseries!$L:$L),"")</f>
        <v>25000</v>
      </c>
      <c r="EF58" s="8">
        <f>IFERROR(LOOKUP(EF$23,Timeseries!$A:$A,Timeseries!$L:$L),"")</f>
        <v>25000</v>
      </c>
      <c r="EG58" s="8">
        <f>IFERROR(LOOKUP(EG$23,Timeseries!$A:$A,Timeseries!$L:$L),"")</f>
        <v>25000</v>
      </c>
      <c r="EH58" s="8">
        <f>IFERROR(LOOKUP(EH$23,Timeseries!$A:$A,Timeseries!$L:$L),"")</f>
        <v>25000</v>
      </c>
      <c r="EI58" s="8">
        <f>IFERROR(LOOKUP(EI$23,Timeseries!$A:$A,Timeseries!$L:$L),"")</f>
        <v>25000</v>
      </c>
      <c r="EJ58" s="8">
        <f>IFERROR(LOOKUP(EJ$23,Timeseries!$A:$A,Timeseries!$L:$L),"")</f>
        <v>25000</v>
      </c>
      <c r="EK58" s="8">
        <f>IFERROR(LOOKUP(EK$23,Timeseries!$A:$A,Timeseries!$L:$L),"")</f>
        <v>25000</v>
      </c>
      <c r="EL58" s="8">
        <f>IFERROR(LOOKUP(EL$23,Timeseries!$A:$A,Timeseries!$L:$L),"")</f>
        <v>25000</v>
      </c>
      <c r="EM58" s="8">
        <f>IFERROR(LOOKUP(EM$23,Timeseries!$A:$A,Timeseries!$L:$L),"")</f>
        <v>25000</v>
      </c>
      <c r="EN58" s="8">
        <f>IFERROR(LOOKUP(EN$23,Timeseries!$A:$A,Timeseries!$L:$L),"")</f>
        <v>25000</v>
      </c>
      <c r="EO58" s="8">
        <f>IFERROR(LOOKUP(EO$23,Timeseries!$A:$A,Timeseries!$L:$L),"")</f>
        <v>25000</v>
      </c>
      <c r="EP58" s="8">
        <f>IFERROR(LOOKUP(EP$23,Timeseries!$A:$A,Timeseries!$L:$L),"")</f>
        <v>25000</v>
      </c>
      <c r="EQ58" s="8">
        <f>IFERROR(LOOKUP(EQ$23,Timeseries!$A:$A,Timeseries!$L:$L),"")</f>
        <v>25000</v>
      </c>
      <c r="ER58" s="8">
        <f>IFERROR(LOOKUP(ER$23,Timeseries!$A:$A,Timeseries!$L:$L),"")</f>
        <v>25000</v>
      </c>
      <c r="ES58" s="8">
        <f>IFERROR(LOOKUP(ES$23,Timeseries!$A:$A,Timeseries!$L:$L),"")</f>
        <v>25000</v>
      </c>
      <c r="ET58" s="8">
        <f>IFERROR(LOOKUP(ET$23,Timeseries!$A:$A,Timeseries!$L:$L),"")</f>
        <v>25000</v>
      </c>
      <c r="EU58" s="8">
        <f>IFERROR(LOOKUP(EU$23,Timeseries!$A:$A,Timeseries!$L:$L),"")</f>
        <v>25000</v>
      </c>
      <c r="EV58" s="8">
        <f>IFERROR(LOOKUP(EV$23,Timeseries!$A:$A,Timeseries!$L:$L),"")</f>
        <v>25000</v>
      </c>
      <c r="EW58" s="8">
        <f>IFERROR(LOOKUP(EW$23,Timeseries!$A:$A,Timeseries!$L:$L),"")</f>
        <v>25000</v>
      </c>
      <c r="EX58" s="8">
        <f>IFERROR(LOOKUP(EX$23,Timeseries!$A:$A,Timeseries!$L:$L),"")</f>
        <v>25000</v>
      </c>
      <c r="EY58" s="8">
        <f>IFERROR(LOOKUP(EY$23,Timeseries!$A:$A,Timeseries!$L:$L),"")</f>
        <v>25000</v>
      </c>
      <c r="EZ58" s="8">
        <f>IFERROR(LOOKUP(EZ$23,Timeseries!$A:$A,Timeseries!$L:$L),"")</f>
        <v>25000</v>
      </c>
      <c r="FA58" s="8">
        <f>IFERROR(LOOKUP(FA$23,Timeseries!$A:$A,Timeseries!$L:$L),"")</f>
        <v>25000</v>
      </c>
      <c r="FB58" s="8">
        <f>IFERROR(LOOKUP(FB$23,Timeseries!$A:$A,Timeseries!$L:$L),"")</f>
        <v>25000</v>
      </c>
      <c r="FC58" s="8">
        <f>IFERROR(LOOKUP(FC$23,Timeseries!$A:$A,Timeseries!$L:$L),"")</f>
        <v>25000</v>
      </c>
      <c r="FD58" s="8">
        <f>IFERROR(LOOKUP(FD$23,Timeseries!$A:$A,Timeseries!$L:$L),"")</f>
        <v>25000</v>
      </c>
      <c r="FE58" s="8">
        <f>IFERROR(LOOKUP(FE$23,Timeseries!$A:$A,Timeseries!$L:$L),"")</f>
        <v>25000</v>
      </c>
      <c r="FF58" s="8">
        <f>IFERROR(LOOKUP(FF$23,Timeseries!$A:$A,Timeseries!$L:$L),"")</f>
        <v>25000</v>
      </c>
      <c r="FG58" s="8">
        <f>IFERROR(LOOKUP(FG$23,Timeseries!$A:$A,Timeseries!$L:$L),"")</f>
        <v>25000</v>
      </c>
      <c r="FH58" s="8">
        <f>IFERROR(LOOKUP(FH$23,Timeseries!$A:$A,Timeseries!$L:$L),"")</f>
        <v>25000</v>
      </c>
      <c r="FI58" s="8">
        <f>IFERROR(LOOKUP(FI$23,Timeseries!$A:$A,Timeseries!$L:$L),"")</f>
        <v>25000</v>
      </c>
      <c r="FJ58" s="8">
        <f>IFERROR(LOOKUP(FJ$23,Timeseries!$A:$A,Timeseries!$L:$L),"")</f>
        <v>25000</v>
      </c>
      <c r="FK58" s="8">
        <f>IFERROR(LOOKUP(FK$23,Timeseries!$A:$A,Timeseries!$L:$L),"")</f>
        <v>25000</v>
      </c>
      <c r="FL58" s="8">
        <f>IFERROR(LOOKUP(FL$23,Timeseries!$A:$A,Timeseries!$L:$L),"")</f>
        <v>25000</v>
      </c>
      <c r="FM58" s="8">
        <f>IFERROR(LOOKUP(FM$23,Timeseries!$A:$A,Timeseries!$L:$L),"")</f>
        <v>25000</v>
      </c>
      <c r="FN58" s="8">
        <f>IFERROR(LOOKUP(FN$23,Timeseries!$A:$A,Timeseries!$L:$L),"")</f>
        <v>25000</v>
      </c>
      <c r="FO58" s="8">
        <f>IFERROR(LOOKUP(FO$23,Timeseries!$A:$A,Timeseries!$L:$L),"")</f>
        <v>25000</v>
      </c>
      <c r="FP58" s="8">
        <f>IFERROR(LOOKUP(FP$23,Timeseries!$A:$A,Timeseries!$L:$L),"")</f>
        <v>25000</v>
      </c>
      <c r="FQ58" s="8">
        <f>IFERROR(LOOKUP(FQ$23,Timeseries!$A:$A,Timeseries!$L:$L),"")</f>
        <v>25000</v>
      </c>
      <c r="FR58" s="8">
        <f>IFERROR(LOOKUP(FR$23,Timeseries!$A:$A,Timeseries!$L:$L),"")</f>
        <v>25000</v>
      </c>
      <c r="FS58" s="8">
        <f>IFERROR(LOOKUP(FS$23,Timeseries!$A:$A,Timeseries!$L:$L),"")</f>
        <v>25000</v>
      </c>
    </row>
    <row r="59" spans="4:175" ht="15.75" customHeight="1">
      <c r="D59" s="38" t="s">
        <v>198</v>
      </c>
      <c r="E59" s="2" t="s">
        <v>199</v>
      </c>
      <c r="F59" s="8" t="s">
        <v>153</v>
      </c>
      <c r="G59" s="4" t="b">
        <v>0</v>
      </c>
      <c r="H59" s="26"/>
    </row>
    <row r="61" spans="4:175" ht="20.399999999999999" thickBot="1">
      <c r="D61" s="1" t="s">
        <v>1</v>
      </c>
      <c r="E61" s="7" t="s">
        <v>32</v>
      </c>
      <c r="F61" s="3" t="s">
        <v>150</v>
      </c>
      <c r="G61" s="7"/>
      <c r="H61" s="3" t="s">
        <v>7</v>
      </c>
      <c r="I61" s="3" t="s">
        <v>8</v>
      </c>
      <c r="J61" s="3" t="s">
        <v>9</v>
      </c>
      <c r="K61" s="3" t="s">
        <v>10</v>
      </c>
      <c r="L61" s="3" t="s">
        <v>11</v>
      </c>
      <c r="M61" s="3" t="s">
        <v>12</v>
      </c>
      <c r="N61" s="3" t="s">
        <v>13</v>
      </c>
      <c r="O61" s="3" t="s">
        <v>14</v>
      </c>
      <c r="P61" s="3" t="s">
        <v>15</v>
      </c>
      <c r="Q61" s="3" t="s">
        <v>16</v>
      </c>
      <c r="R61" s="3" t="s">
        <v>17</v>
      </c>
      <c r="S61" s="3" t="s">
        <v>18</v>
      </c>
      <c r="T61" s="3" t="s">
        <v>19</v>
      </c>
      <c r="U61" s="3" t="s">
        <v>20</v>
      </c>
      <c r="V61" s="3" t="s">
        <v>21</v>
      </c>
      <c r="W61" s="3" t="s">
        <v>22</v>
      </c>
      <c r="X61" s="3" t="s">
        <v>23</v>
      </c>
      <c r="Y61" s="3" t="s">
        <v>24</v>
      </c>
      <c r="Z61" s="3" t="s">
        <v>25</v>
      </c>
      <c r="AA61" s="3" t="s">
        <v>26</v>
      </c>
      <c r="AB61" s="3" t="s">
        <v>27</v>
      </c>
      <c r="AC61" s="3" t="s">
        <v>28</v>
      </c>
      <c r="AD61" s="3" t="s">
        <v>29</v>
      </c>
      <c r="AE61" s="3" t="s">
        <v>30</v>
      </c>
      <c r="AF61" s="3" t="s">
        <v>280</v>
      </c>
      <c r="AG61" s="3" t="s">
        <v>281</v>
      </c>
      <c r="AH61" s="3" t="s">
        <v>282</v>
      </c>
      <c r="AI61" s="3" t="s">
        <v>283</v>
      </c>
      <c r="AJ61" s="3" t="s">
        <v>284</v>
      </c>
      <c r="AK61" s="3" t="s">
        <v>285</v>
      </c>
      <c r="AL61" s="3" t="s">
        <v>286</v>
      </c>
      <c r="AM61" s="3" t="s">
        <v>287</v>
      </c>
      <c r="AN61" s="3" t="s">
        <v>288</v>
      </c>
      <c r="AO61" s="3" t="s">
        <v>289</v>
      </c>
      <c r="AP61" s="3" t="s">
        <v>290</v>
      </c>
      <c r="AQ61" s="3" t="s">
        <v>291</v>
      </c>
      <c r="AR61" s="3" t="s">
        <v>292</v>
      </c>
      <c r="AS61" s="3" t="s">
        <v>293</v>
      </c>
      <c r="AT61" s="3" t="s">
        <v>294</v>
      </c>
      <c r="AU61" s="3" t="s">
        <v>295</v>
      </c>
      <c r="AV61" s="3" t="s">
        <v>296</v>
      </c>
      <c r="AW61" s="3" t="s">
        <v>297</v>
      </c>
      <c r="AX61" s="3" t="s">
        <v>298</v>
      </c>
      <c r="AY61" s="3" t="s">
        <v>299</v>
      </c>
      <c r="AZ61" s="3" t="s">
        <v>300</v>
      </c>
      <c r="BA61" s="3" t="s">
        <v>301</v>
      </c>
      <c r="BB61" s="3" t="s">
        <v>302</v>
      </c>
      <c r="BC61" s="3" t="s">
        <v>303</v>
      </c>
      <c r="BD61" s="3" t="s">
        <v>304</v>
      </c>
      <c r="BE61" s="3" t="s">
        <v>305</v>
      </c>
      <c r="BF61" s="3" t="s">
        <v>306</v>
      </c>
      <c r="BG61" s="3" t="s">
        <v>307</v>
      </c>
      <c r="BH61" s="3" t="s">
        <v>308</v>
      </c>
      <c r="BI61" s="3" t="s">
        <v>309</v>
      </c>
      <c r="BJ61" s="3" t="s">
        <v>310</v>
      </c>
      <c r="BK61" s="3" t="s">
        <v>311</v>
      </c>
      <c r="BL61" s="3" t="s">
        <v>312</v>
      </c>
      <c r="BM61" s="3" t="s">
        <v>313</v>
      </c>
      <c r="BN61" s="3" t="s">
        <v>314</v>
      </c>
      <c r="BO61" s="3" t="s">
        <v>315</v>
      </c>
      <c r="BP61" s="3" t="s">
        <v>316</v>
      </c>
      <c r="BQ61" s="3" t="s">
        <v>317</v>
      </c>
      <c r="BR61" s="3" t="s">
        <v>318</v>
      </c>
      <c r="BS61" s="3" t="s">
        <v>319</v>
      </c>
      <c r="BT61" s="3" t="s">
        <v>320</v>
      </c>
      <c r="BU61" s="3" t="s">
        <v>321</v>
      </c>
      <c r="BV61" s="3" t="s">
        <v>322</v>
      </c>
      <c r="BW61" s="3" t="s">
        <v>323</v>
      </c>
      <c r="BX61" s="3" t="s">
        <v>324</v>
      </c>
      <c r="BY61" s="3" t="s">
        <v>325</v>
      </c>
      <c r="BZ61" s="3" t="s">
        <v>326</v>
      </c>
      <c r="CA61" s="3" t="s">
        <v>327</v>
      </c>
      <c r="CB61" s="3" t="s">
        <v>328</v>
      </c>
      <c r="CC61" s="3" t="s">
        <v>329</v>
      </c>
      <c r="CD61" s="3" t="s">
        <v>330</v>
      </c>
      <c r="CE61" s="3" t="s">
        <v>331</v>
      </c>
      <c r="CF61" s="3" t="s">
        <v>332</v>
      </c>
      <c r="CG61" s="3" t="s">
        <v>333</v>
      </c>
      <c r="CH61" s="3" t="s">
        <v>334</v>
      </c>
      <c r="CI61" s="3" t="s">
        <v>335</v>
      </c>
      <c r="CJ61" s="3" t="s">
        <v>336</v>
      </c>
      <c r="CK61" s="3" t="s">
        <v>337</v>
      </c>
      <c r="CL61" s="3" t="s">
        <v>338</v>
      </c>
      <c r="CM61" s="3" t="s">
        <v>339</v>
      </c>
      <c r="CN61" s="3" t="s">
        <v>340</v>
      </c>
      <c r="CO61" s="3" t="s">
        <v>341</v>
      </c>
      <c r="CP61" s="3" t="s">
        <v>342</v>
      </c>
      <c r="CQ61" s="3" t="s">
        <v>343</v>
      </c>
      <c r="CR61" s="3" t="s">
        <v>344</v>
      </c>
      <c r="CS61" s="3" t="s">
        <v>345</v>
      </c>
      <c r="CT61" s="3" t="s">
        <v>346</v>
      </c>
      <c r="CU61" s="3" t="s">
        <v>347</v>
      </c>
      <c r="CV61" s="3" t="s">
        <v>348</v>
      </c>
      <c r="CW61" s="3" t="s">
        <v>349</v>
      </c>
      <c r="CX61" s="3" t="s">
        <v>350</v>
      </c>
      <c r="CY61" s="3" t="s">
        <v>351</v>
      </c>
      <c r="CZ61" s="3" t="s">
        <v>352</v>
      </c>
      <c r="DA61" s="3" t="s">
        <v>353</v>
      </c>
      <c r="DB61" s="3" t="s">
        <v>354</v>
      </c>
      <c r="DC61" s="3" t="s">
        <v>355</v>
      </c>
      <c r="DD61" s="3" t="s">
        <v>356</v>
      </c>
      <c r="DE61" s="3" t="s">
        <v>357</v>
      </c>
      <c r="DF61" s="3" t="s">
        <v>358</v>
      </c>
      <c r="DG61" s="3" t="s">
        <v>359</v>
      </c>
      <c r="DH61" s="3" t="s">
        <v>360</v>
      </c>
      <c r="DI61" s="3" t="s">
        <v>361</v>
      </c>
      <c r="DJ61" s="3" t="s">
        <v>362</v>
      </c>
      <c r="DK61" s="3" t="s">
        <v>363</v>
      </c>
      <c r="DL61" s="3" t="s">
        <v>364</v>
      </c>
      <c r="DM61" s="3" t="s">
        <v>365</v>
      </c>
      <c r="DN61" s="3" t="s">
        <v>366</v>
      </c>
      <c r="DO61" s="3" t="s">
        <v>367</v>
      </c>
      <c r="DP61" s="3" t="s">
        <v>368</v>
      </c>
      <c r="DQ61" s="3" t="s">
        <v>369</v>
      </c>
      <c r="DR61" s="3" t="s">
        <v>370</v>
      </c>
      <c r="DS61" s="3" t="s">
        <v>371</v>
      </c>
      <c r="DT61" s="3" t="s">
        <v>372</v>
      </c>
      <c r="DU61" s="3" t="s">
        <v>373</v>
      </c>
      <c r="DV61" s="3" t="s">
        <v>374</v>
      </c>
      <c r="DW61" s="3" t="s">
        <v>375</v>
      </c>
      <c r="DX61" s="3" t="s">
        <v>376</v>
      </c>
      <c r="DY61" s="3" t="s">
        <v>377</v>
      </c>
      <c r="DZ61" s="3" t="s">
        <v>378</v>
      </c>
      <c r="EA61" s="3" t="s">
        <v>379</v>
      </c>
      <c r="EB61" s="3" t="s">
        <v>380</v>
      </c>
      <c r="EC61" s="3" t="s">
        <v>381</v>
      </c>
      <c r="ED61" s="3" t="s">
        <v>382</v>
      </c>
      <c r="EE61" s="3" t="s">
        <v>383</v>
      </c>
      <c r="EF61" s="3" t="s">
        <v>384</v>
      </c>
      <c r="EG61" s="3" t="s">
        <v>385</v>
      </c>
      <c r="EH61" s="3" t="s">
        <v>386</v>
      </c>
      <c r="EI61" s="3" t="s">
        <v>387</v>
      </c>
      <c r="EJ61" s="3" t="s">
        <v>388</v>
      </c>
      <c r="EK61" s="3" t="s">
        <v>389</v>
      </c>
      <c r="EL61" s="3" t="s">
        <v>390</v>
      </c>
      <c r="EM61" s="3" t="s">
        <v>391</v>
      </c>
      <c r="EN61" s="3" t="s">
        <v>392</v>
      </c>
      <c r="EO61" s="3" t="s">
        <v>393</v>
      </c>
      <c r="EP61" s="3" t="s">
        <v>394</v>
      </c>
      <c r="EQ61" s="3" t="s">
        <v>395</v>
      </c>
      <c r="ER61" s="3" t="s">
        <v>396</v>
      </c>
      <c r="ES61" s="3" t="s">
        <v>397</v>
      </c>
      <c r="ET61" s="3" t="s">
        <v>398</v>
      </c>
      <c r="EU61" s="3" t="s">
        <v>399</v>
      </c>
      <c r="EV61" s="3" t="s">
        <v>400</v>
      </c>
      <c r="EW61" s="3" t="s">
        <v>401</v>
      </c>
      <c r="EX61" s="3" t="s">
        <v>402</v>
      </c>
      <c r="EY61" s="3" t="s">
        <v>403</v>
      </c>
      <c r="EZ61" s="3" t="s">
        <v>404</v>
      </c>
      <c r="FA61" s="3" t="s">
        <v>405</v>
      </c>
      <c r="FB61" s="3" t="s">
        <v>406</v>
      </c>
      <c r="FC61" s="3" t="s">
        <v>407</v>
      </c>
      <c r="FD61" s="3" t="s">
        <v>408</v>
      </c>
      <c r="FE61" s="3" t="s">
        <v>409</v>
      </c>
      <c r="FF61" s="3" t="s">
        <v>410</v>
      </c>
      <c r="FG61" s="3" t="s">
        <v>411</v>
      </c>
      <c r="FH61" s="3" t="s">
        <v>412</v>
      </c>
      <c r="FI61" s="3" t="s">
        <v>413</v>
      </c>
      <c r="FJ61" s="3" t="s">
        <v>414</v>
      </c>
      <c r="FK61" s="3" t="s">
        <v>415</v>
      </c>
      <c r="FL61" s="3" t="s">
        <v>416</v>
      </c>
      <c r="FM61" s="3" t="s">
        <v>417</v>
      </c>
      <c r="FN61" s="3" t="s">
        <v>418</v>
      </c>
      <c r="FO61" s="3" t="s">
        <v>419</v>
      </c>
      <c r="FP61" s="3" t="s">
        <v>420</v>
      </c>
      <c r="FQ61" s="3" t="s">
        <v>421</v>
      </c>
      <c r="FR61" s="3" t="s">
        <v>422</v>
      </c>
      <c r="FS61" s="3" t="s">
        <v>423</v>
      </c>
    </row>
    <row r="62" spans="4:175" ht="15" thickTop="1">
      <c r="D62" s="17" t="s">
        <v>35</v>
      </c>
      <c r="E62" s="2" t="s">
        <v>5</v>
      </c>
      <c r="F62" s="8" t="s">
        <v>151</v>
      </c>
      <c r="G62" s="2"/>
      <c r="H62" s="55">
        <f>IFERROR(LOOKUP(H$23,Timeseries!$A:$A,Timeseries!$M:$M),"")</f>
        <v>9</v>
      </c>
      <c r="I62" s="55">
        <f>IFERROR(LOOKUP(I$23,Timeseries!$A:$A,Timeseries!$M:$M),"")</f>
        <v>9</v>
      </c>
      <c r="J62" s="55">
        <f>IFERROR(LOOKUP(J$23,Timeseries!$A:$A,Timeseries!$M:$M),"")</f>
        <v>9</v>
      </c>
      <c r="K62" s="55">
        <f>IFERROR(LOOKUP(K$23,Timeseries!$A:$A,Timeseries!$M:$M),"")</f>
        <v>9</v>
      </c>
      <c r="L62" s="55">
        <f>IFERROR(LOOKUP(L$23,Timeseries!$A:$A,Timeseries!$M:$M),"")</f>
        <v>9</v>
      </c>
      <c r="M62" s="55">
        <f>IFERROR(LOOKUP(M$23,Timeseries!$A:$A,Timeseries!$M:$M),"")</f>
        <v>9</v>
      </c>
      <c r="N62" s="55">
        <f>IFERROR(LOOKUP(N$23,Timeseries!$A:$A,Timeseries!$M:$M),"")</f>
        <v>9</v>
      </c>
      <c r="O62" s="55">
        <f>IFERROR(LOOKUP(O$23,Timeseries!$A:$A,Timeseries!$M:$M),"")</f>
        <v>9</v>
      </c>
      <c r="P62" s="55">
        <f>IFERROR(LOOKUP(P$23,Timeseries!$A:$A,Timeseries!$M:$M),"")</f>
        <v>9</v>
      </c>
      <c r="Q62" s="55">
        <f>IFERROR(LOOKUP(Q$23,Timeseries!$A:$A,Timeseries!$M:$M),"")</f>
        <v>9</v>
      </c>
      <c r="R62" s="55">
        <f>IFERROR(LOOKUP(R$23,Timeseries!$A:$A,Timeseries!$M:$M),"")</f>
        <v>9</v>
      </c>
      <c r="S62" s="55">
        <f>IFERROR(LOOKUP(S$23,Timeseries!$A:$A,Timeseries!$M:$M),"")</f>
        <v>9</v>
      </c>
      <c r="T62" s="55">
        <f>IFERROR(LOOKUP(T$23,Timeseries!$A:$A,Timeseries!$M:$M),"")</f>
        <v>9</v>
      </c>
      <c r="U62" s="55">
        <f>IFERROR(LOOKUP(U$23,Timeseries!$A:$A,Timeseries!$M:$M),"")</f>
        <v>9</v>
      </c>
      <c r="V62" s="55">
        <f>IFERROR(LOOKUP(V$23,Timeseries!$A:$A,Timeseries!$M:$M),"")</f>
        <v>9</v>
      </c>
      <c r="W62" s="55">
        <f>IFERROR(LOOKUP(W$23,Timeseries!$A:$A,Timeseries!$M:$M),"")</f>
        <v>9</v>
      </c>
      <c r="X62" s="55">
        <f>IFERROR(LOOKUP(X$23,Timeseries!$A:$A,Timeseries!$M:$M),"")</f>
        <v>9</v>
      </c>
      <c r="Y62" s="55">
        <f>IFERROR(LOOKUP(Y$23,Timeseries!$A:$A,Timeseries!$M:$M),"")</f>
        <v>9</v>
      </c>
      <c r="Z62" s="55">
        <f>IFERROR(LOOKUP(Z$23,Timeseries!$A:$A,Timeseries!$M:$M),"")</f>
        <v>9</v>
      </c>
      <c r="AA62" s="55">
        <f>IFERROR(LOOKUP(AA$23,Timeseries!$A:$A,Timeseries!$M:$M),"")</f>
        <v>9</v>
      </c>
      <c r="AB62" s="55">
        <f>IFERROR(LOOKUP(AB$23,Timeseries!$A:$A,Timeseries!$M:$M),"")</f>
        <v>9</v>
      </c>
      <c r="AC62" s="55">
        <f>IFERROR(LOOKUP(AC$23,Timeseries!$A:$A,Timeseries!$M:$M),"")</f>
        <v>9</v>
      </c>
      <c r="AD62" s="55">
        <f>IFERROR(LOOKUP(AD$23,Timeseries!$A:$A,Timeseries!$M:$M),"")</f>
        <v>9</v>
      </c>
      <c r="AE62" s="55">
        <f>IFERROR(LOOKUP(AE$23,Timeseries!$A:$A,Timeseries!$M:$M),"")</f>
        <v>9</v>
      </c>
      <c r="AF62" s="55">
        <f>IFERROR(LOOKUP(AF$23,Timeseries!$A:$A,Timeseries!$M:$M),"")</f>
        <v>9</v>
      </c>
      <c r="AG62" s="55">
        <f>IFERROR(LOOKUP(AG$23,Timeseries!$A:$A,Timeseries!$M:$M),"")</f>
        <v>9</v>
      </c>
      <c r="AH62" s="55">
        <f>IFERROR(LOOKUP(AH$23,Timeseries!$A:$A,Timeseries!$M:$M),"")</f>
        <v>9</v>
      </c>
      <c r="AI62" s="55">
        <f>IFERROR(LOOKUP(AI$23,Timeseries!$A:$A,Timeseries!$M:$M),"")</f>
        <v>9</v>
      </c>
      <c r="AJ62" s="55">
        <f>IFERROR(LOOKUP(AJ$23,Timeseries!$A:$A,Timeseries!$M:$M),"")</f>
        <v>9</v>
      </c>
      <c r="AK62" s="55">
        <f>IFERROR(LOOKUP(AK$23,Timeseries!$A:$A,Timeseries!$M:$M),"")</f>
        <v>9</v>
      </c>
      <c r="AL62" s="55">
        <f>IFERROR(LOOKUP(AL$23,Timeseries!$A:$A,Timeseries!$M:$M),"")</f>
        <v>9</v>
      </c>
      <c r="AM62" s="55">
        <f>IFERROR(LOOKUP(AM$23,Timeseries!$A:$A,Timeseries!$M:$M),"")</f>
        <v>9</v>
      </c>
      <c r="AN62" s="55">
        <f>IFERROR(LOOKUP(AN$23,Timeseries!$A:$A,Timeseries!$M:$M),"")</f>
        <v>9</v>
      </c>
      <c r="AO62" s="55">
        <f>IFERROR(LOOKUP(AO$23,Timeseries!$A:$A,Timeseries!$M:$M),"")</f>
        <v>9</v>
      </c>
      <c r="AP62" s="55">
        <f>IFERROR(LOOKUP(AP$23,Timeseries!$A:$A,Timeseries!$M:$M),"")</f>
        <v>9</v>
      </c>
      <c r="AQ62" s="55">
        <f>IFERROR(LOOKUP(AQ$23,Timeseries!$A:$A,Timeseries!$M:$M),"")</f>
        <v>9</v>
      </c>
      <c r="AR62" s="55">
        <f>IFERROR(LOOKUP(AR$23,Timeseries!$A:$A,Timeseries!$M:$M),"")</f>
        <v>9</v>
      </c>
      <c r="AS62" s="55">
        <f>IFERROR(LOOKUP(AS$23,Timeseries!$A:$A,Timeseries!$M:$M),"")</f>
        <v>9</v>
      </c>
      <c r="AT62" s="55">
        <f>IFERROR(LOOKUP(AT$23,Timeseries!$A:$A,Timeseries!$M:$M),"")</f>
        <v>9</v>
      </c>
      <c r="AU62" s="55">
        <f>IFERROR(LOOKUP(AU$23,Timeseries!$A:$A,Timeseries!$M:$M),"")</f>
        <v>9</v>
      </c>
      <c r="AV62" s="55">
        <f>IFERROR(LOOKUP(AV$23,Timeseries!$A:$A,Timeseries!$M:$M),"")</f>
        <v>9</v>
      </c>
      <c r="AW62" s="55">
        <f>IFERROR(LOOKUP(AW$23,Timeseries!$A:$A,Timeseries!$M:$M),"")</f>
        <v>9</v>
      </c>
      <c r="AX62" s="55">
        <f>IFERROR(LOOKUP(AX$23,Timeseries!$A:$A,Timeseries!$M:$M),"")</f>
        <v>9</v>
      </c>
      <c r="AY62" s="55">
        <f>IFERROR(LOOKUP(AY$23,Timeseries!$A:$A,Timeseries!$M:$M),"")</f>
        <v>9</v>
      </c>
      <c r="AZ62" s="55">
        <f>IFERROR(LOOKUP(AZ$23,Timeseries!$A:$A,Timeseries!$M:$M),"")</f>
        <v>9</v>
      </c>
      <c r="BA62" s="55">
        <f>IFERROR(LOOKUP(BA$23,Timeseries!$A:$A,Timeseries!$M:$M),"")</f>
        <v>9</v>
      </c>
      <c r="BB62" s="55">
        <f>IFERROR(LOOKUP(BB$23,Timeseries!$A:$A,Timeseries!$M:$M),"")</f>
        <v>9</v>
      </c>
      <c r="BC62" s="55">
        <f>IFERROR(LOOKUP(BC$23,Timeseries!$A:$A,Timeseries!$M:$M),"")</f>
        <v>9</v>
      </c>
      <c r="BD62" s="55">
        <f>IFERROR(LOOKUP(BD$23,Timeseries!$A:$A,Timeseries!$M:$M),"")</f>
        <v>9</v>
      </c>
      <c r="BE62" s="55">
        <f>IFERROR(LOOKUP(BE$23,Timeseries!$A:$A,Timeseries!$M:$M),"")</f>
        <v>9</v>
      </c>
      <c r="BF62" s="55">
        <f>IFERROR(LOOKUP(BF$23,Timeseries!$A:$A,Timeseries!$M:$M),"")</f>
        <v>9</v>
      </c>
      <c r="BG62" s="55">
        <f>IFERROR(LOOKUP(BG$23,Timeseries!$A:$A,Timeseries!$M:$M),"")</f>
        <v>9</v>
      </c>
      <c r="BH62" s="55">
        <f>IFERROR(LOOKUP(BH$23,Timeseries!$A:$A,Timeseries!$M:$M),"")</f>
        <v>9</v>
      </c>
      <c r="BI62" s="55">
        <f>IFERROR(LOOKUP(BI$23,Timeseries!$A:$A,Timeseries!$M:$M),"")</f>
        <v>9</v>
      </c>
      <c r="BJ62" s="55">
        <f>IFERROR(LOOKUP(BJ$23,Timeseries!$A:$A,Timeseries!$M:$M),"")</f>
        <v>9</v>
      </c>
      <c r="BK62" s="55">
        <f>IFERROR(LOOKUP(BK$23,Timeseries!$A:$A,Timeseries!$M:$M),"")</f>
        <v>9</v>
      </c>
      <c r="BL62" s="55">
        <f>IFERROR(LOOKUP(BL$23,Timeseries!$A:$A,Timeseries!$M:$M),"")</f>
        <v>9</v>
      </c>
      <c r="BM62" s="55">
        <f>IFERROR(LOOKUP(BM$23,Timeseries!$A:$A,Timeseries!$M:$M),"")</f>
        <v>9</v>
      </c>
      <c r="BN62" s="55">
        <f>IFERROR(LOOKUP(BN$23,Timeseries!$A:$A,Timeseries!$M:$M),"")</f>
        <v>9</v>
      </c>
      <c r="BO62" s="55">
        <f>IFERROR(LOOKUP(BO$23,Timeseries!$A:$A,Timeseries!$M:$M),"")</f>
        <v>9</v>
      </c>
      <c r="BP62" s="55">
        <f>IFERROR(LOOKUP(BP$23,Timeseries!$A:$A,Timeseries!$M:$M),"")</f>
        <v>9</v>
      </c>
      <c r="BQ62" s="55">
        <f>IFERROR(LOOKUP(BQ$23,Timeseries!$A:$A,Timeseries!$M:$M),"")</f>
        <v>9</v>
      </c>
      <c r="BR62" s="55">
        <f>IFERROR(LOOKUP(BR$23,Timeseries!$A:$A,Timeseries!$M:$M),"")</f>
        <v>9</v>
      </c>
      <c r="BS62" s="55">
        <f>IFERROR(LOOKUP(BS$23,Timeseries!$A:$A,Timeseries!$M:$M),"")</f>
        <v>9</v>
      </c>
      <c r="BT62" s="55">
        <f>IFERROR(LOOKUP(BT$23,Timeseries!$A:$A,Timeseries!$M:$M),"")</f>
        <v>9</v>
      </c>
      <c r="BU62" s="55">
        <f>IFERROR(LOOKUP(BU$23,Timeseries!$A:$A,Timeseries!$M:$M),"")</f>
        <v>9</v>
      </c>
      <c r="BV62" s="55">
        <f>IFERROR(LOOKUP(BV$23,Timeseries!$A:$A,Timeseries!$M:$M),"")</f>
        <v>9</v>
      </c>
      <c r="BW62" s="55">
        <f>IFERROR(LOOKUP(BW$23,Timeseries!$A:$A,Timeseries!$M:$M),"")</f>
        <v>9</v>
      </c>
      <c r="BX62" s="55">
        <f>IFERROR(LOOKUP(BX$23,Timeseries!$A:$A,Timeseries!$M:$M),"")</f>
        <v>9</v>
      </c>
      <c r="BY62" s="55">
        <f>IFERROR(LOOKUP(BY$23,Timeseries!$A:$A,Timeseries!$M:$M),"")</f>
        <v>9</v>
      </c>
      <c r="BZ62" s="55">
        <f>IFERROR(LOOKUP(BZ$23,Timeseries!$A:$A,Timeseries!$M:$M),"")</f>
        <v>9</v>
      </c>
      <c r="CA62" s="55">
        <f>IFERROR(LOOKUP(CA$23,Timeseries!$A:$A,Timeseries!$M:$M),"")</f>
        <v>9</v>
      </c>
      <c r="CB62" s="55">
        <f>IFERROR(LOOKUP(CB$23,Timeseries!$A:$A,Timeseries!$M:$M),"")</f>
        <v>9</v>
      </c>
      <c r="CC62" s="55">
        <f>IFERROR(LOOKUP(CC$23,Timeseries!$A:$A,Timeseries!$M:$M),"")</f>
        <v>9</v>
      </c>
      <c r="CD62" s="55">
        <f>IFERROR(LOOKUP(CD$23,Timeseries!$A:$A,Timeseries!$M:$M),"")</f>
        <v>9</v>
      </c>
      <c r="CE62" s="55">
        <f>IFERROR(LOOKUP(CE$23,Timeseries!$A:$A,Timeseries!$M:$M),"")</f>
        <v>9</v>
      </c>
      <c r="CF62" s="55">
        <f>IFERROR(LOOKUP(CF$23,Timeseries!$A:$A,Timeseries!$M:$M),"")</f>
        <v>9</v>
      </c>
      <c r="CG62" s="55">
        <f>IFERROR(LOOKUP(CG$23,Timeseries!$A:$A,Timeseries!$M:$M),"")</f>
        <v>9</v>
      </c>
      <c r="CH62" s="55">
        <f>IFERROR(LOOKUP(CH$23,Timeseries!$A:$A,Timeseries!$M:$M),"")</f>
        <v>9</v>
      </c>
      <c r="CI62" s="55">
        <f>IFERROR(LOOKUP(CI$23,Timeseries!$A:$A,Timeseries!$M:$M),"")</f>
        <v>9</v>
      </c>
      <c r="CJ62" s="55">
        <f>IFERROR(LOOKUP(CJ$23,Timeseries!$A:$A,Timeseries!$M:$M),"")</f>
        <v>9</v>
      </c>
      <c r="CK62" s="55">
        <f>IFERROR(LOOKUP(CK$23,Timeseries!$A:$A,Timeseries!$M:$M),"")</f>
        <v>9</v>
      </c>
      <c r="CL62" s="55">
        <f>IFERROR(LOOKUP(CL$23,Timeseries!$A:$A,Timeseries!$M:$M),"")</f>
        <v>9</v>
      </c>
      <c r="CM62" s="55">
        <f>IFERROR(LOOKUP(CM$23,Timeseries!$A:$A,Timeseries!$M:$M),"")</f>
        <v>9</v>
      </c>
      <c r="CN62" s="55">
        <f>IFERROR(LOOKUP(CN$23,Timeseries!$A:$A,Timeseries!$M:$M),"")</f>
        <v>9</v>
      </c>
      <c r="CO62" s="55">
        <f>IFERROR(LOOKUP(CO$23,Timeseries!$A:$A,Timeseries!$M:$M),"")</f>
        <v>9</v>
      </c>
      <c r="CP62" s="55">
        <f>IFERROR(LOOKUP(CP$23,Timeseries!$A:$A,Timeseries!$M:$M),"")</f>
        <v>9</v>
      </c>
      <c r="CQ62" s="55">
        <f>IFERROR(LOOKUP(CQ$23,Timeseries!$A:$A,Timeseries!$M:$M),"")</f>
        <v>9</v>
      </c>
      <c r="CR62" s="55">
        <f>IFERROR(LOOKUP(CR$23,Timeseries!$A:$A,Timeseries!$M:$M),"")</f>
        <v>9</v>
      </c>
      <c r="CS62" s="55">
        <f>IFERROR(LOOKUP(CS$23,Timeseries!$A:$A,Timeseries!$M:$M),"")</f>
        <v>9</v>
      </c>
      <c r="CT62" s="55">
        <f>IFERROR(LOOKUP(CT$23,Timeseries!$A:$A,Timeseries!$M:$M),"")</f>
        <v>9</v>
      </c>
      <c r="CU62" s="55">
        <f>IFERROR(LOOKUP(CU$23,Timeseries!$A:$A,Timeseries!$M:$M),"")</f>
        <v>9</v>
      </c>
      <c r="CV62" s="55">
        <f>IFERROR(LOOKUP(CV$23,Timeseries!$A:$A,Timeseries!$M:$M),"")</f>
        <v>9</v>
      </c>
      <c r="CW62" s="55">
        <f>IFERROR(LOOKUP(CW$23,Timeseries!$A:$A,Timeseries!$M:$M),"")</f>
        <v>9</v>
      </c>
      <c r="CX62" s="55">
        <f>IFERROR(LOOKUP(CX$23,Timeseries!$A:$A,Timeseries!$M:$M),"")</f>
        <v>9</v>
      </c>
      <c r="CY62" s="55">
        <f>IFERROR(LOOKUP(CY$23,Timeseries!$A:$A,Timeseries!$M:$M),"")</f>
        <v>9</v>
      </c>
      <c r="CZ62" s="55">
        <f>IFERROR(LOOKUP(CZ$23,Timeseries!$A:$A,Timeseries!$M:$M),"")</f>
        <v>9</v>
      </c>
      <c r="DA62" s="55">
        <f>IFERROR(LOOKUP(DA$23,Timeseries!$A:$A,Timeseries!$M:$M),"")</f>
        <v>9</v>
      </c>
      <c r="DB62" s="55">
        <f>IFERROR(LOOKUP(DB$23,Timeseries!$A:$A,Timeseries!$M:$M),"")</f>
        <v>9</v>
      </c>
      <c r="DC62" s="55">
        <f>IFERROR(LOOKUP(DC$23,Timeseries!$A:$A,Timeseries!$M:$M),"")</f>
        <v>9</v>
      </c>
      <c r="DD62" s="55">
        <f>IFERROR(LOOKUP(DD$23,Timeseries!$A:$A,Timeseries!$M:$M),"")</f>
        <v>9</v>
      </c>
      <c r="DE62" s="55">
        <f>IFERROR(LOOKUP(DE$23,Timeseries!$A:$A,Timeseries!$M:$M),"")</f>
        <v>9</v>
      </c>
      <c r="DF62" s="55">
        <f>IFERROR(LOOKUP(DF$23,Timeseries!$A:$A,Timeseries!$M:$M),"")</f>
        <v>9</v>
      </c>
      <c r="DG62" s="55">
        <f>IFERROR(LOOKUP(DG$23,Timeseries!$A:$A,Timeseries!$M:$M),"")</f>
        <v>9</v>
      </c>
      <c r="DH62" s="55">
        <f>IFERROR(LOOKUP(DH$23,Timeseries!$A:$A,Timeseries!$M:$M),"")</f>
        <v>9</v>
      </c>
      <c r="DI62" s="55">
        <f>IFERROR(LOOKUP(DI$23,Timeseries!$A:$A,Timeseries!$M:$M),"")</f>
        <v>9</v>
      </c>
      <c r="DJ62" s="55">
        <f>IFERROR(LOOKUP(DJ$23,Timeseries!$A:$A,Timeseries!$M:$M),"")</f>
        <v>9</v>
      </c>
      <c r="DK62" s="55">
        <f>IFERROR(LOOKUP(DK$23,Timeseries!$A:$A,Timeseries!$M:$M),"")</f>
        <v>9</v>
      </c>
      <c r="DL62" s="55">
        <f>IFERROR(LOOKUP(DL$23,Timeseries!$A:$A,Timeseries!$M:$M),"")</f>
        <v>9</v>
      </c>
      <c r="DM62" s="55">
        <f>IFERROR(LOOKUP(DM$23,Timeseries!$A:$A,Timeseries!$M:$M),"")</f>
        <v>9</v>
      </c>
      <c r="DN62" s="55">
        <f>IFERROR(LOOKUP(DN$23,Timeseries!$A:$A,Timeseries!$M:$M),"")</f>
        <v>9</v>
      </c>
      <c r="DO62" s="55">
        <f>IFERROR(LOOKUP(DO$23,Timeseries!$A:$A,Timeseries!$M:$M),"")</f>
        <v>9</v>
      </c>
      <c r="DP62" s="55">
        <f>IFERROR(LOOKUP(DP$23,Timeseries!$A:$A,Timeseries!$M:$M),"")</f>
        <v>9</v>
      </c>
      <c r="DQ62" s="55">
        <f>IFERROR(LOOKUP(DQ$23,Timeseries!$A:$A,Timeseries!$M:$M),"")</f>
        <v>9</v>
      </c>
      <c r="DR62" s="55">
        <f>IFERROR(LOOKUP(DR$23,Timeseries!$A:$A,Timeseries!$M:$M),"")</f>
        <v>9</v>
      </c>
      <c r="DS62" s="55">
        <f>IFERROR(LOOKUP(DS$23,Timeseries!$A:$A,Timeseries!$M:$M),"")</f>
        <v>9</v>
      </c>
      <c r="DT62" s="55">
        <f>IFERROR(LOOKUP(DT$23,Timeseries!$A:$A,Timeseries!$M:$M),"")</f>
        <v>9</v>
      </c>
      <c r="DU62" s="55">
        <f>IFERROR(LOOKUP(DU$23,Timeseries!$A:$A,Timeseries!$M:$M),"")</f>
        <v>9</v>
      </c>
      <c r="DV62" s="55">
        <f>IFERROR(LOOKUP(DV$23,Timeseries!$A:$A,Timeseries!$M:$M),"")</f>
        <v>9</v>
      </c>
      <c r="DW62" s="55">
        <f>IFERROR(LOOKUP(DW$23,Timeseries!$A:$A,Timeseries!$M:$M),"")</f>
        <v>9</v>
      </c>
      <c r="DX62" s="55">
        <f>IFERROR(LOOKUP(DX$23,Timeseries!$A:$A,Timeseries!$M:$M),"")</f>
        <v>9</v>
      </c>
      <c r="DY62" s="55">
        <f>IFERROR(LOOKUP(DY$23,Timeseries!$A:$A,Timeseries!$M:$M),"")</f>
        <v>9</v>
      </c>
      <c r="DZ62" s="55">
        <f>IFERROR(LOOKUP(DZ$23,Timeseries!$A:$A,Timeseries!$M:$M),"")</f>
        <v>9</v>
      </c>
      <c r="EA62" s="55">
        <f>IFERROR(LOOKUP(EA$23,Timeseries!$A:$A,Timeseries!$M:$M),"")</f>
        <v>9</v>
      </c>
      <c r="EB62" s="55">
        <f>IFERROR(LOOKUP(EB$23,Timeseries!$A:$A,Timeseries!$M:$M),"")</f>
        <v>9</v>
      </c>
      <c r="EC62" s="55">
        <f>IFERROR(LOOKUP(EC$23,Timeseries!$A:$A,Timeseries!$M:$M),"")</f>
        <v>9</v>
      </c>
      <c r="ED62" s="55">
        <f>IFERROR(LOOKUP(ED$23,Timeseries!$A:$A,Timeseries!$M:$M),"")</f>
        <v>9</v>
      </c>
      <c r="EE62" s="55">
        <f>IFERROR(LOOKUP(EE$23,Timeseries!$A:$A,Timeseries!$M:$M),"")</f>
        <v>9</v>
      </c>
      <c r="EF62" s="55">
        <f>IFERROR(LOOKUP(EF$23,Timeseries!$A:$A,Timeseries!$M:$M),"")</f>
        <v>9</v>
      </c>
      <c r="EG62" s="55">
        <f>IFERROR(LOOKUP(EG$23,Timeseries!$A:$A,Timeseries!$M:$M),"")</f>
        <v>9</v>
      </c>
      <c r="EH62" s="55">
        <f>IFERROR(LOOKUP(EH$23,Timeseries!$A:$A,Timeseries!$M:$M),"")</f>
        <v>9</v>
      </c>
      <c r="EI62" s="55">
        <f>IFERROR(LOOKUP(EI$23,Timeseries!$A:$A,Timeseries!$M:$M),"")</f>
        <v>9</v>
      </c>
      <c r="EJ62" s="55">
        <f>IFERROR(LOOKUP(EJ$23,Timeseries!$A:$A,Timeseries!$M:$M),"")</f>
        <v>9</v>
      </c>
      <c r="EK62" s="55">
        <f>IFERROR(LOOKUP(EK$23,Timeseries!$A:$A,Timeseries!$M:$M),"")</f>
        <v>9</v>
      </c>
      <c r="EL62" s="55">
        <f>IFERROR(LOOKUP(EL$23,Timeseries!$A:$A,Timeseries!$M:$M),"")</f>
        <v>9</v>
      </c>
      <c r="EM62" s="55">
        <f>IFERROR(LOOKUP(EM$23,Timeseries!$A:$A,Timeseries!$M:$M),"")</f>
        <v>9</v>
      </c>
      <c r="EN62" s="55">
        <f>IFERROR(LOOKUP(EN$23,Timeseries!$A:$A,Timeseries!$M:$M),"")</f>
        <v>9</v>
      </c>
      <c r="EO62" s="55">
        <f>IFERROR(LOOKUP(EO$23,Timeseries!$A:$A,Timeseries!$M:$M),"")</f>
        <v>9</v>
      </c>
      <c r="EP62" s="55">
        <f>IFERROR(LOOKUP(EP$23,Timeseries!$A:$A,Timeseries!$M:$M),"")</f>
        <v>9</v>
      </c>
      <c r="EQ62" s="55">
        <f>IFERROR(LOOKUP(EQ$23,Timeseries!$A:$A,Timeseries!$M:$M),"")</f>
        <v>9</v>
      </c>
      <c r="ER62" s="55">
        <f>IFERROR(LOOKUP(ER$23,Timeseries!$A:$A,Timeseries!$M:$M),"")</f>
        <v>9</v>
      </c>
      <c r="ES62" s="55">
        <f>IFERROR(LOOKUP(ES$23,Timeseries!$A:$A,Timeseries!$M:$M),"")</f>
        <v>9</v>
      </c>
      <c r="ET62" s="55">
        <f>IFERROR(LOOKUP(ET$23,Timeseries!$A:$A,Timeseries!$M:$M),"")</f>
        <v>9</v>
      </c>
      <c r="EU62" s="55">
        <f>IFERROR(LOOKUP(EU$23,Timeseries!$A:$A,Timeseries!$M:$M),"")</f>
        <v>9</v>
      </c>
      <c r="EV62" s="55">
        <f>IFERROR(LOOKUP(EV$23,Timeseries!$A:$A,Timeseries!$M:$M),"")</f>
        <v>9</v>
      </c>
      <c r="EW62" s="55">
        <f>IFERROR(LOOKUP(EW$23,Timeseries!$A:$A,Timeseries!$M:$M),"")</f>
        <v>9</v>
      </c>
      <c r="EX62" s="55">
        <f>IFERROR(LOOKUP(EX$23,Timeseries!$A:$A,Timeseries!$M:$M),"")</f>
        <v>9</v>
      </c>
      <c r="EY62" s="55">
        <f>IFERROR(LOOKUP(EY$23,Timeseries!$A:$A,Timeseries!$M:$M),"")</f>
        <v>9</v>
      </c>
      <c r="EZ62" s="55">
        <f>IFERROR(LOOKUP(EZ$23,Timeseries!$A:$A,Timeseries!$M:$M),"")</f>
        <v>9</v>
      </c>
      <c r="FA62" s="55">
        <f>IFERROR(LOOKUP(FA$23,Timeseries!$A:$A,Timeseries!$M:$M),"")</f>
        <v>9</v>
      </c>
      <c r="FB62" s="55">
        <f>IFERROR(LOOKUP(FB$23,Timeseries!$A:$A,Timeseries!$M:$M),"")</f>
        <v>9</v>
      </c>
      <c r="FC62" s="55">
        <f>IFERROR(LOOKUP(FC$23,Timeseries!$A:$A,Timeseries!$M:$M),"")</f>
        <v>9</v>
      </c>
      <c r="FD62" s="55">
        <f>IFERROR(LOOKUP(FD$23,Timeseries!$A:$A,Timeseries!$M:$M),"")</f>
        <v>9</v>
      </c>
      <c r="FE62" s="55">
        <f>IFERROR(LOOKUP(FE$23,Timeseries!$A:$A,Timeseries!$M:$M),"")</f>
        <v>9</v>
      </c>
      <c r="FF62" s="55">
        <f>IFERROR(LOOKUP(FF$23,Timeseries!$A:$A,Timeseries!$M:$M),"")</f>
        <v>9</v>
      </c>
      <c r="FG62" s="55">
        <f>IFERROR(LOOKUP(FG$23,Timeseries!$A:$A,Timeseries!$M:$M),"")</f>
        <v>9</v>
      </c>
      <c r="FH62" s="55">
        <f>IFERROR(LOOKUP(FH$23,Timeseries!$A:$A,Timeseries!$M:$M),"")</f>
        <v>9</v>
      </c>
      <c r="FI62" s="55">
        <f>IFERROR(LOOKUP(FI$23,Timeseries!$A:$A,Timeseries!$M:$M),"")</f>
        <v>9</v>
      </c>
      <c r="FJ62" s="55">
        <f>IFERROR(LOOKUP(FJ$23,Timeseries!$A:$A,Timeseries!$M:$M),"")</f>
        <v>9</v>
      </c>
      <c r="FK62" s="55">
        <f>IFERROR(LOOKUP(FK$23,Timeseries!$A:$A,Timeseries!$M:$M),"")</f>
        <v>9</v>
      </c>
      <c r="FL62" s="55">
        <f>IFERROR(LOOKUP(FL$23,Timeseries!$A:$A,Timeseries!$M:$M),"")</f>
        <v>9</v>
      </c>
      <c r="FM62" s="55">
        <f>IFERROR(LOOKUP(FM$23,Timeseries!$A:$A,Timeseries!$M:$M),"")</f>
        <v>9</v>
      </c>
      <c r="FN62" s="55">
        <f>IFERROR(LOOKUP(FN$23,Timeseries!$A:$A,Timeseries!$M:$M),"")</f>
        <v>9</v>
      </c>
      <c r="FO62" s="55">
        <f>IFERROR(LOOKUP(FO$23,Timeseries!$A:$A,Timeseries!$M:$M),"")</f>
        <v>9</v>
      </c>
      <c r="FP62" s="55">
        <f>IFERROR(LOOKUP(FP$23,Timeseries!$A:$A,Timeseries!$M:$M),"")</f>
        <v>9</v>
      </c>
      <c r="FQ62" s="55">
        <f>IFERROR(LOOKUP(FQ$23,Timeseries!$A:$A,Timeseries!$M:$M),"")</f>
        <v>9</v>
      </c>
      <c r="FR62" s="55">
        <f>IFERROR(LOOKUP(FR$23,Timeseries!$A:$A,Timeseries!$M:$M),"")</f>
        <v>9</v>
      </c>
      <c r="FS62" s="55">
        <f>IFERROR(LOOKUP(FS$23,Timeseries!$A:$A,Timeseries!$M:$M),"")</f>
        <v>9</v>
      </c>
    </row>
    <row r="63" spans="4:175">
      <c r="D63" s="17" t="s">
        <v>36</v>
      </c>
      <c r="E63" s="2" t="s">
        <v>6</v>
      </c>
      <c r="F63" s="8" t="s">
        <v>151</v>
      </c>
      <c r="G63" s="2"/>
      <c r="H63" s="55">
        <f>IFERROR(LOOKUP(H$23,Timeseries!$A:$A,Timeseries!$N:$N),"")</f>
        <v>16.100000000000001</v>
      </c>
      <c r="I63" s="55">
        <f>IFERROR(LOOKUP(I$23,Timeseries!$A:$A,Timeseries!$N:$N),"")</f>
        <v>16.100000000000001</v>
      </c>
      <c r="J63" s="55">
        <f>IFERROR(LOOKUP(J$23,Timeseries!$A:$A,Timeseries!$N:$N),"")</f>
        <v>16.100000000000001</v>
      </c>
      <c r="K63" s="55">
        <f>IFERROR(LOOKUP(K$23,Timeseries!$A:$A,Timeseries!$N:$N),"")</f>
        <v>16.100000000000001</v>
      </c>
      <c r="L63" s="55">
        <f>IFERROR(LOOKUP(L$23,Timeseries!$A:$A,Timeseries!$N:$N),"")</f>
        <v>16.100000000000001</v>
      </c>
      <c r="M63" s="55">
        <f>IFERROR(LOOKUP(M$23,Timeseries!$A:$A,Timeseries!$N:$N),"")</f>
        <v>16.100000000000001</v>
      </c>
      <c r="N63" s="55">
        <f>IFERROR(LOOKUP(N$23,Timeseries!$A:$A,Timeseries!$N:$N),"")</f>
        <v>16.100000000000001</v>
      </c>
      <c r="O63" s="55">
        <f>IFERROR(LOOKUP(O$23,Timeseries!$A:$A,Timeseries!$N:$N),"")</f>
        <v>16.100000000000001</v>
      </c>
      <c r="P63" s="55">
        <f>IFERROR(LOOKUP(P$23,Timeseries!$A:$A,Timeseries!$N:$N),"")</f>
        <v>16.100000000000001</v>
      </c>
      <c r="Q63" s="55">
        <f>IFERROR(LOOKUP(Q$23,Timeseries!$A:$A,Timeseries!$N:$N),"")</f>
        <v>16.100000000000001</v>
      </c>
      <c r="R63" s="55">
        <f>IFERROR(LOOKUP(R$23,Timeseries!$A:$A,Timeseries!$N:$N),"")</f>
        <v>16.100000000000001</v>
      </c>
      <c r="S63" s="55">
        <f>IFERROR(LOOKUP(S$23,Timeseries!$A:$A,Timeseries!$N:$N),"")</f>
        <v>16.100000000000001</v>
      </c>
      <c r="T63" s="55">
        <f>IFERROR(LOOKUP(T$23,Timeseries!$A:$A,Timeseries!$N:$N),"")</f>
        <v>16.100000000000001</v>
      </c>
      <c r="U63" s="55">
        <f>IFERROR(LOOKUP(U$23,Timeseries!$A:$A,Timeseries!$N:$N),"")</f>
        <v>16.100000000000001</v>
      </c>
      <c r="V63" s="55">
        <f>IFERROR(LOOKUP(V$23,Timeseries!$A:$A,Timeseries!$N:$N),"")</f>
        <v>16.100000000000001</v>
      </c>
      <c r="W63" s="55">
        <f>IFERROR(LOOKUP(W$23,Timeseries!$A:$A,Timeseries!$N:$N),"")</f>
        <v>16.100000000000001</v>
      </c>
      <c r="X63" s="55">
        <f>IFERROR(LOOKUP(X$23,Timeseries!$A:$A,Timeseries!$N:$N),"")</f>
        <v>16.100000000000001</v>
      </c>
      <c r="Y63" s="55">
        <f>IFERROR(LOOKUP(Y$23,Timeseries!$A:$A,Timeseries!$N:$N),"")</f>
        <v>16.100000000000001</v>
      </c>
      <c r="Z63" s="55">
        <f>IFERROR(LOOKUP(Z$23,Timeseries!$A:$A,Timeseries!$N:$N),"")</f>
        <v>16.100000000000001</v>
      </c>
      <c r="AA63" s="55">
        <f>IFERROR(LOOKUP(AA$23,Timeseries!$A:$A,Timeseries!$N:$N),"")</f>
        <v>16.100000000000001</v>
      </c>
      <c r="AB63" s="55">
        <f>IFERROR(LOOKUP(AB$23,Timeseries!$A:$A,Timeseries!$N:$N),"")</f>
        <v>16.100000000000001</v>
      </c>
      <c r="AC63" s="55">
        <f>IFERROR(LOOKUP(AC$23,Timeseries!$A:$A,Timeseries!$N:$N),"")</f>
        <v>16.100000000000001</v>
      </c>
      <c r="AD63" s="55">
        <f>IFERROR(LOOKUP(AD$23,Timeseries!$A:$A,Timeseries!$N:$N),"")</f>
        <v>16.100000000000001</v>
      </c>
      <c r="AE63" s="55">
        <f>IFERROR(LOOKUP(AE$23,Timeseries!$A:$A,Timeseries!$N:$N),"")</f>
        <v>16.100000000000001</v>
      </c>
      <c r="AF63" s="55">
        <f>IFERROR(LOOKUP(AF$23,Timeseries!$A:$A,Timeseries!$N:$N),"")</f>
        <v>16.100000000000001</v>
      </c>
      <c r="AG63" s="55">
        <f>IFERROR(LOOKUP(AG$23,Timeseries!$A:$A,Timeseries!$N:$N),"")</f>
        <v>16.100000000000001</v>
      </c>
      <c r="AH63" s="55">
        <f>IFERROR(LOOKUP(AH$23,Timeseries!$A:$A,Timeseries!$N:$N),"")</f>
        <v>16.100000000000001</v>
      </c>
      <c r="AI63" s="55">
        <f>IFERROR(LOOKUP(AI$23,Timeseries!$A:$A,Timeseries!$N:$N),"")</f>
        <v>16.100000000000001</v>
      </c>
      <c r="AJ63" s="55">
        <f>IFERROR(LOOKUP(AJ$23,Timeseries!$A:$A,Timeseries!$N:$N),"")</f>
        <v>16.100000000000001</v>
      </c>
      <c r="AK63" s="55">
        <f>IFERROR(LOOKUP(AK$23,Timeseries!$A:$A,Timeseries!$N:$N),"")</f>
        <v>16.100000000000001</v>
      </c>
      <c r="AL63" s="55">
        <f>IFERROR(LOOKUP(AL$23,Timeseries!$A:$A,Timeseries!$N:$N),"")</f>
        <v>16.100000000000001</v>
      </c>
      <c r="AM63" s="55">
        <f>IFERROR(LOOKUP(AM$23,Timeseries!$A:$A,Timeseries!$N:$N),"")</f>
        <v>16.100000000000001</v>
      </c>
      <c r="AN63" s="55">
        <f>IFERROR(LOOKUP(AN$23,Timeseries!$A:$A,Timeseries!$N:$N),"")</f>
        <v>16.100000000000001</v>
      </c>
      <c r="AO63" s="55">
        <f>IFERROR(LOOKUP(AO$23,Timeseries!$A:$A,Timeseries!$N:$N),"")</f>
        <v>16.100000000000001</v>
      </c>
      <c r="AP63" s="55">
        <f>IFERROR(LOOKUP(AP$23,Timeseries!$A:$A,Timeseries!$N:$N),"")</f>
        <v>16.100000000000001</v>
      </c>
      <c r="AQ63" s="55">
        <f>IFERROR(LOOKUP(AQ$23,Timeseries!$A:$A,Timeseries!$N:$N),"")</f>
        <v>16.100000000000001</v>
      </c>
      <c r="AR63" s="55">
        <f>IFERROR(LOOKUP(AR$23,Timeseries!$A:$A,Timeseries!$N:$N),"")</f>
        <v>16.100000000000001</v>
      </c>
      <c r="AS63" s="55">
        <f>IFERROR(LOOKUP(AS$23,Timeseries!$A:$A,Timeseries!$N:$N),"")</f>
        <v>16.100000000000001</v>
      </c>
      <c r="AT63" s="55">
        <f>IFERROR(LOOKUP(AT$23,Timeseries!$A:$A,Timeseries!$N:$N),"")</f>
        <v>16.100000000000001</v>
      </c>
      <c r="AU63" s="55">
        <f>IFERROR(LOOKUP(AU$23,Timeseries!$A:$A,Timeseries!$N:$N),"")</f>
        <v>16.100000000000001</v>
      </c>
      <c r="AV63" s="55">
        <f>IFERROR(LOOKUP(AV$23,Timeseries!$A:$A,Timeseries!$N:$N),"")</f>
        <v>16.100000000000001</v>
      </c>
      <c r="AW63" s="55">
        <f>IFERROR(LOOKUP(AW$23,Timeseries!$A:$A,Timeseries!$N:$N),"")</f>
        <v>16.100000000000001</v>
      </c>
      <c r="AX63" s="55">
        <f>IFERROR(LOOKUP(AX$23,Timeseries!$A:$A,Timeseries!$N:$N),"")</f>
        <v>16.100000000000001</v>
      </c>
      <c r="AY63" s="55">
        <f>IFERROR(LOOKUP(AY$23,Timeseries!$A:$A,Timeseries!$N:$N),"")</f>
        <v>16.100000000000001</v>
      </c>
      <c r="AZ63" s="55">
        <f>IFERROR(LOOKUP(AZ$23,Timeseries!$A:$A,Timeseries!$N:$N),"")</f>
        <v>16.100000000000001</v>
      </c>
      <c r="BA63" s="55">
        <f>IFERROR(LOOKUP(BA$23,Timeseries!$A:$A,Timeseries!$N:$N),"")</f>
        <v>16.100000000000001</v>
      </c>
      <c r="BB63" s="55">
        <f>IFERROR(LOOKUP(BB$23,Timeseries!$A:$A,Timeseries!$N:$N),"")</f>
        <v>16.100000000000001</v>
      </c>
      <c r="BC63" s="55">
        <f>IFERROR(LOOKUP(BC$23,Timeseries!$A:$A,Timeseries!$N:$N),"")</f>
        <v>16.100000000000001</v>
      </c>
      <c r="BD63" s="55">
        <f>IFERROR(LOOKUP(BD$23,Timeseries!$A:$A,Timeseries!$N:$N),"")</f>
        <v>16.100000000000001</v>
      </c>
      <c r="BE63" s="55">
        <f>IFERROR(LOOKUP(BE$23,Timeseries!$A:$A,Timeseries!$N:$N),"")</f>
        <v>16.100000000000001</v>
      </c>
      <c r="BF63" s="55">
        <f>IFERROR(LOOKUP(BF$23,Timeseries!$A:$A,Timeseries!$N:$N),"")</f>
        <v>16.100000000000001</v>
      </c>
      <c r="BG63" s="55">
        <f>IFERROR(LOOKUP(BG$23,Timeseries!$A:$A,Timeseries!$N:$N),"")</f>
        <v>16.100000000000001</v>
      </c>
      <c r="BH63" s="55">
        <f>IFERROR(LOOKUP(BH$23,Timeseries!$A:$A,Timeseries!$N:$N),"")</f>
        <v>16.100000000000001</v>
      </c>
      <c r="BI63" s="55">
        <f>IFERROR(LOOKUP(BI$23,Timeseries!$A:$A,Timeseries!$N:$N),"")</f>
        <v>16.100000000000001</v>
      </c>
      <c r="BJ63" s="55">
        <f>IFERROR(LOOKUP(BJ$23,Timeseries!$A:$A,Timeseries!$N:$N),"")</f>
        <v>16.100000000000001</v>
      </c>
      <c r="BK63" s="55">
        <f>IFERROR(LOOKUP(BK$23,Timeseries!$A:$A,Timeseries!$N:$N),"")</f>
        <v>16.100000000000001</v>
      </c>
      <c r="BL63" s="55">
        <f>IFERROR(LOOKUP(BL$23,Timeseries!$A:$A,Timeseries!$N:$N),"")</f>
        <v>16.100000000000001</v>
      </c>
      <c r="BM63" s="55">
        <f>IFERROR(LOOKUP(BM$23,Timeseries!$A:$A,Timeseries!$N:$N),"")</f>
        <v>16.100000000000001</v>
      </c>
      <c r="BN63" s="55">
        <f>IFERROR(LOOKUP(BN$23,Timeseries!$A:$A,Timeseries!$N:$N),"")</f>
        <v>16.100000000000001</v>
      </c>
      <c r="BO63" s="55">
        <f>IFERROR(LOOKUP(BO$23,Timeseries!$A:$A,Timeseries!$N:$N),"")</f>
        <v>16.100000000000001</v>
      </c>
      <c r="BP63" s="55">
        <f>IFERROR(LOOKUP(BP$23,Timeseries!$A:$A,Timeseries!$N:$N),"")</f>
        <v>16.100000000000001</v>
      </c>
      <c r="BQ63" s="55">
        <f>IFERROR(LOOKUP(BQ$23,Timeseries!$A:$A,Timeseries!$N:$N),"")</f>
        <v>16.100000000000001</v>
      </c>
      <c r="BR63" s="55">
        <f>IFERROR(LOOKUP(BR$23,Timeseries!$A:$A,Timeseries!$N:$N),"")</f>
        <v>16.100000000000001</v>
      </c>
      <c r="BS63" s="55">
        <f>IFERROR(LOOKUP(BS$23,Timeseries!$A:$A,Timeseries!$N:$N),"")</f>
        <v>16.100000000000001</v>
      </c>
      <c r="BT63" s="55">
        <f>IFERROR(LOOKUP(BT$23,Timeseries!$A:$A,Timeseries!$N:$N),"")</f>
        <v>16.100000000000001</v>
      </c>
      <c r="BU63" s="55">
        <f>IFERROR(LOOKUP(BU$23,Timeseries!$A:$A,Timeseries!$N:$N),"")</f>
        <v>16.100000000000001</v>
      </c>
      <c r="BV63" s="55">
        <f>IFERROR(LOOKUP(BV$23,Timeseries!$A:$A,Timeseries!$N:$N),"")</f>
        <v>16.100000000000001</v>
      </c>
      <c r="BW63" s="55">
        <f>IFERROR(LOOKUP(BW$23,Timeseries!$A:$A,Timeseries!$N:$N),"")</f>
        <v>16.100000000000001</v>
      </c>
      <c r="BX63" s="55">
        <f>IFERROR(LOOKUP(BX$23,Timeseries!$A:$A,Timeseries!$N:$N),"")</f>
        <v>16.100000000000001</v>
      </c>
      <c r="BY63" s="55">
        <f>IFERROR(LOOKUP(BY$23,Timeseries!$A:$A,Timeseries!$N:$N),"")</f>
        <v>16.100000000000001</v>
      </c>
      <c r="BZ63" s="55">
        <f>IFERROR(LOOKUP(BZ$23,Timeseries!$A:$A,Timeseries!$N:$N),"")</f>
        <v>16.100000000000001</v>
      </c>
      <c r="CA63" s="55">
        <f>IFERROR(LOOKUP(CA$23,Timeseries!$A:$A,Timeseries!$N:$N),"")</f>
        <v>16.100000000000001</v>
      </c>
      <c r="CB63" s="55">
        <f>IFERROR(LOOKUP(CB$23,Timeseries!$A:$A,Timeseries!$N:$N),"")</f>
        <v>16.100000000000001</v>
      </c>
      <c r="CC63" s="55">
        <f>IFERROR(LOOKUP(CC$23,Timeseries!$A:$A,Timeseries!$N:$N),"")</f>
        <v>16.100000000000001</v>
      </c>
      <c r="CD63" s="55">
        <f>IFERROR(LOOKUP(CD$23,Timeseries!$A:$A,Timeseries!$N:$N),"")</f>
        <v>16.100000000000001</v>
      </c>
      <c r="CE63" s="55">
        <f>IFERROR(LOOKUP(CE$23,Timeseries!$A:$A,Timeseries!$N:$N),"")</f>
        <v>16.100000000000001</v>
      </c>
      <c r="CF63" s="55">
        <f>IFERROR(LOOKUP(CF$23,Timeseries!$A:$A,Timeseries!$N:$N),"")</f>
        <v>16.100000000000001</v>
      </c>
      <c r="CG63" s="55">
        <f>IFERROR(LOOKUP(CG$23,Timeseries!$A:$A,Timeseries!$N:$N),"")</f>
        <v>16.100000000000001</v>
      </c>
      <c r="CH63" s="55">
        <f>IFERROR(LOOKUP(CH$23,Timeseries!$A:$A,Timeseries!$N:$N),"")</f>
        <v>16.100000000000001</v>
      </c>
      <c r="CI63" s="55">
        <f>IFERROR(LOOKUP(CI$23,Timeseries!$A:$A,Timeseries!$N:$N),"")</f>
        <v>16.100000000000001</v>
      </c>
      <c r="CJ63" s="55">
        <f>IFERROR(LOOKUP(CJ$23,Timeseries!$A:$A,Timeseries!$N:$N),"")</f>
        <v>16.100000000000001</v>
      </c>
      <c r="CK63" s="55">
        <f>IFERROR(LOOKUP(CK$23,Timeseries!$A:$A,Timeseries!$N:$N),"")</f>
        <v>16.100000000000001</v>
      </c>
      <c r="CL63" s="55">
        <f>IFERROR(LOOKUP(CL$23,Timeseries!$A:$A,Timeseries!$N:$N),"")</f>
        <v>16.100000000000001</v>
      </c>
      <c r="CM63" s="55">
        <f>IFERROR(LOOKUP(CM$23,Timeseries!$A:$A,Timeseries!$N:$N),"")</f>
        <v>16.100000000000001</v>
      </c>
      <c r="CN63" s="55">
        <f>IFERROR(LOOKUP(CN$23,Timeseries!$A:$A,Timeseries!$N:$N),"")</f>
        <v>16.100000000000001</v>
      </c>
      <c r="CO63" s="55">
        <f>IFERROR(LOOKUP(CO$23,Timeseries!$A:$A,Timeseries!$N:$N),"")</f>
        <v>16.100000000000001</v>
      </c>
      <c r="CP63" s="55">
        <f>IFERROR(LOOKUP(CP$23,Timeseries!$A:$A,Timeseries!$N:$N),"")</f>
        <v>16.100000000000001</v>
      </c>
      <c r="CQ63" s="55">
        <f>IFERROR(LOOKUP(CQ$23,Timeseries!$A:$A,Timeseries!$N:$N),"")</f>
        <v>16.100000000000001</v>
      </c>
      <c r="CR63" s="55">
        <f>IFERROR(LOOKUP(CR$23,Timeseries!$A:$A,Timeseries!$N:$N),"")</f>
        <v>16.100000000000001</v>
      </c>
      <c r="CS63" s="55">
        <f>IFERROR(LOOKUP(CS$23,Timeseries!$A:$A,Timeseries!$N:$N),"")</f>
        <v>16.100000000000001</v>
      </c>
      <c r="CT63" s="55">
        <f>IFERROR(LOOKUP(CT$23,Timeseries!$A:$A,Timeseries!$N:$N),"")</f>
        <v>16.100000000000001</v>
      </c>
      <c r="CU63" s="55">
        <f>IFERROR(LOOKUP(CU$23,Timeseries!$A:$A,Timeseries!$N:$N),"")</f>
        <v>16.100000000000001</v>
      </c>
      <c r="CV63" s="55">
        <f>IFERROR(LOOKUP(CV$23,Timeseries!$A:$A,Timeseries!$N:$N),"")</f>
        <v>16.100000000000001</v>
      </c>
      <c r="CW63" s="55">
        <f>IFERROR(LOOKUP(CW$23,Timeseries!$A:$A,Timeseries!$N:$N),"")</f>
        <v>16.100000000000001</v>
      </c>
      <c r="CX63" s="55">
        <f>IFERROR(LOOKUP(CX$23,Timeseries!$A:$A,Timeseries!$N:$N),"")</f>
        <v>16.100000000000001</v>
      </c>
      <c r="CY63" s="55">
        <f>IFERROR(LOOKUP(CY$23,Timeseries!$A:$A,Timeseries!$N:$N),"")</f>
        <v>16.100000000000001</v>
      </c>
      <c r="CZ63" s="55">
        <f>IFERROR(LOOKUP(CZ$23,Timeseries!$A:$A,Timeseries!$N:$N),"")</f>
        <v>16.100000000000001</v>
      </c>
      <c r="DA63" s="55">
        <f>IFERROR(LOOKUP(DA$23,Timeseries!$A:$A,Timeseries!$N:$N),"")</f>
        <v>16.100000000000001</v>
      </c>
      <c r="DB63" s="55">
        <f>IFERROR(LOOKUP(DB$23,Timeseries!$A:$A,Timeseries!$N:$N),"")</f>
        <v>16.100000000000001</v>
      </c>
      <c r="DC63" s="55">
        <f>IFERROR(LOOKUP(DC$23,Timeseries!$A:$A,Timeseries!$N:$N),"")</f>
        <v>16.100000000000001</v>
      </c>
      <c r="DD63" s="55">
        <f>IFERROR(LOOKUP(DD$23,Timeseries!$A:$A,Timeseries!$N:$N),"")</f>
        <v>16.100000000000001</v>
      </c>
      <c r="DE63" s="55">
        <f>IFERROR(LOOKUP(DE$23,Timeseries!$A:$A,Timeseries!$N:$N),"")</f>
        <v>16.100000000000001</v>
      </c>
      <c r="DF63" s="55">
        <f>IFERROR(LOOKUP(DF$23,Timeseries!$A:$A,Timeseries!$N:$N),"")</f>
        <v>16.100000000000001</v>
      </c>
      <c r="DG63" s="55">
        <f>IFERROR(LOOKUP(DG$23,Timeseries!$A:$A,Timeseries!$N:$N),"")</f>
        <v>16.100000000000001</v>
      </c>
      <c r="DH63" s="55">
        <f>IFERROR(LOOKUP(DH$23,Timeseries!$A:$A,Timeseries!$N:$N),"")</f>
        <v>16.100000000000001</v>
      </c>
      <c r="DI63" s="55">
        <f>IFERROR(LOOKUP(DI$23,Timeseries!$A:$A,Timeseries!$N:$N),"")</f>
        <v>16.100000000000001</v>
      </c>
      <c r="DJ63" s="55">
        <f>IFERROR(LOOKUP(DJ$23,Timeseries!$A:$A,Timeseries!$N:$N),"")</f>
        <v>16.100000000000001</v>
      </c>
      <c r="DK63" s="55">
        <f>IFERROR(LOOKUP(DK$23,Timeseries!$A:$A,Timeseries!$N:$N),"")</f>
        <v>16.100000000000001</v>
      </c>
      <c r="DL63" s="55">
        <f>IFERROR(LOOKUP(DL$23,Timeseries!$A:$A,Timeseries!$N:$N),"")</f>
        <v>16.100000000000001</v>
      </c>
      <c r="DM63" s="55">
        <f>IFERROR(LOOKUP(DM$23,Timeseries!$A:$A,Timeseries!$N:$N),"")</f>
        <v>16.100000000000001</v>
      </c>
      <c r="DN63" s="55">
        <f>IFERROR(LOOKUP(DN$23,Timeseries!$A:$A,Timeseries!$N:$N),"")</f>
        <v>16.100000000000001</v>
      </c>
      <c r="DO63" s="55">
        <f>IFERROR(LOOKUP(DO$23,Timeseries!$A:$A,Timeseries!$N:$N),"")</f>
        <v>16.100000000000001</v>
      </c>
      <c r="DP63" s="55">
        <f>IFERROR(LOOKUP(DP$23,Timeseries!$A:$A,Timeseries!$N:$N),"")</f>
        <v>16.100000000000001</v>
      </c>
      <c r="DQ63" s="55">
        <f>IFERROR(LOOKUP(DQ$23,Timeseries!$A:$A,Timeseries!$N:$N),"")</f>
        <v>16.100000000000001</v>
      </c>
      <c r="DR63" s="55">
        <f>IFERROR(LOOKUP(DR$23,Timeseries!$A:$A,Timeseries!$N:$N),"")</f>
        <v>16.100000000000001</v>
      </c>
      <c r="DS63" s="55">
        <f>IFERROR(LOOKUP(DS$23,Timeseries!$A:$A,Timeseries!$N:$N),"")</f>
        <v>16.100000000000001</v>
      </c>
      <c r="DT63" s="55">
        <f>IFERROR(LOOKUP(DT$23,Timeseries!$A:$A,Timeseries!$N:$N),"")</f>
        <v>16.100000000000001</v>
      </c>
      <c r="DU63" s="55">
        <f>IFERROR(LOOKUP(DU$23,Timeseries!$A:$A,Timeseries!$N:$N),"")</f>
        <v>16.100000000000001</v>
      </c>
      <c r="DV63" s="55">
        <f>IFERROR(LOOKUP(DV$23,Timeseries!$A:$A,Timeseries!$N:$N),"")</f>
        <v>16.100000000000001</v>
      </c>
      <c r="DW63" s="55">
        <f>IFERROR(LOOKUP(DW$23,Timeseries!$A:$A,Timeseries!$N:$N),"")</f>
        <v>16.100000000000001</v>
      </c>
      <c r="DX63" s="55">
        <f>IFERROR(LOOKUP(DX$23,Timeseries!$A:$A,Timeseries!$N:$N),"")</f>
        <v>16.100000000000001</v>
      </c>
      <c r="DY63" s="55">
        <f>IFERROR(LOOKUP(DY$23,Timeseries!$A:$A,Timeseries!$N:$N),"")</f>
        <v>16.100000000000001</v>
      </c>
      <c r="DZ63" s="55">
        <f>IFERROR(LOOKUP(DZ$23,Timeseries!$A:$A,Timeseries!$N:$N),"")</f>
        <v>16.100000000000001</v>
      </c>
      <c r="EA63" s="55">
        <f>IFERROR(LOOKUP(EA$23,Timeseries!$A:$A,Timeseries!$N:$N),"")</f>
        <v>16.100000000000001</v>
      </c>
      <c r="EB63" s="55">
        <f>IFERROR(LOOKUP(EB$23,Timeseries!$A:$A,Timeseries!$N:$N),"")</f>
        <v>16.100000000000001</v>
      </c>
      <c r="EC63" s="55">
        <f>IFERROR(LOOKUP(EC$23,Timeseries!$A:$A,Timeseries!$N:$N),"")</f>
        <v>16.100000000000001</v>
      </c>
      <c r="ED63" s="55">
        <f>IFERROR(LOOKUP(ED$23,Timeseries!$A:$A,Timeseries!$N:$N),"")</f>
        <v>16.100000000000001</v>
      </c>
      <c r="EE63" s="55">
        <f>IFERROR(LOOKUP(EE$23,Timeseries!$A:$A,Timeseries!$N:$N),"")</f>
        <v>16.100000000000001</v>
      </c>
      <c r="EF63" s="55">
        <f>IFERROR(LOOKUP(EF$23,Timeseries!$A:$A,Timeseries!$N:$N),"")</f>
        <v>16.100000000000001</v>
      </c>
      <c r="EG63" s="55">
        <f>IFERROR(LOOKUP(EG$23,Timeseries!$A:$A,Timeseries!$N:$N),"")</f>
        <v>16.100000000000001</v>
      </c>
      <c r="EH63" s="55">
        <f>IFERROR(LOOKUP(EH$23,Timeseries!$A:$A,Timeseries!$N:$N),"")</f>
        <v>16.100000000000001</v>
      </c>
      <c r="EI63" s="55">
        <f>IFERROR(LOOKUP(EI$23,Timeseries!$A:$A,Timeseries!$N:$N),"")</f>
        <v>16.100000000000001</v>
      </c>
      <c r="EJ63" s="55">
        <f>IFERROR(LOOKUP(EJ$23,Timeseries!$A:$A,Timeseries!$N:$N),"")</f>
        <v>16.100000000000001</v>
      </c>
      <c r="EK63" s="55">
        <f>IFERROR(LOOKUP(EK$23,Timeseries!$A:$A,Timeseries!$N:$N),"")</f>
        <v>16.100000000000001</v>
      </c>
      <c r="EL63" s="55">
        <f>IFERROR(LOOKUP(EL$23,Timeseries!$A:$A,Timeseries!$N:$N),"")</f>
        <v>16.100000000000001</v>
      </c>
      <c r="EM63" s="55">
        <f>IFERROR(LOOKUP(EM$23,Timeseries!$A:$A,Timeseries!$N:$N),"")</f>
        <v>16.100000000000001</v>
      </c>
      <c r="EN63" s="55">
        <f>IFERROR(LOOKUP(EN$23,Timeseries!$A:$A,Timeseries!$N:$N),"")</f>
        <v>16.100000000000001</v>
      </c>
      <c r="EO63" s="55">
        <f>IFERROR(LOOKUP(EO$23,Timeseries!$A:$A,Timeseries!$N:$N),"")</f>
        <v>16.100000000000001</v>
      </c>
      <c r="EP63" s="55">
        <f>IFERROR(LOOKUP(EP$23,Timeseries!$A:$A,Timeseries!$N:$N),"")</f>
        <v>16.100000000000001</v>
      </c>
      <c r="EQ63" s="55">
        <f>IFERROR(LOOKUP(EQ$23,Timeseries!$A:$A,Timeseries!$N:$N),"")</f>
        <v>16.100000000000001</v>
      </c>
      <c r="ER63" s="55">
        <f>IFERROR(LOOKUP(ER$23,Timeseries!$A:$A,Timeseries!$N:$N),"")</f>
        <v>16.100000000000001</v>
      </c>
      <c r="ES63" s="55">
        <f>IFERROR(LOOKUP(ES$23,Timeseries!$A:$A,Timeseries!$N:$N),"")</f>
        <v>16.100000000000001</v>
      </c>
      <c r="ET63" s="55">
        <f>IFERROR(LOOKUP(ET$23,Timeseries!$A:$A,Timeseries!$N:$N),"")</f>
        <v>16.100000000000001</v>
      </c>
      <c r="EU63" s="55">
        <f>IFERROR(LOOKUP(EU$23,Timeseries!$A:$A,Timeseries!$N:$N),"")</f>
        <v>16.100000000000001</v>
      </c>
      <c r="EV63" s="55">
        <f>IFERROR(LOOKUP(EV$23,Timeseries!$A:$A,Timeseries!$N:$N),"")</f>
        <v>16.100000000000001</v>
      </c>
      <c r="EW63" s="55">
        <f>IFERROR(LOOKUP(EW$23,Timeseries!$A:$A,Timeseries!$N:$N),"")</f>
        <v>16.100000000000001</v>
      </c>
      <c r="EX63" s="55">
        <f>IFERROR(LOOKUP(EX$23,Timeseries!$A:$A,Timeseries!$N:$N),"")</f>
        <v>16.100000000000001</v>
      </c>
      <c r="EY63" s="55">
        <f>IFERROR(LOOKUP(EY$23,Timeseries!$A:$A,Timeseries!$N:$N),"")</f>
        <v>16.100000000000001</v>
      </c>
      <c r="EZ63" s="55">
        <f>IFERROR(LOOKUP(EZ$23,Timeseries!$A:$A,Timeseries!$N:$N),"")</f>
        <v>16.100000000000001</v>
      </c>
      <c r="FA63" s="55">
        <f>IFERROR(LOOKUP(FA$23,Timeseries!$A:$A,Timeseries!$N:$N),"")</f>
        <v>16.100000000000001</v>
      </c>
      <c r="FB63" s="55">
        <f>IFERROR(LOOKUP(FB$23,Timeseries!$A:$A,Timeseries!$N:$N),"")</f>
        <v>16.100000000000001</v>
      </c>
      <c r="FC63" s="55">
        <f>IFERROR(LOOKUP(FC$23,Timeseries!$A:$A,Timeseries!$N:$N),"")</f>
        <v>16.100000000000001</v>
      </c>
      <c r="FD63" s="55">
        <f>IFERROR(LOOKUP(FD$23,Timeseries!$A:$A,Timeseries!$N:$N),"")</f>
        <v>16.100000000000001</v>
      </c>
      <c r="FE63" s="55">
        <f>IFERROR(LOOKUP(FE$23,Timeseries!$A:$A,Timeseries!$N:$N),"")</f>
        <v>16.100000000000001</v>
      </c>
      <c r="FF63" s="55">
        <f>IFERROR(LOOKUP(FF$23,Timeseries!$A:$A,Timeseries!$N:$N),"")</f>
        <v>16.100000000000001</v>
      </c>
      <c r="FG63" s="55">
        <f>IFERROR(LOOKUP(FG$23,Timeseries!$A:$A,Timeseries!$N:$N),"")</f>
        <v>16.100000000000001</v>
      </c>
      <c r="FH63" s="55">
        <f>IFERROR(LOOKUP(FH$23,Timeseries!$A:$A,Timeseries!$N:$N),"")</f>
        <v>16.100000000000001</v>
      </c>
      <c r="FI63" s="55">
        <f>IFERROR(LOOKUP(FI$23,Timeseries!$A:$A,Timeseries!$N:$N),"")</f>
        <v>16.100000000000001</v>
      </c>
      <c r="FJ63" s="55">
        <f>IFERROR(LOOKUP(FJ$23,Timeseries!$A:$A,Timeseries!$N:$N),"")</f>
        <v>16.100000000000001</v>
      </c>
      <c r="FK63" s="55">
        <f>IFERROR(LOOKUP(FK$23,Timeseries!$A:$A,Timeseries!$N:$N),"")</f>
        <v>16.100000000000001</v>
      </c>
      <c r="FL63" s="55">
        <f>IFERROR(LOOKUP(FL$23,Timeseries!$A:$A,Timeseries!$N:$N),"")</f>
        <v>16.100000000000001</v>
      </c>
      <c r="FM63" s="55">
        <f>IFERROR(LOOKUP(FM$23,Timeseries!$A:$A,Timeseries!$N:$N),"")</f>
        <v>16.100000000000001</v>
      </c>
      <c r="FN63" s="55">
        <f>IFERROR(LOOKUP(FN$23,Timeseries!$A:$A,Timeseries!$N:$N),"")</f>
        <v>16.100000000000001</v>
      </c>
      <c r="FO63" s="55">
        <f>IFERROR(LOOKUP(FO$23,Timeseries!$A:$A,Timeseries!$N:$N),"")</f>
        <v>16.100000000000001</v>
      </c>
      <c r="FP63" s="55">
        <f>IFERROR(LOOKUP(FP$23,Timeseries!$A:$A,Timeseries!$N:$N),"")</f>
        <v>16.100000000000001</v>
      </c>
      <c r="FQ63" s="55">
        <f>IFERROR(LOOKUP(FQ$23,Timeseries!$A:$A,Timeseries!$N:$N),"")</f>
        <v>16.100000000000001</v>
      </c>
      <c r="FR63" s="55">
        <f>IFERROR(LOOKUP(FR$23,Timeseries!$A:$A,Timeseries!$N:$N),"")</f>
        <v>16.100000000000001</v>
      </c>
      <c r="FS63" s="55">
        <f>IFERROR(LOOKUP(FS$23,Timeseries!$A:$A,Timeseries!$N:$N),"")</f>
        <v>16.100000000000001</v>
      </c>
    </row>
    <row r="64" spans="4:175" ht="15.75" customHeight="1" thickBot="1">
      <c r="D64" s="18" t="s">
        <v>106</v>
      </c>
      <c r="E64" s="2" t="s">
        <v>102</v>
      </c>
      <c r="F64" s="2"/>
      <c r="G64" s="4" t="b">
        <v>1</v>
      </c>
      <c r="H64" s="26" t="str">
        <f>IF(H67=AE67,"","Might cause infeasibility because Temperature delta between Glen Canyon and RM61 at H01 and H24 are not the same")</f>
        <v>Might cause infeasibility because Temperature delta between Glen Canyon and RM61 at H01 and H24 are not the same</v>
      </c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</row>
    <row r="65" spans="4:175">
      <c r="D65" s="17" t="s">
        <v>33</v>
      </c>
      <c r="E65" s="2" t="s">
        <v>185</v>
      </c>
      <c r="F65" s="8" t="s">
        <v>153</v>
      </c>
      <c r="G65" s="2"/>
      <c r="H65" s="55">
        <f>IFERROR(LOOKUP(H$23,Timeseries!$A:$A,Timeseries!$P:$P),"")</f>
        <v>19.5</v>
      </c>
      <c r="I65" s="55">
        <f>IFERROR(LOOKUP(I$23,Timeseries!$A:$A,Timeseries!$P:$P),"")</f>
        <v>19.5</v>
      </c>
      <c r="J65" s="55">
        <f>IFERROR(LOOKUP(J$23,Timeseries!$A:$A,Timeseries!$P:$P),"")</f>
        <v>19.5</v>
      </c>
      <c r="K65" s="55">
        <f>IFERROR(LOOKUP(K$23,Timeseries!$A:$A,Timeseries!$P:$P),"")</f>
        <v>19.5</v>
      </c>
      <c r="L65" s="55">
        <f>IFERROR(LOOKUP(L$23,Timeseries!$A:$A,Timeseries!$P:$P),"")</f>
        <v>19.5</v>
      </c>
      <c r="M65" s="55">
        <f>IFERROR(LOOKUP(M$23,Timeseries!$A:$A,Timeseries!$P:$P),"")</f>
        <v>19.5</v>
      </c>
      <c r="N65" s="55">
        <f>IFERROR(LOOKUP(N$23,Timeseries!$A:$A,Timeseries!$P:$P),"")</f>
        <v>19.5</v>
      </c>
      <c r="O65" s="55">
        <f>IFERROR(LOOKUP(O$23,Timeseries!$A:$A,Timeseries!$P:$P),"")</f>
        <v>19.5</v>
      </c>
      <c r="P65" s="55">
        <f>IFERROR(LOOKUP(P$23,Timeseries!$A:$A,Timeseries!$P:$P),"")</f>
        <v>19.5</v>
      </c>
      <c r="Q65" s="55">
        <f>IFERROR(LOOKUP(Q$23,Timeseries!$A:$A,Timeseries!$P:$P),"")</f>
        <v>19.5</v>
      </c>
      <c r="R65" s="55">
        <f>IFERROR(LOOKUP(R$23,Timeseries!$A:$A,Timeseries!$P:$P),"")</f>
        <v>19.5</v>
      </c>
      <c r="S65" s="55">
        <f>IFERROR(LOOKUP(S$23,Timeseries!$A:$A,Timeseries!$P:$P),"")</f>
        <v>19.5</v>
      </c>
      <c r="T65" s="55">
        <f>IFERROR(LOOKUP(T$23,Timeseries!$A:$A,Timeseries!$P:$P),"")</f>
        <v>19.5</v>
      </c>
      <c r="U65" s="55">
        <f>IFERROR(LOOKUP(U$23,Timeseries!$A:$A,Timeseries!$P:$P),"")</f>
        <v>19.5</v>
      </c>
      <c r="V65" s="55">
        <f>IFERROR(LOOKUP(V$23,Timeseries!$A:$A,Timeseries!$P:$P),"")</f>
        <v>19.5</v>
      </c>
      <c r="W65" s="55">
        <f>IFERROR(LOOKUP(W$23,Timeseries!$A:$A,Timeseries!$P:$P),"")</f>
        <v>19.5</v>
      </c>
      <c r="X65" s="55">
        <f>IFERROR(LOOKUP(X$23,Timeseries!$A:$A,Timeseries!$P:$P),"")</f>
        <v>19.5</v>
      </c>
      <c r="Y65" s="55">
        <f>IFERROR(LOOKUP(Y$23,Timeseries!$A:$A,Timeseries!$P:$P),"")</f>
        <v>19.5</v>
      </c>
      <c r="Z65" s="55">
        <f>IFERROR(LOOKUP(Z$23,Timeseries!$A:$A,Timeseries!$P:$P),"")</f>
        <v>19.5</v>
      </c>
      <c r="AA65" s="55">
        <f>IFERROR(LOOKUP(AA$23,Timeseries!$A:$A,Timeseries!$P:$P),"")</f>
        <v>19.5</v>
      </c>
      <c r="AB65" s="55">
        <f>IFERROR(LOOKUP(AB$23,Timeseries!$A:$A,Timeseries!$P:$P),"")</f>
        <v>19.5</v>
      </c>
      <c r="AC65" s="55">
        <f>IFERROR(LOOKUP(AC$23,Timeseries!$A:$A,Timeseries!$P:$P),"")</f>
        <v>19.5</v>
      </c>
      <c r="AD65" s="55">
        <f>IFERROR(LOOKUP(AD$23,Timeseries!$A:$A,Timeseries!$P:$P),"")</f>
        <v>19.5</v>
      </c>
      <c r="AE65" s="55">
        <f>IFERROR(LOOKUP(AE$23,Timeseries!$A:$A,Timeseries!$P:$P),"")</f>
        <v>19.5</v>
      </c>
      <c r="AF65" s="55">
        <f>IFERROR(LOOKUP(AF$23,Timeseries!$A:$A,Timeseries!$P:$P),"")</f>
        <v>19.5</v>
      </c>
      <c r="AG65" s="55">
        <f>IFERROR(LOOKUP(AG$23,Timeseries!$A:$A,Timeseries!$P:$P),"")</f>
        <v>19.5</v>
      </c>
      <c r="AH65" s="55">
        <f>IFERROR(LOOKUP(AH$23,Timeseries!$A:$A,Timeseries!$P:$P),"")</f>
        <v>19.5</v>
      </c>
      <c r="AI65" s="55">
        <f>IFERROR(LOOKUP(AI$23,Timeseries!$A:$A,Timeseries!$P:$P),"")</f>
        <v>19.5</v>
      </c>
      <c r="AJ65" s="55">
        <f>IFERROR(LOOKUP(AJ$23,Timeseries!$A:$A,Timeseries!$P:$P),"")</f>
        <v>19.5</v>
      </c>
      <c r="AK65" s="55">
        <f>IFERROR(LOOKUP(AK$23,Timeseries!$A:$A,Timeseries!$P:$P),"")</f>
        <v>19.5</v>
      </c>
      <c r="AL65" s="55">
        <f>IFERROR(LOOKUP(AL$23,Timeseries!$A:$A,Timeseries!$P:$P),"")</f>
        <v>19.5</v>
      </c>
      <c r="AM65" s="55">
        <f>IFERROR(LOOKUP(AM$23,Timeseries!$A:$A,Timeseries!$P:$P),"")</f>
        <v>19.5</v>
      </c>
      <c r="AN65" s="55">
        <f>IFERROR(LOOKUP(AN$23,Timeseries!$A:$A,Timeseries!$P:$P),"")</f>
        <v>19.5</v>
      </c>
      <c r="AO65" s="55">
        <f>IFERROR(LOOKUP(AO$23,Timeseries!$A:$A,Timeseries!$P:$P),"")</f>
        <v>19.5</v>
      </c>
      <c r="AP65" s="55">
        <f>IFERROR(LOOKUP(AP$23,Timeseries!$A:$A,Timeseries!$P:$P),"")</f>
        <v>19.5</v>
      </c>
      <c r="AQ65" s="55">
        <f>IFERROR(LOOKUP(AQ$23,Timeseries!$A:$A,Timeseries!$P:$P),"")</f>
        <v>19.5</v>
      </c>
      <c r="AR65" s="55">
        <f>IFERROR(LOOKUP(AR$23,Timeseries!$A:$A,Timeseries!$P:$P),"")</f>
        <v>19.5</v>
      </c>
      <c r="AS65" s="55">
        <f>IFERROR(LOOKUP(AS$23,Timeseries!$A:$A,Timeseries!$P:$P),"")</f>
        <v>19.5</v>
      </c>
      <c r="AT65" s="55">
        <f>IFERROR(LOOKUP(AT$23,Timeseries!$A:$A,Timeseries!$P:$P),"")</f>
        <v>19.5</v>
      </c>
      <c r="AU65" s="55">
        <f>IFERROR(LOOKUP(AU$23,Timeseries!$A:$A,Timeseries!$P:$P),"")</f>
        <v>19.5</v>
      </c>
      <c r="AV65" s="55">
        <f>IFERROR(LOOKUP(AV$23,Timeseries!$A:$A,Timeseries!$P:$P),"")</f>
        <v>19.5</v>
      </c>
      <c r="AW65" s="55">
        <f>IFERROR(LOOKUP(AW$23,Timeseries!$A:$A,Timeseries!$P:$P),"")</f>
        <v>19.5</v>
      </c>
      <c r="AX65" s="55">
        <f>IFERROR(LOOKUP(AX$23,Timeseries!$A:$A,Timeseries!$P:$P),"")</f>
        <v>19.5</v>
      </c>
      <c r="AY65" s="55">
        <f>IFERROR(LOOKUP(AY$23,Timeseries!$A:$A,Timeseries!$P:$P),"")</f>
        <v>19.5</v>
      </c>
      <c r="AZ65" s="55">
        <f>IFERROR(LOOKUP(AZ$23,Timeseries!$A:$A,Timeseries!$P:$P),"")</f>
        <v>19.5</v>
      </c>
      <c r="BA65" s="55">
        <f>IFERROR(LOOKUP(BA$23,Timeseries!$A:$A,Timeseries!$P:$P),"")</f>
        <v>19.5</v>
      </c>
      <c r="BB65" s="55">
        <f>IFERROR(LOOKUP(BB$23,Timeseries!$A:$A,Timeseries!$P:$P),"")</f>
        <v>19.5</v>
      </c>
      <c r="BC65" s="55">
        <f>IFERROR(LOOKUP(BC$23,Timeseries!$A:$A,Timeseries!$P:$P),"")</f>
        <v>19.5</v>
      </c>
      <c r="BD65" s="55">
        <f>IFERROR(LOOKUP(BD$23,Timeseries!$A:$A,Timeseries!$P:$P),"")</f>
        <v>19.5</v>
      </c>
      <c r="BE65" s="55">
        <f>IFERROR(LOOKUP(BE$23,Timeseries!$A:$A,Timeseries!$P:$P),"")</f>
        <v>19.5</v>
      </c>
      <c r="BF65" s="55">
        <f>IFERROR(LOOKUP(BF$23,Timeseries!$A:$A,Timeseries!$P:$P),"")</f>
        <v>19.5</v>
      </c>
      <c r="BG65" s="55">
        <f>IFERROR(LOOKUP(BG$23,Timeseries!$A:$A,Timeseries!$P:$P),"")</f>
        <v>19.5</v>
      </c>
      <c r="BH65" s="55">
        <f>IFERROR(LOOKUP(BH$23,Timeseries!$A:$A,Timeseries!$P:$P),"")</f>
        <v>19.5</v>
      </c>
      <c r="BI65" s="55">
        <f>IFERROR(LOOKUP(BI$23,Timeseries!$A:$A,Timeseries!$P:$P),"")</f>
        <v>19.5</v>
      </c>
      <c r="BJ65" s="55">
        <f>IFERROR(LOOKUP(BJ$23,Timeseries!$A:$A,Timeseries!$P:$P),"")</f>
        <v>19.5</v>
      </c>
      <c r="BK65" s="55">
        <f>IFERROR(LOOKUP(BK$23,Timeseries!$A:$A,Timeseries!$P:$P),"")</f>
        <v>19.5</v>
      </c>
      <c r="BL65" s="55">
        <f>IFERROR(LOOKUP(BL$23,Timeseries!$A:$A,Timeseries!$P:$P),"")</f>
        <v>19.5</v>
      </c>
      <c r="BM65" s="55">
        <f>IFERROR(LOOKUP(BM$23,Timeseries!$A:$A,Timeseries!$P:$P),"")</f>
        <v>19.5</v>
      </c>
      <c r="BN65" s="55">
        <f>IFERROR(LOOKUP(BN$23,Timeseries!$A:$A,Timeseries!$P:$P),"")</f>
        <v>19.5</v>
      </c>
      <c r="BO65" s="55">
        <f>IFERROR(LOOKUP(BO$23,Timeseries!$A:$A,Timeseries!$P:$P),"")</f>
        <v>19.5</v>
      </c>
      <c r="BP65" s="55">
        <f>IFERROR(LOOKUP(BP$23,Timeseries!$A:$A,Timeseries!$P:$P),"")</f>
        <v>19.5</v>
      </c>
      <c r="BQ65" s="55">
        <f>IFERROR(LOOKUP(BQ$23,Timeseries!$A:$A,Timeseries!$P:$P),"")</f>
        <v>19.5</v>
      </c>
      <c r="BR65" s="55">
        <f>IFERROR(LOOKUP(BR$23,Timeseries!$A:$A,Timeseries!$P:$P),"")</f>
        <v>19.5</v>
      </c>
      <c r="BS65" s="55">
        <f>IFERROR(LOOKUP(BS$23,Timeseries!$A:$A,Timeseries!$P:$P),"")</f>
        <v>19.5</v>
      </c>
      <c r="BT65" s="55">
        <f>IFERROR(LOOKUP(BT$23,Timeseries!$A:$A,Timeseries!$P:$P),"")</f>
        <v>19.5</v>
      </c>
      <c r="BU65" s="55">
        <f>IFERROR(LOOKUP(BU$23,Timeseries!$A:$A,Timeseries!$P:$P),"")</f>
        <v>19.5</v>
      </c>
      <c r="BV65" s="55">
        <f>IFERROR(LOOKUP(BV$23,Timeseries!$A:$A,Timeseries!$P:$P),"")</f>
        <v>19.5</v>
      </c>
      <c r="BW65" s="55">
        <f>IFERROR(LOOKUP(BW$23,Timeseries!$A:$A,Timeseries!$P:$P),"")</f>
        <v>19.5</v>
      </c>
      <c r="BX65" s="55">
        <f>IFERROR(LOOKUP(BX$23,Timeseries!$A:$A,Timeseries!$P:$P),"")</f>
        <v>19.5</v>
      </c>
      <c r="BY65" s="55">
        <f>IFERROR(LOOKUP(BY$23,Timeseries!$A:$A,Timeseries!$P:$P),"")</f>
        <v>19.5</v>
      </c>
      <c r="BZ65" s="55">
        <f>IFERROR(LOOKUP(BZ$23,Timeseries!$A:$A,Timeseries!$P:$P),"")</f>
        <v>19.5</v>
      </c>
      <c r="CA65" s="55">
        <f>IFERROR(LOOKUP(CA$23,Timeseries!$A:$A,Timeseries!$P:$P),"")</f>
        <v>19.5</v>
      </c>
      <c r="CB65" s="55">
        <f>IFERROR(LOOKUP(CB$23,Timeseries!$A:$A,Timeseries!$P:$P),"")</f>
        <v>19.5</v>
      </c>
      <c r="CC65" s="55">
        <f>IFERROR(LOOKUP(CC$23,Timeseries!$A:$A,Timeseries!$P:$P),"")</f>
        <v>19.5</v>
      </c>
      <c r="CD65" s="55">
        <f>IFERROR(LOOKUP(CD$23,Timeseries!$A:$A,Timeseries!$P:$P),"")</f>
        <v>19.5</v>
      </c>
      <c r="CE65" s="55">
        <f>IFERROR(LOOKUP(CE$23,Timeseries!$A:$A,Timeseries!$P:$P),"")</f>
        <v>19.5</v>
      </c>
      <c r="CF65" s="55">
        <f>IFERROR(LOOKUP(CF$23,Timeseries!$A:$A,Timeseries!$P:$P),"")</f>
        <v>19.5</v>
      </c>
      <c r="CG65" s="55">
        <f>IFERROR(LOOKUP(CG$23,Timeseries!$A:$A,Timeseries!$P:$P),"")</f>
        <v>19.5</v>
      </c>
      <c r="CH65" s="55">
        <f>IFERROR(LOOKUP(CH$23,Timeseries!$A:$A,Timeseries!$P:$P),"")</f>
        <v>19.5</v>
      </c>
      <c r="CI65" s="55">
        <f>IFERROR(LOOKUP(CI$23,Timeseries!$A:$A,Timeseries!$P:$P),"")</f>
        <v>19.5</v>
      </c>
      <c r="CJ65" s="55">
        <f>IFERROR(LOOKUP(CJ$23,Timeseries!$A:$A,Timeseries!$P:$P),"")</f>
        <v>19.5</v>
      </c>
      <c r="CK65" s="55">
        <f>IFERROR(LOOKUP(CK$23,Timeseries!$A:$A,Timeseries!$P:$P),"")</f>
        <v>19.5</v>
      </c>
      <c r="CL65" s="55">
        <f>IFERROR(LOOKUP(CL$23,Timeseries!$A:$A,Timeseries!$P:$P),"")</f>
        <v>19.5</v>
      </c>
      <c r="CM65" s="55">
        <f>IFERROR(LOOKUP(CM$23,Timeseries!$A:$A,Timeseries!$P:$P),"")</f>
        <v>19.5</v>
      </c>
      <c r="CN65" s="55">
        <f>IFERROR(LOOKUP(CN$23,Timeseries!$A:$A,Timeseries!$P:$P),"")</f>
        <v>19.5</v>
      </c>
      <c r="CO65" s="55">
        <f>IFERROR(LOOKUP(CO$23,Timeseries!$A:$A,Timeseries!$P:$P),"")</f>
        <v>19.5</v>
      </c>
      <c r="CP65" s="55">
        <f>IFERROR(LOOKUP(CP$23,Timeseries!$A:$A,Timeseries!$P:$P),"")</f>
        <v>19.5</v>
      </c>
      <c r="CQ65" s="55">
        <f>IFERROR(LOOKUP(CQ$23,Timeseries!$A:$A,Timeseries!$P:$P),"")</f>
        <v>19.5</v>
      </c>
      <c r="CR65" s="55">
        <f>IFERROR(LOOKUP(CR$23,Timeseries!$A:$A,Timeseries!$P:$P),"")</f>
        <v>19.5</v>
      </c>
      <c r="CS65" s="55">
        <f>IFERROR(LOOKUP(CS$23,Timeseries!$A:$A,Timeseries!$P:$P),"")</f>
        <v>19.5</v>
      </c>
      <c r="CT65" s="55">
        <f>IFERROR(LOOKUP(CT$23,Timeseries!$A:$A,Timeseries!$P:$P),"")</f>
        <v>19.5</v>
      </c>
      <c r="CU65" s="55">
        <f>IFERROR(LOOKUP(CU$23,Timeseries!$A:$A,Timeseries!$P:$P),"")</f>
        <v>19.5</v>
      </c>
      <c r="CV65" s="55">
        <f>IFERROR(LOOKUP(CV$23,Timeseries!$A:$A,Timeseries!$P:$P),"")</f>
        <v>19.5</v>
      </c>
      <c r="CW65" s="55">
        <f>IFERROR(LOOKUP(CW$23,Timeseries!$A:$A,Timeseries!$P:$P),"")</f>
        <v>19.5</v>
      </c>
      <c r="CX65" s="55">
        <f>IFERROR(LOOKUP(CX$23,Timeseries!$A:$A,Timeseries!$P:$P),"")</f>
        <v>19.5</v>
      </c>
      <c r="CY65" s="55">
        <f>IFERROR(LOOKUP(CY$23,Timeseries!$A:$A,Timeseries!$P:$P),"")</f>
        <v>19.5</v>
      </c>
      <c r="CZ65" s="55">
        <f>IFERROR(LOOKUP(CZ$23,Timeseries!$A:$A,Timeseries!$P:$P),"")</f>
        <v>19.5</v>
      </c>
      <c r="DA65" s="55">
        <f>IFERROR(LOOKUP(DA$23,Timeseries!$A:$A,Timeseries!$P:$P),"")</f>
        <v>19.5</v>
      </c>
      <c r="DB65" s="55">
        <f>IFERROR(LOOKUP(DB$23,Timeseries!$A:$A,Timeseries!$P:$P),"")</f>
        <v>19.5</v>
      </c>
      <c r="DC65" s="55">
        <f>IFERROR(LOOKUP(DC$23,Timeseries!$A:$A,Timeseries!$P:$P),"")</f>
        <v>19.5</v>
      </c>
      <c r="DD65" s="55">
        <f>IFERROR(LOOKUP(DD$23,Timeseries!$A:$A,Timeseries!$P:$P),"")</f>
        <v>19.5</v>
      </c>
      <c r="DE65" s="55">
        <f>IFERROR(LOOKUP(DE$23,Timeseries!$A:$A,Timeseries!$P:$P),"")</f>
        <v>19.5</v>
      </c>
      <c r="DF65" s="55">
        <f>IFERROR(LOOKUP(DF$23,Timeseries!$A:$A,Timeseries!$P:$P),"")</f>
        <v>19.5</v>
      </c>
      <c r="DG65" s="55">
        <f>IFERROR(LOOKUP(DG$23,Timeseries!$A:$A,Timeseries!$P:$P),"")</f>
        <v>19.5</v>
      </c>
      <c r="DH65" s="55">
        <f>IFERROR(LOOKUP(DH$23,Timeseries!$A:$A,Timeseries!$P:$P),"")</f>
        <v>19.5</v>
      </c>
      <c r="DI65" s="55">
        <f>IFERROR(LOOKUP(DI$23,Timeseries!$A:$A,Timeseries!$P:$P),"")</f>
        <v>19.5</v>
      </c>
      <c r="DJ65" s="55">
        <f>IFERROR(LOOKUP(DJ$23,Timeseries!$A:$A,Timeseries!$P:$P),"")</f>
        <v>19.5</v>
      </c>
      <c r="DK65" s="55">
        <f>IFERROR(LOOKUP(DK$23,Timeseries!$A:$A,Timeseries!$P:$P),"")</f>
        <v>19.5</v>
      </c>
      <c r="DL65" s="55">
        <f>IFERROR(LOOKUP(DL$23,Timeseries!$A:$A,Timeseries!$P:$P),"")</f>
        <v>19.5</v>
      </c>
      <c r="DM65" s="55">
        <f>IFERROR(LOOKUP(DM$23,Timeseries!$A:$A,Timeseries!$P:$P),"")</f>
        <v>19.5</v>
      </c>
      <c r="DN65" s="55">
        <f>IFERROR(LOOKUP(DN$23,Timeseries!$A:$A,Timeseries!$P:$P),"")</f>
        <v>19.5</v>
      </c>
      <c r="DO65" s="55">
        <f>IFERROR(LOOKUP(DO$23,Timeseries!$A:$A,Timeseries!$P:$P),"")</f>
        <v>19.5</v>
      </c>
      <c r="DP65" s="55">
        <f>IFERROR(LOOKUP(DP$23,Timeseries!$A:$A,Timeseries!$P:$P),"")</f>
        <v>19.5</v>
      </c>
      <c r="DQ65" s="55">
        <f>IFERROR(LOOKUP(DQ$23,Timeseries!$A:$A,Timeseries!$P:$P),"")</f>
        <v>19.5</v>
      </c>
      <c r="DR65" s="55">
        <f>IFERROR(LOOKUP(DR$23,Timeseries!$A:$A,Timeseries!$P:$P),"")</f>
        <v>19.5</v>
      </c>
      <c r="DS65" s="55">
        <f>IFERROR(LOOKUP(DS$23,Timeseries!$A:$A,Timeseries!$P:$P),"")</f>
        <v>19.5</v>
      </c>
      <c r="DT65" s="55">
        <f>IFERROR(LOOKUP(DT$23,Timeseries!$A:$A,Timeseries!$P:$P),"")</f>
        <v>19.5</v>
      </c>
      <c r="DU65" s="55">
        <f>IFERROR(LOOKUP(DU$23,Timeseries!$A:$A,Timeseries!$P:$P),"")</f>
        <v>19.5</v>
      </c>
      <c r="DV65" s="55">
        <f>IFERROR(LOOKUP(DV$23,Timeseries!$A:$A,Timeseries!$P:$P),"")</f>
        <v>19.5</v>
      </c>
      <c r="DW65" s="55">
        <f>IFERROR(LOOKUP(DW$23,Timeseries!$A:$A,Timeseries!$P:$P),"")</f>
        <v>19.5</v>
      </c>
      <c r="DX65" s="55">
        <f>IFERROR(LOOKUP(DX$23,Timeseries!$A:$A,Timeseries!$P:$P),"")</f>
        <v>19.5</v>
      </c>
      <c r="DY65" s="55">
        <f>IFERROR(LOOKUP(DY$23,Timeseries!$A:$A,Timeseries!$P:$P),"")</f>
        <v>19.5</v>
      </c>
      <c r="DZ65" s="55">
        <f>IFERROR(LOOKUP(DZ$23,Timeseries!$A:$A,Timeseries!$P:$P),"")</f>
        <v>19.5</v>
      </c>
      <c r="EA65" s="55">
        <f>IFERROR(LOOKUP(EA$23,Timeseries!$A:$A,Timeseries!$P:$P),"")</f>
        <v>19.5</v>
      </c>
      <c r="EB65" s="55">
        <f>IFERROR(LOOKUP(EB$23,Timeseries!$A:$A,Timeseries!$P:$P),"")</f>
        <v>19.5</v>
      </c>
      <c r="EC65" s="55">
        <f>IFERROR(LOOKUP(EC$23,Timeseries!$A:$A,Timeseries!$P:$P),"")</f>
        <v>19.5</v>
      </c>
      <c r="ED65" s="55">
        <f>IFERROR(LOOKUP(ED$23,Timeseries!$A:$A,Timeseries!$P:$P),"")</f>
        <v>19.5</v>
      </c>
      <c r="EE65" s="55">
        <f>IFERROR(LOOKUP(EE$23,Timeseries!$A:$A,Timeseries!$P:$P),"")</f>
        <v>19.5</v>
      </c>
      <c r="EF65" s="55">
        <f>IFERROR(LOOKUP(EF$23,Timeseries!$A:$A,Timeseries!$P:$P),"")</f>
        <v>19.5</v>
      </c>
      <c r="EG65" s="55">
        <f>IFERROR(LOOKUP(EG$23,Timeseries!$A:$A,Timeseries!$P:$P),"")</f>
        <v>19.5</v>
      </c>
      <c r="EH65" s="55">
        <f>IFERROR(LOOKUP(EH$23,Timeseries!$A:$A,Timeseries!$P:$P),"")</f>
        <v>19.5</v>
      </c>
      <c r="EI65" s="55">
        <f>IFERROR(LOOKUP(EI$23,Timeseries!$A:$A,Timeseries!$P:$P),"")</f>
        <v>19.5</v>
      </c>
      <c r="EJ65" s="55">
        <f>IFERROR(LOOKUP(EJ$23,Timeseries!$A:$A,Timeseries!$P:$P),"")</f>
        <v>19.5</v>
      </c>
      <c r="EK65" s="55">
        <f>IFERROR(LOOKUP(EK$23,Timeseries!$A:$A,Timeseries!$P:$P),"")</f>
        <v>19.5</v>
      </c>
      <c r="EL65" s="55">
        <f>IFERROR(LOOKUP(EL$23,Timeseries!$A:$A,Timeseries!$P:$P),"")</f>
        <v>19.5</v>
      </c>
      <c r="EM65" s="55">
        <f>IFERROR(LOOKUP(EM$23,Timeseries!$A:$A,Timeseries!$P:$P),"")</f>
        <v>19.5</v>
      </c>
      <c r="EN65" s="55">
        <f>IFERROR(LOOKUP(EN$23,Timeseries!$A:$A,Timeseries!$P:$P),"")</f>
        <v>19.5</v>
      </c>
      <c r="EO65" s="55">
        <f>IFERROR(LOOKUP(EO$23,Timeseries!$A:$A,Timeseries!$P:$P),"")</f>
        <v>19.5</v>
      </c>
      <c r="EP65" s="55">
        <f>IFERROR(LOOKUP(EP$23,Timeseries!$A:$A,Timeseries!$P:$P),"")</f>
        <v>19.5</v>
      </c>
      <c r="EQ65" s="55">
        <f>IFERROR(LOOKUP(EQ$23,Timeseries!$A:$A,Timeseries!$P:$P),"")</f>
        <v>19.5</v>
      </c>
      <c r="ER65" s="55">
        <f>IFERROR(LOOKUP(ER$23,Timeseries!$A:$A,Timeseries!$P:$P),"")</f>
        <v>19.5</v>
      </c>
      <c r="ES65" s="55">
        <f>IFERROR(LOOKUP(ES$23,Timeseries!$A:$A,Timeseries!$P:$P),"")</f>
        <v>19.5</v>
      </c>
      <c r="ET65" s="55">
        <f>IFERROR(LOOKUP(ET$23,Timeseries!$A:$A,Timeseries!$P:$P),"")</f>
        <v>19.5</v>
      </c>
      <c r="EU65" s="55">
        <f>IFERROR(LOOKUP(EU$23,Timeseries!$A:$A,Timeseries!$P:$P),"")</f>
        <v>19.5</v>
      </c>
      <c r="EV65" s="55">
        <f>IFERROR(LOOKUP(EV$23,Timeseries!$A:$A,Timeseries!$P:$P),"")</f>
        <v>19.5</v>
      </c>
      <c r="EW65" s="55">
        <f>IFERROR(LOOKUP(EW$23,Timeseries!$A:$A,Timeseries!$P:$P),"")</f>
        <v>19.5</v>
      </c>
      <c r="EX65" s="55">
        <f>IFERROR(LOOKUP(EX$23,Timeseries!$A:$A,Timeseries!$P:$P),"")</f>
        <v>19.5</v>
      </c>
      <c r="EY65" s="55">
        <f>IFERROR(LOOKUP(EY$23,Timeseries!$A:$A,Timeseries!$P:$P),"")</f>
        <v>19.5</v>
      </c>
      <c r="EZ65" s="55">
        <f>IFERROR(LOOKUP(EZ$23,Timeseries!$A:$A,Timeseries!$P:$P),"")</f>
        <v>19.5</v>
      </c>
      <c r="FA65" s="55">
        <f>IFERROR(LOOKUP(FA$23,Timeseries!$A:$A,Timeseries!$P:$P),"")</f>
        <v>19.5</v>
      </c>
      <c r="FB65" s="55">
        <f>IFERROR(LOOKUP(FB$23,Timeseries!$A:$A,Timeseries!$P:$P),"")</f>
        <v>19.5</v>
      </c>
      <c r="FC65" s="55">
        <f>IFERROR(LOOKUP(FC$23,Timeseries!$A:$A,Timeseries!$P:$P),"")</f>
        <v>19.5</v>
      </c>
      <c r="FD65" s="55">
        <f>IFERROR(LOOKUP(FD$23,Timeseries!$A:$A,Timeseries!$P:$P),"")</f>
        <v>19.5</v>
      </c>
      <c r="FE65" s="55">
        <f>IFERROR(LOOKUP(FE$23,Timeseries!$A:$A,Timeseries!$P:$P),"")</f>
        <v>19.5</v>
      </c>
      <c r="FF65" s="55">
        <f>IFERROR(LOOKUP(FF$23,Timeseries!$A:$A,Timeseries!$P:$P),"")</f>
        <v>19.5</v>
      </c>
      <c r="FG65" s="55">
        <f>IFERROR(LOOKUP(FG$23,Timeseries!$A:$A,Timeseries!$P:$P),"")</f>
        <v>19.5</v>
      </c>
      <c r="FH65" s="55">
        <f>IFERROR(LOOKUP(FH$23,Timeseries!$A:$A,Timeseries!$P:$P),"")</f>
        <v>19.5</v>
      </c>
      <c r="FI65" s="55">
        <f>IFERROR(LOOKUP(FI$23,Timeseries!$A:$A,Timeseries!$P:$P),"")</f>
        <v>19.5</v>
      </c>
      <c r="FJ65" s="55">
        <f>IFERROR(LOOKUP(FJ$23,Timeseries!$A:$A,Timeseries!$P:$P),"")</f>
        <v>19.5</v>
      </c>
      <c r="FK65" s="55">
        <f>IFERROR(LOOKUP(FK$23,Timeseries!$A:$A,Timeseries!$P:$P),"")</f>
        <v>19.5</v>
      </c>
      <c r="FL65" s="55">
        <f>IFERROR(LOOKUP(FL$23,Timeseries!$A:$A,Timeseries!$P:$P),"")</f>
        <v>19.5</v>
      </c>
      <c r="FM65" s="55">
        <f>IFERROR(LOOKUP(FM$23,Timeseries!$A:$A,Timeseries!$P:$P),"")</f>
        <v>19.5</v>
      </c>
      <c r="FN65" s="55">
        <f>IFERROR(LOOKUP(FN$23,Timeseries!$A:$A,Timeseries!$P:$P),"")</f>
        <v>19.5</v>
      </c>
      <c r="FO65" s="55">
        <f>IFERROR(LOOKUP(FO$23,Timeseries!$A:$A,Timeseries!$P:$P),"")</f>
        <v>19.5</v>
      </c>
      <c r="FP65" s="55">
        <f>IFERROR(LOOKUP(FP$23,Timeseries!$A:$A,Timeseries!$P:$P),"")</f>
        <v>19.5</v>
      </c>
      <c r="FQ65" s="55">
        <f>IFERROR(LOOKUP(FQ$23,Timeseries!$A:$A,Timeseries!$P:$P),"")</f>
        <v>19.5</v>
      </c>
      <c r="FR65" s="55">
        <f>IFERROR(LOOKUP(FR$23,Timeseries!$A:$A,Timeseries!$P:$P),"")</f>
        <v>19.5</v>
      </c>
      <c r="FS65" s="55">
        <f>IFERROR(LOOKUP(FS$23,Timeseries!$A:$A,Timeseries!$P:$P),"")</f>
        <v>19.5</v>
      </c>
    </row>
    <row r="66" spans="4:175">
      <c r="D66" s="17" t="s">
        <v>34</v>
      </c>
      <c r="E66" s="2" t="s">
        <v>186</v>
      </c>
      <c r="F66" s="8" t="s">
        <v>153</v>
      </c>
      <c r="G66" s="2"/>
      <c r="H66" s="55">
        <f>IFERROR(LOOKUP(H$23,Timeseries!$A:$A,Timeseries!$O:$O),"")</f>
        <v>14</v>
      </c>
      <c r="I66" s="55">
        <f>IFERROR(LOOKUP(I$23,Timeseries!$A:$A,Timeseries!$O:$O),"")</f>
        <v>14</v>
      </c>
      <c r="J66" s="55">
        <f>IFERROR(LOOKUP(J$23,Timeseries!$A:$A,Timeseries!$O:$O),"")</f>
        <v>14</v>
      </c>
      <c r="K66" s="55">
        <f>IFERROR(LOOKUP(K$23,Timeseries!$A:$A,Timeseries!$O:$O),"")</f>
        <v>14</v>
      </c>
      <c r="L66" s="55">
        <f>IFERROR(LOOKUP(L$23,Timeseries!$A:$A,Timeseries!$O:$O),"")</f>
        <v>14</v>
      </c>
      <c r="M66" s="55">
        <f>IFERROR(LOOKUP(M$23,Timeseries!$A:$A,Timeseries!$O:$O),"")</f>
        <v>14</v>
      </c>
      <c r="N66" s="55">
        <f>IFERROR(LOOKUP(N$23,Timeseries!$A:$A,Timeseries!$O:$O),"")</f>
        <v>14</v>
      </c>
      <c r="O66" s="55">
        <f>IFERROR(LOOKUP(O$23,Timeseries!$A:$A,Timeseries!$O:$O),"")</f>
        <v>14</v>
      </c>
      <c r="P66" s="55">
        <f>IFERROR(LOOKUP(P$23,Timeseries!$A:$A,Timeseries!$O:$O),"")</f>
        <v>14</v>
      </c>
      <c r="Q66" s="55">
        <f>IFERROR(LOOKUP(Q$23,Timeseries!$A:$A,Timeseries!$O:$O),"")</f>
        <v>14</v>
      </c>
      <c r="R66" s="55">
        <f>IFERROR(LOOKUP(R$23,Timeseries!$A:$A,Timeseries!$O:$O),"")</f>
        <v>14</v>
      </c>
      <c r="S66" s="55">
        <f>IFERROR(LOOKUP(S$23,Timeseries!$A:$A,Timeseries!$O:$O),"")</f>
        <v>14</v>
      </c>
      <c r="T66" s="55">
        <f>IFERROR(LOOKUP(T$23,Timeseries!$A:$A,Timeseries!$O:$O),"")</f>
        <v>14</v>
      </c>
      <c r="U66" s="55">
        <f>IFERROR(LOOKUP(U$23,Timeseries!$A:$A,Timeseries!$O:$O),"")</f>
        <v>14</v>
      </c>
      <c r="V66" s="55">
        <f>IFERROR(LOOKUP(V$23,Timeseries!$A:$A,Timeseries!$O:$O),"")</f>
        <v>14</v>
      </c>
      <c r="W66" s="55">
        <f>IFERROR(LOOKUP(W$23,Timeseries!$A:$A,Timeseries!$O:$O),"")</f>
        <v>14</v>
      </c>
      <c r="X66" s="55">
        <f>IFERROR(LOOKUP(X$23,Timeseries!$A:$A,Timeseries!$O:$O),"")</f>
        <v>14</v>
      </c>
      <c r="Y66" s="55">
        <f>IFERROR(LOOKUP(Y$23,Timeseries!$A:$A,Timeseries!$O:$O),"")</f>
        <v>14</v>
      </c>
      <c r="Z66" s="55">
        <f>IFERROR(LOOKUP(Z$23,Timeseries!$A:$A,Timeseries!$O:$O),"")</f>
        <v>14</v>
      </c>
      <c r="AA66" s="55">
        <f>IFERROR(LOOKUP(AA$23,Timeseries!$A:$A,Timeseries!$O:$O),"")</f>
        <v>14</v>
      </c>
      <c r="AB66" s="55">
        <f>IFERROR(LOOKUP(AB$23,Timeseries!$A:$A,Timeseries!$O:$O),"")</f>
        <v>14</v>
      </c>
      <c r="AC66" s="55">
        <f>IFERROR(LOOKUP(AC$23,Timeseries!$A:$A,Timeseries!$O:$O),"")</f>
        <v>14</v>
      </c>
      <c r="AD66" s="55">
        <f>IFERROR(LOOKUP(AD$23,Timeseries!$A:$A,Timeseries!$O:$O),"")</f>
        <v>14</v>
      </c>
      <c r="AE66" s="55">
        <f>IFERROR(LOOKUP(AE$23,Timeseries!$A:$A,Timeseries!$O:$O),"")</f>
        <v>14</v>
      </c>
      <c r="AF66" s="55">
        <f>IFERROR(LOOKUP(AF$23,Timeseries!$A:$A,Timeseries!$O:$O),"")</f>
        <v>14</v>
      </c>
      <c r="AG66" s="55">
        <f>IFERROR(LOOKUP(AG$23,Timeseries!$A:$A,Timeseries!$O:$O),"")</f>
        <v>14</v>
      </c>
      <c r="AH66" s="55">
        <f>IFERROR(LOOKUP(AH$23,Timeseries!$A:$A,Timeseries!$O:$O),"")</f>
        <v>14</v>
      </c>
      <c r="AI66" s="55">
        <f>IFERROR(LOOKUP(AI$23,Timeseries!$A:$A,Timeseries!$O:$O),"")</f>
        <v>14</v>
      </c>
      <c r="AJ66" s="55">
        <f>IFERROR(LOOKUP(AJ$23,Timeseries!$A:$A,Timeseries!$O:$O),"")</f>
        <v>14</v>
      </c>
      <c r="AK66" s="55">
        <f>IFERROR(LOOKUP(AK$23,Timeseries!$A:$A,Timeseries!$O:$O),"")</f>
        <v>14</v>
      </c>
      <c r="AL66" s="55">
        <f>IFERROR(LOOKUP(AL$23,Timeseries!$A:$A,Timeseries!$O:$O),"")</f>
        <v>14</v>
      </c>
      <c r="AM66" s="55">
        <f>IFERROR(LOOKUP(AM$23,Timeseries!$A:$A,Timeseries!$O:$O),"")</f>
        <v>14</v>
      </c>
      <c r="AN66" s="55">
        <f>IFERROR(LOOKUP(AN$23,Timeseries!$A:$A,Timeseries!$O:$O),"")</f>
        <v>14</v>
      </c>
      <c r="AO66" s="55">
        <f>IFERROR(LOOKUP(AO$23,Timeseries!$A:$A,Timeseries!$O:$O),"")</f>
        <v>14</v>
      </c>
      <c r="AP66" s="55">
        <f>IFERROR(LOOKUP(AP$23,Timeseries!$A:$A,Timeseries!$O:$O),"")</f>
        <v>14</v>
      </c>
      <c r="AQ66" s="55">
        <f>IFERROR(LOOKUP(AQ$23,Timeseries!$A:$A,Timeseries!$O:$O),"")</f>
        <v>14</v>
      </c>
      <c r="AR66" s="55">
        <f>IFERROR(LOOKUP(AR$23,Timeseries!$A:$A,Timeseries!$O:$O),"")</f>
        <v>14</v>
      </c>
      <c r="AS66" s="55">
        <f>IFERROR(LOOKUP(AS$23,Timeseries!$A:$A,Timeseries!$O:$O),"")</f>
        <v>14</v>
      </c>
      <c r="AT66" s="55">
        <f>IFERROR(LOOKUP(AT$23,Timeseries!$A:$A,Timeseries!$O:$O),"")</f>
        <v>14</v>
      </c>
      <c r="AU66" s="55">
        <f>IFERROR(LOOKUP(AU$23,Timeseries!$A:$A,Timeseries!$O:$O),"")</f>
        <v>14</v>
      </c>
      <c r="AV66" s="55">
        <f>IFERROR(LOOKUP(AV$23,Timeseries!$A:$A,Timeseries!$O:$O),"")</f>
        <v>14</v>
      </c>
      <c r="AW66" s="55">
        <f>IFERROR(LOOKUP(AW$23,Timeseries!$A:$A,Timeseries!$O:$O),"")</f>
        <v>14</v>
      </c>
      <c r="AX66" s="55">
        <f>IFERROR(LOOKUP(AX$23,Timeseries!$A:$A,Timeseries!$O:$O),"")</f>
        <v>14</v>
      </c>
      <c r="AY66" s="55">
        <f>IFERROR(LOOKUP(AY$23,Timeseries!$A:$A,Timeseries!$O:$O),"")</f>
        <v>14</v>
      </c>
      <c r="AZ66" s="55">
        <f>IFERROR(LOOKUP(AZ$23,Timeseries!$A:$A,Timeseries!$O:$O),"")</f>
        <v>14</v>
      </c>
      <c r="BA66" s="55">
        <f>IFERROR(LOOKUP(BA$23,Timeseries!$A:$A,Timeseries!$O:$O),"")</f>
        <v>14</v>
      </c>
      <c r="BB66" s="55">
        <f>IFERROR(LOOKUP(BB$23,Timeseries!$A:$A,Timeseries!$O:$O),"")</f>
        <v>14</v>
      </c>
      <c r="BC66" s="55">
        <f>IFERROR(LOOKUP(BC$23,Timeseries!$A:$A,Timeseries!$O:$O),"")</f>
        <v>14</v>
      </c>
      <c r="BD66" s="55">
        <f>IFERROR(LOOKUP(BD$23,Timeseries!$A:$A,Timeseries!$O:$O),"")</f>
        <v>14</v>
      </c>
      <c r="BE66" s="55">
        <f>IFERROR(LOOKUP(BE$23,Timeseries!$A:$A,Timeseries!$O:$O),"")</f>
        <v>14</v>
      </c>
      <c r="BF66" s="55">
        <f>IFERROR(LOOKUP(BF$23,Timeseries!$A:$A,Timeseries!$O:$O),"")</f>
        <v>14</v>
      </c>
      <c r="BG66" s="55">
        <f>IFERROR(LOOKUP(BG$23,Timeseries!$A:$A,Timeseries!$O:$O),"")</f>
        <v>14</v>
      </c>
      <c r="BH66" s="55">
        <f>IFERROR(LOOKUP(BH$23,Timeseries!$A:$A,Timeseries!$O:$O),"")</f>
        <v>14</v>
      </c>
      <c r="BI66" s="55">
        <f>IFERROR(LOOKUP(BI$23,Timeseries!$A:$A,Timeseries!$O:$O),"")</f>
        <v>14</v>
      </c>
      <c r="BJ66" s="55">
        <f>IFERROR(LOOKUP(BJ$23,Timeseries!$A:$A,Timeseries!$O:$O),"")</f>
        <v>14</v>
      </c>
      <c r="BK66" s="55">
        <f>IFERROR(LOOKUP(BK$23,Timeseries!$A:$A,Timeseries!$O:$O),"")</f>
        <v>14</v>
      </c>
      <c r="BL66" s="55">
        <f>IFERROR(LOOKUP(BL$23,Timeseries!$A:$A,Timeseries!$O:$O),"")</f>
        <v>14</v>
      </c>
      <c r="BM66" s="55">
        <f>IFERROR(LOOKUP(BM$23,Timeseries!$A:$A,Timeseries!$O:$O),"")</f>
        <v>14</v>
      </c>
      <c r="BN66" s="55">
        <f>IFERROR(LOOKUP(BN$23,Timeseries!$A:$A,Timeseries!$O:$O),"")</f>
        <v>14</v>
      </c>
      <c r="BO66" s="55">
        <f>IFERROR(LOOKUP(BO$23,Timeseries!$A:$A,Timeseries!$O:$O),"")</f>
        <v>14</v>
      </c>
      <c r="BP66" s="55">
        <f>IFERROR(LOOKUP(BP$23,Timeseries!$A:$A,Timeseries!$O:$O),"")</f>
        <v>14</v>
      </c>
      <c r="BQ66" s="55">
        <f>IFERROR(LOOKUP(BQ$23,Timeseries!$A:$A,Timeseries!$O:$O),"")</f>
        <v>14</v>
      </c>
      <c r="BR66" s="55">
        <f>IFERROR(LOOKUP(BR$23,Timeseries!$A:$A,Timeseries!$O:$O),"")</f>
        <v>14</v>
      </c>
      <c r="BS66" s="55">
        <f>IFERROR(LOOKUP(BS$23,Timeseries!$A:$A,Timeseries!$O:$O),"")</f>
        <v>14</v>
      </c>
      <c r="BT66" s="55">
        <f>IFERROR(LOOKUP(BT$23,Timeseries!$A:$A,Timeseries!$O:$O),"")</f>
        <v>14</v>
      </c>
      <c r="BU66" s="55">
        <f>IFERROR(LOOKUP(BU$23,Timeseries!$A:$A,Timeseries!$O:$O),"")</f>
        <v>14</v>
      </c>
      <c r="BV66" s="55">
        <f>IFERROR(LOOKUP(BV$23,Timeseries!$A:$A,Timeseries!$O:$O),"")</f>
        <v>14</v>
      </c>
      <c r="BW66" s="55">
        <f>IFERROR(LOOKUP(BW$23,Timeseries!$A:$A,Timeseries!$O:$O),"")</f>
        <v>14</v>
      </c>
      <c r="BX66" s="55">
        <f>IFERROR(LOOKUP(BX$23,Timeseries!$A:$A,Timeseries!$O:$O),"")</f>
        <v>14</v>
      </c>
      <c r="BY66" s="55">
        <f>IFERROR(LOOKUP(BY$23,Timeseries!$A:$A,Timeseries!$O:$O),"")</f>
        <v>14</v>
      </c>
      <c r="BZ66" s="55">
        <f>IFERROR(LOOKUP(BZ$23,Timeseries!$A:$A,Timeseries!$O:$O),"")</f>
        <v>14</v>
      </c>
      <c r="CA66" s="55">
        <f>IFERROR(LOOKUP(CA$23,Timeseries!$A:$A,Timeseries!$O:$O),"")</f>
        <v>14</v>
      </c>
      <c r="CB66" s="55">
        <f>IFERROR(LOOKUP(CB$23,Timeseries!$A:$A,Timeseries!$O:$O),"")</f>
        <v>14</v>
      </c>
      <c r="CC66" s="55">
        <f>IFERROR(LOOKUP(CC$23,Timeseries!$A:$A,Timeseries!$O:$O),"")</f>
        <v>14</v>
      </c>
      <c r="CD66" s="55">
        <f>IFERROR(LOOKUP(CD$23,Timeseries!$A:$A,Timeseries!$O:$O),"")</f>
        <v>14</v>
      </c>
      <c r="CE66" s="55">
        <f>IFERROR(LOOKUP(CE$23,Timeseries!$A:$A,Timeseries!$O:$O),"")</f>
        <v>14</v>
      </c>
      <c r="CF66" s="55">
        <f>IFERROR(LOOKUP(CF$23,Timeseries!$A:$A,Timeseries!$O:$O),"")</f>
        <v>14</v>
      </c>
      <c r="CG66" s="55">
        <f>IFERROR(LOOKUP(CG$23,Timeseries!$A:$A,Timeseries!$O:$O),"")</f>
        <v>14</v>
      </c>
      <c r="CH66" s="55">
        <f>IFERROR(LOOKUP(CH$23,Timeseries!$A:$A,Timeseries!$O:$O),"")</f>
        <v>14</v>
      </c>
      <c r="CI66" s="55">
        <f>IFERROR(LOOKUP(CI$23,Timeseries!$A:$A,Timeseries!$O:$O),"")</f>
        <v>14</v>
      </c>
      <c r="CJ66" s="55">
        <f>IFERROR(LOOKUP(CJ$23,Timeseries!$A:$A,Timeseries!$O:$O),"")</f>
        <v>14</v>
      </c>
      <c r="CK66" s="55">
        <f>IFERROR(LOOKUP(CK$23,Timeseries!$A:$A,Timeseries!$O:$O),"")</f>
        <v>14</v>
      </c>
      <c r="CL66" s="55">
        <f>IFERROR(LOOKUP(CL$23,Timeseries!$A:$A,Timeseries!$O:$O),"")</f>
        <v>14</v>
      </c>
      <c r="CM66" s="55">
        <f>IFERROR(LOOKUP(CM$23,Timeseries!$A:$A,Timeseries!$O:$O),"")</f>
        <v>14</v>
      </c>
      <c r="CN66" s="55">
        <f>IFERROR(LOOKUP(CN$23,Timeseries!$A:$A,Timeseries!$O:$O),"")</f>
        <v>14</v>
      </c>
      <c r="CO66" s="55">
        <f>IFERROR(LOOKUP(CO$23,Timeseries!$A:$A,Timeseries!$O:$O),"")</f>
        <v>14</v>
      </c>
      <c r="CP66" s="55">
        <f>IFERROR(LOOKUP(CP$23,Timeseries!$A:$A,Timeseries!$O:$O),"")</f>
        <v>14</v>
      </c>
      <c r="CQ66" s="55">
        <f>IFERROR(LOOKUP(CQ$23,Timeseries!$A:$A,Timeseries!$O:$O),"")</f>
        <v>14</v>
      </c>
      <c r="CR66" s="55">
        <f>IFERROR(LOOKUP(CR$23,Timeseries!$A:$A,Timeseries!$O:$O),"")</f>
        <v>14</v>
      </c>
      <c r="CS66" s="55">
        <f>IFERROR(LOOKUP(CS$23,Timeseries!$A:$A,Timeseries!$O:$O),"")</f>
        <v>14</v>
      </c>
      <c r="CT66" s="55">
        <f>IFERROR(LOOKUP(CT$23,Timeseries!$A:$A,Timeseries!$O:$O),"")</f>
        <v>14</v>
      </c>
      <c r="CU66" s="55">
        <f>IFERROR(LOOKUP(CU$23,Timeseries!$A:$A,Timeseries!$O:$O),"")</f>
        <v>14</v>
      </c>
      <c r="CV66" s="55">
        <f>IFERROR(LOOKUP(CV$23,Timeseries!$A:$A,Timeseries!$O:$O),"")</f>
        <v>14</v>
      </c>
      <c r="CW66" s="55">
        <f>IFERROR(LOOKUP(CW$23,Timeseries!$A:$A,Timeseries!$O:$O),"")</f>
        <v>14</v>
      </c>
      <c r="CX66" s="55">
        <f>IFERROR(LOOKUP(CX$23,Timeseries!$A:$A,Timeseries!$O:$O),"")</f>
        <v>14</v>
      </c>
      <c r="CY66" s="55">
        <f>IFERROR(LOOKUP(CY$23,Timeseries!$A:$A,Timeseries!$O:$O),"")</f>
        <v>14</v>
      </c>
      <c r="CZ66" s="55">
        <f>IFERROR(LOOKUP(CZ$23,Timeseries!$A:$A,Timeseries!$O:$O),"")</f>
        <v>14</v>
      </c>
      <c r="DA66" s="55">
        <f>IFERROR(LOOKUP(DA$23,Timeseries!$A:$A,Timeseries!$O:$O),"")</f>
        <v>14</v>
      </c>
      <c r="DB66" s="55">
        <f>IFERROR(LOOKUP(DB$23,Timeseries!$A:$A,Timeseries!$O:$O),"")</f>
        <v>14</v>
      </c>
      <c r="DC66" s="55">
        <f>IFERROR(LOOKUP(DC$23,Timeseries!$A:$A,Timeseries!$O:$O),"")</f>
        <v>14</v>
      </c>
      <c r="DD66" s="55">
        <f>IFERROR(LOOKUP(DD$23,Timeseries!$A:$A,Timeseries!$O:$O),"")</f>
        <v>14</v>
      </c>
      <c r="DE66" s="55">
        <f>IFERROR(LOOKUP(DE$23,Timeseries!$A:$A,Timeseries!$O:$O),"")</f>
        <v>14</v>
      </c>
      <c r="DF66" s="55">
        <f>IFERROR(LOOKUP(DF$23,Timeseries!$A:$A,Timeseries!$O:$O),"")</f>
        <v>14</v>
      </c>
      <c r="DG66" s="55">
        <f>IFERROR(LOOKUP(DG$23,Timeseries!$A:$A,Timeseries!$O:$O),"")</f>
        <v>14</v>
      </c>
      <c r="DH66" s="55">
        <f>IFERROR(LOOKUP(DH$23,Timeseries!$A:$A,Timeseries!$O:$O),"")</f>
        <v>14</v>
      </c>
      <c r="DI66" s="55">
        <f>IFERROR(LOOKUP(DI$23,Timeseries!$A:$A,Timeseries!$O:$O),"")</f>
        <v>14</v>
      </c>
      <c r="DJ66" s="55">
        <f>IFERROR(LOOKUP(DJ$23,Timeseries!$A:$A,Timeseries!$O:$O),"")</f>
        <v>14</v>
      </c>
      <c r="DK66" s="55">
        <f>IFERROR(LOOKUP(DK$23,Timeseries!$A:$A,Timeseries!$O:$O),"")</f>
        <v>14</v>
      </c>
      <c r="DL66" s="55">
        <f>IFERROR(LOOKUP(DL$23,Timeseries!$A:$A,Timeseries!$O:$O),"")</f>
        <v>14</v>
      </c>
      <c r="DM66" s="55">
        <f>IFERROR(LOOKUP(DM$23,Timeseries!$A:$A,Timeseries!$O:$O),"")</f>
        <v>14</v>
      </c>
      <c r="DN66" s="55">
        <f>IFERROR(LOOKUP(DN$23,Timeseries!$A:$A,Timeseries!$O:$O),"")</f>
        <v>14</v>
      </c>
      <c r="DO66" s="55">
        <f>IFERROR(LOOKUP(DO$23,Timeseries!$A:$A,Timeseries!$O:$O),"")</f>
        <v>14</v>
      </c>
      <c r="DP66" s="55">
        <f>IFERROR(LOOKUP(DP$23,Timeseries!$A:$A,Timeseries!$O:$O),"")</f>
        <v>14</v>
      </c>
      <c r="DQ66" s="55">
        <f>IFERROR(LOOKUP(DQ$23,Timeseries!$A:$A,Timeseries!$O:$O),"")</f>
        <v>14</v>
      </c>
      <c r="DR66" s="55">
        <f>IFERROR(LOOKUP(DR$23,Timeseries!$A:$A,Timeseries!$O:$O),"")</f>
        <v>14</v>
      </c>
      <c r="DS66" s="55">
        <f>IFERROR(LOOKUP(DS$23,Timeseries!$A:$A,Timeseries!$O:$O),"")</f>
        <v>14</v>
      </c>
      <c r="DT66" s="55">
        <f>IFERROR(LOOKUP(DT$23,Timeseries!$A:$A,Timeseries!$O:$O),"")</f>
        <v>14</v>
      </c>
      <c r="DU66" s="55">
        <f>IFERROR(LOOKUP(DU$23,Timeseries!$A:$A,Timeseries!$O:$O),"")</f>
        <v>14</v>
      </c>
      <c r="DV66" s="55">
        <f>IFERROR(LOOKUP(DV$23,Timeseries!$A:$A,Timeseries!$O:$O),"")</f>
        <v>14</v>
      </c>
      <c r="DW66" s="55">
        <f>IFERROR(LOOKUP(DW$23,Timeseries!$A:$A,Timeseries!$O:$O),"")</f>
        <v>14</v>
      </c>
      <c r="DX66" s="55">
        <f>IFERROR(LOOKUP(DX$23,Timeseries!$A:$A,Timeseries!$O:$O),"")</f>
        <v>14</v>
      </c>
      <c r="DY66" s="55">
        <f>IFERROR(LOOKUP(DY$23,Timeseries!$A:$A,Timeseries!$O:$O),"")</f>
        <v>14</v>
      </c>
      <c r="DZ66" s="55">
        <f>IFERROR(LOOKUP(DZ$23,Timeseries!$A:$A,Timeseries!$O:$O),"")</f>
        <v>14</v>
      </c>
      <c r="EA66" s="55">
        <f>IFERROR(LOOKUP(EA$23,Timeseries!$A:$A,Timeseries!$O:$O),"")</f>
        <v>14</v>
      </c>
      <c r="EB66" s="55">
        <f>IFERROR(LOOKUP(EB$23,Timeseries!$A:$A,Timeseries!$O:$O),"")</f>
        <v>14</v>
      </c>
      <c r="EC66" s="55">
        <f>IFERROR(LOOKUP(EC$23,Timeseries!$A:$A,Timeseries!$O:$O),"")</f>
        <v>14</v>
      </c>
      <c r="ED66" s="55">
        <f>IFERROR(LOOKUP(ED$23,Timeseries!$A:$A,Timeseries!$O:$O),"")</f>
        <v>14</v>
      </c>
      <c r="EE66" s="55">
        <f>IFERROR(LOOKUP(EE$23,Timeseries!$A:$A,Timeseries!$O:$O),"")</f>
        <v>14</v>
      </c>
      <c r="EF66" s="55">
        <f>IFERROR(LOOKUP(EF$23,Timeseries!$A:$A,Timeseries!$O:$O),"")</f>
        <v>14</v>
      </c>
      <c r="EG66" s="55">
        <f>IFERROR(LOOKUP(EG$23,Timeseries!$A:$A,Timeseries!$O:$O),"")</f>
        <v>14</v>
      </c>
      <c r="EH66" s="55">
        <f>IFERROR(LOOKUP(EH$23,Timeseries!$A:$A,Timeseries!$O:$O),"")</f>
        <v>14</v>
      </c>
      <c r="EI66" s="55">
        <f>IFERROR(LOOKUP(EI$23,Timeseries!$A:$A,Timeseries!$O:$O),"")</f>
        <v>14</v>
      </c>
      <c r="EJ66" s="55">
        <f>IFERROR(LOOKUP(EJ$23,Timeseries!$A:$A,Timeseries!$O:$O),"")</f>
        <v>14</v>
      </c>
      <c r="EK66" s="55">
        <f>IFERROR(LOOKUP(EK$23,Timeseries!$A:$A,Timeseries!$O:$O),"")</f>
        <v>14</v>
      </c>
      <c r="EL66" s="55">
        <f>IFERROR(LOOKUP(EL$23,Timeseries!$A:$A,Timeseries!$O:$O),"")</f>
        <v>14</v>
      </c>
      <c r="EM66" s="55">
        <f>IFERROR(LOOKUP(EM$23,Timeseries!$A:$A,Timeseries!$O:$O),"")</f>
        <v>14</v>
      </c>
      <c r="EN66" s="55">
        <f>IFERROR(LOOKUP(EN$23,Timeseries!$A:$A,Timeseries!$O:$O),"")</f>
        <v>14</v>
      </c>
      <c r="EO66" s="55">
        <f>IFERROR(LOOKUP(EO$23,Timeseries!$A:$A,Timeseries!$O:$O),"")</f>
        <v>14</v>
      </c>
      <c r="EP66" s="55">
        <f>IFERROR(LOOKUP(EP$23,Timeseries!$A:$A,Timeseries!$O:$O),"")</f>
        <v>14</v>
      </c>
      <c r="EQ66" s="55">
        <f>IFERROR(LOOKUP(EQ$23,Timeseries!$A:$A,Timeseries!$O:$O),"")</f>
        <v>14</v>
      </c>
      <c r="ER66" s="55">
        <f>IFERROR(LOOKUP(ER$23,Timeseries!$A:$A,Timeseries!$O:$O),"")</f>
        <v>14</v>
      </c>
      <c r="ES66" s="55">
        <f>IFERROR(LOOKUP(ES$23,Timeseries!$A:$A,Timeseries!$O:$O),"")</f>
        <v>14</v>
      </c>
      <c r="ET66" s="55">
        <f>IFERROR(LOOKUP(ET$23,Timeseries!$A:$A,Timeseries!$O:$O),"")</f>
        <v>14</v>
      </c>
      <c r="EU66" s="55">
        <f>IFERROR(LOOKUP(EU$23,Timeseries!$A:$A,Timeseries!$O:$O),"")</f>
        <v>14</v>
      </c>
      <c r="EV66" s="55">
        <f>IFERROR(LOOKUP(EV$23,Timeseries!$A:$A,Timeseries!$O:$O),"")</f>
        <v>14</v>
      </c>
      <c r="EW66" s="55">
        <f>IFERROR(LOOKUP(EW$23,Timeseries!$A:$A,Timeseries!$O:$O),"")</f>
        <v>14</v>
      </c>
      <c r="EX66" s="55">
        <f>IFERROR(LOOKUP(EX$23,Timeseries!$A:$A,Timeseries!$O:$O),"")</f>
        <v>14</v>
      </c>
      <c r="EY66" s="55">
        <f>IFERROR(LOOKUP(EY$23,Timeseries!$A:$A,Timeseries!$O:$O),"")</f>
        <v>14</v>
      </c>
      <c r="EZ66" s="55">
        <f>IFERROR(LOOKUP(EZ$23,Timeseries!$A:$A,Timeseries!$O:$O),"")</f>
        <v>14</v>
      </c>
      <c r="FA66" s="55">
        <f>IFERROR(LOOKUP(FA$23,Timeseries!$A:$A,Timeseries!$O:$O),"")</f>
        <v>14</v>
      </c>
      <c r="FB66" s="55">
        <f>IFERROR(LOOKUP(FB$23,Timeseries!$A:$A,Timeseries!$O:$O),"")</f>
        <v>14</v>
      </c>
      <c r="FC66" s="55">
        <f>IFERROR(LOOKUP(FC$23,Timeseries!$A:$A,Timeseries!$O:$O),"")</f>
        <v>14</v>
      </c>
      <c r="FD66" s="55">
        <f>IFERROR(LOOKUP(FD$23,Timeseries!$A:$A,Timeseries!$O:$O),"")</f>
        <v>14</v>
      </c>
      <c r="FE66" s="55">
        <f>IFERROR(LOOKUP(FE$23,Timeseries!$A:$A,Timeseries!$O:$O),"")</f>
        <v>14</v>
      </c>
      <c r="FF66" s="55">
        <f>IFERROR(LOOKUP(FF$23,Timeseries!$A:$A,Timeseries!$O:$O),"")</f>
        <v>14</v>
      </c>
      <c r="FG66" s="55">
        <f>IFERROR(LOOKUP(FG$23,Timeseries!$A:$A,Timeseries!$O:$O),"")</f>
        <v>14</v>
      </c>
      <c r="FH66" s="55">
        <f>IFERROR(LOOKUP(FH$23,Timeseries!$A:$A,Timeseries!$O:$O),"")</f>
        <v>14</v>
      </c>
      <c r="FI66" s="55">
        <f>IFERROR(LOOKUP(FI$23,Timeseries!$A:$A,Timeseries!$O:$O),"")</f>
        <v>14</v>
      </c>
      <c r="FJ66" s="55">
        <f>IFERROR(LOOKUP(FJ$23,Timeseries!$A:$A,Timeseries!$O:$O),"")</f>
        <v>14</v>
      </c>
      <c r="FK66" s="55">
        <f>IFERROR(LOOKUP(FK$23,Timeseries!$A:$A,Timeseries!$O:$O),"")</f>
        <v>14</v>
      </c>
      <c r="FL66" s="55">
        <f>IFERROR(LOOKUP(FL$23,Timeseries!$A:$A,Timeseries!$O:$O),"")</f>
        <v>14</v>
      </c>
      <c r="FM66" s="55">
        <f>IFERROR(LOOKUP(FM$23,Timeseries!$A:$A,Timeseries!$O:$O),"")</f>
        <v>14</v>
      </c>
      <c r="FN66" s="55">
        <f>IFERROR(LOOKUP(FN$23,Timeseries!$A:$A,Timeseries!$O:$O),"")</f>
        <v>14</v>
      </c>
      <c r="FO66" s="55">
        <f>IFERROR(LOOKUP(FO$23,Timeseries!$A:$A,Timeseries!$O:$O),"")</f>
        <v>14</v>
      </c>
      <c r="FP66" s="55">
        <f>IFERROR(LOOKUP(FP$23,Timeseries!$A:$A,Timeseries!$O:$O),"")</f>
        <v>14</v>
      </c>
      <c r="FQ66" s="55">
        <f>IFERROR(LOOKUP(FQ$23,Timeseries!$A:$A,Timeseries!$O:$O),"")</f>
        <v>14</v>
      </c>
      <c r="FR66" s="55">
        <f>IFERROR(LOOKUP(FR$23,Timeseries!$A:$A,Timeseries!$O:$O),"")</f>
        <v>14</v>
      </c>
      <c r="FS66" s="55">
        <f>IFERROR(LOOKUP(FS$23,Timeseries!$A:$A,Timeseries!$O:$O),"")</f>
        <v>14</v>
      </c>
    </row>
    <row r="67" spans="4:175">
      <c r="D67" s="17" t="s">
        <v>37</v>
      </c>
      <c r="E67" s="2" t="s">
        <v>3</v>
      </c>
      <c r="F67" s="8" t="s">
        <v>154</v>
      </c>
      <c r="G67" s="2"/>
      <c r="H67" s="55">
        <f>IFERROR(LOOKUP(H$23,Timeseries!$A:$A,Timeseries!$Q:$Q),"")</f>
        <v>2.4</v>
      </c>
      <c r="I67" s="55">
        <f>IFERROR(LOOKUP(I$23,Timeseries!$A:$A,Timeseries!$Q:$Q),"")</f>
        <v>2.5</v>
      </c>
      <c r="J67" s="55">
        <f>IFERROR(LOOKUP(J$23,Timeseries!$A:$A,Timeseries!$Q:$Q),"")</f>
        <v>2.8</v>
      </c>
      <c r="K67" s="55">
        <f>IFERROR(LOOKUP(K$23,Timeseries!$A:$A,Timeseries!$Q:$Q),"")</f>
        <v>2.6</v>
      </c>
      <c r="L67" s="55">
        <f>IFERROR(LOOKUP(L$23,Timeseries!$A:$A,Timeseries!$Q:$Q),"")</f>
        <v>3</v>
      </c>
      <c r="M67" s="55">
        <f>IFERROR(LOOKUP(M$23,Timeseries!$A:$A,Timeseries!$Q:$Q),"")</f>
        <v>2.4</v>
      </c>
      <c r="N67" s="55">
        <f>IFERROR(LOOKUP(N$23,Timeseries!$A:$A,Timeseries!$Q:$Q),"")</f>
        <v>2.6</v>
      </c>
      <c r="O67" s="55">
        <f>IFERROR(LOOKUP(O$23,Timeseries!$A:$A,Timeseries!$Q:$Q),"")</f>
        <v>2.5</v>
      </c>
      <c r="P67" s="55">
        <f>IFERROR(LOOKUP(P$23,Timeseries!$A:$A,Timeseries!$Q:$Q),"")</f>
        <v>2.6</v>
      </c>
      <c r="Q67" s="55">
        <f>IFERROR(LOOKUP(Q$23,Timeseries!$A:$A,Timeseries!$Q:$Q),"")</f>
        <v>2.8</v>
      </c>
      <c r="R67" s="55">
        <f>IFERROR(LOOKUP(R$23,Timeseries!$A:$A,Timeseries!$Q:$Q),"")</f>
        <v>3</v>
      </c>
      <c r="S67" s="55">
        <f>IFERROR(LOOKUP(S$23,Timeseries!$A:$A,Timeseries!$Q:$Q),"")</f>
        <v>2.9</v>
      </c>
      <c r="T67" s="55">
        <f>IFERROR(LOOKUP(T$23,Timeseries!$A:$A,Timeseries!$Q:$Q),"")</f>
        <v>2.7</v>
      </c>
      <c r="U67" s="55">
        <f>IFERROR(LOOKUP(U$23,Timeseries!$A:$A,Timeseries!$Q:$Q),"")</f>
        <v>2.9</v>
      </c>
      <c r="V67" s="55">
        <f>IFERROR(LOOKUP(V$23,Timeseries!$A:$A,Timeseries!$Q:$Q),"")</f>
        <v>3</v>
      </c>
      <c r="W67" s="55">
        <f>IFERROR(LOOKUP(W$23,Timeseries!$A:$A,Timeseries!$Q:$Q),"")</f>
        <v>3</v>
      </c>
      <c r="X67" s="55">
        <f>IFERROR(LOOKUP(X$23,Timeseries!$A:$A,Timeseries!$Q:$Q),"")</f>
        <v>2.9</v>
      </c>
      <c r="Y67" s="55">
        <f>IFERROR(LOOKUP(Y$23,Timeseries!$A:$A,Timeseries!$Q:$Q),"")</f>
        <v>3</v>
      </c>
      <c r="Z67" s="55">
        <f>IFERROR(LOOKUP(Z$23,Timeseries!$A:$A,Timeseries!$Q:$Q),"")</f>
        <v>2.5</v>
      </c>
      <c r="AA67" s="55">
        <f>IFERROR(LOOKUP(AA$23,Timeseries!$A:$A,Timeseries!$Q:$Q),"")</f>
        <v>2.8</v>
      </c>
      <c r="AB67" s="55">
        <f>IFERROR(LOOKUP(AB$23,Timeseries!$A:$A,Timeseries!$Q:$Q),"")</f>
        <v>2.7</v>
      </c>
      <c r="AC67" s="55">
        <f>IFERROR(LOOKUP(AC$23,Timeseries!$A:$A,Timeseries!$Q:$Q),"")</f>
        <v>2.8</v>
      </c>
      <c r="AD67" s="55">
        <f>IFERROR(LOOKUP(AD$23,Timeseries!$A:$A,Timeseries!$Q:$Q),"")</f>
        <v>2.5</v>
      </c>
      <c r="AE67" s="55">
        <f>IFERROR(LOOKUP(AE$23,Timeseries!$A:$A,Timeseries!$Q:$Q),"")</f>
        <v>2.8</v>
      </c>
      <c r="AF67" s="55">
        <f>IFERROR(LOOKUP(AF$23,Timeseries!$A:$A,Timeseries!$Q:$Q),"")</f>
        <v>2.4</v>
      </c>
      <c r="AG67" s="55">
        <f>IFERROR(LOOKUP(AG$23,Timeseries!$A:$A,Timeseries!$Q:$Q),"")</f>
        <v>2.4</v>
      </c>
      <c r="AH67" s="55">
        <f>IFERROR(LOOKUP(AH$23,Timeseries!$A:$A,Timeseries!$Q:$Q),"")</f>
        <v>2.9</v>
      </c>
      <c r="AI67" s="55">
        <f>IFERROR(LOOKUP(AI$23,Timeseries!$A:$A,Timeseries!$Q:$Q),"")</f>
        <v>2.9</v>
      </c>
      <c r="AJ67" s="55">
        <f>IFERROR(LOOKUP(AJ$23,Timeseries!$A:$A,Timeseries!$Q:$Q),"")</f>
        <v>2.5</v>
      </c>
      <c r="AK67" s="55">
        <f>IFERROR(LOOKUP(AK$23,Timeseries!$A:$A,Timeseries!$Q:$Q),"")</f>
        <v>2.5</v>
      </c>
      <c r="AL67" s="55">
        <f>IFERROR(LOOKUP(AL$23,Timeseries!$A:$A,Timeseries!$Q:$Q),"")</f>
        <v>2.4</v>
      </c>
      <c r="AM67" s="55">
        <f>IFERROR(LOOKUP(AM$23,Timeseries!$A:$A,Timeseries!$Q:$Q),"")</f>
        <v>2.7</v>
      </c>
      <c r="AN67" s="55">
        <f>IFERROR(LOOKUP(AN$23,Timeseries!$A:$A,Timeseries!$Q:$Q),"")</f>
        <v>2.9</v>
      </c>
      <c r="AO67" s="55">
        <f>IFERROR(LOOKUP(AO$23,Timeseries!$A:$A,Timeseries!$Q:$Q),"")</f>
        <v>2.6</v>
      </c>
      <c r="AP67" s="55">
        <f>IFERROR(LOOKUP(AP$23,Timeseries!$A:$A,Timeseries!$Q:$Q),"")</f>
        <v>2.6</v>
      </c>
      <c r="AQ67" s="55">
        <f>IFERROR(LOOKUP(AQ$23,Timeseries!$A:$A,Timeseries!$Q:$Q),"")</f>
        <v>3</v>
      </c>
      <c r="AR67" s="55">
        <f>IFERROR(LOOKUP(AR$23,Timeseries!$A:$A,Timeseries!$Q:$Q),"")</f>
        <v>2.8</v>
      </c>
      <c r="AS67" s="55">
        <f>IFERROR(LOOKUP(AS$23,Timeseries!$A:$A,Timeseries!$Q:$Q),"")</f>
        <v>2.6</v>
      </c>
      <c r="AT67" s="55">
        <f>IFERROR(LOOKUP(AT$23,Timeseries!$A:$A,Timeseries!$Q:$Q),"")</f>
        <v>3</v>
      </c>
      <c r="AU67" s="55">
        <f>IFERROR(LOOKUP(AU$23,Timeseries!$A:$A,Timeseries!$Q:$Q),"")</f>
        <v>2.8</v>
      </c>
      <c r="AV67" s="55">
        <f>IFERROR(LOOKUP(AV$23,Timeseries!$A:$A,Timeseries!$Q:$Q),"")</f>
        <v>3</v>
      </c>
      <c r="AW67" s="55">
        <f>IFERROR(LOOKUP(AW$23,Timeseries!$A:$A,Timeseries!$Q:$Q),"")</f>
        <v>2.6</v>
      </c>
      <c r="AX67" s="55">
        <f>IFERROR(LOOKUP(AX$23,Timeseries!$A:$A,Timeseries!$Q:$Q),"")</f>
        <v>2.8</v>
      </c>
      <c r="AY67" s="55">
        <f>IFERROR(LOOKUP(AY$23,Timeseries!$A:$A,Timeseries!$Q:$Q),"")</f>
        <v>2.8</v>
      </c>
      <c r="AZ67" s="55">
        <f>IFERROR(LOOKUP(AZ$23,Timeseries!$A:$A,Timeseries!$Q:$Q),"")</f>
        <v>2.6</v>
      </c>
      <c r="BA67" s="55">
        <f>IFERROR(LOOKUP(BA$23,Timeseries!$A:$A,Timeseries!$Q:$Q),"")</f>
        <v>2.5</v>
      </c>
      <c r="BB67" s="55">
        <f>IFERROR(LOOKUP(BB$23,Timeseries!$A:$A,Timeseries!$Q:$Q),"")</f>
        <v>2.8</v>
      </c>
      <c r="BC67" s="55">
        <f>IFERROR(LOOKUP(BC$23,Timeseries!$A:$A,Timeseries!$Q:$Q),"")</f>
        <v>2.5</v>
      </c>
      <c r="BD67" s="55">
        <f>IFERROR(LOOKUP(BD$23,Timeseries!$A:$A,Timeseries!$Q:$Q),"")</f>
        <v>3</v>
      </c>
      <c r="BE67" s="55">
        <f>IFERROR(LOOKUP(BE$23,Timeseries!$A:$A,Timeseries!$Q:$Q),"")</f>
        <v>2.5</v>
      </c>
      <c r="BF67" s="55">
        <f>IFERROR(LOOKUP(BF$23,Timeseries!$A:$A,Timeseries!$Q:$Q),"")</f>
        <v>2.8</v>
      </c>
      <c r="BG67" s="55">
        <f>IFERROR(LOOKUP(BG$23,Timeseries!$A:$A,Timeseries!$Q:$Q),"")</f>
        <v>2.9</v>
      </c>
      <c r="BH67" s="55">
        <f>IFERROR(LOOKUP(BH$23,Timeseries!$A:$A,Timeseries!$Q:$Q),"")</f>
        <v>2.6</v>
      </c>
      <c r="BI67" s="55">
        <f>IFERROR(LOOKUP(BI$23,Timeseries!$A:$A,Timeseries!$Q:$Q),"")</f>
        <v>2.6</v>
      </c>
      <c r="BJ67" s="55">
        <f>IFERROR(LOOKUP(BJ$23,Timeseries!$A:$A,Timeseries!$Q:$Q),"")</f>
        <v>2.6</v>
      </c>
      <c r="BK67" s="55">
        <f>IFERROR(LOOKUP(BK$23,Timeseries!$A:$A,Timeseries!$Q:$Q),"")</f>
        <v>2.9</v>
      </c>
      <c r="BL67" s="55">
        <f>IFERROR(LOOKUP(BL$23,Timeseries!$A:$A,Timeseries!$Q:$Q),"")</f>
        <v>2.6</v>
      </c>
      <c r="BM67" s="55">
        <f>IFERROR(LOOKUP(BM$23,Timeseries!$A:$A,Timeseries!$Q:$Q),"")</f>
        <v>3</v>
      </c>
      <c r="BN67" s="55">
        <f>IFERROR(LOOKUP(BN$23,Timeseries!$A:$A,Timeseries!$Q:$Q),"")</f>
        <v>2.6</v>
      </c>
      <c r="BO67" s="55">
        <f>IFERROR(LOOKUP(BO$23,Timeseries!$A:$A,Timeseries!$Q:$Q),"")</f>
        <v>2.4</v>
      </c>
      <c r="BP67" s="55">
        <f>IFERROR(LOOKUP(BP$23,Timeseries!$A:$A,Timeseries!$Q:$Q),"")</f>
        <v>2.7</v>
      </c>
      <c r="BQ67" s="55">
        <f>IFERROR(LOOKUP(BQ$23,Timeseries!$A:$A,Timeseries!$Q:$Q),"")</f>
        <v>2.6</v>
      </c>
      <c r="BR67" s="55">
        <f>IFERROR(LOOKUP(BR$23,Timeseries!$A:$A,Timeseries!$Q:$Q),"")</f>
        <v>2.9</v>
      </c>
      <c r="BS67" s="55">
        <f>IFERROR(LOOKUP(BS$23,Timeseries!$A:$A,Timeseries!$Q:$Q),"")</f>
        <v>2.7</v>
      </c>
      <c r="BT67" s="55">
        <f>IFERROR(LOOKUP(BT$23,Timeseries!$A:$A,Timeseries!$Q:$Q),"")</f>
        <v>3</v>
      </c>
      <c r="BU67" s="55">
        <f>IFERROR(LOOKUP(BU$23,Timeseries!$A:$A,Timeseries!$Q:$Q),"")</f>
        <v>2.9</v>
      </c>
      <c r="BV67" s="55">
        <f>IFERROR(LOOKUP(BV$23,Timeseries!$A:$A,Timeseries!$Q:$Q),"")</f>
        <v>2.7</v>
      </c>
      <c r="BW67" s="55">
        <f>IFERROR(LOOKUP(BW$23,Timeseries!$A:$A,Timeseries!$Q:$Q),"")</f>
        <v>2.6</v>
      </c>
      <c r="BX67" s="55">
        <f>IFERROR(LOOKUP(BX$23,Timeseries!$A:$A,Timeseries!$Q:$Q),"")</f>
        <v>2.7</v>
      </c>
      <c r="BY67" s="55">
        <f>IFERROR(LOOKUP(BY$23,Timeseries!$A:$A,Timeseries!$Q:$Q),"")</f>
        <v>2.7</v>
      </c>
      <c r="BZ67" s="55">
        <f>IFERROR(LOOKUP(BZ$23,Timeseries!$A:$A,Timeseries!$Q:$Q),"")</f>
        <v>2.8</v>
      </c>
      <c r="CA67" s="55">
        <f>IFERROR(LOOKUP(CA$23,Timeseries!$A:$A,Timeseries!$Q:$Q),"")</f>
        <v>2.7</v>
      </c>
      <c r="CB67" s="55">
        <f>IFERROR(LOOKUP(CB$23,Timeseries!$A:$A,Timeseries!$Q:$Q),"")</f>
        <v>2.9</v>
      </c>
      <c r="CC67" s="55">
        <f>IFERROR(LOOKUP(CC$23,Timeseries!$A:$A,Timeseries!$Q:$Q),"")</f>
        <v>2.7</v>
      </c>
      <c r="CD67" s="55">
        <f>IFERROR(LOOKUP(CD$23,Timeseries!$A:$A,Timeseries!$Q:$Q),"")</f>
        <v>2.9</v>
      </c>
      <c r="CE67" s="55">
        <f>IFERROR(LOOKUP(CE$23,Timeseries!$A:$A,Timeseries!$Q:$Q),"")</f>
        <v>2.4</v>
      </c>
      <c r="CF67" s="55">
        <f>IFERROR(LOOKUP(CF$23,Timeseries!$A:$A,Timeseries!$Q:$Q),"")</f>
        <v>3</v>
      </c>
      <c r="CG67" s="55">
        <f>IFERROR(LOOKUP(CG$23,Timeseries!$A:$A,Timeseries!$Q:$Q),"")</f>
        <v>2.8</v>
      </c>
      <c r="CH67" s="55">
        <f>IFERROR(LOOKUP(CH$23,Timeseries!$A:$A,Timeseries!$Q:$Q),"")</f>
        <v>2.4</v>
      </c>
      <c r="CI67" s="55">
        <f>IFERROR(LOOKUP(CI$23,Timeseries!$A:$A,Timeseries!$Q:$Q),"")</f>
        <v>2.9</v>
      </c>
      <c r="CJ67" s="55">
        <f>IFERROR(LOOKUP(CJ$23,Timeseries!$A:$A,Timeseries!$Q:$Q),"")</f>
        <v>3</v>
      </c>
      <c r="CK67" s="55">
        <f>IFERROR(LOOKUP(CK$23,Timeseries!$A:$A,Timeseries!$Q:$Q),"")</f>
        <v>3</v>
      </c>
      <c r="CL67" s="55">
        <f>IFERROR(LOOKUP(CL$23,Timeseries!$A:$A,Timeseries!$Q:$Q),"")</f>
        <v>2.5</v>
      </c>
      <c r="CM67" s="55">
        <f>IFERROR(LOOKUP(CM$23,Timeseries!$A:$A,Timeseries!$Q:$Q),"")</f>
        <v>2.5</v>
      </c>
      <c r="CN67" s="55">
        <f>IFERROR(LOOKUP(CN$23,Timeseries!$A:$A,Timeseries!$Q:$Q),"")</f>
        <v>2.5</v>
      </c>
      <c r="CO67" s="55">
        <f>IFERROR(LOOKUP(CO$23,Timeseries!$A:$A,Timeseries!$Q:$Q),"")</f>
        <v>2.9</v>
      </c>
      <c r="CP67" s="55">
        <f>IFERROR(LOOKUP(CP$23,Timeseries!$A:$A,Timeseries!$Q:$Q),"")</f>
        <v>2.5</v>
      </c>
      <c r="CQ67" s="55">
        <f>IFERROR(LOOKUP(CQ$23,Timeseries!$A:$A,Timeseries!$Q:$Q),"")</f>
        <v>2.7</v>
      </c>
      <c r="CR67" s="55">
        <f>IFERROR(LOOKUP(CR$23,Timeseries!$A:$A,Timeseries!$Q:$Q),"")</f>
        <v>2.4</v>
      </c>
      <c r="CS67" s="55">
        <f>IFERROR(LOOKUP(CS$23,Timeseries!$A:$A,Timeseries!$Q:$Q),"")</f>
        <v>2.4</v>
      </c>
      <c r="CT67" s="55">
        <f>IFERROR(LOOKUP(CT$23,Timeseries!$A:$A,Timeseries!$Q:$Q),"")</f>
        <v>2.8</v>
      </c>
      <c r="CU67" s="55">
        <f>IFERROR(LOOKUP(CU$23,Timeseries!$A:$A,Timeseries!$Q:$Q),"")</f>
        <v>2.6</v>
      </c>
      <c r="CV67" s="55">
        <f>IFERROR(LOOKUP(CV$23,Timeseries!$A:$A,Timeseries!$Q:$Q),"")</f>
        <v>2.5</v>
      </c>
      <c r="CW67" s="55">
        <f>IFERROR(LOOKUP(CW$23,Timeseries!$A:$A,Timeseries!$Q:$Q),"")</f>
        <v>3</v>
      </c>
      <c r="CX67" s="55">
        <f>IFERROR(LOOKUP(CX$23,Timeseries!$A:$A,Timeseries!$Q:$Q),"")</f>
        <v>2.4</v>
      </c>
      <c r="CY67" s="55">
        <f>IFERROR(LOOKUP(CY$23,Timeseries!$A:$A,Timeseries!$Q:$Q),"")</f>
        <v>2.6</v>
      </c>
      <c r="CZ67" s="55">
        <f>IFERROR(LOOKUP(CZ$23,Timeseries!$A:$A,Timeseries!$Q:$Q),"")</f>
        <v>2.9</v>
      </c>
      <c r="DA67" s="55">
        <f>IFERROR(LOOKUP(DA$23,Timeseries!$A:$A,Timeseries!$Q:$Q),"")</f>
        <v>2.8</v>
      </c>
      <c r="DB67" s="55">
        <f>IFERROR(LOOKUP(DB$23,Timeseries!$A:$A,Timeseries!$Q:$Q),"")</f>
        <v>2.6</v>
      </c>
      <c r="DC67" s="55">
        <f>IFERROR(LOOKUP(DC$23,Timeseries!$A:$A,Timeseries!$Q:$Q),"")</f>
        <v>3</v>
      </c>
      <c r="DD67" s="55">
        <f>IFERROR(LOOKUP(DD$23,Timeseries!$A:$A,Timeseries!$Q:$Q),"")</f>
        <v>2.9</v>
      </c>
      <c r="DE67" s="55">
        <f>IFERROR(LOOKUP(DE$23,Timeseries!$A:$A,Timeseries!$Q:$Q),"")</f>
        <v>2.9</v>
      </c>
      <c r="DF67" s="55">
        <f>IFERROR(LOOKUP(DF$23,Timeseries!$A:$A,Timeseries!$Q:$Q),"")</f>
        <v>2.8</v>
      </c>
      <c r="DG67" s="55">
        <f>IFERROR(LOOKUP(DG$23,Timeseries!$A:$A,Timeseries!$Q:$Q),"")</f>
        <v>2.8</v>
      </c>
      <c r="DH67" s="55">
        <f>IFERROR(LOOKUP(DH$23,Timeseries!$A:$A,Timeseries!$Q:$Q),"")</f>
        <v>2.8</v>
      </c>
      <c r="DI67" s="55">
        <f>IFERROR(LOOKUP(DI$23,Timeseries!$A:$A,Timeseries!$Q:$Q),"")</f>
        <v>2.6</v>
      </c>
      <c r="DJ67" s="55">
        <f>IFERROR(LOOKUP(DJ$23,Timeseries!$A:$A,Timeseries!$Q:$Q),"")</f>
        <v>2.4</v>
      </c>
      <c r="DK67" s="55">
        <f>IFERROR(LOOKUP(DK$23,Timeseries!$A:$A,Timeseries!$Q:$Q),"")</f>
        <v>2.4</v>
      </c>
      <c r="DL67" s="55">
        <f>IFERROR(LOOKUP(DL$23,Timeseries!$A:$A,Timeseries!$Q:$Q),"")</f>
        <v>2.8</v>
      </c>
      <c r="DM67" s="55">
        <f>IFERROR(LOOKUP(DM$23,Timeseries!$A:$A,Timeseries!$Q:$Q),"")</f>
        <v>2.5</v>
      </c>
      <c r="DN67" s="55">
        <f>IFERROR(LOOKUP(DN$23,Timeseries!$A:$A,Timeseries!$Q:$Q),"")</f>
        <v>2.7</v>
      </c>
      <c r="DO67" s="55">
        <f>IFERROR(LOOKUP(DO$23,Timeseries!$A:$A,Timeseries!$Q:$Q),"")</f>
        <v>2.7</v>
      </c>
      <c r="DP67" s="55">
        <f>IFERROR(LOOKUP(DP$23,Timeseries!$A:$A,Timeseries!$Q:$Q),"")</f>
        <v>2.7</v>
      </c>
      <c r="DQ67" s="55">
        <f>IFERROR(LOOKUP(DQ$23,Timeseries!$A:$A,Timeseries!$Q:$Q),"")</f>
        <v>3</v>
      </c>
      <c r="DR67" s="55">
        <f>IFERROR(LOOKUP(DR$23,Timeseries!$A:$A,Timeseries!$Q:$Q),"")</f>
        <v>2.8</v>
      </c>
      <c r="DS67" s="55">
        <f>IFERROR(LOOKUP(DS$23,Timeseries!$A:$A,Timeseries!$Q:$Q),"")</f>
        <v>2.6</v>
      </c>
      <c r="DT67" s="55">
        <f>IFERROR(LOOKUP(DT$23,Timeseries!$A:$A,Timeseries!$Q:$Q),"")</f>
        <v>2.4</v>
      </c>
      <c r="DU67" s="55">
        <f>IFERROR(LOOKUP(DU$23,Timeseries!$A:$A,Timeseries!$Q:$Q),"")</f>
        <v>2.9</v>
      </c>
      <c r="DV67" s="55">
        <f>IFERROR(LOOKUP(DV$23,Timeseries!$A:$A,Timeseries!$Q:$Q),"")</f>
        <v>2.4</v>
      </c>
      <c r="DW67" s="55">
        <f>IFERROR(LOOKUP(DW$23,Timeseries!$A:$A,Timeseries!$Q:$Q),"")</f>
        <v>3</v>
      </c>
      <c r="DX67" s="55">
        <f>IFERROR(LOOKUP(DX$23,Timeseries!$A:$A,Timeseries!$Q:$Q),"")</f>
        <v>3</v>
      </c>
      <c r="DY67" s="55">
        <f>IFERROR(LOOKUP(DY$23,Timeseries!$A:$A,Timeseries!$Q:$Q),"")</f>
        <v>2.6</v>
      </c>
      <c r="DZ67" s="55">
        <f>IFERROR(LOOKUP(DZ$23,Timeseries!$A:$A,Timeseries!$Q:$Q),"")</f>
        <v>2.6</v>
      </c>
      <c r="EA67" s="55">
        <f>IFERROR(LOOKUP(EA$23,Timeseries!$A:$A,Timeseries!$Q:$Q),"")</f>
        <v>2.7</v>
      </c>
      <c r="EB67" s="55">
        <f>IFERROR(LOOKUP(EB$23,Timeseries!$A:$A,Timeseries!$Q:$Q),"")</f>
        <v>2.7</v>
      </c>
      <c r="EC67" s="55">
        <f>IFERROR(LOOKUP(EC$23,Timeseries!$A:$A,Timeseries!$Q:$Q),"")</f>
        <v>2.5</v>
      </c>
      <c r="ED67" s="55">
        <f>IFERROR(LOOKUP(ED$23,Timeseries!$A:$A,Timeseries!$Q:$Q),"")</f>
        <v>2.7</v>
      </c>
      <c r="EE67" s="55">
        <f>IFERROR(LOOKUP(EE$23,Timeseries!$A:$A,Timeseries!$Q:$Q),"")</f>
        <v>2.9</v>
      </c>
      <c r="EF67" s="55">
        <f>IFERROR(LOOKUP(EF$23,Timeseries!$A:$A,Timeseries!$Q:$Q),"")</f>
        <v>3</v>
      </c>
      <c r="EG67" s="55">
        <f>IFERROR(LOOKUP(EG$23,Timeseries!$A:$A,Timeseries!$Q:$Q),"")</f>
        <v>2.4</v>
      </c>
      <c r="EH67" s="55">
        <f>IFERROR(LOOKUP(EH$23,Timeseries!$A:$A,Timeseries!$Q:$Q),"")</f>
        <v>2.9</v>
      </c>
      <c r="EI67" s="55">
        <f>IFERROR(LOOKUP(EI$23,Timeseries!$A:$A,Timeseries!$Q:$Q),"")</f>
        <v>2.5</v>
      </c>
      <c r="EJ67" s="55">
        <f>IFERROR(LOOKUP(EJ$23,Timeseries!$A:$A,Timeseries!$Q:$Q),"")</f>
        <v>3</v>
      </c>
      <c r="EK67" s="55">
        <f>IFERROR(LOOKUP(EK$23,Timeseries!$A:$A,Timeseries!$Q:$Q),"")</f>
        <v>2.7</v>
      </c>
      <c r="EL67" s="55">
        <f>IFERROR(LOOKUP(EL$23,Timeseries!$A:$A,Timeseries!$Q:$Q),"")</f>
        <v>2.7</v>
      </c>
      <c r="EM67" s="55">
        <f>IFERROR(LOOKUP(EM$23,Timeseries!$A:$A,Timeseries!$Q:$Q),"")</f>
        <v>3</v>
      </c>
      <c r="EN67" s="55">
        <f>IFERROR(LOOKUP(EN$23,Timeseries!$A:$A,Timeseries!$Q:$Q),"")</f>
        <v>3</v>
      </c>
      <c r="EO67" s="55">
        <f>IFERROR(LOOKUP(EO$23,Timeseries!$A:$A,Timeseries!$Q:$Q),"")</f>
        <v>2.9</v>
      </c>
      <c r="EP67" s="55">
        <f>IFERROR(LOOKUP(EP$23,Timeseries!$A:$A,Timeseries!$Q:$Q),"")</f>
        <v>2.5</v>
      </c>
      <c r="EQ67" s="55">
        <f>IFERROR(LOOKUP(EQ$23,Timeseries!$A:$A,Timeseries!$Q:$Q),"")</f>
        <v>2.6</v>
      </c>
      <c r="ER67" s="55">
        <f>IFERROR(LOOKUP(ER$23,Timeseries!$A:$A,Timeseries!$Q:$Q),"")</f>
        <v>2.8</v>
      </c>
      <c r="ES67" s="55">
        <f>IFERROR(LOOKUP(ES$23,Timeseries!$A:$A,Timeseries!$Q:$Q),"")</f>
        <v>2.5</v>
      </c>
      <c r="ET67" s="55">
        <f>IFERROR(LOOKUP(ET$23,Timeseries!$A:$A,Timeseries!$Q:$Q),"")</f>
        <v>2.6</v>
      </c>
      <c r="EU67" s="55">
        <f>IFERROR(LOOKUP(EU$23,Timeseries!$A:$A,Timeseries!$Q:$Q),"")</f>
        <v>3</v>
      </c>
      <c r="EV67" s="55">
        <f>IFERROR(LOOKUP(EV$23,Timeseries!$A:$A,Timeseries!$Q:$Q),"")</f>
        <v>2.6</v>
      </c>
      <c r="EW67" s="55">
        <f>IFERROR(LOOKUP(EW$23,Timeseries!$A:$A,Timeseries!$Q:$Q),"")</f>
        <v>2.5</v>
      </c>
      <c r="EX67" s="55">
        <f>IFERROR(LOOKUP(EX$23,Timeseries!$A:$A,Timeseries!$Q:$Q),"")</f>
        <v>2.6</v>
      </c>
      <c r="EY67" s="55">
        <f>IFERROR(LOOKUP(EY$23,Timeseries!$A:$A,Timeseries!$Q:$Q),"")</f>
        <v>2.4</v>
      </c>
      <c r="EZ67" s="55">
        <f>IFERROR(LOOKUP(EZ$23,Timeseries!$A:$A,Timeseries!$Q:$Q),"")</f>
        <v>2.9</v>
      </c>
      <c r="FA67" s="55">
        <f>IFERROR(LOOKUP(FA$23,Timeseries!$A:$A,Timeseries!$Q:$Q),"")</f>
        <v>2.6</v>
      </c>
      <c r="FB67" s="55">
        <f>IFERROR(LOOKUP(FB$23,Timeseries!$A:$A,Timeseries!$Q:$Q),"")</f>
        <v>2.7</v>
      </c>
      <c r="FC67" s="55">
        <f>IFERROR(LOOKUP(FC$23,Timeseries!$A:$A,Timeseries!$Q:$Q),"")</f>
        <v>2.4</v>
      </c>
      <c r="FD67" s="55">
        <f>IFERROR(LOOKUP(FD$23,Timeseries!$A:$A,Timeseries!$Q:$Q),"")</f>
        <v>3</v>
      </c>
      <c r="FE67" s="55">
        <f>IFERROR(LOOKUP(FE$23,Timeseries!$A:$A,Timeseries!$Q:$Q),"")</f>
        <v>2.5</v>
      </c>
      <c r="FF67" s="55">
        <f>IFERROR(LOOKUP(FF$23,Timeseries!$A:$A,Timeseries!$Q:$Q),"")</f>
        <v>2.4</v>
      </c>
      <c r="FG67" s="55">
        <f>IFERROR(LOOKUP(FG$23,Timeseries!$A:$A,Timeseries!$Q:$Q),"")</f>
        <v>2.6</v>
      </c>
      <c r="FH67" s="55">
        <f>IFERROR(LOOKUP(FH$23,Timeseries!$A:$A,Timeseries!$Q:$Q),"")</f>
        <v>3</v>
      </c>
      <c r="FI67" s="55">
        <f>IFERROR(LOOKUP(FI$23,Timeseries!$A:$A,Timeseries!$Q:$Q),"")</f>
        <v>2.5</v>
      </c>
      <c r="FJ67" s="55">
        <f>IFERROR(LOOKUP(FJ$23,Timeseries!$A:$A,Timeseries!$Q:$Q),"")</f>
        <v>2.4</v>
      </c>
      <c r="FK67" s="55">
        <f>IFERROR(LOOKUP(FK$23,Timeseries!$A:$A,Timeseries!$Q:$Q),"")</f>
        <v>2.7</v>
      </c>
      <c r="FL67" s="55">
        <f>IFERROR(LOOKUP(FL$23,Timeseries!$A:$A,Timeseries!$Q:$Q),"")</f>
        <v>2.9</v>
      </c>
      <c r="FM67" s="55">
        <f>IFERROR(LOOKUP(FM$23,Timeseries!$A:$A,Timeseries!$Q:$Q),"")</f>
        <v>2.9</v>
      </c>
      <c r="FN67" s="55">
        <f>IFERROR(LOOKUP(FN$23,Timeseries!$A:$A,Timeseries!$Q:$Q),"")</f>
        <v>2.6</v>
      </c>
      <c r="FO67" s="55">
        <f>IFERROR(LOOKUP(FO$23,Timeseries!$A:$A,Timeseries!$Q:$Q),"")</f>
        <v>2.4</v>
      </c>
      <c r="FP67" s="55">
        <f>IFERROR(LOOKUP(FP$23,Timeseries!$A:$A,Timeseries!$Q:$Q),"")</f>
        <v>2.9</v>
      </c>
      <c r="FQ67" s="55">
        <f>IFERROR(LOOKUP(FQ$23,Timeseries!$A:$A,Timeseries!$Q:$Q),"")</f>
        <v>2.5</v>
      </c>
      <c r="FR67" s="55">
        <f>IFERROR(LOOKUP(FR$23,Timeseries!$A:$A,Timeseries!$Q:$Q),"")</f>
        <v>2.6</v>
      </c>
      <c r="FS67" s="55">
        <f>IFERROR(LOOKUP(FS$23,Timeseries!$A:$A,Timeseries!$Q:$Q),"")</f>
        <v>2.5</v>
      </c>
    </row>
    <row r="68" spans="4:175">
      <c r="D68" s="17" t="s">
        <v>38</v>
      </c>
      <c r="E68" s="2" t="s">
        <v>187</v>
      </c>
      <c r="F68" s="8" t="s">
        <v>153</v>
      </c>
      <c r="G68" s="9">
        <v>15.2</v>
      </c>
      <c r="H68" s="26" t="str">
        <f>"Because of rounding might not be exactly " &amp; G68 &amp; ". Maximum expected deviation in the positive direction is 0.05°C"</f>
        <v>Because of rounding might not be exactly 15.2. Maximum expected deviation in the positive direction is 0.05°C</v>
      </c>
    </row>
    <row r="69" spans="4:175">
      <c r="D69" s="17" t="s">
        <v>39</v>
      </c>
      <c r="E69" s="2" t="s">
        <v>4</v>
      </c>
      <c r="F69" s="8" t="s">
        <v>154</v>
      </c>
      <c r="G69" s="11">
        <f>AVERAGE(H67:AE67)</f>
        <v>2.7375000000000003</v>
      </c>
    </row>
    <row r="71" spans="4:175" ht="20.399999999999999" thickBot="1">
      <c r="D71" s="1" t="s">
        <v>86</v>
      </c>
      <c r="E71" s="7" t="s">
        <v>32</v>
      </c>
      <c r="F71" s="3" t="s">
        <v>150</v>
      </c>
      <c r="G71" s="7"/>
      <c r="H71" s="3" t="s">
        <v>7</v>
      </c>
      <c r="I71" s="3" t="s">
        <v>8</v>
      </c>
      <c r="J71" s="3" t="s">
        <v>9</v>
      </c>
      <c r="K71" s="3" t="s">
        <v>10</v>
      </c>
      <c r="L71" s="3" t="s">
        <v>11</v>
      </c>
      <c r="M71" s="3" t="s">
        <v>12</v>
      </c>
      <c r="N71" s="3" t="s">
        <v>13</v>
      </c>
      <c r="O71" s="3" t="s">
        <v>14</v>
      </c>
      <c r="P71" s="3" t="s">
        <v>15</v>
      </c>
      <c r="Q71" s="3" t="s">
        <v>16</v>
      </c>
      <c r="R71" s="3" t="s">
        <v>17</v>
      </c>
      <c r="S71" s="3" t="s">
        <v>18</v>
      </c>
      <c r="T71" s="3" t="s">
        <v>19</v>
      </c>
      <c r="U71" s="3" t="s">
        <v>20</v>
      </c>
      <c r="V71" s="3" t="s">
        <v>21</v>
      </c>
      <c r="W71" s="3" t="s">
        <v>22</v>
      </c>
      <c r="X71" s="3" t="s">
        <v>23</v>
      </c>
      <c r="Y71" s="3" t="s">
        <v>24</v>
      </c>
      <c r="Z71" s="3" t="s">
        <v>25</v>
      </c>
      <c r="AA71" s="3" t="s">
        <v>26</v>
      </c>
      <c r="AB71" s="3" t="s">
        <v>27</v>
      </c>
      <c r="AC71" s="3" t="s">
        <v>28</v>
      </c>
      <c r="AD71" s="3" t="s">
        <v>29</v>
      </c>
      <c r="AE71" s="3" t="s">
        <v>30</v>
      </c>
      <c r="AF71" s="3" t="s">
        <v>280</v>
      </c>
      <c r="AG71" s="3" t="s">
        <v>281</v>
      </c>
      <c r="AH71" s="3" t="s">
        <v>282</v>
      </c>
      <c r="AI71" s="3" t="s">
        <v>283</v>
      </c>
      <c r="AJ71" s="3" t="s">
        <v>284</v>
      </c>
      <c r="AK71" s="3" t="s">
        <v>285</v>
      </c>
      <c r="AL71" s="3" t="s">
        <v>286</v>
      </c>
      <c r="AM71" s="3" t="s">
        <v>287</v>
      </c>
      <c r="AN71" s="3" t="s">
        <v>288</v>
      </c>
      <c r="AO71" s="3" t="s">
        <v>289</v>
      </c>
      <c r="AP71" s="3" t="s">
        <v>290</v>
      </c>
      <c r="AQ71" s="3" t="s">
        <v>291</v>
      </c>
      <c r="AR71" s="3" t="s">
        <v>292</v>
      </c>
      <c r="AS71" s="3" t="s">
        <v>293</v>
      </c>
      <c r="AT71" s="3" t="s">
        <v>294</v>
      </c>
      <c r="AU71" s="3" t="s">
        <v>295</v>
      </c>
      <c r="AV71" s="3" t="s">
        <v>296</v>
      </c>
      <c r="AW71" s="3" t="s">
        <v>297</v>
      </c>
      <c r="AX71" s="3" t="s">
        <v>298</v>
      </c>
      <c r="AY71" s="3" t="s">
        <v>299</v>
      </c>
      <c r="AZ71" s="3" t="s">
        <v>300</v>
      </c>
      <c r="BA71" s="3" t="s">
        <v>301</v>
      </c>
      <c r="BB71" s="3" t="s">
        <v>302</v>
      </c>
      <c r="BC71" s="3" t="s">
        <v>303</v>
      </c>
      <c r="BD71" s="3" t="s">
        <v>304</v>
      </c>
      <c r="BE71" s="3" t="s">
        <v>305</v>
      </c>
      <c r="BF71" s="3" t="s">
        <v>306</v>
      </c>
      <c r="BG71" s="3" t="s">
        <v>307</v>
      </c>
      <c r="BH71" s="3" t="s">
        <v>308</v>
      </c>
      <c r="BI71" s="3" t="s">
        <v>309</v>
      </c>
      <c r="BJ71" s="3" t="s">
        <v>310</v>
      </c>
      <c r="BK71" s="3" t="s">
        <v>311</v>
      </c>
      <c r="BL71" s="3" t="s">
        <v>312</v>
      </c>
      <c r="BM71" s="3" t="s">
        <v>313</v>
      </c>
      <c r="BN71" s="3" t="s">
        <v>314</v>
      </c>
      <c r="BO71" s="3" t="s">
        <v>315</v>
      </c>
      <c r="BP71" s="3" t="s">
        <v>316</v>
      </c>
      <c r="BQ71" s="3" t="s">
        <v>317</v>
      </c>
      <c r="BR71" s="3" t="s">
        <v>318</v>
      </c>
      <c r="BS71" s="3" t="s">
        <v>319</v>
      </c>
      <c r="BT71" s="3" t="s">
        <v>320</v>
      </c>
      <c r="BU71" s="3" t="s">
        <v>321</v>
      </c>
      <c r="BV71" s="3" t="s">
        <v>322</v>
      </c>
      <c r="BW71" s="3" t="s">
        <v>323</v>
      </c>
      <c r="BX71" s="3" t="s">
        <v>324</v>
      </c>
      <c r="BY71" s="3" t="s">
        <v>325</v>
      </c>
      <c r="BZ71" s="3" t="s">
        <v>326</v>
      </c>
      <c r="CA71" s="3" t="s">
        <v>327</v>
      </c>
      <c r="CB71" s="3" t="s">
        <v>328</v>
      </c>
      <c r="CC71" s="3" t="s">
        <v>329</v>
      </c>
      <c r="CD71" s="3" t="s">
        <v>330</v>
      </c>
      <c r="CE71" s="3" t="s">
        <v>331</v>
      </c>
      <c r="CF71" s="3" t="s">
        <v>332</v>
      </c>
      <c r="CG71" s="3" t="s">
        <v>333</v>
      </c>
      <c r="CH71" s="3" t="s">
        <v>334</v>
      </c>
      <c r="CI71" s="3" t="s">
        <v>335</v>
      </c>
      <c r="CJ71" s="3" t="s">
        <v>336</v>
      </c>
      <c r="CK71" s="3" t="s">
        <v>337</v>
      </c>
      <c r="CL71" s="3" t="s">
        <v>338</v>
      </c>
      <c r="CM71" s="3" t="s">
        <v>339</v>
      </c>
      <c r="CN71" s="3" t="s">
        <v>340</v>
      </c>
      <c r="CO71" s="3" t="s">
        <v>341</v>
      </c>
      <c r="CP71" s="3" t="s">
        <v>342</v>
      </c>
      <c r="CQ71" s="3" t="s">
        <v>343</v>
      </c>
      <c r="CR71" s="3" t="s">
        <v>344</v>
      </c>
      <c r="CS71" s="3" t="s">
        <v>345</v>
      </c>
      <c r="CT71" s="3" t="s">
        <v>346</v>
      </c>
      <c r="CU71" s="3" t="s">
        <v>347</v>
      </c>
      <c r="CV71" s="3" t="s">
        <v>348</v>
      </c>
      <c r="CW71" s="3" t="s">
        <v>349</v>
      </c>
      <c r="CX71" s="3" t="s">
        <v>350</v>
      </c>
      <c r="CY71" s="3" t="s">
        <v>351</v>
      </c>
      <c r="CZ71" s="3" t="s">
        <v>352</v>
      </c>
      <c r="DA71" s="3" t="s">
        <v>353</v>
      </c>
      <c r="DB71" s="3" t="s">
        <v>354</v>
      </c>
      <c r="DC71" s="3" t="s">
        <v>355</v>
      </c>
      <c r="DD71" s="3" t="s">
        <v>356</v>
      </c>
      <c r="DE71" s="3" t="s">
        <v>357</v>
      </c>
      <c r="DF71" s="3" t="s">
        <v>358</v>
      </c>
      <c r="DG71" s="3" t="s">
        <v>359</v>
      </c>
      <c r="DH71" s="3" t="s">
        <v>360</v>
      </c>
      <c r="DI71" s="3" t="s">
        <v>361</v>
      </c>
      <c r="DJ71" s="3" t="s">
        <v>362</v>
      </c>
      <c r="DK71" s="3" t="s">
        <v>363</v>
      </c>
      <c r="DL71" s="3" t="s">
        <v>364</v>
      </c>
      <c r="DM71" s="3" t="s">
        <v>365</v>
      </c>
      <c r="DN71" s="3" t="s">
        <v>366</v>
      </c>
      <c r="DO71" s="3" t="s">
        <v>367</v>
      </c>
      <c r="DP71" s="3" t="s">
        <v>368</v>
      </c>
      <c r="DQ71" s="3" t="s">
        <v>369</v>
      </c>
      <c r="DR71" s="3" t="s">
        <v>370</v>
      </c>
      <c r="DS71" s="3" t="s">
        <v>371</v>
      </c>
      <c r="DT71" s="3" t="s">
        <v>372</v>
      </c>
      <c r="DU71" s="3" t="s">
        <v>373</v>
      </c>
      <c r="DV71" s="3" t="s">
        <v>374</v>
      </c>
      <c r="DW71" s="3" t="s">
        <v>375</v>
      </c>
      <c r="DX71" s="3" t="s">
        <v>376</v>
      </c>
      <c r="DY71" s="3" t="s">
        <v>377</v>
      </c>
      <c r="DZ71" s="3" t="s">
        <v>378</v>
      </c>
      <c r="EA71" s="3" t="s">
        <v>379</v>
      </c>
      <c r="EB71" s="3" t="s">
        <v>380</v>
      </c>
      <c r="EC71" s="3" t="s">
        <v>381</v>
      </c>
      <c r="ED71" s="3" t="s">
        <v>382</v>
      </c>
      <c r="EE71" s="3" t="s">
        <v>383</v>
      </c>
      <c r="EF71" s="3" t="s">
        <v>384</v>
      </c>
      <c r="EG71" s="3" t="s">
        <v>385</v>
      </c>
      <c r="EH71" s="3" t="s">
        <v>386</v>
      </c>
      <c r="EI71" s="3" t="s">
        <v>387</v>
      </c>
      <c r="EJ71" s="3" t="s">
        <v>388</v>
      </c>
      <c r="EK71" s="3" t="s">
        <v>389</v>
      </c>
      <c r="EL71" s="3" t="s">
        <v>390</v>
      </c>
      <c r="EM71" s="3" t="s">
        <v>391</v>
      </c>
      <c r="EN71" s="3" t="s">
        <v>392</v>
      </c>
      <c r="EO71" s="3" t="s">
        <v>393</v>
      </c>
      <c r="EP71" s="3" t="s">
        <v>394</v>
      </c>
      <c r="EQ71" s="3" t="s">
        <v>395</v>
      </c>
      <c r="ER71" s="3" t="s">
        <v>396</v>
      </c>
      <c r="ES71" s="3" t="s">
        <v>397</v>
      </c>
      <c r="ET71" s="3" t="s">
        <v>398</v>
      </c>
      <c r="EU71" s="3" t="s">
        <v>399</v>
      </c>
      <c r="EV71" s="3" t="s">
        <v>400</v>
      </c>
      <c r="EW71" s="3" t="s">
        <v>401</v>
      </c>
      <c r="EX71" s="3" t="s">
        <v>402</v>
      </c>
      <c r="EY71" s="3" t="s">
        <v>403</v>
      </c>
      <c r="EZ71" s="3" t="s">
        <v>404</v>
      </c>
      <c r="FA71" s="3" t="s">
        <v>405</v>
      </c>
      <c r="FB71" s="3" t="s">
        <v>406</v>
      </c>
      <c r="FC71" s="3" t="s">
        <v>407</v>
      </c>
      <c r="FD71" s="3" t="s">
        <v>408</v>
      </c>
      <c r="FE71" s="3" t="s">
        <v>409</v>
      </c>
      <c r="FF71" s="3" t="s">
        <v>410</v>
      </c>
      <c r="FG71" s="3" t="s">
        <v>411</v>
      </c>
      <c r="FH71" s="3" t="s">
        <v>412</v>
      </c>
      <c r="FI71" s="3" t="s">
        <v>413</v>
      </c>
      <c r="FJ71" s="3" t="s">
        <v>414</v>
      </c>
      <c r="FK71" s="3" t="s">
        <v>415</v>
      </c>
      <c r="FL71" s="3" t="s">
        <v>416</v>
      </c>
      <c r="FM71" s="3" t="s">
        <v>417</v>
      </c>
      <c r="FN71" s="3" t="s">
        <v>418</v>
      </c>
      <c r="FO71" s="3" t="s">
        <v>419</v>
      </c>
      <c r="FP71" s="3" t="s">
        <v>420</v>
      </c>
      <c r="FQ71" s="3" t="s">
        <v>421</v>
      </c>
      <c r="FR71" s="3" t="s">
        <v>422</v>
      </c>
      <c r="FS71" s="3" t="s">
        <v>423</v>
      </c>
    </row>
    <row r="72" spans="4:175" ht="15" thickTop="1">
      <c r="D72" t="s">
        <v>57</v>
      </c>
      <c r="E72" s="2" t="s">
        <v>56</v>
      </c>
      <c r="F72" s="8" t="s">
        <v>151</v>
      </c>
      <c r="G72" s="4">
        <v>3.4573471398217918E-2</v>
      </c>
    </row>
    <row r="73" spans="4:175">
      <c r="D73" t="s">
        <v>87</v>
      </c>
      <c r="E73" s="2" t="s">
        <v>89</v>
      </c>
      <c r="F73" s="8" t="s">
        <v>151</v>
      </c>
      <c r="G73" s="8">
        <v>10</v>
      </c>
      <c r="H73" s="10">
        <f>IFERROR(LOOKUP(H$23,Timeseries!$A:$A,Timeseries!$R:$R),"")</f>
        <v>10</v>
      </c>
      <c r="I73" s="10">
        <f>IFERROR(LOOKUP(I$23,Timeseries!$A:$A,Timeseries!$R:$R),"")</f>
        <v>10</v>
      </c>
      <c r="J73" s="10">
        <f>IFERROR(LOOKUP(J$23,Timeseries!$A:$A,Timeseries!$R:$R),"")</f>
        <v>10</v>
      </c>
      <c r="K73" s="10">
        <f>IFERROR(LOOKUP(K$23,Timeseries!$A:$A,Timeseries!$R:$R),"")</f>
        <v>10</v>
      </c>
      <c r="L73" s="10">
        <f>IFERROR(LOOKUP(L$23,Timeseries!$A:$A,Timeseries!$R:$R),"")</f>
        <v>10</v>
      </c>
      <c r="M73" s="10">
        <f>IFERROR(LOOKUP(M$23,Timeseries!$A:$A,Timeseries!$R:$R),"")</f>
        <v>10</v>
      </c>
      <c r="N73" s="10">
        <f>IFERROR(LOOKUP(N$23,Timeseries!$A:$A,Timeseries!$R:$R),"")</f>
        <v>10</v>
      </c>
      <c r="O73" s="10">
        <f>IFERROR(LOOKUP(O$23,Timeseries!$A:$A,Timeseries!$R:$R),"")</f>
        <v>10</v>
      </c>
      <c r="P73" s="10">
        <f>IFERROR(LOOKUP(P$23,Timeseries!$A:$A,Timeseries!$R:$R),"")</f>
        <v>10</v>
      </c>
      <c r="Q73" s="10">
        <f>IFERROR(LOOKUP(Q$23,Timeseries!$A:$A,Timeseries!$R:$R),"")</f>
        <v>10</v>
      </c>
      <c r="R73" s="10">
        <f>IFERROR(LOOKUP(R$23,Timeseries!$A:$A,Timeseries!$R:$R),"")</f>
        <v>10</v>
      </c>
      <c r="S73" s="10">
        <f>IFERROR(LOOKUP(S$23,Timeseries!$A:$A,Timeseries!$R:$R),"")</f>
        <v>10</v>
      </c>
      <c r="T73" s="10">
        <f>IFERROR(LOOKUP(T$23,Timeseries!$A:$A,Timeseries!$R:$R),"")</f>
        <v>10</v>
      </c>
      <c r="U73" s="10">
        <f>IFERROR(LOOKUP(U$23,Timeseries!$A:$A,Timeseries!$R:$R),"")</f>
        <v>10</v>
      </c>
      <c r="V73" s="10">
        <f>IFERROR(LOOKUP(V$23,Timeseries!$A:$A,Timeseries!$R:$R),"")</f>
        <v>10</v>
      </c>
      <c r="W73" s="10">
        <f>IFERROR(LOOKUP(W$23,Timeseries!$A:$A,Timeseries!$R:$R),"")</f>
        <v>10</v>
      </c>
      <c r="X73" s="10">
        <f>IFERROR(LOOKUP(X$23,Timeseries!$A:$A,Timeseries!$R:$R),"")</f>
        <v>10</v>
      </c>
      <c r="Y73" s="10">
        <f>IFERROR(LOOKUP(Y$23,Timeseries!$A:$A,Timeseries!$R:$R),"")</f>
        <v>10</v>
      </c>
      <c r="Z73" s="10">
        <f>IFERROR(LOOKUP(Z$23,Timeseries!$A:$A,Timeseries!$R:$R),"")</f>
        <v>10</v>
      </c>
      <c r="AA73" s="10">
        <f>IFERROR(LOOKUP(AA$23,Timeseries!$A:$A,Timeseries!$R:$R),"")</f>
        <v>10</v>
      </c>
      <c r="AB73" s="10">
        <f>IFERROR(LOOKUP(AB$23,Timeseries!$A:$A,Timeseries!$R:$R),"")</f>
        <v>10</v>
      </c>
      <c r="AC73" s="10">
        <f>IFERROR(LOOKUP(AC$23,Timeseries!$A:$A,Timeseries!$R:$R),"")</f>
        <v>10</v>
      </c>
      <c r="AD73" s="10">
        <f>IFERROR(LOOKUP(AD$23,Timeseries!$A:$A,Timeseries!$R:$R),"")</f>
        <v>10</v>
      </c>
      <c r="AE73" s="10">
        <f>IFERROR(LOOKUP(AE$23,Timeseries!$A:$A,Timeseries!$R:$R),"")</f>
        <v>10</v>
      </c>
      <c r="AF73" s="10">
        <f>IFERROR(LOOKUP(AF$23,Timeseries!$A:$A,Timeseries!$R:$R),"")</f>
        <v>10</v>
      </c>
      <c r="AG73" s="10">
        <f>IFERROR(LOOKUP(AG$23,Timeseries!$A:$A,Timeseries!$R:$R),"")</f>
        <v>10</v>
      </c>
      <c r="AH73" s="10">
        <f>IFERROR(LOOKUP(AH$23,Timeseries!$A:$A,Timeseries!$R:$R),"")</f>
        <v>10</v>
      </c>
      <c r="AI73" s="10">
        <f>IFERROR(LOOKUP(AI$23,Timeseries!$A:$A,Timeseries!$R:$R),"")</f>
        <v>10</v>
      </c>
      <c r="AJ73" s="10">
        <f>IFERROR(LOOKUP(AJ$23,Timeseries!$A:$A,Timeseries!$R:$R),"")</f>
        <v>10</v>
      </c>
      <c r="AK73" s="10">
        <f>IFERROR(LOOKUP(AK$23,Timeseries!$A:$A,Timeseries!$R:$R),"")</f>
        <v>10</v>
      </c>
      <c r="AL73" s="10">
        <f>IFERROR(LOOKUP(AL$23,Timeseries!$A:$A,Timeseries!$R:$R),"")</f>
        <v>10</v>
      </c>
      <c r="AM73" s="10">
        <f>IFERROR(LOOKUP(AM$23,Timeseries!$A:$A,Timeseries!$R:$R),"")</f>
        <v>10</v>
      </c>
      <c r="AN73" s="10">
        <f>IFERROR(LOOKUP(AN$23,Timeseries!$A:$A,Timeseries!$R:$R),"")</f>
        <v>10</v>
      </c>
      <c r="AO73" s="10">
        <f>IFERROR(LOOKUP(AO$23,Timeseries!$A:$A,Timeseries!$R:$R),"")</f>
        <v>10</v>
      </c>
      <c r="AP73" s="10">
        <f>IFERROR(LOOKUP(AP$23,Timeseries!$A:$A,Timeseries!$R:$R),"")</f>
        <v>10</v>
      </c>
      <c r="AQ73" s="10">
        <f>IFERROR(LOOKUP(AQ$23,Timeseries!$A:$A,Timeseries!$R:$R),"")</f>
        <v>10</v>
      </c>
      <c r="AR73" s="10">
        <f>IFERROR(LOOKUP(AR$23,Timeseries!$A:$A,Timeseries!$R:$R),"")</f>
        <v>10</v>
      </c>
      <c r="AS73" s="10">
        <f>IFERROR(LOOKUP(AS$23,Timeseries!$A:$A,Timeseries!$R:$R),"")</f>
        <v>10</v>
      </c>
      <c r="AT73" s="10">
        <f>IFERROR(LOOKUP(AT$23,Timeseries!$A:$A,Timeseries!$R:$R),"")</f>
        <v>10</v>
      </c>
      <c r="AU73" s="10">
        <f>IFERROR(LOOKUP(AU$23,Timeseries!$A:$A,Timeseries!$R:$R),"")</f>
        <v>10</v>
      </c>
      <c r="AV73" s="10">
        <f>IFERROR(LOOKUP(AV$23,Timeseries!$A:$A,Timeseries!$R:$R),"")</f>
        <v>10</v>
      </c>
      <c r="AW73" s="10">
        <f>IFERROR(LOOKUP(AW$23,Timeseries!$A:$A,Timeseries!$R:$R),"")</f>
        <v>10</v>
      </c>
      <c r="AX73" s="10">
        <f>IFERROR(LOOKUP(AX$23,Timeseries!$A:$A,Timeseries!$R:$R),"")</f>
        <v>10</v>
      </c>
      <c r="AY73" s="10">
        <f>IFERROR(LOOKUP(AY$23,Timeseries!$A:$A,Timeseries!$R:$R),"")</f>
        <v>10</v>
      </c>
      <c r="AZ73" s="10">
        <f>IFERROR(LOOKUP(AZ$23,Timeseries!$A:$A,Timeseries!$R:$R),"")</f>
        <v>10</v>
      </c>
      <c r="BA73" s="10">
        <f>IFERROR(LOOKUP(BA$23,Timeseries!$A:$A,Timeseries!$R:$R),"")</f>
        <v>10</v>
      </c>
      <c r="BB73" s="10">
        <f>IFERROR(LOOKUP(BB$23,Timeseries!$A:$A,Timeseries!$R:$R),"")</f>
        <v>10</v>
      </c>
      <c r="BC73" s="10">
        <f>IFERROR(LOOKUP(BC$23,Timeseries!$A:$A,Timeseries!$R:$R),"")</f>
        <v>10</v>
      </c>
      <c r="BD73" s="10">
        <f>IFERROR(LOOKUP(BD$23,Timeseries!$A:$A,Timeseries!$R:$R),"")</f>
        <v>10</v>
      </c>
      <c r="BE73" s="10">
        <f>IFERROR(LOOKUP(BE$23,Timeseries!$A:$A,Timeseries!$R:$R),"")</f>
        <v>10</v>
      </c>
      <c r="BF73" s="10">
        <f>IFERROR(LOOKUP(BF$23,Timeseries!$A:$A,Timeseries!$R:$R),"")</f>
        <v>10</v>
      </c>
      <c r="BG73" s="10">
        <f>IFERROR(LOOKUP(BG$23,Timeseries!$A:$A,Timeseries!$R:$R),"")</f>
        <v>10</v>
      </c>
      <c r="BH73" s="10">
        <f>IFERROR(LOOKUP(BH$23,Timeseries!$A:$A,Timeseries!$R:$R),"")</f>
        <v>10</v>
      </c>
      <c r="BI73" s="10">
        <f>IFERROR(LOOKUP(BI$23,Timeseries!$A:$A,Timeseries!$R:$R),"")</f>
        <v>10</v>
      </c>
      <c r="BJ73" s="10">
        <f>IFERROR(LOOKUP(BJ$23,Timeseries!$A:$A,Timeseries!$R:$R),"")</f>
        <v>10</v>
      </c>
      <c r="BK73" s="10">
        <f>IFERROR(LOOKUP(BK$23,Timeseries!$A:$A,Timeseries!$R:$R),"")</f>
        <v>10</v>
      </c>
      <c r="BL73" s="10">
        <f>IFERROR(LOOKUP(BL$23,Timeseries!$A:$A,Timeseries!$R:$R),"")</f>
        <v>10</v>
      </c>
      <c r="BM73" s="10">
        <f>IFERROR(LOOKUP(BM$23,Timeseries!$A:$A,Timeseries!$R:$R),"")</f>
        <v>10</v>
      </c>
      <c r="BN73" s="10">
        <f>IFERROR(LOOKUP(BN$23,Timeseries!$A:$A,Timeseries!$R:$R),"")</f>
        <v>10</v>
      </c>
      <c r="BO73" s="10">
        <f>IFERROR(LOOKUP(BO$23,Timeseries!$A:$A,Timeseries!$R:$R),"")</f>
        <v>10</v>
      </c>
      <c r="BP73" s="10">
        <f>IFERROR(LOOKUP(BP$23,Timeseries!$A:$A,Timeseries!$R:$R),"")</f>
        <v>10</v>
      </c>
      <c r="BQ73" s="10">
        <f>IFERROR(LOOKUP(BQ$23,Timeseries!$A:$A,Timeseries!$R:$R),"")</f>
        <v>10</v>
      </c>
      <c r="BR73" s="10">
        <f>IFERROR(LOOKUP(BR$23,Timeseries!$A:$A,Timeseries!$R:$R),"")</f>
        <v>10</v>
      </c>
      <c r="BS73" s="10">
        <f>IFERROR(LOOKUP(BS$23,Timeseries!$A:$A,Timeseries!$R:$R),"")</f>
        <v>10</v>
      </c>
      <c r="BT73" s="10">
        <f>IFERROR(LOOKUP(BT$23,Timeseries!$A:$A,Timeseries!$R:$R),"")</f>
        <v>10</v>
      </c>
      <c r="BU73" s="10">
        <f>IFERROR(LOOKUP(BU$23,Timeseries!$A:$A,Timeseries!$R:$R),"")</f>
        <v>10</v>
      </c>
      <c r="BV73" s="10">
        <f>IFERROR(LOOKUP(BV$23,Timeseries!$A:$A,Timeseries!$R:$R),"")</f>
        <v>10</v>
      </c>
      <c r="BW73" s="10">
        <f>IFERROR(LOOKUP(BW$23,Timeseries!$A:$A,Timeseries!$R:$R),"")</f>
        <v>10</v>
      </c>
      <c r="BX73" s="10">
        <f>IFERROR(LOOKUP(BX$23,Timeseries!$A:$A,Timeseries!$R:$R),"")</f>
        <v>10</v>
      </c>
      <c r="BY73" s="10">
        <f>IFERROR(LOOKUP(BY$23,Timeseries!$A:$A,Timeseries!$R:$R),"")</f>
        <v>10</v>
      </c>
      <c r="BZ73" s="10">
        <f>IFERROR(LOOKUP(BZ$23,Timeseries!$A:$A,Timeseries!$R:$R),"")</f>
        <v>10</v>
      </c>
      <c r="CA73" s="10">
        <f>IFERROR(LOOKUP(CA$23,Timeseries!$A:$A,Timeseries!$R:$R),"")</f>
        <v>10</v>
      </c>
      <c r="CB73" s="10">
        <f>IFERROR(LOOKUP(CB$23,Timeseries!$A:$A,Timeseries!$R:$R),"")</f>
        <v>10</v>
      </c>
      <c r="CC73" s="10">
        <f>IFERROR(LOOKUP(CC$23,Timeseries!$A:$A,Timeseries!$R:$R),"")</f>
        <v>10</v>
      </c>
      <c r="CD73" s="10">
        <f>IFERROR(LOOKUP(CD$23,Timeseries!$A:$A,Timeseries!$R:$R),"")</f>
        <v>10</v>
      </c>
      <c r="CE73" s="10">
        <f>IFERROR(LOOKUP(CE$23,Timeseries!$A:$A,Timeseries!$R:$R),"")</f>
        <v>10</v>
      </c>
      <c r="CF73" s="10">
        <f>IFERROR(LOOKUP(CF$23,Timeseries!$A:$A,Timeseries!$R:$R),"")</f>
        <v>10</v>
      </c>
      <c r="CG73" s="10">
        <f>IFERROR(LOOKUP(CG$23,Timeseries!$A:$A,Timeseries!$R:$R),"")</f>
        <v>10</v>
      </c>
      <c r="CH73" s="10">
        <f>IFERROR(LOOKUP(CH$23,Timeseries!$A:$A,Timeseries!$R:$R),"")</f>
        <v>10</v>
      </c>
      <c r="CI73" s="10">
        <f>IFERROR(LOOKUP(CI$23,Timeseries!$A:$A,Timeseries!$R:$R),"")</f>
        <v>10</v>
      </c>
      <c r="CJ73" s="10">
        <f>IFERROR(LOOKUP(CJ$23,Timeseries!$A:$A,Timeseries!$R:$R),"")</f>
        <v>10</v>
      </c>
      <c r="CK73" s="10">
        <f>IFERROR(LOOKUP(CK$23,Timeseries!$A:$A,Timeseries!$R:$R),"")</f>
        <v>10</v>
      </c>
      <c r="CL73" s="10">
        <f>IFERROR(LOOKUP(CL$23,Timeseries!$A:$A,Timeseries!$R:$R),"")</f>
        <v>10</v>
      </c>
      <c r="CM73" s="10">
        <f>IFERROR(LOOKUP(CM$23,Timeseries!$A:$A,Timeseries!$R:$R),"")</f>
        <v>10</v>
      </c>
      <c r="CN73" s="10">
        <f>IFERROR(LOOKUP(CN$23,Timeseries!$A:$A,Timeseries!$R:$R),"")</f>
        <v>10</v>
      </c>
      <c r="CO73" s="10">
        <f>IFERROR(LOOKUP(CO$23,Timeseries!$A:$A,Timeseries!$R:$R),"")</f>
        <v>10</v>
      </c>
      <c r="CP73" s="10">
        <f>IFERROR(LOOKUP(CP$23,Timeseries!$A:$A,Timeseries!$R:$R),"")</f>
        <v>10</v>
      </c>
      <c r="CQ73" s="10">
        <f>IFERROR(LOOKUP(CQ$23,Timeseries!$A:$A,Timeseries!$R:$R),"")</f>
        <v>10</v>
      </c>
      <c r="CR73" s="10">
        <f>IFERROR(LOOKUP(CR$23,Timeseries!$A:$A,Timeseries!$R:$R),"")</f>
        <v>10</v>
      </c>
      <c r="CS73" s="10">
        <f>IFERROR(LOOKUP(CS$23,Timeseries!$A:$A,Timeseries!$R:$R),"")</f>
        <v>10</v>
      </c>
      <c r="CT73" s="10">
        <f>IFERROR(LOOKUP(CT$23,Timeseries!$A:$A,Timeseries!$R:$R),"")</f>
        <v>10</v>
      </c>
      <c r="CU73" s="10">
        <f>IFERROR(LOOKUP(CU$23,Timeseries!$A:$A,Timeseries!$R:$R),"")</f>
        <v>10</v>
      </c>
      <c r="CV73" s="10">
        <f>IFERROR(LOOKUP(CV$23,Timeseries!$A:$A,Timeseries!$R:$R),"")</f>
        <v>10</v>
      </c>
      <c r="CW73" s="10">
        <f>IFERROR(LOOKUP(CW$23,Timeseries!$A:$A,Timeseries!$R:$R),"")</f>
        <v>10</v>
      </c>
      <c r="CX73" s="10">
        <f>IFERROR(LOOKUP(CX$23,Timeseries!$A:$A,Timeseries!$R:$R),"")</f>
        <v>10</v>
      </c>
      <c r="CY73" s="10">
        <f>IFERROR(LOOKUP(CY$23,Timeseries!$A:$A,Timeseries!$R:$R),"")</f>
        <v>10</v>
      </c>
      <c r="CZ73" s="10">
        <f>IFERROR(LOOKUP(CZ$23,Timeseries!$A:$A,Timeseries!$R:$R),"")</f>
        <v>10</v>
      </c>
      <c r="DA73" s="10">
        <f>IFERROR(LOOKUP(DA$23,Timeseries!$A:$A,Timeseries!$R:$R),"")</f>
        <v>10</v>
      </c>
      <c r="DB73" s="10">
        <f>IFERROR(LOOKUP(DB$23,Timeseries!$A:$A,Timeseries!$R:$R),"")</f>
        <v>10</v>
      </c>
      <c r="DC73" s="10">
        <f>IFERROR(LOOKUP(DC$23,Timeseries!$A:$A,Timeseries!$R:$R),"")</f>
        <v>10</v>
      </c>
      <c r="DD73" s="10">
        <f>IFERROR(LOOKUP(DD$23,Timeseries!$A:$A,Timeseries!$R:$R),"")</f>
        <v>10</v>
      </c>
      <c r="DE73" s="10">
        <f>IFERROR(LOOKUP(DE$23,Timeseries!$A:$A,Timeseries!$R:$R),"")</f>
        <v>10</v>
      </c>
      <c r="DF73" s="10">
        <f>IFERROR(LOOKUP(DF$23,Timeseries!$A:$A,Timeseries!$R:$R),"")</f>
        <v>10</v>
      </c>
      <c r="DG73" s="10">
        <f>IFERROR(LOOKUP(DG$23,Timeseries!$A:$A,Timeseries!$R:$R),"")</f>
        <v>10</v>
      </c>
      <c r="DH73" s="10">
        <f>IFERROR(LOOKUP(DH$23,Timeseries!$A:$A,Timeseries!$R:$R),"")</f>
        <v>10</v>
      </c>
      <c r="DI73" s="10">
        <f>IFERROR(LOOKUP(DI$23,Timeseries!$A:$A,Timeseries!$R:$R),"")</f>
        <v>10</v>
      </c>
      <c r="DJ73" s="10">
        <f>IFERROR(LOOKUP(DJ$23,Timeseries!$A:$A,Timeseries!$R:$R),"")</f>
        <v>10</v>
      </c>
      <c r="DK73" s="10">
        <f>IFERROR(LOOKUP(DK$23,Timeseries!$A:$A,Timeseries!$R:$R),"")</f>
        <v>10</v>
      </c>
      <c r="DL73" s="10">
        <f>IFERROR(LOOKUP(DL$23,Timeseries!$A:$A,Timeseries!$R:$R),"")</f>
        <v>10</v>
      </c>
      <c r="DM73" s="10">
        <f>IFERROR(LOOKUP(DM$23,Timeseries!$A:$A,Timeseries!$R:$R),"")</f>
        <v>10</v>
      </c>
      <c r="DN73" s="10">
        <f>IFERROR(LOOKUP(DN$23,Timeseries!$A:$A,Timeseries!$R:$R),"")</f>
        <v>10</v>
      </c>
      <c r="DO73" s="10">
        <f>IFERROR(LOOKUP(DO$23,Timeseries!$A:$A,Timeseries!$R:$R),"")</f>
        <v>10</v>
      </c>
      <c r="DP73" s="10">
        <f>IFERROR(LOOKUP(DP$23,Timeseries!$A:$A,Timeseries!$R:$R),"")</f>
        <v>10</v>
      </c>
      <c r="DQ73" s="10">
        <f>IFERROR(LOOKUP(DQ$23,Timeseries!$A:$A,Timeseries!$R:$R),"")</f>
        <v>10</v>
      </c>
      <c r="DR73" s="10">
        <f>IFERROR(LOOKUP(DR$23,Timeseries!$A:$A,Timeseries!$R:$R),"")</f>
        <v>10</v>
      </c>
      <c r="DS73" s="10">
        <f>IFERROR(LOOKUP(DS$23,Timeseries!$A:$A,Timeseries!$R:$R),"")</f>
        <v>10</v>
      </c>
      <c r="DT73" s="10">
        <f>IFERROR(LOOKUP(DT$23,Timeseries!$A:$A,Timeseries!$R:$R),"")</f>
        <v>10</v>
      </c>
      <c r="DU73" s="10">
        <f>IFERROR(LOOKUP(DU$23,Timeseries!$A:$A,Timeseries!$R:$R),"")</f>
        <v>10</v>
      </c>
      <c r="DV73" s="10">
        <f>IFERROR(LOOKUP(DV$23,Timeseries!$A:$A,Timeseries!$R:$R),"")</f>
        <v>10</v>
      </c>
      <c r="DW73" s="10">
        <f>IFERROR(LOOKUP(DW$23,Timeseries!$A:$A,Timeseries!$R:$R),"")</f>
        <v>10</v>
      </c>
      <c r="DX73" s="10">
        <f>IFERROR(LOOKUP(DX$23,Timeseries!$A:$A,Timeseries!$R:$R),"")</f>
        <v>10</v>
      </c>
      <c r="DY73" s="10">
        <f>IFERROR(LOOKUP(DY$23,Timeseries!$A:$A,Timeseries!$R:$R),"")</f>
        <v>10</v>
      </c>
      <c r="DZ73" s="10">
        <f>IFERROR(LOOKUP(DZ$23,Timeseries!$A:$A,Timeseries!$R:$R),"")</f>
        <v>10</v>
      </c>
      <c r="EA73" s="10">
        <f>IFERROR(LOOKUP(EA$23,Timeseries!$A:$A,Timeseries!$R:$R),"")</f>
        <v>10</v>
      </c>
      <c r="EB73" s="10">
        <f>IFERROR(LOOKUP(EB$23,Timeseries!$A:$A,Timeseries!$R:$R),"")</f>
        <v>10</v>
      </c>
      <c r="EC73" s="10">
        <f>IFERROR(LOOKUP(EC$23,Timeseries!$A:$A,Timeseries!$R:$R),"")</f>
        <v>10</v>
      </c>
      <c r="ED73" s="10">
        <f>IFERROR(LOOKUP(ED$23,Timeseries!$A:$A,Timeseries!$R:$R),"")</f>
        <v>10</v>
      </c>
      <c r="EE73" s="10">
        <f>IFERROR(LOOKUP(EE$23,Timeseries!$A:$A,Timeseries!$R:$R),"")</f>
        <v>10</v>
      </c>
      <c r="EF73" s="10">
        <f>IFERROR(LOOKUP(EF$23,Timeseries!$A:$A,Timeseries!$R:$R),"")</f>
        <v>10</v>
      </c>
      <c r="EG73" s="10">
        <f>IFERROR(LOOKUP(EG$23,Timeseries!$A:$A,Timeseries!$R:$R),"")</f>
        <v>10</v>
      </c>
      <c r="EH73" s="10">
        <f>IFERROR(LOOKUP(EH$23,Timeseries!$A:$A,Timeseries!$R:$R),"")</f>
        <v>10</v>
      </c>
      <c r="EI73" s="10">
        <f>IFERROR(LOOKUP(EI$23,Timeseries!$A:$A,Timeseries!$R:$R),"")</f>
        <v>10</v>
      </c>
      <c r="EJ73" s="10">
        <f>IFERROR(LOOKUP(EJ$23,Timeseries!$A:$A,Timeseries!$R:$R),"")</f>
        <v>10</v>
      </c>
      <c r="EK73" s="10">
        <f>IFERROR(LOOKUP(EK$23,Timeseries!$A:$A,Timeseries!$R:$R),"")</f>
        <v>10</v>
      </c>
      <c r="EL73" s="10">
        <f>IFERROR(LOOKUP(EL$23,Timeseries!$A:$A,Timeseries!$R:$R),"")</f>
        <v>10</v>
      </c>
      <c r="EM73" s="10">
        <f>IFERROR(LOOKUP(EM$23,Timeseries!$A:$A,Timeseries!$R:$R),"")</f>
        <v>10</v>
      </c>
      <c r="EN73" s="10">
        <f>IFERROR(LOOKUP(EN$23,Timeseries!$A:$A,Timeseries!$R:$R),"")</f>
        <v>10</v>
      </c>
      <c r="EO73" s="10">
        <f>IFERROR(LOOKUP(EO$23,Timeseries!$A:$A,Timeseries!$R:$R),"")</f>
        <v>10</v>
      </c>
      <c r="EP73" s="10">
        <f>IFERROR(LOOKUP(EP$23,Timeseries!$A:$A,Timeseries!$R:$R),"")</f>
        <v>10</v>
      </c>
      <c r="EQ73" s="10">
        <f>IFERROR(LOOKUP(EQ$23,Timeseries!$A:$A,Timeseries!$R:$R),"")</f>
        <v>10</v>
      </c>
      <c r="ER73" s="10">
        <f>IFERROR(LOOKUP(ER$23,Timeseries!$A:$A,Timeseries!$R:$R),"")</f>
        <v>10</v>
      </c>
      <c r="ES73" s="10">
        <f>IFERROR(LOOKUP(ES$23,Timeseries!$A:$A,Timeseries!$R:$R),"")</f>
        <v>10</v>
      </c>
      <c r="ET73" s="10">
        <f>IFERROR(LOOKUP(ET$23,Timeseries!$A:$A,Timeseries!$R:$R),"")</f>
        <v>10</v>
      </c>
      <c r="EU73" s="10">
        <f>IFERROR(LOOKUP(EU$23,Timeseries!$A:$A,Timeseries!$R:$R),"")</f>
        <v>10</v>
      </c>
      <c r="EV73" s="10">
        <f>IFERROR(LOOKUP(EV$23,Timeseries!$A:$A,Timeseries!$R:$R),"")</f>
        <v>10</v>
      </c>
      <c r="EW73" s="10">
        <f>IFERROR(LOOKUP(EW$23,Timeseries!$A:$A,Timeseries!$R:$R),"")</f>
        <v>10</v>
      </c>
      <c r="EX73" s="10">
        <f>IFERROR(LOOKUP(EX$23,Timeseries!$A:$A,Timeseries!$R:$R),"")</f>
        <v>10</v>
      </c>
      <c r="EY73" s="10">
        <f>IFERROR(LOOKUP(EY$23,Timeseries!$A:$A,Timeseries!$R:$R),"")</f>
        <v>10</v>
      </c>
      <c r="EZ73" s="10">
        <f>IFERROR(LOOKUP(EZ$23,Timeseries!$A:$A,Timeseries!$R:$R),"")</f>
        <v>10</v>
      </c>
      <c r="FA73" s="10">
        <f>IFERROR(LOOKUP(FA$23,Timeseries!$A:$A,Timeseries!$R:$R),"")</f>
        <v>10</v>
      </c>
      <c r="FB73" s="10">
        <f>IFERROR(LOOKUP(FB$23,Timeseries!$A:$A,Timeseries!$R:$R),"")</f>
        <v>10</v>
      </c>
      <c r="FC73" s="10">
        <f>IFERROR(LOOKUP(FC$23,Timeseries!$A:$A,Timeseries!$R:$R),"")</f>
        <v>10</v>
      </c>
      <c r="FD73" s="10">
        <f>IFERROR(LOOKUP(FD$23,Timeseries!$A:$A,Timeseries!$R:$R),"")</f>
        <v>10</v>
      </c>
      <c r="FE73" s="10">
        <f>IFERROR(LOOKUP(FE$23,Timeseries!$A:$A,Timeseries!$R:$R),"")</f>
        <v>10</v>
      </c>
      <c r="FF73" s="10">
        <f>IFERROR(LOOKUP(FF$23,Timeseries!$A:$A,Timeseries!$R:$R),"")</f>
        <v>10</v>
      </c>
      <c r="FG73" s="10">
        <f>IFERROR(LOOKUP(FG$23,Timeseries!$A:$A,Timeseries!$R:$R),"")</f>
        <v>10</v>
      </c>
      <c r="FH73" s="10">
        <f>IFERROR(LOOKUP(FH$23,Timeseries!$A:$A,Timeseries!$R:$R),"")</f>
        <v>10</v>
      </c>
      <c r="FI73" s="10">
        <f>IFERROR(LOOKUP(FI$23,Timeseries!$A:$A,Timeseries!$R:$R),"")</f>
        <v>10</v>
      </c>
      <c r="FJ73" s="10">
        <f>IFERROR(LOOKUP(FJ$23,Timeseries!$A:$A,Timeseries!$R:$R),"")</f>
        <v>10</v>
      </c>
      <c r="FK73" s="10">
        <f>IFERROR(LOOKUP(FK$23,Timeseries!$A:$A,Timeseries!$R:$R),"")</f>
        <v>10</v>
      </c>
      <c r="FL73" s="10">
        <f>IFERROR(LOOKUP(FL$23,Timeseries!$A:$A,Timeseries!$R:$R),"")</f>
        <v>10</v>
      </c>
      <c r="FM73" s="10">
        <f>IFERROR(LOOKUP(FM$23,Timeseries!$A:$A,Timeseries!$R:$R),"")</f>
        <v>10</v>
      </c>
      <c r="FN73" s="10">
        <f>IFERROR(LOOKUP(FN$23,Timeseries!$A:$A,Timeseries!$R:$R),"")</f>
        <v>10</v>
      </c>
      <c r="FO73" s="10">
        <f>IFERROR(LOOKUP(FO$23,Timeseries!$A:$A,Timeseries!$R:$R),"")</f>
        <v>10</v>
      </c>
      <c r="FP73" s="10">
        <f>IFERROR(LOOKUP(FP$23,Timeseries!$A:$A,Timeseries!$R:$R),"")</f>
        <v>10</v>
      </c>
      <c r="FQ73" s="10">
        <f>IFERROR(LOOKUP(FQ$23,Timeseries!$A:$A,Timeseries!$R:$R),"")</f>
        <v>10</v>
      </c>
      <c r="FR73" s="10">
        <f>IFERROR(LOOKUP(FR$23,Timeseries!$A:$A,Timeseries!$R:$R),"")</f>
        <v>10</v>
      </c>
      <c r="FS73" s="10">
        <f>IFERROR(LOOKUP(FS$23,Timeseries!$A:$A,Timeseries!$R:$R),"")</f>
        <v>10</v>
      </c>
    </row>
    <row r="74" spans="4:175">
      <c r="D74" t="s">
        <v>88</v>
      </c>
      <c r="E74" s="2" t="s">
        <v>90</v>
      </c>
      <c r="F74" s="8" t="s">
        <v>151</v>
      </c>
      <c r="G74" s="8">
        <v>1000</v>
      </c>
      <c r="H74" s="10">
        <f>IFERROR(LOOKUP(H$23,Timeseries!$A:$A,Timeseries!$S:$S),"")</f>
        <v>1000</v>
      </c>
      <c r="I74" s="10">
        <f>IFERROR(LOOKUP(I$23,Timeseries!$A:$A,Timeseries!$S:$S),"")</f>
        <v>1000</v>
      </c>
      <c r="J74" s="10">
        <f>IFERROR(LOOKUP(J$23,Timeseries!$A:$A,Timeseries!$S:$S),"")</f>
        <v>1000</v>
      </c>
      <c r="K74" s="10">
        <f>IFERROR(LOOKUP(K$23,Timeseries!$A:$A,Timeseries!$S:$S),"")</f>
        <v>1000</v>
      </c>
      <c r="L74" s="10">
        <f>IFERROR(LOOKUP(L$23,Timeseries!$A:$A,Timeseries!$S:$S),"")</f>
        <v>1000</v>
      </c>
      <c r="M74" s="10">
        <f>IFERROR(LOOKUP(M$23,Timeseries!$A:$A,Timeseries!$S:$S),"")</f>
        <v>1000</v>
      </c>
      <c r="N74" s="10">
        <f>IFERROR(LOOKUP(N$23,Timeseries!$A:$A,Timeseries!$S:$S),"")</f>
        <v>1000</v>
      </c>
      <c r="O74" s="10">
        <f>IFERROR(LOOKUP(O$23,Timeseries!$A:$A,Timeseries!$S:$S),"")</f>
        <v>1000</v>
      </c>
      <c r="P74" s="10">
        <f>IFERROR(LOOKUP(P$23,Timeseries!$A:$A,Timeseries!$S:$S),"")</f>
        <v>1000</v>
      </c>
      <c r="Q74" s="10">
        <f>IFERROR(LOOKUP(Q$23,Timeseries!$A:$A,Timeseries!$S:$S),"")</f>
        <v>1000</v>
      </c>
      <c r="R74" s="10">
        <f>IFERROR(LOOKUP(R$23,Timeseries!$A:$A,Timeseries!$S:$S),"")</f>
        <v>1000</v>
      </c>
      <c r="S74" s="10">
        <f>IFERROR(LOOKUP(S$23,Timeseries!$A:$A,Timeseries!$S:$S),"")</f>
        <v>1000</v>
      </c>
      <c r="T74" s="10">
        <f>IFERROR(LOOKUP(T$23,Timeseries!$A:$A,Timeseries!$S:$S),"")</f>
        <v>1000</v>
      </c>
      <c r="U74" s="10">
        <f>IFERROR(LOOKUP(U$23,Timeseries!$A:$A,Timeseries!$S:$S),"")</f>
        <v>1000</v>
      </c>
      <c r="V74" s="10">
        <f>IFERROR(LOOKUP(V$23,Timeseries!$A:$A,Timeseries!$S:$S),"")</f>
        <v>1000</v>
      </c>
      <c r="W74" s="10">
        <f>IFERROR(LOOKUP(W$23,Timeseries!$A:$A,Timeseries!$S:$S),"")</f>
        <v>1000</v>
      </c>
      <c r="X74" s="10">
        <f>IFERROR(LOOKUP(X$23,Timeseries!$A:$A,Timeseries!$S:$S),"")</f>
        <v>1000</v>
      </c>
      <c r="Y74" s="10">
        <f>IFERROR(LOOKUP(Y$23,Timeseries!$A:$A,Timeseries!$S:$S),"")</f>
        <v>1000</v>
      </c>
      <c r="Z74" s="10">
        <f>IFERROR(LOOKUP(Z$23,Timeseries!$A:$A,Timeseries!$S:$S),"")</f>
        <v>1000</v>
      </c>
      <c r="AA74" s="10">
        <f>IFERROR(LOOKUP(AA$23,Timeseries!$A:$A,Timeseries!$S:$S),"")</f>
        <v>1000</v>
      </c>
      <c r="AB74" s="10">
        <f>IFERROR(LOOKUP(AB$23,Timeseries!$A:$A,Timeseries!$S:$S),"")</f>
        <v>1000</v>
      </c>
      <c r="AC74" s="10">
        <f>IFERROR(LOOKUP(AC$23,Timeseries!$A:$A,Timeseries!$S:$S),"")</f>
        <v>1000</v>
      </c>
      <c r="AD74" s="10">
        <f>IFERROR(LOOKUP(AD$23,Timeseries!$A:$A,Timeseries!$S:$S),"")</f>
        <v>1000</v>
      </c>
      <c r="AE74" s="10">
        <f>IFERROR(LOOKUP(AE$23,Timeseries!$A:$A,Timeseries!$S:$S),"")</f>
        <v>1000</v>
      </c>
      <c r="AF74" s="10">
        <f>IFERROR(LOOKUP(AF$23,Timeseries!$A:$A,Timeseries!$S:$S),"")</f>
        <v>1000</v>
      </c>
      <c r="AG74" s="10">
        <f>IFERROR(LOOKUP(AG$23,Timeseries!$A:$A,Timeseries!$S:$S),"")</f>
        <v>1000</v>
      </c>
      <c r="AH74" s="10">
        <f>IFERROR(LOOKUP(AH$23,Timeseries!$A:$A,Timeseries!$S:$S),"")</f>
        <v>1000</v>
      </c>
      <c r="AI74" s="10">
        <f>IFERROR(LOOKUP(AI$23,Timeseries!$A:$A,Timeseries!$S:$S),"")</f>
        <v>1000</v>
      </c>
      <c r="AJ74" s="10">
        <f>IFERROR(LOOKUP(AJ$23,Timeseries!$A:$A,Timeseries!$S:$S),"")</f>
        <v>1000</v>
      </c>
      <c r="AK74" s="10">
        <f>IFERROR(LOOKUP(AK$23,Timeseries!$A:$A,Timeseries!$S:$S),"")</f>
        <v>1000</v>
      </c>
      <c r="AL74" s="10">
        <f>IFERROR(LOOKUP(AL$23,Timeseries!$A:$A,Timeseries!$S:$S),"")</f>
        <v>1000</v>
      </c>
      <c r="AM74" s="10">
        <f>IFERROR(LOOKUP(AM$23,Timeseries!$A:$A,Timeseries!$S:$S),"")</f>
        <v>1000</v>
      </c>
      <c r="AN74" s="10">
        <f>IFERROR(LOOKUP(AN$23,Timeseries!$A:$A,Timeseries!$S:$S),"")</f>
        <v>1000</v>
      </c>
      <c r="AO74" s="10">
        <f>IFERROR(LOOKUP(AO$23,Timeseries!$A:$A,Timeseries!$S:$S),"")</f>
        <v>1000</v>
      </c>
      <c r="AP74" s="10">
        <f>IFERROR(LOOKUP(AP$23,Timeseries!$A:$A,Timeseries!$S:$S),"")</f>
        <v>1000</v>
      </c>
      <c r="AQ74" s="10">
        <f>IFERROR(LOOKUP(AQ$23,Timeseries!$A:$A,Timeseries!$S:$S),"")</f>
        <v>1000</v>
      </c>
      <c r="AR74" s="10">
        <f>IFERROR(LOOKUP(AR$23,Timeseries!$A:$A,Timeseries!$S:$S),"")</f>
        <v>1000</v>
      </c>
      <c r="AS74" s="10">
        <f>IFERROR(LOOKUP(AS$23,Timeseries!$A:$A,Timeseries!$S:$S),"")</f>
        <v>1000</v>
      </c>
      <c r="AT74" s="10">
        <f>IFERROR(LOOKUP(AT$23,Timeseries!$A:$A,Timeseries!$S:$S),"")</f>
        <v>1000</v>
      </c>
      <c r="AU74" s="10">
        <f>IFERROR(LOOKUP(AU$23,Timeseries!$A:$A,Timeseries!$S:$S),"")</f>
        <v>1000</v>
      </c>
      <c r="AV74" s="10">
        <f>IFERROR(LOOKUP(AV$23,Timeseries!$A:$A,Timeseries!$S:$S),"")</f>
        <v>1000</v>
      </c>
      <c r="AW74" s="10">
        <f>IFERROR(LOOKUP(AW$23,Timeseries!$A:$A,Timeseries!$S:$S),"")</f>
        <v>1000</v>
      </c>
      <c r="AX74" s="10">
        <f>IFERROR(LOOKUP(AX$23,Timeseries!$A:$A,Timeseries!$S:$S),"")</f>
        <v>1000</v>
      </c>
      <c r="AY74" s="10">
        <f>IFERROR(LOOKUP(AY$23,Timeseries!$A:$A,Timeseries!$S:$S),"")</f>
        <v>1000</v>
      </c>
      <c r="AZ74" s="10">
        <f>IFERROR(LOOKUP(AZ$23,Timeseries!$A:$A,Timeseries!$S:$S),"")</f>
        <v>1000</v>
      </c>
      <c r="BA74" s="10">
        <f>IFERROR(LOOKUP(BA$23,Timeseries!$A:$A,Timeseries!$S:$S),"")</f>
        <v>1000</v>
      </c>
      <c r="BB74" s="10">
        <f>IFERROR(LOOKUP(BB$23,Timeseries!$A:$A,Timeseries!$S:$S),"")</f>
        <v>1000</v>
      </c>
      <c r="BC74" s="10">
        <f>IFERROR(LOOKUP(BC$23,Timeseries!$A:$A,Timeseries!$S:$S),"")</f>
        <v>1000</v>
      </c>
      <c r="BD74" s="10">
        <f>IFERROR(LOOKUP(BD$23,Timeseries!$A:$A,Timeseries!$S:$S),"")</f>
        <v>1000</v>
      </c>
      <c r="BE74" s="10">
        <f>IFERROR(LOOKUP(BE$23,Timeseries!$A:$A,Timeseries!$S:$S),"")</f>
        <v>1000</v>
      </c>
      <c r="BF74" s="10">
        <f>IFERROR(LOOKUP(BF$23,Timeseries!$A:$A,Timeseries!$S:$S),"")</f>
        <v>1000</v>
      </c>
      <c r="BG74" s="10">
        <f>IFERROR(LOOKUP(BG$23,Timeseries!$A:$A,Timeseries!$S:$S),"")</f>
        <v>1000</v>
      </c>
      <c r="BH74" s="10">
        <f>IFERROR(LOOKUP(BH$23,Timeseries!$A:$A,Timeseries!$S:$S),"")</f>
        <v>1000</v>
      </c>
      <c r="BI74" s="10">
        <f>IFERROR(LOOKUP(BI$23,Timeseries!$A:$A,Timeseries!$S:$S),"")</f>
        <v>1000</v>
      </c>
      <c r="BJ74" s="10">
        <f>IFERROR(LOOKUP(BJ$23,Timeseries!$A:$A,Timeseries!$S:$S),"")</f>
        <v>1000</v>
      </c>
      <c r="BK74" s="10">
        <f>IFERROR(LOOKUP(BK$23,Timeseries!$A:$A,Timeseries!$S:$S),"")</f>
        <v>1000</v>
      </c>
      <c r="BL74" s="10">
        <f>IFERROR(LOOKUP(BL$23,Timeseries!$A:$A,Timeseries!$S:$S),"")</f>
        <v>1000</v>
      </c>
      <c r="BM74" s="10">
        <f>IFERROR(LOOKUP(BM$23,Timeseries!$A:$A,Timeseries!$S:$S),"")</f>
        <v>1000</v>
      </c>
      <c r="BN74" s="10">
        <f>IFERROR(LOOKUP(BN$23,Timeseries!$A:$A,Timeseries!$S:$S),"")</f>
        <v>1000</v>
      </c>
      <c r="BO74" s="10">
        <f>IFERROR(LOOKUP(BO$23,Timeseries!$A:$A,Timeseries!$S:$S),"")</f>
        <v>1000</v>
      </c>
      <c r="BP74" s="10">
        <f>IFERROR(LOOKUP(BP$23,Timeseries!$A:$A,Timeseries!$S:$S),"")</f>
        <v>1000</v>
      </c>
      <c r="BQ74" s="10">
        <f>IFERROR(LOOKUP(BQ$23,Timeseries!$A:$A,Timeseries!$S:$S),"")</f>
        <v>1000</v>
      </c>
      <c r="BR74" s="10">
        <f>IFERROR(LOOKUP(BR$23,Timeseries!$A:$A,Timeseries!$S:$S),"")</f>
        <v>1000</v>
      </c>
      <c r="BS74" s="10">
        <f>IFERROR(LOOKUP(BS$23,Timeseries!$A:$A,Timeseries!$S:$S),"")</f>
        <v>1000</v>
      </c>
      <c r="BT74" s="10">
        <f>IFERROR(LOOKUP(BT$23,Timeseries!$A:$A,Timeseries!$S:$S),"")</f>
        <v>1000</v>
      </c>
      <c r="BU74" s="10">
        <f>IFERROR(LOOKUP(BU$23,Timeseries!$A:$A,Timeseries!$S:$S),"")</f>
        <v>1000</v>
      </c>
      <c r="BV74" s="10">
        <f>IFERROR(LOOKUP(BV$23,Timeseries!$A:$A,Timeseries!$S:$S),"")</f>
        <v>1000</v>
      </c>
      <c r="BW74" s="10">
        <f>IFERROR(LOOKUP(BW$23,Timeseries!$A:$A,Timeseries!$S:$S),"")</f>
        <v>1000</v>
      </c>
      <c r="BX74" s="10">
        <f>IFERROR(LOOKUP(BX$23,Timeseries!$A:$A,Timeseries!$S:$S),"")</f>
        <v>1000</v>
      </c>
      <c r="BY74" s="10">
        <f>IFERROR(LOOKUP(BY$23,Timeseries!$A:$A,Timeseries!$S:$S),"")</f>
        <v>1000</v>
      </c>
      <c r="BZ74" s="10">
        <f>IFERROR(LOOKUP(BZ$23,Timeseries!$A:$A,Timeseries!$S:$S),"")</f>
        <v>1000</v>
      </c>
      <c r="CA74" s="10">
        <f>IFERROR(LOOKUP(CA$23,Timeseries!$A:$A,Timeseries!$S:$S),"")</f>
        <v>1000</v>
      </c>
      <c r="CB74" s="10">
        <f>IFERROR(LOOKUP(CB$23,Timeseries!$A:$A,Timeseries!$S:$S),"")</f>
        <v>1000</v>
      </c>
      <c r="CC74" s="10">
        <f>IFERROR(LOOKUP(CC$23,Timeseries!$A:$A,Timeseries!$S:$S),"")</f>
        <v>1000</v>
      </c>
      <c r="CD74" s="10">
        <f>IFERROR(LOOKUP(CD$23,Timeseries!$A:$A,Timeseries!$S:$S),"")</f>
        <v>1000</v>
      </c>
      <c r="CE74" s="10">
        <f>IFERROR(LOOKUP(CE$23,Timeseries!$A:$A,Timeseries!$S:$S),"")</f>
        <v>1000</v>
      </c>
      <c r="CF74" s="10">
        <f>IFERROR(LOOKUP(CF$23,Timeseries!$A:$A,Timeseries!$S:$S),"")</f>
        <v>1000</v>
      </c>
      <c r="CG74" s="10">
        <f>IFERROR(LOOKUP(CG$23,Timeseries!$A:$A,Timeseries!$S:$S),"")</f>
        <v>1000</v>
      </c>
      <c r="CH74" s="10">
        <f>IFERROR(LOOKUP(CH$23,Timeseries!$A:$A,Timeseries!$S:$S),"")</f>
        <v>1000</v>
      </c>
      <c r="CI74" s="10">
        <f>IFERROR(LOOKUP(CI$23,Timeseries!$A:$A,Timeseries!$S:$S),"")</f>
        <v>1000</v>
      </c>
      <c r="CJ74" s="10">
        <f>IFERROR(LOOKUP(CJ$23,Timeseries!$A:$A,Timeseries!$S:$S),"")</f>
        <v>1000</v>
      </c>
      <c r="CK74" s="10">
        <f>IFERROR(LOOKUP(CK$23,Timeseries!$A:$A,Timeseries!$S:$S),"")</f>
        <v>1000</v>
      </c>
      <c r="CL74" s="10">
        <f>IFERROR(LOOKUP(CL$23,Timeseries!$A:$A,Timeseries!$S:$S),"")</f>
        <v>1000</v>
      </c>
      <c r="CM74" s="10">
        <f>IFERROR(LOOKUP(CM$23,Timeseries!$A:$A,Timeseries!$S:$S),"")</f>
        <v>1000</v>
      </c>
      <c r="CN74" s="10">
        <f>IFERROR(LOOKUP(CN$23,Timeseries!$A:$A,Timeseries!$S:$S),"")</f>
        <v>1000</v>
      </c>
      <c r="CO74" s="10">
        <f>IFERROR(LOOKUP(CO$23,Timeseries!$A:$A,Timeseries!$S:$S),"")</f>
        <v>1000</v>
      </c>
      <c r="CP74" s="10">
        <f>IFERROR(LOOKUP(CP$23,Timeseries!$A:$A,Timeseries!$S:$S),"")</f>
        <v>1000</v>
      </c>
      <c r="CQ74" s="10">
        <f>IFERROR(LOOKUP(CQ$23,Timeseries!$A:$A,Timeseries!$S:$S),"")</f>
        <v>1000</v>
      </c>
      <c r="CR74" s="10">
        <f>IFERROR(LOOKUP(CR$23,Timeseries!$A:$A,Timeseries!$S:$S),"")</f>
        <v>1000</v>
      </c>
      <c r="CS74" s="10">
        <f>IFERROR(LOOKUP(CS$23,Timeseries!$A:$A,Timeseries!$S:$S),"")</f>
        <v>1000</v>
      </c>
      <c r="CT74" s="10">
        <f>IFERROR(LOOKUP(CT$23,Timeseries!$A:$A,Timeseries!$S:$S),"")</f>
        <v>1000</v>
      </c>
      <c r="CU74" s="10">
        <f>IFERROR(LOOKUP(CU$23,Timeseries!$A:$A,Timeseries!$S:$S),"")</f>
        <v>1000</v>
      </c>
      <c r="CV74" s="10">
        <f>IFERROR(LOOKUP(CV$23,Timeseries!$A:$A,Timeseries!$S:$S),"")</f>
        <v>1000</v>
      </c>
      <c r="CW74" s="10">
        <f>IFERROR(LOOKUP(CW$23,Timeseries!$A:$A,Timeseries!$S:$S),"")</f>
        <v>1000</v>
      </c>
      <c r="CX74" s="10">
        <f>IFERROR(LOOKUP(CX$23,Timeseries!$A:$A,Timeseries!$S:$S),"")</f>
        <v>1000</v>
      </c>
      <c r="CY74" s="10">
        <f>IFERROR(LOOKUP(CY$23,Timeseries!$A:$A,Timeseries!$S:$S),"")</f>
        <v>1000</v>
      </c>
      <c r="CZ74" s="10">
        <f>IFERROR(LOOKUP(CZ$23,Timeseries!$A:$A,Timeseries!$S:$S),"")</f>
        <v>1000</v>
      </c>
      <c r="DA74" s="10">
        <f>IFERROR(LOOKUP(DA$23,Timeseries!$A:$A,Timeseries!$S:$S),"")</f>
        <v>1000</v>
      </c>
      <c r="DB74" s="10">
        <f>IFERROR(LOOKUP(DB$23,Timeseries!$A:$A,Timeseries!$S:$S),"")</f>
        <v>1000</v>
      </c>
      <c r="DC74" s="10">
        <f>IFERROR(LOOKUP(DC$23,Timeseries!$A:$A,Timeseries!$S:$S),"")</f>
        <v>1000</v>
      </c>
      <c r="DD74" s="10">
        <f>IFERROR(LOOKUP(DD$23,Timeseries!$A:$A,Timeseries!$S:$S),"")</f>
        <v>1000</v>
      </c>
      <c r="DE74" s="10">
        <f>IFERROR(LOOKUP(DE$23,Timeseries!$A:$A,Timeseries!$S:$S),"")</f>
        <v>1000</v>
      </c>
      <c r="DF74" s="10">
        <f>IFERROR(LOOKUP(DF$23,Timeseries!$A:$A,Timeseries!$S:$S),"")</f>
        <v>1000</v>
      </c>
      <c r="DG74" s="10">
        <f>IFERROR(LOOKUP(DG$23,Timeseries!$A:$A,Timeseries!$S:$S),"")</f>
        <v>1000</v>
      </c>
      <c r="DH74" s="10">
        <f>IFERROR(LOOKUP(DH$23,Timeseries!$A:$A,Timeseries!$S:$S),"")</f>
        <v>1000</v>
      </c>
      <c r="DI74" s="10">
        <f>IFERROR(LOOKUP(DI$23,Timeseries!$A:$A,Timeseries!$S:$S),"")</f>
        <v>1000</v>
      </c>
      <c r="DJ74" s="10">
        <f>IFERROR(LOOKUP(DJ$23,Timeseries!$A:$A,Timeseries!$S:$S),"")</f>
        <v>1000</v>
      </c>
      <c r="DK74" s="10">
        <f>IFERROR(LOOKUP(DK$23,Timeseries!$A:$A,Timeseries!$S:$S),"")</f>
        <v>1000</v>
      </c>
      <c r="DL74" s="10">
        <f>IFERROR(LOOKUP(DL$23,Timeseries!$A:$A,Timeseries!$S:$S),"")</f>
        <v>1000</v>
      </c>
      <c r="DM74" s="10">
        <f>IFERROR(LOOKUP(DM$23,Timeseries!$A:$A,Timeseries!$S:$S),"")</f>
        <v>1000</v>
      </c>
      <c r="DN74" s="10">
        <f>IFERROR(LOOKUP(DN$23,Timeseries!$A:$A,Timeseries!$S:$S),"")</f>
        <v>1000</v>
      </c>
      <c r="DO74" s="10">
        <f>IFERROR(LOOKUP(DO$23,Timeseries!$A:$A,Timeseries!$S:$S),"")</f>
        <v>1000</v>
      </c>
      <c r="DP74" s="10">
        <f>IFERROR(LOOKUP(DP$23,Timeseries!$A:$A,Timeseries!$S:$S),"")</f>
        <v>1000</v>
      </c>
      <c r="DQ74" s="10">
        <f>IFERROR(LOOKUP(DQ$23,Timeseries!$A:$A,Timeseries!$S:$S),"")</f>
        <v>1000</v>
      </c>
      <c r="DR74" s="10">
        <f>IFERROR(LOOKUP(DR$23,Timeseries!$A:$A,Timeseries!$S:$S),"")</f>
        <v>1000</v>
      </c>
      <c r="DS74" s="10">
        <f>IFERROR(LOOKUP(DS$23,Timeseries!$A:$A,Timeseries!$S:$S),"")</f>
        <v>1000</v>
      </c>
      <c r="DT74" s="10">
        <f>IFERROR(LOOKUP(DT$23,Timeseries!$A:$A,Timeseries!$S:$S),"")</f>
        <v>1000</v>
      </c>
      <c r="DU74" s="10">
        <f>IFERROR(LOOKUP(DU$23,Timeseries!$A:$A,Timeseries!$S:$S),"")</f>
        <v>1000</v>
      </c>
      <c r="DV74" s="10">
        <f>IFERROR(LOOKUP(DV$23,Timeseries!$A:$A,Timeseries!$S:$S),"")</f>
        <v>1000</v>
      </c>
      <c r="DW74" s="10">
        <f>IFERROR(LOOKUP(DW$23,Timeseries!$A:$A,Timeseries!$S:$S),"")</f>
        <v>1000</v>
      </c>
      <c r="DX74" s="10">
        <f>IFERROR(LOOKUP(DX$23,Timeseries!$A:$A,Timeseries!$S:$S),"")</f>
        <v>1000</v>
      </c>
      <c r="DY74" s="10">
        <f>IFERROR(LOOKUP(DY$23,Timeseries!$A:$A,Timeseries!$S:$S),"")</f>
        <v>1000</v>
      </c>
      <c r="DZ74" s="10">
        <f>IFERROR(LOOKUP(DZ$23,Timeseries!$A:$A,Timeseries!$S:$S),"")</f>
        <v>1000</v>
      </c>
      <c r="EA74" s="10">
        <f>IFERROR(LOOKUP(EA$23,Timeseries!$A:$A,Timeseries!$S:$S),"")</f>
        <v>1000</v>
      </c>
      <c r="EB74" s="10">
        <f>IFERROR(LOOKUP(EB$23,Timeseries!$A:$A,Timeseries!$S:$S),"")</f>
        <v>1000</v>
      </c>
      <c r="EC74" s="10">
        <f>IFERROR(LOOKUP(EC$23,Timeseries!$A:$A,Timeseries!$S:$S),"")</f>
        <v>1000</v>
      </c>
      <c r="ED74" s="10">
        <f>IFERROR(LOOKUP(ED$23,Timeseries!$A:$A,Timeseries!$S:$S),"")</f>
        <v>1000</v>
      </c>
      <c r="EE74" s="10">
        <f>IFERROR(LOOKUP(EE$23,Timeseries!$A:$A,Timeseries!$S:$S),"")</f>
        <v>1000</v>
      </c>
      <c r="EF74" s="10">
        <f>IFERROR(LOOKUP(EF$23,Timeseries!$A:$A,Timeseries!$S:$S),"")</f>
        <v>1000</v>
      </c>
      <c r="EG74" s="10">
        <f>IFERROR(LOOKUP(EG$23,Timeseries!$A:$A,Timeseries!$S:$S),"")</f>
        <v>1000</v>
      </c>
      <c r="EH74" s="10">
        <f>IFERROR(LOOKUP(EH$23,Timeseries!$A:$A,Timeseries!$S:$S),"")</f>
        <v>1000</v>
      </c>
      <c r="EI74" s="10">
        <f>IFERROR(LOOKUP(EI$23,Timeseries!$A:$A,Timeseries!$S:$S),"")</f>
        <v>1000</v>
      </c>
      <c r="EJ74" s="10">
        <f>IFERROR(LOOKUP(EJ$23,Timeseries!$A:$A,Timeseries!$S:$S),"")</f>
        <v>1000</v>
      </c>
      <c r="EK74" s="10">
        <f>IFERROR(LOOKUP(EK$23,Timeseries!$A:$A,Timeseries!$S:$S),"")</f>
        <v>1000</v>
      </c>
      <c r="EL74" s="10">
        <f>IFERROR(LOOKUP(EL$23,Timeseries!$A:$A,Timeseries!$S:$S),"")</f>
        <v>1000</v>
      </c>
      <c r="EM74" s="10">
        <f>IFERROR(LOOKUP(EM$23,Timeseries!$A:$A,Timeseries!$S:$S),"")</f>
        <v>1000</v>
      </c>
      <c r="EN74" s="10">
        <f>IFERROR(LOOKUP(EN$23,Timeseries!$A:$A,Timeseries!$S:$S),"")</f>
        <v>1000</v>
      </c>
      <c r="EO74" s="10">
        <f>IFERROR(LOOKUP(EO$23,Timeseries!$A:$A,Timeseries!$S:$S),"")</f>
        <v>1000</v>
      </c>
      <c r="EP74" s="10">
        <f>IFERROR(LOOKUP(EP$23,Timeseries!$A:$A,Timeseries!$S:$S),"")</f>
        <v>1000</v>
      </c>
      <c r="EQ74" s="10">
        <f>IFERROR(LOOKUP(EQ$23,Timeseries!$A:$A,Timeseries!$S:$S),"")</f>
        <v>1000</v>
      </c>
      <c r="ER74" s="10">
        <f>IFERROR(LOOKUP(ER$23,Timeseries!$A:$A,Timeseries!$S:$S),"")</f>
        <v>1000</v>
      </c>
      <c r="ES74" s="10">
        <f>IFERROR(LOOKUP(ES$23,Timeseries!$A:$A,Timeseries!$S:$S),"")</f>
        <v>1000</v>
      </c>
      <c r="ET74" s="10">
        <f>IFERROR(LOOKUP(ET$23,Timeseries!$A:$A,Timeseries!$S:$S),"")</f>
        <v>1000</v>
      </c>
      <c r="EU74" s="10">
        <f>IFERROR(LOOKUP(EU$23,Timeseries!$A:$A,Timeseries!$S:$S),"")</f>
        <v>1000</v>
      </c>
      <c r="EV74" s="10">
        <f>IFERROR(LOOKUP(EV$23,Timeseries!$A:$A,Timeseries!$S:$S),"")</f>
        <v>1000</v>
      </c>
      <c r="EW74" s="10">
        <f>IFERROR(LOOKUP(EW$23,Timeseries!$A:$A,Timeseries!$S:$S),"")</f>
        <v>1000</v>
      </c>
      <c r="EX74" s="10">
        <f>IFERROR(LOOKUP(EX$23,Timeseries!$A:$A,Timeseries!$S:$S),"")</f>
        <v>1000</v>
      </c>
      <c r="EY74" s="10">
        <f>IFERROR(LOOKUP(EY$23,Timeseries!$A:$A,Timeseries!$S:$S),"")</f>
        <v>1000</v>
      </c>
      <c r="EZ74" s="10">
        <f>IFERROR(LOOKUP(EZ$23,Timeseries!$A:$A,Timeseries!$S:$S),"")</f>
        <v>1000</v>
      </c>
      <c r="FA74" s="10">
        <f>IFERROR(LOOKUP(FA$23,Timeseries!$A:$A,Timeseries!$S:$S),"")</f>
        <v>1000</v>
      </c>
      <c r="FB74" s="10">
        <f>IFERROR(LOOKUP(FB$23,Timeseries!$A:$A,Timeseries!$S:$S),"")</f>
        <v>1000</v>
      </c>
      <c r="FC74" s="10">
        <f>IFERROR(LOOKUP(FC$23,Timeseries!$A:$A,Timeseries!$S:$S),"")</f>
        <v>1000</v>
      </c>
      <c r="FD74" s="10">
        <f>IFERROR(LOOKUP(FD$23,Timeseries!$A:$A,Timeseries!$S:$S),"")</f>
        <v>1000</v>
      </c>
      <c r="FE74" s="10">
        <f>IFERROR(LOOKUP(FE$23,Timeseries!$A:$A,Timeseries!$S:$S),"")</f>
        <v>1000</v>
      </c>
      <c r="FF74" s="10">
        <f>IFERROR(LOOKUP(FF$23,Timeseries!$A:$A,Timeseries!$S:$S),"")</f>
        <v>1000</v>
      </c>
      <c r="FG74" s="10">
        <f>IFERROR(LOOKUP(FG$23,Timeseries!$A:$A,Timeseries!$S:$S),"")</f>
        <v>1000</v>
      </c>
      <c r="FH74" s="10">
        <f>IFERROR(LOOKUP(FH$23,Timeseries!$A:$A,Timeseries!$S:$S),"")</f>
        <v>1000</v>
      </c>
      <c r="FI74" s="10">
        <f>IFERROR(LOOKUP(FI$23,Timeseries!$A:$A,Timeseries!$S:$S),"")</f>
        <v>1000</v>
      </c>
      <c r="FJ74" s="10">
        <f>IFERROR(LOOKUP(FJ$23,Timeseries!$A:$A,Timeseries!$S:$S),"")</f>
        <v>1000</v>
      </c>
      <c r="FK74" s="10">
        <f>IFERROR(LOOKUP(FK$23,Timeseries!$A:$A,Timeseries!$S:$S),"")</f>
        <v>1000</v>
      </c>
      <c r="FL74" s="10">
        <f>IFERROR(LOOKUP(FL$23,Timeseries!$A:$A,Timeseries!$S:$S),"")</f>
        <v>1000</v>
      </c>
      <c r="FM74" s="10">
        <f>IFERROR(LOOKUP(FM$23,Timeseries!$A:$A,Timeseries!$S:$S),"")</f>
        <v>1000</v>
      </c>
      <c r="FN74" s="10">
        <f>IFERROR(LOOKUP(FN$23,Timeseries!$A:$A,Timeseries!$S:$S),"")</f>
        <v>1000</v>
      </c>
      <c r="FO74" s="10">
        <f>IFERROR(LOOKUP(FO$23,Timeseries!$A:$A,Timeseries!$S:$S),"")</f>
        <v>1000</v>
      </c>
      <c r="FP74" s="10">
        <f>IFERROR(LOOKUP(FP$23,Timeseries!$A:$A,Timeseries!$S:$S),"")</f>
        <v>1000</v>
      </c>
      <c r="FQ74" s="10">
        <f>IFERROR(LOOKUP(FQ$23,Timeseries!$A:$A,Timeseries!$S:$S),"")</f>
        <v>1000</v>
      </c>
      <c r="FR74" s="10">
        <f>IFERROR(LOOKUP(FR$23,Timeseries!$A:$A,Timeseries!$S:$S),"")</f>
        <v>1000</v>
      </c>
      <c r="FS74" s="10">
        <f>IFERROR(LOOKUP(FS$23,Timeseries!$A:$A,Timeseries!$S:$S),"")</f>
        <v>1000</v>
      </c>
    </row>
    <row r="76" spans="4:175" ht="20.399999999999999" thickBot="1">
      <c r="D76" s="1" t="s">
        <v>139</v>
      </c>
      <c r="E76" s="7" t="s">
        <v>32</v>
      </c>
      <c r="F76" s="3" t="s">
        <v>150</v>
      </c>
      <c r="G76" s="7"/>
      <c r="H76" s="3" t="s">
        <v>7</v>
      </c>
      <c r="I76" s="3" t="s">
        <v>8</v>
      </c>
      <c r="J76" s="3" t="s">
        <v>9</v>
      </c>
      <c r="K76" s="3" t="s">
        <v>10</v>
      </c>
      <c r="L76" s="3" t="s">
        <v>11</v>
      </c>
      <c r="M76" s="3" t="s">
        <v>12</v>
      </c>
      <c r="N76" s="3" t="s">
        <v>13</v>
      </c>
      <c r="O76" s="3" t="s">
        <v>14</v>
      </c>
      <c r="P76" s="3" t="s">
        <v>15</v>
      </c>
      <c r="Q76" s="3" t="s">
        <v>16</v>
      </c>
      <c r="R76" s="3" t="s">
        <v>17</v>
      </c>
      <c r="S76" s="3" t="s">
        <v>18</v>
      </c>
      <c r="T76" s="3" t="s">
        <v>19</v>
      </c>
      <c r="U76" s="3" t="s">
        <v>20</v>
      </c>
      <c r="V76" s="3" t="s">
        <v>21</v>
      </c>
      <c r="W76" s="3" t="s">
        <v>22</v>
      </c>
      <c r="X76" s="3" t="s">
        <v>23</v>
      </c>
      <c r="Y76" s="3" t="s">
        <v>24</v>
      </c>
      <c r="Z76" s="3" t="s">
        <v>25</v>
      </c>
      <c r="AA76" s="3" t="s">
        <v>26</v>
      </c>
      <c r="AB76" s="3" t="s">
        <v>27</v>
      </c>
      <c r="AC76" s="3" t="s">
        <v>28</v>
      </c>
      <c r="AD76" s="3" t="s">
        <v>29</v>
      </c>
      <c r="AE76" s="3" t="s">
        <v>30</v>
      </c>
      <c r="AF76" s="3" t="s">
        <v>280</v>
      </c>
      <c r="AG76" s="3" t="s">
        <v>281</v>
      </c>
      <c r="AH76" s="3" t="s">
        <v>282</v>
      </c>
      <c r="AI76" s="3" t="s">
        <v>283</v>
      </c>
      <c r="AJ76" s="3" t="s">
        <v>284</v>
      </c>
      <c r="AK76" s="3" t="s">
        <v>285</v>
      </c>
      <c r="AL76" s="3" t="s">
        <v>286</v>
      </c>
      <c r="AM76" s="3" t="s">
        <v>287</v>
      </c>
      <c r="AN76" s="3" t="s">
        <v>288</v>
      </c>
      <c r="AO76" s="3" t="s">
        <v>289</v>
      </c>
      <c r="AP76" s="3" t="s">
        <v>290</v>
      </c>
      <c r="AQ76" s="3" t="s">
        <v>291</v>
      </c>
      <c r="AR76" s="3" t="s">
        <v>292</v>
      </c>
      <c r="AS76" s="3" t="s">
        <v>293</v>
      </c>
      <c r="AT76" s="3" t="s">
        <v>294</v>
      </c>
      <c r="AU76" s="3" t="s">
        <v>295</v>
      </c>
      <c r="AV76" s="3" t="s">
        <v>296</v>
      </c>
      <c r="AW76" s="3" t="s">
        <v>297</v>
      </c>
      <c r="AX76" s="3" t="s">
        <v>298</v>
      </c>
      <c r="AY76" s="3" t="s">
        <v>299</v>
      </c>
      <c r="AZ76" s="3" t="s">
        <v>300</v>
      </c>
      <c r="BA76" s="3" t="s">
        <v>301</v>
      </c>
      <c r="BB76" s="3" t="s">
        <v>302</v>
      </c>
      <c r="BC76" s="3" t="s">
        <v>303</v>
      </c>
      <c r="BD76" s="3" t="s">
        <v>304</v>
      </c>
      <c r="BE76" s="3" t="s">
        <v>305</v>
      </c>
      <c r="BF76" s="3" t="s">
        <v>306</v>
      </c>
      <c r="BG76" s="3" t="s">
        <v>307</v>
      </c>
      <c r="BH76" s="3" t="s">
        <v>308</v>
      </c>
      <c r="BI76" s="3" t="s">
        <v>309</v>
      </c>
      <c r="BJ76" s="3" t="s">
        <v>310</v>
      </c>
      <c r="BK76" s="3" t="s">
        <v>311</v>
      </c>
      <c r="BL76" s="3" t="s">
        <v>312</v>
      </c>
      <c r="BM76" s="3" t="s">
        <v>313</v>
      </c>
      <c r="BN76" s="3" t="s">
        <v>314</v>
      </c>
      <c r="BO76" s="3" t="s">
        <v>315</v>
      </c>
      <c r="BP76" s="3" t="s">
        <v>316</v>
      </c>
      <c r="BQ76" s="3" t="s">
        <v>317</v>
      </c>
      <c r="BR76" s="3" t="s">
        <v>318</v>
      </c>
      <c r="BS76" s="3" t="s">
        <v>319</v>
      </c>
      <c r="BT76" s="3" t="s">
        <v>320</v>
      </c>
      <c r="BU76" s="3" t="s">
        <v>321</v>
      </c>
      <c r="BV76" s="3" t="s">
        <v>322</v>
      </c>
      <c r="BW76" s="3" t="s">
        <v>323</v>
      </c>
      <c r="BX76" s="3" t="s">
        <v>324</v>
      </c>
      <c r="BY76" s="3" t="s">
        <v>325</v>
      </c>
      <c r="BZ76" s="3" t="s">
        <v>326</v>
      </c>
      <c r="CA76" s="3" t="s">
        <v>327</v>
      </c>
      <c r="CB76" s="3" t="s">
        <v>328</v>
      </c>
      <c r="CC76" s="3" t="s">
        <v>329</v>
      </c>
      <c r="CD76" s="3" t="s">
        <v>330</v>
      </c>
      <c r="CE76" s="3" t="s">
        <v>331</v>
      </c>
      <c r="CF76" s="3" t="s">
        <v>332</v>
      </c>
      <c r="CG76" s="3" t="s">
        <v>333</v>
      </c>
      <c r="CH76" s="3" t="s">
        <v>334</v>
      </c>
      <c r="CI76" s="3" t="s">
        <v>335</v>
      </c>
      <c r="CJ76" s="3" t="s">
        <v>336</v>
      </c>
      <c r="CK76" s="3" t="s">
        <v>337</v>
      </c>
      <c r="CL76" s="3" t="s">
        <v>338</v>
      </c>
      <c r="CM76" s="3" t="s">
        <v>339</v>
      </c>
      <c r="CN76" s="3" t="s">
        <v>340</v>
      </c>
      <c r="CO76" s="3" t="s">
        <v>341</v>
      </c>
      <c r="CP76" s="3" t="s">
        <v>342</v>
      </c>
      <c r="CQ76" s="3" t="s">
        <v>343</v>
      </c>
      <c r="CR76" s="3" t="s">
        <v>344</v>
      </c>
      <c r="CS76" s="3" t="s">
        <v>345</v>
      </c>
      <c r="CT76" s="3" t="s">
        <v>346</v>
      </c>
      <c r="CU76" s="3" t="s">
        <v>347</v>
      </c>
      <c r="CV76" s="3" t="s">
        <v>348</v>
      </c>
      <c r="CW76" s="3" t="s">
        <v>349</v>
      </c>
      <c r="CX76" s="3" t="s">
        <v>350</v>
      </c>
      <c r="CY76" s="3" t="s">
        <v>351</v>
      </c>
      <c r="CZ76" s="3" t="s">
        <v>352</v>
      </c>
      <c r="DA76" s="3" t="s">
        <v>353</v>
      </c>
      <c r="DB76" s="3" t="s">
        <v>354</v>
      </c>
      <c r="DC76" s="3" t="s">
        <v>355</v>
      </c>
      <c r="DD76" s="3" t="s">
        <v>356</v>
      </c>
      <c r="DE76" s="3" t="s">
        <v>357</v>
      </c>
      <c r="DF76" s="3" t="s">
        <v>358</v>
      </c>
      <c r="DG76" s="3" t="s">
        <v>359</v>
      </c>
      <c r="DH76" s="3" t="s">
        <v>360</v>
      </c>
      <c r="DI76" s="3" t="s">
        <v>361</v>
      </c>
      <c r="DJ76" s="3" t="s">
        <v>362</v>
      </c>
      <c r="DK76" s="3" t="s">
        <v>363</v>
      </c>
      <c r="DL76" s="3" t="s">
        <v>364</v>
      </c>
      <c r="DM76" s="3" t="s">
        <v>365</v>
      </c>
      <c r="DN76" s="3" t="s">
        <v>366</v>
      </c>
      <c r="DO76" s="3" t="s">
        <v>367</v>
      </c>
      <c r="DP76" s="3" t="s">
        <v>368</v>
      </c>
      <c r="DQ76" s="3" t="s">
        <v>369</v>
      </c>
      <c r="DR76" s="3" t="s">
        <v>370</v>
      </c>
      <c r="DS76" s="3" t="s">
        <v>371</v>
      </c>
      <c r="DT76" s="3" t="s">
        <v>372</v>
      </c>
      <c r="DU76" s="3" t="s">
        <v>373</v>
      </c>
      <c r="DV76" s="3" t="s">
        <v>374</v>
      </c>
      <c r="DW76" s="3" t="s">
        <v>375</v>
      </c>
      <c r="DX76" s="3" t="s">
        <v>376</v>
      </c>
      <c r="DY76" s="3" t="s">
        <v>377</v>
      </c>
      <c r="DZ76" s="3" t="s">
        <v>378</v>
      </c>
      <c r="EA76" s="3" t="s">
        <v>379</v>
      </c>
      <c r="EB76" s="3" t="s">
        <v>380</v>
      </c>
      <c r="EC76" s="3" t="s">
        <v>381</v>
      </c>
      <c r="ED76" s="3" t="s">
        <v>382</v>
      </c>
      <c r="EE76" s="3" t="s">
        <v>383</v>
      </c>
      <c r="EF76" s="3" t="s">
        <v>384</v>
      </c>
      <c r="EG76" s="3" t="s">
        <v>385</v>
      </c>
      <c r="EH76" s="3" t="s">
        <v>386</v>
      </c>
      <c r="EI76" s="3" t="s">
        <v>387</v>
      </c>
      <c r="EJ76" s="3" t="s">
        <v>388</v>
      </c>
      <c r="EK76" s="3" t="s">
        <v>389</v>
      </c>
      <c r="EL76" s="3" t="s">
        <v>390</v>
      </c>
      <c r="EM76" s="3" t="s">
        <v>391</v>
      </c>
      <c r="EN76" s="3" t="s">
        <v>392</v>
      </c>
      <c r="EO76" s="3" t="s">
        <v>393</v>
      </c>
      <c r="EP76" s="3" t="s">
        <v>394</v>
      </c>
      <c r="EQ76" s="3" t="s">
        <v>395</v>
      </c>
      <c r="ER76" s="3" t="s">
        <v>396</v>
      </c>
      <c r="ES76" s="3" t="s">
        <v>397</v>
      </c>
      <c r="ET76" s="3" t="s">
        <v>398</v>
      </c>
      <c r="EU76" s="3" t="s">
        <v>399</v>
      </c>
      <c r="EV76" s="3" t="s">
        <v>400</v>
      </c>
      <c r="EW76" s="3" t="s">
        <v>401</v>
      </c>
      <c r="EX76" s="3" t="s">
        <v>402</v>
      </c>
      <c r="EY76" s="3" t="s">
        <v>403</v>
      </c>
      <c r="EZ76" s="3" t="s">
        <v>404</v>
      </c>
      <c r="FA76" s="3" t="s">
        <v>405</v>
      </c>
      <c r="FB76" s="3" t="s">
        <v>406</v>
      </c>
      <c r="FC76" s="3" t="s">
        <v>407</v>
      </c>
      <c r="FD76" s="3" t="s">
        <v>408</v>
      </c>
      <c r="FE76" s="3" t="s">
        <v>409</v>
      </c>
      <c r="FF76" s="3" t="s">
        <v>410</v>
      </c>
      <c r="FG76" s="3" t="s">
        <v>411</v>
      </c>
      <c r="FH76" s="3" t="s">
        <v>412</v>
      </c>
      <c r="FI76" s="3" t="s">
        <v>413</v>
      </c>
      <c r="FJ76" s="3" t="s">
        <v>414</v>
      </c>
      <c r="FK76" s="3" t="s">
        <v>415</v>
      </c>
      <c r="FL76" s="3" t="s">
        <v>416</v>
      </c>
      <c r="FM76" s="3" t="s">
        <v>417</v>
      </c>
      <c r="FN76" s="3" t="s">
        <v>418</v>
      </c>
      <c r="FO76" s="3" t="s">
        <v>419</v>
      </c>
      <c r="FP76" s="3" t="s">
        <v>420</v>
      </c>
      <c r="FQ76" s="3" t="s">
        <v>421</v>
      </c>
      <c r="FR76" s="3" t="s">
        <v>422</v>
      </c>
      <c r="FS76" s="3" t="s">
        <v>423</v>
      </c>
    </row>
    <row r="77" spans="4:175" ht="15" thickTop="1">
      <c r="D77" t="s">
        <v>55</v>
      </c>
      <c r="E77" s="2" t="s">
        <v>54</v>
      </c>
      <c r="F77" s="8" t="s">
        <v>152</v>
      </c>
      <c r="G77" s="2"/>
      <c r="H77" s="55">
        <f>IFERROR(LOOKUP(H$23,Timeseries!$A:$A,Timeseries!$T:$T),"")</f>
        <v>442.69657292841788</v>
      </c>
      <c r="I77" s="55">
        <f>IFERROR(LOOKUP(I$23,Timeseries!$A:$A,Timeseries!$T:$T),"")</f>
        <v>362.27094893570683</v>
      </c>
      <c r="J77" s="55">
        <f>IFERROR(LOOKUP(J$23,Timeseries!$A:$A,Timeseries!$T:$T),"")</f>
        <v>362.27094893570683</v>
      </c>
      <c r="K77" s="55">
        <f>IFERROR(LOOKUP(K$23,Timeseries!$A:$A,Timeseries!$T:$T),"")</f>
        <v>362.27094893570683</v>
      </c>
      <c r="L77" s="55">
        <f>IFERROR(LOOKUP(L$23,Timeseries!$A:$A,Timeseries!$T:$T),"")</f>
        <v>426.44032978095498</v>
      </c>
      <c r="M77" s="55">
        <f>IFERROR(LOOKUP(M$23,Timeseries!$A:$A,Timeseries!$T:$T),"")</f>
        <v>362.27094893570683</v>
      </c>
      <c r="N77" s="55">
        <f>IFERROR(LOOKUP(N$23,Timeseries!$A:$A,Timeseries!$T:$T),"")</f>
        <v>304.3759075508828</v>
      </c>
      <c r="O77" s="55">
        <f>IFERROR(LOOKUP(O$23,Timeseries!$A:$A,Timeseries!$T:$T),"")</f>
        <v>280.13414145378908</v>
      </c>
      <c r="P77" s="55">
        <f>IFERROR(LOOKUP(P$23,Timeseries!$A:$A,Timeseries!$T:$T),"")</f>
        <v>294.39400386384426</v>
      </c>
      <c r="Q77" s="55">
        <f>IFERROR(LOOKUP(Q$23,Timeseries!$A:$A,Timeseries!$T:$T),"")</f>
        <v>317.20978371993255</v>
      </c>
      <c r="R77" s="55">
        <f>IFERROR(LOOKUP(R$23,Timeseries!$A:$A,Timeseries!$T:$T),"")</f>
        <v>308.08347177749721</v>
      </c>
      <c r="S77" s="55">
        <f>IFERROR(LOOKUP(S$23,Timeseries!$A:$A,Timeseries!$T:$T),"")</f>
        <v>303.80551305448063</v>
      </c>
      <c r="T77" s="55">
        <f>IFERROR(LOOKUP(T$23,Timeseries!$A:$A,Timeseries!$T:$T),"")</f>
        <v>303.80551305448063</v>
      </c>
      <c r="U77" s="55">
        <f>IFERROR(LOOKUP(U$23,Timeseries!$A:$A,Timeseries!$T:$T),"")</f>
        <v>353.43040463596901</v>
      </c>
      <c r="V77" s="55">
        <f>IFERROR(LOOKUP(V$23,Timeseries!$A:$A,Timeseries!$T:$T),"")</f>
        <v>587.29100737188094</v>
      </c>
      <c r="W77" s="55">
        <f>IFERROR(LOOKUP(W$23,Timeseries!$A:$A,Timeseries!$T:$T),"")</f>
        <v>604.40284226394715</v>
      </c>
      <c r="X77" s="55">
        <f>IFERROR(LOOKUP(X$23,Timeseries!$A:$A,Timeseries!$T:$T),"")</f>
        <v>875.91062255139741</v>
      </c>
      <c r="Y77" s="55">
        <f>IFERROR(LOOKUP(Y$23,Timeseries!$A:$A,Timeseries!$T:$T),"")</f>
        <v>1116.9022972813298</v>
      </c>
      <c r="Z77" s="55">
        <f>IFERROR(LOOKUP(Z$23,Timeseries!$A:$A,Timeseries!$T:$T),"")</f>
        <v>1156.8299120294841</v>
      </c>
      <c r="AA77" s="55">
        <f>IFERROR(LOOKUP(AA$23,Timeseries!$A:$A,Timeseries!$T:$T),"")</f>
        <v>1156.8299120294841</v>
      </c>
      <c r="AB77" s="55">
        <f>IFERROR(LOOKUP(AB$23,Timeseries!$A:$A,Timeseries!$T:$T),"")</f>
        <v>1114.0503247993186</v>
      </c>
      <c r="AC77" s="55">
        <f>IFERROR(LOOKUP(AC$23,Timeseries!$A:$A,Timeseries!$T:$T),"")</f>
        <v>1034.1950953030096</v>
      </c>
      <c r="AD77" s="55">
        <f>IFERROR(LOOKUP(AD$23,Timeseries!$A:$A,Timeseries!$T:$T),"")</f>
        <v>807.46328298313267</v>
      </c>
      <c r="AE77" s="55">
        <f>IFERROR(LOOKUP(AE$23,Timeseries!$A:$A,Timeseries!$T:$T),"")</f>
        <v>442.69657292841788</v>
      </c>
      <c r="AF77" s="55">
        <f>IFERROR(LOOKUP(AF$23,Timeseries!$A:$A,Timeseries!$T:$T),"")</f>
        <v>442.69657292841788</v>
      </c>
      <c r="AG77" s="55">
        <f>IFERROR(LOOKUP(AG$23,Timeseries!$A:$A,Timeseries!$T:$T),"")</f>
        <v>362.27094893570683</v>
      </c>
      <c r="AH77" s="55">
        <f>IFERROR(LOOKUP(AH$23,Timeseries!$A:$A,Timeseries!$T:$T),"")</f>
        <v>362.27094893570683</v>
      </c>
      <c r="AI77" s="55">
        <f>IFERROR(LOOKUP(AI$23,Timeseries!$A:$A,Timeseries!$T:$T),"")</f>
        <v>362.27094893570683</v>
      </c>
      <c r="AJ77" s="55">
        <f>IFERROR(LOOKUP(AJ$23,Timeseries!$A:$A,Timeseries!$T:$T),"")</f>
        <v>426.44032978095498</v>
      </c>
      <c r="AK77" s="55">
        <f>IFERROR(LOOKUP(AK$23,Timeseries!$A:$A,Timeseries!$T:$T),"")</f>
        <v>362.27094893570683</v>
      </c>
      <c r="AL77" s="55">
        <f>IFERROR(LOOKUP(AL$23,Timeseries!$A:$A,Timeseries!$T:$T),"")</f>
        <v>304.3759075508828</v>
      </c>
      <c r="AM77" s="55">
        <f>IFERROR(LOOKUP(AM$23,Timeseries!$A:$A,Timeseries!$T:$T),"")</f>
        <v>280.13414145378908</v>
      </c>
      <c r="AN77" s="55">
        <f>IFERROR(LOOKUP(AN$23,Timeseries!$A:$A,Timeseries!$T:$T),"")</f>
        <v>294.39400386384426</v>
      </c>
      <c r="AO77" s="55">
        <f>IFERROR(LOOKUP(AO$23,Timeseries!$A:$A,Timeseries!$T:$T),"")</f>
        <v>317.20978371993255</v>
      </c>
      <c r="AP77" s="55">
        <f>IFERROR(LOOKUP(AP$23,Timeseries!$A:$A,Timeseries!$T:$T),"")</f>
        <v>308.08347177749721</v>
      </c>
      <c r="AQ77" s="55">
        <f>IFERROR(LOOKUP(AQ$23,Timeseries!$A:$A,Timeseries!$T:$T),"")</f>
        <v>303.80551305448063</v>
      </c>
      <c r="AR77" s="55">
        <f>IFERROR(LOOKUP(AR$23,Timeseries!$A:$A,Timeseries!$T:$T),"")</f>
        <v>303.80551305448063</v>
      </c>
      <c r="AS77" s="55">
        <f>IFERROR(LOOKUP(AS$23,Timeseries!$A:$A,Timeseries!$T:$T),"")</f>
        <v>353.43040463596901</v>
      </c>
      <c r="AT77" s="55">
        <f>IFERROR(LOOKUP(AT$23,Timeseries!$A:$A,Timeseries!$T:$T),"")</f>
        <v>587.29100737188094</v>
      </c>
      <c r="AU77" s="55">
        <f>IFERROR(LOOKUP(AU$23,Timeseries!$A:$A,Timeseries!$T:$T),"")</f>
        <v>604.40284226394715</v>
      </c>
      <c r="AV77" s="55">
        <f>IFERROR(LOOKUP(AV$23,Timeseries!$A:$A,Timeseries!$T:$T),"")</f>
        <v>875.91062255139741</v>
      </c>
      <c r="AW77" s="55">
        <f>IFERROR(LOOKUP(AW$23,Timeseries!$A:$A,Timeseries!$T:$T),"")</f>
        <v>1116.9022972813298</v>
      </c>
      <c r="AX77" s="55">
        <f>IFERROR(LOOKUP(AX$23,Timeseries!$A:$A,Timeseries!$T:$T),"")</f>
        <v>1156.8299120294841</v>
      </c>
      <c r="AY77" s="55">
        <f>IFERROR(LOOKUP(AY$23,Timeseries!$A:$A,Timeseries!$T:$T),"")</f>
        <v>1156.8299120294841</v>
      </c>
      <c r="AZ77" s="55">
        <f>IFERROR(LOOKUP(AZ$23,Timeseries!$A:$A,Timeseries!$T:$T),"")</f>
        <v>1114.0503247993186</v>
      </c>
      <c r="BA77" s="55">
        <f>IFERROR(LOOKUP(BA$23,Timeseries!$A:$A,Timeseries!$T:$T),"")</f>
        <v>1034.1950953030096</v>
      </c>
      <c r="BB77" s="55">
        <f>IFERROR(LOOKUP(BB$23,Timeseries!$A:$A,Timeseries!$T:$T),"")</f>
        <v>807.46328298313267</v>
      </c>
      <c r="BC77" s="55">
        <f>IFERROR(LOOKUP(BC$23,Timeseries!$A:$A,Timeseries!$T:$T),"")</f>
        <v>442.69657292841788</v>
      </c>
      <c r="BD77" s="55">
        <f>IFERROR(LOOKUP(BD$23,Timeseries!$A:$A,Timeseries!$T:$T),"")</f>
        <v>442.69657292841788</v>
      </c>
      <c r="BE77" s="55">
        <f>IFERROR(LOOKUP(BE$23,Timeseries!$A:$A,Timeseries!$T:$T),"")</f>
        <v>362.27094893570683</v>
      </c>
      <c r="BF77" s="55">
        <f>IFERROR(LOOKUP(BF$23,Timeseries!$A:$A,Timeseries!$T:$T),"")</f>
        <v>362.27094893570683</v>
      </c>
      <c r="BG77" s="55">
        <f>IFERROR(LOOKUP(BG$23,Timeseries!$A:$A,Timeseries!$T:$T),"")</f>
        <v>362.27094893570683</v>
      </c>
      <c r="BH77" s="55">
        <f>IFERROR(LOOKUP(BH$23,Timeseries!$A:$A,Timeseries!$T:$T),"")</f>
        <v>426.44032978095498</v>
      </c>
      <c r="BI77" s="55">
        <f>IFERROR(LOOKUP(BI$23,Timeseries!$A:$A,Timeseries!$T:$T),"")</f>
        <v>362.27094893570683</v>
      </c>
      <c r="BJ77" s="55">
        <f>IFERROR(LOOKUP(BJ$23,Timeseries!$A:$A,Timeseries!$T:$T),"")</f>
        <v>304.3759075508828</v>
      </c>
      <c r="BK77" s="55">
        <f>IFERROR(LOOKUP(BK$23,Timeseries!$A:$A,Timeseries!$T:$T),"")</f>
        <v>280.13414145378908</v>
      </c>
      <c r="BL77" s="55">
        <f>IFERROR(LOOKUP(BL$23,Timeseries!$A:$A,Timeseries!$T:$T),"")</f>
        <v>294.39400386384426</v>
      </c>
      <c r="BM77" s="55">
        <f>IFERROR(LOOKUP(BM$23,Timeseries!$A:$A,Timeseries!$T:$T),"")</f>
        <v>317.20978371993255</v>
      </c>
      <c r="BN77" s="55">
        <f>IFERROR(LOOKUP(BN$23,Timeseries!$A:$A,Timeseries!$T:$T),"")</f>
        <v>308.08347177749721</v>
      </c>
      <c r="BO77" s="55">
        <f>IFERROR(LOOKUP(BO$23,Timeseries!$A:$A,Timeseries!$T:$T),"")</f>
        <v>303.80551305448063</v>
      </c>
      <c r="BP77" s="55">
        <f>IFERROR(LOOKUP(BP$23,Timeseries!$A:$A,Timeseries!$T:$T),"")</f>
        <v>303.80551305448063</v>
      </c>
      <c r="BQ77" s="55">
        <f>IFERROR(LOOKUP(BQ$23,Timeseries!$A:$A,Timeseries!$T:$T),"")</f>
        <v>353.43040463596901</v>
      </c>
      <c r="BR77" s="55">
        <f>IFERROR(LOOKUP(BR$23,Timeseries!$A:$A,Timeseries!$T:$T),"")</f>
        <v>587.29100737188094</v>
      </c>
      <c r="BS77" s="55">
        <f>IFERROR(LOOKUP(BS$23,Timeseries!$A:$A,Timeseries!$T:$T),"")</f>
        <v>604.40284226394715</v>
      </c>
      <c r="BT77" s="55">
        <f>IFERROR(LOOKUP(BT$23,Timeseries!$A:$A,Timeseries!$T:$T),"")</f>
        <v>875.91062255139741</v>
      </c>
      <c r="BU77" s="55">
        <f>IFERROR(LOOKUP(BU$23,Timeseries!$A:$A,Timeseries!$T:$T),"")</f>
        <v>1116.9022972813298</v>
      </c>
      <c r="BV77" s="55">
        <f>IFERROR(LOOKUP(BV$23,Timeseries!$A:$A,Timeseries!$T:$T),"")</f>
        <v>1156.8299120294841</v>
      </c>
      <c r="BW77" s="55">
        <f>IFERROR(LOOKUP(BW$23,Timeseries!$A:$A,Timeseries!$T:$T),"")</f>
        <v>1156.8299120294841</v>
      </c>
      <c r="BX77" s="55">
        <f>IFERROR(LOOKUP(BX$23,Timeseries!$A:$A,Timeseries!$T:$T),"")</f>
        <v>1114.0503247993186</v>
      </c>
      <c r="BY77" s="55">
        <f>IFERROR(LOOKUP(BY$23,Timeseries!$A:$A,Timeseries!$T:$T),"")</f>
        <v>1034.1950953030096</v>
      </c>
      <c r="BZ77" s="55">
        <f>IFERROR(LOOKUP(BZ$23,Timeseries!$A:$A,Timeseries!$T:$T),"")</f>
        <v>807.46328298313267</v>
      </c>
      <c r="CA77" s="55">
        <f>IFERROR(LOOKUP(CA$23,Timeseries!$A:$A,Timeseries!$T:$T),"")</f>
        <v>442.69657292841788</v>
      </c>
      <c r="CB77" s="55">
        <f>IFERROR(LOOKUP(CB$23,Timeseries!$A:$A,Timeseries!$T:$T),"")</f>
        <v>442.69657292841788</v>
      </c>
      <c r="CC77" s="55">
        <f>IFERROR(LOOKUP(CC$23,Timeseries!$A:$A,Timeseries!$T:$T),"")</f>
        <v>362.27094893570683</v>
      </c>
      <c r="CD77" s="55">
        <f>IFERROR(LOOKUP(CD$23,Timeseries!$A:$A,Timeseries!$T:$T),"")</f>
        <v>362.27094893570683</v>
      </c>
      <c r="CE77" s="55">
        <f>IFERROR(LOOKUP(CE$23,Timeseries!$A:$A,Timeseries!$T:$T),"")</f>
        <v>362.27094893570683</v>
      </c>
      <c r="CF77" s="55">
        <f>IFERROR(LOOKUP(CF$23,Timeseries!$A:$A,Timeseries!$T:$T),"")</f>
        <v>426.44032978095498</v>
      </c>
      <c r="CG77" s="55">
        <f>IFERROR(LOOKUP(CG$23,Timeseries!$A:$A,Timeseries!$T:$T),"")</f>
        <v>362.27094893570683</v>
      </c>
      <c r="CH77" s="55">
        <f>IFERROR(LOOKUP(CH$23,Timeseries!$A:$A,Timeseries!$T:$T),"")</f>
        <v>304.3759075508828</v>
      </c>
      <c r="CI77" s="55">
        <f>IFERROR(LOOKUP(CI$23,Timeseries!$A:$A,Timeseries!$T:$T),"")</f>
        <v>280.13414145378908</v>
      </c>
      <c r="CJ77" s="55">
        <f>IFERROR(LOOKUP(CJ$23,Timeseries!$A:$A,Timeseries!$T:$T),"")</f>
        <v>294.39400386384426</v>
      </c>
      <c r="CK77" s="55">
        <f>IFERROR(LOOKUP(CK$23,Timeseries!$A:$A,Timeseries!$T:$T),"")</f>
        <v>317.20978371993255</v>
      </c>
      <c r="CL77" s="55">
        <f>IFERROR(LOOKUP(CL$23,Timeseries!$A:$A,Timeseries!$T:$T),"")</f>
        <v>308.08347177749721</v>
      </c>
      <c r="CM77" s="55">
        <f>IFERROR(LOOKUP(CM$23,Timeseries!$A:$A,Timeseries!$T:$T),"")</f>
        <v>303.80551305448063</v>
      </c>
      <c r="CN77" s="55">
        <f>IFERROR(LOOKUP(CN$23,Timeseries!$A:$A,Timeseries!$T:$T),"")</f>
        <v>303.80551305448063</v>
      </c>
      <c r="CO77" s="55">
        <f>IFERROR(LOOKUP(CO$23,Timeseries!$A:$A,Timeseries!$T:$T),"")</f>
        <v>353.43040463596901</v>
      </c>
      <c r="CP77" s="55">
        <f>IFERROR(LOOKUP(CP$23,Timeseries!$A:$A,Timeseries!$T:$T),"")</f>
        <v>587.29100737188094</v>
      </c>
      <c r="CQ77" s="55">
        <f>IFERROR(LOOKUP(CQ$23,Timeseries!$A:$A,Timeseries!$T:$T),"")</f>
        <v>604.40284226394715</v>
      </c>
      <c r="CR77" s="55">
        <f>IFERROR(LOOKUP(CR$23,Timeseries!$A:$A,Timeseries!$T:$T),"")</f>
        <v>875.91062255139741</v>
      </c>
      <c r="CS77" s="55">
        <f>IFERROR(LOOKUP(CS$23,Timeseries!$A:$A,Timeseries!$T:$T),"")</f>
        <v>1116.9022972813298</v>
      </c>
      <c r="CT77" s="55">
        <f>IFERROR(LOOKUP(CT$23,Timeseries!$A:$A,Timeseries!$T:$T),"")</f>
        <v>1156.8299120294841</v>
      </c>
      <c r="CU77" s="55">
        <f>IFERROR(LOOKUP(CU$23,Timeseries!$A:$A,Timeseries!$T:$T),"")</f>
        <v>1156.8299120294841</v>
      </c>
      <c r="CV77" s="55">
        <f>IFERROR(LOOKUP(CV$23,Timeseries!$A:$A,Timeseries!$T:$T),"")</f>
        <v>1114.0503247993186</v>
      </c>
      <c r="CW77" s="55">
        <f>IFERROR(LOOKUP(CW$23,Timeseries!$A:$A,Timeseries!$T:$T),"")</f>
        <v>1034.1950953030096</v>
      </c>
      <c r="CX77" s="55">
        <f>IFERROR(LOOKUP(CX$23,Timeseries!$A:$A,Timeseries!$T:$T),"")</f>
        <v>807.46328298313267</v>
      </c>
      <c r="CY77" s="55">
        <f>IFERROR(LOOKUP(CY$23,Timeseries!$A:$A,Timeseries!$T:$T),"")</f>
        <v>442.69657292841788</v>
      </c>
      <c r="CZ77" s="55">
        <f>IFERROR(LOOKUP(CZ$23,Timeseries!$A:$A,Timeseries!$T:$T),"")</f>
        <v>442.69657292841788</v>
      </c>
      <c r="DA77" s="55">
        <f>IFERROR(LOOKUP(DA$23,Timeseries!$A:$A,Timeseries!$T:$T),"")</f>
        <v>362.27094893570683</v>
      </c>
      <c r="DB77" s="55">
        <f>IFERROR(LOOKUP(DB$23,Timeseries!$A:$A,Timeseries!$T:$T),"")</f>
        <v>362.27094893570683</v>
      </c>
      <c r="DC77" s="55">
        <f>IFERROR(LOOKUP(DC$23,Timeseries!$A:$A,Timeseries!$T:$T),"")</f>
        <v>362.27094893570683</v>
      </c>
      <c r="DD77" s="55">
        <f>IFERROR(LOOKUP(DD$23,Timeseries!$A:$A,Timeseries!$T:$T),"")</f>
        <v>426.44032978095498</v>
      </c>
      <c r="DE77" s="55">
        <f>IFERROR(LOOKUP(DE$23,Timeseries!$A:$A,Timeseries!$T:$T),"")</f>
        <v>362.27094893570683</v>
      </c>
      <c r="DF77" s="55">
        <f>IFERROR(LOOKUP(DF$23,Timeseries!$A:$A,Timeseries!$T:$T),"")</f>
        <v>304.3759075508828</v>
      </c>
      <c r="DG77" s="55">
        <f>IFERROR(LOOKUP(DG$23,Timeseries!$A:$A,Timeseries!$T:$T),"")</f>
        <v>280.13414145378908</v>
      </c>
      <c r="DH77" s="55">
        <f>IFERROR(LOOKUP(DH$23,Timeseries!$A:$A,Timeseries!$T:$T),"")</f>
        <v>294.39400386384426</v>
      </c>
      <c r="DI77" s="55">
        <f>IFERROR(LOOKUP(DI$23,Timeseries!$A:$A,Timeseries!$T:$T),"")</f>
        <v>317.20978371993255</v>
      </c>
      <c r="DJ77" s="55">
        <f>IFERROR(LOOKUP(DJ$23,Timeseries!$A:$A,Timeseries!$T:$T),"")</f>
        <v>308.08347177749721</v>
      </c>
      <c r="DK77" s="55">
        <f>IFERROR(LOOKUP(DK$23,Timeseries!$A:$A,Timeseries!$T:$T),"")</f>
        <v>303.80551305448063</v>
      </c>
      <c r="DL77" s="55">
        <f>IFERROR(LOOKUP(DL$23,Timeseries!$A:$A,Timeseries!$T:$T),"")</f>
        <v>303.80551305448063</v>
      </c>
      <c r="DM77" s="55">
        <f>IFERROR(LOOKUP(DM$23,Timeseries!$A:$A,Timeseries!$T:$T),"")</f>
        <v>353.43040463596901</v>
      </c>
      <c r="DN77" s="55">
        <f>IFERROR(LOOKUP(DN$23,Timeseries!$A:$A,Timeseries!$T:$T),"")</f>
        <v>587.29100737188094</v>
      </c>
      <c r="DO77" s="55">
        <f>IFERROR(LOOKUP(DO$23,Timeseries!$A:$A,Timeseries!$T:$T),"")</f>
        <v>604.40284226394715</v>
      </c>
      <c r="DP77" s="55">
        <f>IFERROR(LOOKUP(DP$23,Timeseries!$A:$A,Timeseries!$T:$T),"")</f>
        <v>875.91062255139741</v>
      </c>
      <c r="DQ77" s="55">
        <f>IFERROR(LOOKUP(DQ$23,Timeseries!$A:$A,Timeseries!$T:$T),"")</f>
        <v>1116.9022972813298</v>
      </c>
      <c r="DR77" s="55">
        <f>IFERROR(LOOKUP(DR$23,Timeseries!$A:$A,Timeseries!$T:$T),"")</f>
        <v>1156.8299120294841</v>
      </c>
      <c r="DS77" s="55">
        <f>IFERROR(LOOKUP(DS$23,Timeseries!$A:$A,Timeseries!$T:$T),"")</f>
        <v>1156.8299120294841</v>
      </c>
      <c r="DT77" s="55">
        <f>IFERROR(LOOKUP(DT$23,Timeseries!$A:$A,Timeseries!$T:$T),"")</f>
        <v>1114.0503247993186</v>
      </c>
      <c r="DU77" s="55">
        <f>IFERROR(LOOKUP(DU$23,Timeseries!$A:$A,Timeseries!$T:$T),"")</f>
        <v>1034.1950953030096</v>
      </c>
      <c r="DV77" s="55">
        <f>IFERROR(LOOKUP(DV$23,Timeseries!$A:$A,Timeseries!$T:$T),"")</f>
        <v>807.46328298313267</v>
      </c>
      <c r="DW77" s="55">
        <f>IFERROR(LOOKUP(DW$23,Timeseries!$A:$A,Timeseries!$T:$T),"")</f>
        <v>442.69657292841788</v>
      </c>
      <c r="DX77" s="55">
        <f>IFERROR(LOOKUP(DX$23,Timeseries!$A:$A,Timeseries!$T:$T),"")</f>
        <v>442.69657292841788</v>
      </c>
      <c r="DY77" s="55">
        <f>IFERROR(LOOKUP(DY$23,Timeseries!$A:$A,Timeseries!$T:$T),"")</f>
        <v>362.27094893570683</v>
      </c>
      <c r="DZ77" s="55">
        <f>IFERROR(LOOKUP(DZ$23,Timeseries!$A:$A,Timeseries!$T:$T),"")</f>
        <v>362.27094893570683</v>
      </c>
      <c r="EA77" s="55">
        <f>IFERROR(LOOKUP(EA$23,Timeseries!$A:$A,Timeseries!$T:$T),"")</f>
        <v>362.27094893570683</v>
      </c>
      <c r="EB77" s="55">
        <f>IFERROR(LOOKUP(EB$23,Timeseries!$A:$A,Timeseries!$T:$T),"")</f>
        <v>426.44032978095498</v>
      </c>
      <c r="EC77" s="55">
        <f>IFERROR(LOOKUP(EC$23,Timeseries!$A:$A,Timeseries!$T:$T),"")</f>
        <v>362.27094893570683</v>
      </c>
      <c r="ED77" s="55">
        <f>IFERROR(LOOKUP(ED$23,Timeseries!$A:$A,Timeseries!$T:$T),"")</f>
        <v>304.3759075508828</v>
      </c>
      <c r="EE77" s="55">
        <f>IFERROR(LOOKUP(EE$23,Timeseries!$A:$A,Timeseries!$T:$T),"")</f>
        <v>280.13414145378908</v>
      </c>
      <c r="EF77" s="55">
        <f>IFERROR(LOOKUP(EF$23,Timeseries!$A:$A,Timeseries!$T:$T),"")</f>
        <v>294.39400386384426</v>
      </c>
      <c r="EG77" s="55">
        <f>IFERROR(LOOKUP(EG$23,Timeseries!$A:$A,Timeseries!$T:$T),"")</f>
        <v>317.20978371993255</v>
      </c>
      <c r="EH77" s="55">
        <f>IFERROR(LOOKUP(EH$23,Timeseries!$A:$A,Timeseries!$T:$T),"")</f>
        <v>308.08347177749721</v>
      </c>
      <c r="EI77" s="55">
        <f>IFERROR(LOOKUP(EI$23,Timeseries!$A:$A,Timeseries!$T:$T),"")</f>
        <v>303.80551305448063</v>
      </c>
      <c r="EJ77" s="55">
        <f>IFERROR(LOOKUP(EJ$23,Timeseries!$A:$A,Timeseries!$T:$T),"")</f>
        <v>303.80551305448063</v>
      </c>
      <c r="EK77" s="55">
        <f>IFERROR(LOOKUP(EK$23,Timeseries!$A:$A,Timeseries!$T:$T),"")</f>
        <v>353.43040463596901</v>
      </c>
      <c r="EL77" s="55">
        <f>IFERROR(LOOKUP(EL$23,Timeseries!$A:$A,Timeseries!$T:$T),"")</f>
        <v>587.29100737188094</v>
      </c>
      <c r="EM77" s="55">
        <f>IFERROR(LOOKUP(EM$23,Timeseries!$A:$A,Timeseries!$T:$T),"")</f>
        <v>604.40284226394715</v>
      </c>
      <c r="EN77" s="55">
        <f>IFERROR(LOOKUP(EN$23,Timeseries!$A:$A,Timeseries!$T:$T),"")</f>
        <v>875.91062255139741</v>
      </c>
      <c r="EO77" s="55">
        <f>IFERROR(LOOKUP(EO$23,Timeseries!$A:$A,Timeseries!$T:$T),"")</f>
        <v>1116.9022972813298</v>
      </c>
      <c r="EP77" s="55">
        <f>IFERROR(LOOKUP(EP$23,Timeseries!$A:$A,Timeseries!$T:$T),"")</f>
        <v>1156.8299120294841</v>
      </c>
      <c r="EQ77" s="55">
        <f>IFERROR(LOOKUP(EQ$23,Timeseries!$A:$A,Timeseries!$T:$T),"")</f>
        <v>1156.8299120294841</v>
      </c>
      <c r="ER77" s="55">
        <f>IFERROR(LOOKUP(ER$23,Timeseries!$A:$A,Timeseries!$T:$T),"")</f>
        <v>1114.0503247993186</v>
      </c>
      <c r="ES77" s="55">
        <f>IFERROR(LOOKUP(ES$23,Timeseries!$A:$A,Timeseries!$T:$T),"")</f>
        <v>1034.1950953030096</v>
      </c>
      <c r="ET77" s="55">
        <f>IFERROR(LOOKUP(ET$23,Timeseries!$A:$A,Timeseries!$T:$T),"")</f>
        <v>807.46328298313267</v>
      </c>
      <c r="EU77" s="55">
        <f>IFERROR(LOOKUP(EU$23,Timeseries!$A:$A,Timeseries!$T:$T),"")</f>
        <v>442.69657292841788</v>
      </c>
      <c r="EV77" s="55">
        <f>IFERROR(LOOKUP(EV$23,Timeseries!$A:$A,Timeseries!$T:$T),"")</f>
        <v>442.69657292841788</v>
      </c>
      <c r="EW77" s="55">
        <f>IFERROR(LOOKUP(EW$23,Timeseries!$A:$A,Timeseries!$T:$T),"")</f>
        <v>362.27094893570683</v>
      </c>
      <c r="EX77" s="55">
        <f>IFERROR(LOOKUP(EX$23,Timeseries!$A:$A,Timeseries!$T:$T),"")</f>
        <v>362.27094893570683</v>
      </c>
      <c r="EY77" s="55">
        <f>IFERROR(LOOKUP(EY$23,Timeseries!$A:$A,Timeseries!$T:$T),"")</f>
        <v>362.27094893570683</v>
      </c>
      <c r="EZ77" s="55">
        <f>IFERROR(LOOKUP(EZ$23,Timeseries!$A:$A,Timeseries!$T:$T),"")</f>
        <v>426.44032978095498</v>
      </c>
      <c r="FA77" s="55">
        <f>IFERROR(LOOKUP(FA$23,Timeseries!$A:$A,Timeseries!$T:$T),"")</f>
        <v>362.27094893570683</v>
      </c>
      <c r="FB77" s="55">
        <f>IFERROR(LOOKUP(FB$23,Timeseries!$A:$A,Timeseries!$T:$T),"")</f>
        <v>304.3759075508828</v>
      </c>
      <c r="FC77" s="55">
        <f>IFERROR(LOOKUP(FC$23,Timeseries!$A:$A,Timeseries!$T:$T),"")</f>
        <v>280.13414145378908</v>
      </c>
      <c r="FD77" s="55">
        <f>IFERROR(LOOKUP(FD$23,Timeseries!$A:$A,Timeseries!$T:$T),"")</f>
        <v>294.39400386384426</v>
      </c>
      <c r="FE77" s="55">
        <f>IFERROR(LOOKUP(FE$23,Timeseries!$A:$A,Timeseries!$T:$T),"")</f>
        <v>317.20978371993255</v>
      </c>
      <c r="FF77" s="55">
        <f>IFERROR(LOOKUP(FF$23,Timeseries!$A:$A,Timeseries!$T:$T),"")</f>
        <v>308.08347177749721</v>
      </c>
      <c r="FG77" s="55">
        <f>IFERROR(LOOKUP(FG$23,Timeseries!$A:$A,Timeseries!$T:$T),"")</f>
        <v>303.80551305448063</v>
      </c>
      <c r="FH77" s="55">
        <f>IFERROR(LOOKUP(FH$23,Timeseries!$A:$A,Timeseries!$T:$T),"")</f>
        <v>303.80551305448063</v>
      </c>
      <c r="FI77" s="55">
        <f>IFERROR(LOOKUP(FI$23,Timeseries!$A:$A,Timeseries!$T:$T),"")</f>
        <v>353.43040463596901</v>
      </c>
      <c r="FJ77" s="55">
        <f>IFERROR(LOOKUP(FJ$23,Timeseries!$A:$A,Timeseries!$T:$T),"")</f>
        <v>587.29100737188094</v>
      </c>
      <c r="FK77" s="55">
        <f>IFERROR(LOOKUP(FK$23,Timeseries!$A:$A,Timeseries!$T:$T),"")</f>
        <v>604.40284226394715</v>
      </c>
      <c r="FL77" s="55">
        <f>IFERROR(LOOKUP(FL$23,Timeseries!$A:$A,Timeseries!$T:$T),"")</f>
        <v>875.91062255139741</v>
      </c>
      <c r="FM77" s="55">
        <f>IFERROR(LOOKUP(FM$23,Timeseries!$A:$A,Timeseries!$T:$T),"")</f>
        <v>1116.9022972813298</v>
      </c>
      <c r="FN77" s="55">
        <f>IFERROR(LOOKUP(FN$23,Timeseries!$A:$A,Timeseries!$T:$T),"")</f>
        <v>1156.8299120294841</v>
      </c>
      <c r="FO77" s="55">
        <f>IFERROR(LOOKUP(FO$23,Timeseries!$A:$A,Timeseries!$T:$T),"")</f>
        <v>1156.8299120294841</v>
      </c>
      <c r="FP77" s="55">
        <f>IFERROR(LOOKUP(FP$23,Timeseries!$A:$A,Timeseries!$T:$T),"")</f>
        <v>1114.0503247993186</v>
      </c>
      <c r="FQ77" s="55">
        <f>IFERROR(LOOKUP(FQ$23,Timeseries!$A:$A,Timeseries!$T:$T),"")</f>
        <v>1034.1950953030096</v>
      </c>
      <c r="FR77" s="55">
        <f>IFERROR(LOOKUP(FR$23,Timeseries!$A:$A,Timeseries!$T:$T),"")</f>
        <v>807.46328298313267</v>
      </c>
      <c r="FS77" s="55">
        <f>IFERROR(LOOKUP(FS$23,Timeseries!$A:$A,Timeseries!$T:$T),"")</f>
        <v>442.69657292841788</v>
      </c>
    </row>
    <row r="79" spans="4:175" ht="20.399999999999999" thickBot="1">
      <c r="D79" s="1" t="s">
        <v>40</v>
      </c>
      <c r="E79" s="7" t="s">
        <v>32</v>
      </c>
      <c r="F79" s="3" t="s">
        <v>150</v>
      </c>
      <c r="G79" s="7"/>
      <c r="H79" s="3" t="s">
        <v>7</v>
      </c>
      <c r="I79" s="3" t="s">
        <v>8</v>
      </c>
      <c r="J79" s="3" t="s">
        <v>9</v>
      </c>
      <c r="K79" s="3" t="s">
        <v>10</v>
      </c>
      <c r="L79" s="3" t="s">
        <v>11</v>
      </c>
      <c r="M79" s="3" t="s">
        <v>12</v>
      </c>
      <c r="N79" s="3" t="s">
        <v>13</v>
      </c>
      <c r="O79" s="3" t="s">
        <v>14</v>
      </c>
      <c r="P79" s="3" t="s">
        <v>15</v>
      </c>
      <c r="Q79" s="3" t="s">
        <v>16</v>
      </c>
      <c r="R79" s="3" t="s">
        <v>17</v>
      </c>
      <c r="S79" s="3" t="s">
        <v>18</v>
      </c>
      <c r="T79" s="3" t="s">
        <v>19</v>
      </c>
      <c r="U79" s="3" t="s">
        <v>20</v>
      </c>
      <c r="V79" s="3" t="s">
        <v>21</v>
      </c>
      <c r="W79" s="3" t="s">
        <v>22</v>
      </c>
      <c r="X79" s="3" t="s">
        <v>23</v>
      </c>
      <c r="Y79" s="3" t="s">
        <v>24</v>
      </c>
      <c r="Z79" s="3" t="s">
        <v>25</v>
      </c>
      <c r="AA79" s="3" t="s">
        <v>26</v>
      </c>
      <c r="AB79" s="3" t="s">
        <v>27</v>
      </c>
      <c r="AC79" s="3" t="s">
        <v>28</v>
      </c>
      <c r="AD79" s="3" t="s">
        <v>29</v>
      </c>
      <c r="AE79" s="3" t="s">
        <v>30</v>
      </c>
      <c r="AF79" s="3" t="s">
        <v>280</v>
      </c>
      <c r="AG79" s="3" t="s">
        <v>281</v>
      </c>
      <c r="AH79" s="3" t="s">
        <v>282</v>
      </c>
      <c r="AI79" s="3" t="s">
        <v>283</v>
      </c>
      <c r="AJ79" s="3" t="s">
        <v>284</v>
      </c>
      <c r="AK79" s="3" t="s">
        <v>285</v>
      </c>
      <c r="AL79" s="3" t="s">
        <v>286</v>
      </c>
      <c r="AM79" s="3" t="s">
        <v>287</v>
      </c>
      <c r="AN79" s="3" t="s">
        <v>288</v>
      </c>
      <c r="AO79" s="3" t="s">
        <v>289</v>
      </c>
      <c r="AP79" s="3" t="s">
        <v>290</v>
      </c>
      <c r="AQ79" s="3" t="s">
        <v>291</v>
      </c>
      <c r="AR79" s="3" t="s">
        <v>292</v>
      </c>
      <c r="AS79" s="3" t="s">
        <v>293</v>
      </c>
      <c r="AT79" s="3" t="s">
        <v>294</v>
      </c>
      <c r="AU79" s="3" t="s">
        <v>295</v>
      </c>
      <c r="AV79" s="3" t="s">
        <v>296</v>
      </c>
      <c r="AW79" s="3" t="s">
        <v>297</v>
      </c>
      <c r="AX79" s="3" t="s">
        <v>298</v>
      </c>
      <c r="AY79" s="3" t="s">
        <v>299</v>
      </c>
      <c r="AZ79" s="3" t="s">
        <v>300</v>
      </c>
      <c r="BA79" s="3" t="s">
        <v>301</v>
      </c>
      <c r="BB79" s="3" t="s">
        <v>302</v>
      </c>
      <c r="BC79" s="3" t="s">
        <v>303</v>
      </c>
      <c r="BD79" s="3" t="s">
        <v>304</v>
      </c>
      <c r="BE79" s="3" t="s">
        <v>305</v>
      </c>
      <c r="BF79" s="3" t="s">
        <v>306</v>
      </c>
      <c r="BG79" s="3" t="s">
        <v>307</v>
      </c>
      <c r="BH79" s="3" t="s">
        <v>308</v>
      </c>
      <c r="BI79" s="3" t="s">
        <v>309</v>
      </c>
      <c r="BJ79" s="3" t="s">
        <v>310</v>
      </c>
      <c r="BK79" s="3" t="s">
        <v>311</v>
      </c>
      <c r="BL79" s="3" t="s">
        <v>312</v>
      </c>
      <c r="BM79" s="3" t="s">
        <v>313</v>
      </c>
      <c r="BN79" s="3" t="s">
        <v>314</v>
      </c>
      <c r="BO79" s="3" t="s">
        <v>315</v>
      </c>
      <c r="BP79" s="3" t="s">
        <v>316</v>
      </c>
      <c r="BQ79" s="3" t="s">
        <v>317</v>
      </c>
      <c r="BR79" s="3" t="s">
        <v>318</v>
      </c>
      <c r="BS79" s="3" t="s">
        <v>319</v>
      </c>
      <c r="BT79" s="3" t="s">
        <v>320</v>
      </c>
      <c r="BU79" s="3" t="s">
        <v>321</v>
      </c>
      <c r="BV79" s="3" t="s">
        <v>322</v>
      </c>
      <c r="BW79" s="3" t="s">
        <v>323</v>
      </c>
      <c r="BX79" s="3" t="s">
        <v>324</v>
      </c>
      <c r="BY79" s="3" t="s">
        <v>325</v>
      </c>
      <c r="BZ79" s="3" t="s">
        <v>326</v>
      </c>
      <c r="CA79" s="3" t="s">
        <v>327</v>
      </c>
      <c r="CB79" s="3" t="s">
        <v>328</v>
      </c>
      <c r="CC79" s="3" t="s">
        <v>329</v>
      </c>
      <c r="CD79" s="3" t="s">
        <v>330</v>
      </c>
      <c r="CE79" s="3" t="s">
        <v>331</v>
      </c>
      <c r="CF79" s="3" t="s">
        <v>332</v>
      </c>
      <c r="CG79" s="3" t="s">
        <v>333</v>
      </c>
      <c r="CH79" s="3" t="s">
        <v>334</v>
      </c>
      <c r="CI79" s="3" t="s">
        <v>335</v>
      </c>
      <c r="CJ79" s="3" t="s">
        <v>336</v>
      </c>
      <c r="CK79" s="3" t="s">
        <v>337</v>
      </c>
      <c r="CL79" s="3" t="s">
        <v>338</v>
      </c>
      <c r="CM79" s="3" t="s">
        <v>339</v>
      </c>
      <c r="CN79" s="3" t="s">
        <v>340</v>
      </c>
      <c r="CO79" s="3" t="s">
        <v>341</v>
      </c>
      <c r="CP79" s="3" t="s">
        <v>342</v>
      </c>
      <c r="CQ79" s="3" t="s">
        <v>343</v>
      </c>
      <c r="CR79" s="3" t="s">
        <v>344</v>
      </c>
      <c r="CS79" s="3" t="s">
        <v>345</v>
      </c>
      <c r="CT79" s="3" t="s">
        <v>346</v>
      </c>
      <c r="CU79" s="3" t="s">
        <v>347</v>
      </c>
      <c r="CV79" s="3" t="s">
        <v>348</v>
      </c>
      <c r="CW79" s="3" t="s">
        <v>349</v>
      </c>
      <c r="CX79" s="3" t="s">
        <v>350</v>
      </c>
      <c r="CY79" s="3" t="s">
        <v>351</v>
      </c>
      <c r="CZ79" s="3" t="s">
        <v>352</v>
      </c>
      <c r="DA79" s="3" t="s">
        <v>353</v>
      </c>
      <c r="DB79" s="3" t="s">
        <v>354</v>
      </c>
      <c r="DC79" s="3" t="s">
        <v>355</v>
      </c>
      <c r="DD79" s="3" t="s">
        <v>356</v>
      </c>
      <c r="DE79" s="3" t="s">
        <v>357</v>
      </c>
      <c r="DF79" s="3" t="s">
        <v>358</v>
      </c>
      <c r="DG79" s="3" t="s">
        <v>359</v>
      </c>
      <c r="DH79" s="3" t="s">
        <v>360</v>
      </c>
      <c r="DI79" s="3" t="s">
        <v>361</v>
      </c>
      <c r="DJ79" s="3" t="s">
        <v>362</v>
      </c>
      <c r="DK79" s="3" t="s">
        <v>363</v>
      </c>
      <c r="DL79" s="3" t="s">
        <v>364</v>
      </c>
      <c r="DM79" s="3" t="s">
        <v>365</v>
      </c>
      <c r="DN79" s="3" t="s">
        <v>366</v>
      </c>
      <c r="DO79" s="3" t="s">
        <v>367</v>
      </c>
      <c r="DP79" s="3" t="s">
        <v>368</v>
      </c>
      <c r="DQ79" s="3" t="s">
        <v>369</v>
      </c>
      <c r="DR79" s="3" t="s">
        <v>370</v>
      </c>
      <c r="DS79" s="3" t="s">
        <v>371</v>
      </c>
      <c r="DT79" s="3" t="s">
        <v>372</v>
      </c>
      <c r="DU79" s="3" t="s">
        <v>373</v>
      </c>
      <c r="DV79" s="3" t="s">
        <v>374</v>
      </c>
      <c r="DW79" s="3" t="s">
        <v>375</v>
      </c>
      <c r="DX79" s="3" t="s">
        <v>376</v>
      </c>
      <c r="DY79" s="3" t="s">
        <v>377</v>
      </c>
      <c r="DZ79" s="3" t="s">
        <v>378</v>
      </c>
      <c r="EA79" s="3" t="s">
        <v>379</v>
      </c>
      <c r="EB79" s="3" t="s">
        <v>380</v>
      </c>
      <c r="EC79" s="3" t="s">
        <v>381</v>
      </c>
      <c r="ED79" s="3" t="s">
        <v>382</v>
      </c>
      <c r="EE79" s="3" t="s">
        <v>383</v>
      </c>
      <c r="EF79" s="3" t="s">
        <v>384</v>
      </c>
      <c r="EG79" s="3" t="s">
        <v>385</v>
      </c>
      <c r="EH79" s="3" t="s">
        <v>386</v>
      </c>
      <c r="EI79" s="3" t="s">
        <v>387</v>
      </c>
      <c r="EJ79" s="3" t="s">
        <v>388</v>
      </c>
      <c r="EK79" s="3" t="s">
        <v>389</v>
      </c>
      <c r="EL79" s="3" t="s">
        <v>390</v>
      </c>
      <c r="EM79" s="3" t="s">
        <v>391</v>
      </c>
      <c r="EN79" s="3" t="s">
        <v>392</v>
      </c>
      <c r="EO79" s="3" t="s">
        <v>393</v>
      </c>
      <c r="EP79" s="3" t="s">
        <v>394</v>
      </c>
      <c r="EQ79" s="3" t="s">
        <v>395</v>
      </c>
      <c r="ER79" s="3" t="s">
        <v>396</v>
      </c>
      <c r="ES79" s="3" t="s">
        <v>397</v>
      </c>
      <c r="ET79" s="3" t="s">
        <v>398</v>
      </c>
      <c r="EU79" s="3" t="s">
        <v>399</v>
      </c>
      <c r="EV79" s="3" t="s">
        <v>400</v>
      </c>
      <c r="EW79" s="3" t="s">
        <v>401</v>
      </c>
      <c r="EX79" s="3" t="s">
        <v>402</v>
      </c>
      <c r="EY79" s="3" t="s">
        <v>403</v>
      </c>
      <c r="EZ79" s="3" t="s">
        <v>404</v>
      </c>
      <c r="FA79" s="3" t="s">
        <v>405</v>
      </c>
      <c r="FB79" s="3" t="s">
        <v>406</v>
      </c>
      <c r="FC79" s="3" t="s">
        <v>407</v>
      </c>
      <c r="FD79" s="3" t="s">
        <v>408</v>
      </c>
      <c r="FE79" s="3" t="s">
        <v>409</v>
      </c>
      <c r="FF79" s="3" t="s">
        <v>410</v>
      </c>
      <c r="FG79" s="3" t="s">
        <v>411</v>
      </c>
      <c r="FH79" s="3" t="s">
        <v>412</v>
      </c>
      <c r="FI79" s="3" t="s">
        <v>413</v>
      </c>
      <c r="FJ79" s="3" t="s">
        <v>414</v>
      </c>
      <c r="FK79" s="3" t="s">
        <v>415</v>
      </c>
      <c r="FL79" s="3" t="s">
        <v>416</v>
      </c>
      <c r="FM79" s="3" t="s">
        <v>417</v>
      </c>
      <c r="FN79" s="3" t="s">
        <v>418</v>
      </c>
      <c r="FO79" s="3" t="s">
        <v>419</v>
      </c>
      <c r="FP79" s="3" t="s">
        <v>420</v>
      </c>
      <c r="FQ79" s="3" t="s">
        <v>421</v>
      </c>
      <c r="FR79" s="3" t="s">
        <v>422</v>
      </c>
      <c r="FS79" s="3" t="s">
        <v>423</v>
      </c>
    </row>
    <row r="80" spans="4:175" ht="15" thickTop="1">
      <c r="D80" t="s">
        <v>31</v>
      </c>
      <c r="E80" s="2" t="s">
        <v>2</v>
      </c>
      <c r="F80" s="8" t="s">
        <v>152</v>
      </c>
      <c r="G80" s="2"/>
      <c r="H80" s="55">
        <f>IFERROR(LOOKUP(H$23,Timeseries!$A:$A,Timeseries!$U:$U),"")</f>
        <v>64</v>
      </c>
      <c r="I80" s="55">
        <f>IFERROR(LOOKUP(I$23,Timeseries!$A:$A,Timeseries!$U:$U),"")</f>
        <v>59</v>
      </c>
      <c r="J80" s="55">
        <f>IFERROR(LOOKUP(J$23,Timeseries!$A:$A,Timeseries!$U:$U),"")</f>
        <v>54</v>
      </c>
      <c r="K80" s="55">
        <f>IFERROR(LOOKUP(K$23,Timeseries!$A:$A,Timeseries!$U:$U),"")</f>
        <v>88</v>
      </c>
      <c r="L80" s="55">
        <f>IFERROR(LOOKUP(L$23,Timeseries!$A:$A,Timeseries!$U:$U),"")</f>
        <v>51</v>
      </c>
      <c r="M80" s="55">
        <f>IFERROR(LOOKUP(M$23,Timeseries!$A:$A,Timeseries!$U:$U),"")</f>
        <v>97</v>
      </c>
      <c r="N80" s="55">
        <f>IFERROR(LOOKUP(N$23,Timeseries!$A:$A,Timeseries!$U:$U),"")</f>
        <v>40</v>
      </c>
      <c r="O80" s="55">
        <f>IFERROR(LOOKUP(O$23,Timeseries!$A:$A,Timeseries!$U:$U),"")</f>
        <v>33</v>
      </c>
      <c r="P80" s="55">
        <f>IFERROR(LOOKUP(P$23,Timeseries!$A:$A,Timeseries!$U:$U),"")</f>
        <v>41</v>
      </c>
      <c r="Q80" s="55">
        <f>IFERROR(LOOKUP(Q$23,Timeseries!$A:$A,Timeseries!$U:$U),"")</f>
        <v>83</v>
      </c>
      <c r="R80" s="55">
        <f>IFERROR(LOOKUP(R$23,Timeseries!$A:$A,Timeseries!$U:$U),"")</f>
        <v>50</v>
      </c>
      <c r="S80" s="55">
        <f>IFERROR(LOOKUP(S$23,Timeseries!$A:$A,Timeseries!$U:$U),"")</f>
        <v>27</v>
      </c>
      <c r="T80" s="55">
        <f>IFERROR(LOOKUP(T$23,Timeseries!$A:$A,Timeseries!$U:$U),"")</f>
        <v>31</v>
      </c>
      <c r="U80" s="55">
        <f>IFERROR(LOOKUP(U$23,Timeseries!$A:$A,Timeseries!$U:$U),"")</f>
        <v>59</v>
      </c>
      <c r="V80" s="55">
        <f>IFERROR(LOOKUP(V$23,Timeseries!$A:$A,Timeseries!$U:$U),"")</f>
        <v>79</v>
      </c>
      <c r="W80" s="55">
        <f>IFERROR(LOOKUP(W$23,Timeseries!$A:$A,Timeseries!$U:$U),"")</f>
        <v>62</v>
      </c>
      <c r="X80" s="55">
        <f>IFERROR(LOOKUP(X$23,Timeseries!$A:$A,Timeseries!$U:$U),"")</f>
        <v>83</v>
      </c>
      <c r="Y80" s="55">
        <f>IFERROR(LOOKUP(Y$23,Timeseries!$A:$A,Timeseries!$U:$U),"")</f>
        <v>41</v>
      </c>
      <c r="Z80" s="55">
        <f>IFERROR(LOOKUP(Z$23,Timeseries!$A:$A,Timeseries!$U:$U),"")</f>
        <v>27</v>
      </c>
      <c r="AA80" s="55">
        <f>IFERROR(LOOKUP(AA$23,Timeseries!$A:$A,Timeseries!$U:$U),"")</f>
        <v>62</v>
      </c>
      <c r="AB80" s="55">
        <f>IFERROR(LOOKUP(AB$23,Timeseries!$A:$A,Timeseries!$U:$U),"")</f>
        <v>17</v>
      </c>
      <c r="AC80" s="55">
        <f>IFERROR(LOOKUP(AC$23,Timeseries!$A:$A,Timeseries!$U:$U),"")</f>
        <v>19</v>
      </c>
      <c r="AD80" s="55">
        <f>IFERROR(LOOKUP(AD$23,Timeseries!$A:$A,Timeseries!$U:$U),"")</f>
        <v>84</v>
      </c>
      <c r="AE80" s="55">
        <f>IFERROR(LOOKUP(AE$23,Timeseries!$A:$A,Timeseries!$U:$U),"")</f>
        <v>58</v>
      </c>
      <c r="AF80" s="55">
        <f>IFERROR(LOOKUP(AF$23,Timeseries!$A:$A,Timeseries!$U:$U),"")</f>
        <v>45</v>
      </c>
      <c r="AG80" s="55">
        <f>IFERROR(LOOKUP(AG$23,Timeseries!$A:$A,Timeseries!$U:$U),"")</f>
        <v>75</v>
      </c>
      <c r="AH80" s="55">
        <f>IFERROR(LOOKUP(AH$23,Timeseries!$A:$A,Timeseries!$U:$U),"")</f>
        <v>88</v>
      </c>
      <c r="AI80" s="55">
        <f>IFERROR(LOOKUP(AI$23,Timeseries!$A:$A,Timeseries!$U:$U),"")</f>
        <v>45</v>
      </c>
      <c r="AJ80" s="55">
        <f>IFERROR(LOOKUP(AJ$23,Timeseries!$A:$A,Timeseries!$U:$U),"")</f>
        <v>85</v>
      </c>
      <c r="AK80" s="55">
        <f>IFERROR(LOOKUP(AK$23,Timeseries!$A:$A,Timeseries!$U:$U),"")</f>
        <v>77</v>
      </c>
      <c r="AL80" s="55">
        <f>IFERROR(LOOKUP(AL$23,Timeseries!$A:$A,Timeseries!$U:$U),"")</f>
        <v>88</v>
      </c>
      <c r="AM80" s="55">
        <f>IFERROR(LOOKUP(AM$23,Timeseries!$A:$A,Timeseries!$U:$U),"")</f>
        <v>19</v>
      </c>
      <c r="AN80" s="55">
        <f>IFERROR(LOOKUP(AN$23,Timeseries!$A:$A,Timeseries!$U:$U),"")</f>
        <v>39</v>
      </c>
      <c r="AO80" s="55">
        <f>IFERROR(LOOKUP(AO$23,Timeseries!$A:$A,Timeseries!$U:$U),"")</f>
        <v>22</v>
      </c>
      <c r="AP80" s="55">
        <f>IFERROR(LOOKUP(AP$23,Timeseries!$A:$A,Timeseries!$U:$U),"")</f>
        <v>80</v>
      </c>
      <c r="AQ80" s="55">
        <f>IFERROR(LOOKUP(AQ$23,Timeseries!$A:$A,Timeseries!$U:$U),"")</f>
        <v>76</v>
      </c>
      <c r="AR80" s="55">
        <f>IFERROR(LOOKUP(AR$23,Timeseries!$A:$A,Timeseries!$U:$U),"")</f>
        <v>27</v>
      </c>
      <c r="AS80" s="55">
        <f>IFERROR(LOOKUP(AS$23,Timeseries!$A:$A,Timeseries!$U:$U),"")</f>
        <v>19</v>
      </c>
      <c r="AT80" s="55">
        <f>IFERROR(LOOKUP(AT$23,Timeseries!$A:$A,Timeseries!$U:$U),"")</f>
        <v>27</v>
      </c>
      <c r="AU80" s="55">
        <f>IFERROR(LOOKUP(AU$23,Timeseries!$A:$A,Timeseries!$U:$U),"")</f>
        <v>41</v>
      </c>
      <c r="AV80" s="55">
        <f>IFERROR(LOOKUP(AV$23,Timeseries!$A:$A,Timeseries!$U:$U),"")</f>
        <v>86</v>
      </c>
      <c r="AW80" s="55">
        <f>IFERROR(LOOKUP(AW$23,Timeseries!$A:$A,Timeseries!$U:$U),"")</f>
        <v>80</v>
      </c>
      <c r="AX80" s="55">
        <f>IFERROR(LOOKUP(AX$23,Timeseries!$A:$A,Timeseries!$U:$U),"")</f>
        <v>13</v>
      </c>
      <c r="AY80" s="55">
        <f>IFERROR(LOOKUP(AY$23,Timeseries!$A:$A,Timeseries!$U:$U),"")</f>
        <v>29</v>
      </c>
      <c r="AZ80" s="55">
        <f>IFERROR(LOOKUP(AZ$23,Timeseries!$A:$A,Timeseries!$U:$U),"")</f>
        <v>39</v>
      </c>
      <c r="BA80" s="55">
        <f>IFERROR(LOOKUP(BA$23,Timeseries!$A:$A,Timeseries!$U:$U),"")</f>
        <v>84</v>
      </c>
      <c r="BB80" s="55">
        <f>IFERROR(LOOKUP(BB$23,Timeseries!$A:$A,Timeseries!$U:$U),"")</f>
        <v>44</v>
      </c>
      <c r="BC80" s="55">
        <f>IFERROR(LOOKUP(BC$23,Timeseries!$A:$A,Timeseries!$U:$U),"")</f>
        <v>43</v>
      </c>
      <c r="BD80" s="55">
        <f>IFERROR(LOOKUP(BD$23,Timeseries!$A:$A,Timeseries!$U:$U),"")</f>
        <v>46</v>
      </c>
      <c r="BE80" s="55">
        <f>IFERROR(LOOKUP(BE$23,Timeseries!$A:$A,Timeseries!$U:$U),"")</f>
        <v>63</v>
      </c>
      <c r="BF80" s="55">
        <f>IFERROR(LOOKUP(BF$23,Timeseries!$A:$A,Timeseries!$U:$U),"")</f>
        <v>98</v>
      </c>
      <c r="BG80" s="55">
        <f>IFERROR(LOOKUP(BG$23,Timeseries!$A:$A,Timeseries!$U:$U),"")</f>
        <v>72</v>
      </c>
      <c r="BH80" s="55">
        <f>IFERROR(LOOKUP(BH$23,Timeseries!$A:$A,Timeseries!$U:$U),"")</f>
        <v>63</v>
      </c>
      <c r="BI80" s="55">
        <f>IFERROR(LOOKUP(BI$23,Timeseries!$A:$A,Timeseries!$U:$U),"")</f>
        <v>20</v>
      </c>
      <c r="BJ80" s="55">
        <f>IFERROR(LOOKUP(BJ$23,Timeseries!$A:$A,Timeseries!$U:$U),"")</f>
        <v>23</v>
      </c>
      <c r="BK80" s="55">
        <f>IFERROR(LOOKUP(BK$23,Timeseries!$A:$A,Timeseries!$U:$U),"")</f>
        <v>17</v>
      </c>
      <c r="BL80" s="55">
        <f>IFERROR(LOOKUP(BL$23,Timeseries!$A:$A,Timeseries!$U:$U),"")</f>
        <v>35</v>
      </c>
      <c r="BM80" s="55">
        <f>IFERROR(LOOKUP(BM$23,Timeseries!$A:$A,Timeseries!$U:$U),"")</f>
        <v>14</v>
      </c>
      <c r="BN80" s="55">
        <f>IFERROR(LOOKUP(BN$23,Timeseries!$A:$A,Timeseries!$U:$U),"")</f>
        <v>87</v>
      </c>
      <c r="BO80" s="55">
        <f>IFERROR(LOOKUP(BO$23,Timeseries!$A:$A,Timeseries!$U:$U),"")</f>
        <v>71</v>
      </c>
      <c r="BP80" s="55">
        <f>IFERROR(LOOKUP(BP$23,Timeseries!$A:$A,Timeseries!$U:$U),"")</f>
        <v>11</v>
      </c>
      <c r="BQ80" s="55">
        <f>IFERROR(LOOKUP(BQ$23,Timeseries!$A:$A,Timeseries!$U:$U),"")</f>
        <v>65</v>
      </c>
      <c r="BR80" s="55">
        <f>IFERROR(LOOKUP(BR$23,Timeseries!$A:$A,Timeseries!$U:$U),"")</f>
        <v>66</v>
      </c>
      <c r="BS80" s="55">
        <f>IFERROR(LOOKUP(BS$23,Timeseries!$A:$A,Timeseries!$U:$U),"")</f>
        <v>43</v>
      </c>
      <c r="BT80" s="55">
        <f>IFERROR(LOOKUP(BT$23,Timeseries!$A:$A,Timeseries!$U:$U),"")</f>
        <v>81</v>
      </c>
      <c r="BU80" s="55">
        <f>IFERROR(LOOKUP(BU$23,Timeseries!$A:$A,Timeseries!$U:$U),"")</f>
        <v>48</v>
      </c>
      <c r="BV80" s="55">
        <f>IFERROR(LOOKUP(BV$23,Timeseries!$A:$A,Timeseries!$U:$U),"")</f>
        <v>92</v>
      </c>
      <c r="BW80" s="55">
        <f>IFERROR(LOOKUP(BW$23,Timeseries!$A:$A,Timeseries!$U:$U),"")</f>
        <v>91</v>
      </c>
      <c r="BX80" s="55">
        <f>IFERROR(LOOKUP(BX$23,Timeseries!$A:$A,Timeseries!$U:$U),"")</f>
        <v>43</v>
      </c>
      <c r="BY80" s="55">
        <f>IFERROR(LOOKUP(BY$23,Timeseries!$A:$A,Timeseries!$U:$U),"")</f>
        <v>92</v>
      </c>
      <c r="BZ80" s="55">
        <f>IFERROR(LOOKUP(BZ$23,Timeseries!$A:$A,Timeseries!$U:$U),"")</f>
        <v>99</v>
      </c>
      <c r="CA80" s="55">
        <f>IFERROR(LOOKUP(CA$23,Timeseries!$A:$A,Timeseries!$U:$U),"")</f>
        <v>64</v>
      </c>
      <c r="CB80" s="55">
        <f>IFERROR(LOOKUP(CB$23,Timeseries!$A:$A,Timeseries!$U:$U),"")</f>
        <v>87</v>
      </c>
      <c r="CC80" s="55">
        <f>IFERROR(LOOKUP(CC$23,Timeseries!$A:$A,Timeseries!$U:$U),"")</f>
        <v>93</v>
      </c>
      <c r="CD80" s="55">
        <f>IFERROR(LOOKUP(CD$23,Timeseries!$A:$A,Timeseries!$U:$U),"")</f>
        <v>65</v>
      </c>
      <c r="CE80" s="55">
        <f>IFERROR(LOOKUP(CE$23,Timeseries!$A:$A,Timeseries!$U:$U),"")</f>
        <v>79</v>
      </c>
      <c r="CF80" s="55">
        <f>IFERROR(LOOKUP(CF$23,Timeseries!$A:$A,Timeseries!$U:$U),"")</f>
        <v>56</v>
      </c>
      <c r="CG80" s="55">
        <f>IFERROR(LOOKUP(CG$23,Timeseries!$A:$A,Timeseries!$U:$U),"")</f>
        <v>53</v>
      </c>
      <c r="CH80" s="55">
        <f>IFERROR(LOOKUP(CH$23,Timeseries!$A:$A,Timeseries!$U:$U),"")</f>
        <v>99</v>
      </c>
      <c r="CI80" s="55">
        <f>IFERROR(LOOKUP(CI$23,Timeseries!$A:$A,Timeseries!$U:$U),"")</f>
        <v>81</v>
      </c>
      <c r="CJ80" s="55">
        <f>IFERROR(LOOKUP(CJ$23,Timeseries!$A:$A,Timeseries!$U:$U),"")</f>
        <v>47</v>
      </c>
      <c r="CK80" s="55">
        <f>IFERROR(LOOKUP(CK$23,Timeseries!$A:$A,Timeseries!$U:$U),"")</f>
        <v>41</v>
      </c>
      <c r="CL80" s="55">
        <f>IFERROR(LOOKUP(CL$23,Timeseries!$A:$A,Timeseries!$U:$U),"")</f>
        <v>79</v>
      </c>
      <c r="CM80" s="55">
        <f>IFERROR(LOOKUP(CM$23,Timeseries!$A:$A,Timeseries!$U:$U),"")</f>
        <v>68</v>
      </c>
      <c r="CN80" s="55">
        <f>IFERROR(LOOKUP(CN$23,Timeseries!$A:$A,Timeseries!$U:$U),"")</f>
        <v>34</v>
      </c>
      <c r="CO80" s="55">
        <f>IFERROR(LOOKUP(CO$23,Timeseries!$A:$A,Timeseries!$U:$U),"")</f>
        <v>41</v>
      </c>
      <c r="CP80" s="55">
        <f>IFERROR(LOOKUP(CP$23,Timeseries!$A:$A,Timeseries!$U:$U),"")</f>
        <v>46</v>
      </c>
      <c r="CQ80" s="55">
        <f>IFERROR(LOOKUP(CQ$23,Timeseries!$A:$A,Timeseries!$U:$U),"")</f>
        <v>18</v>
      </c>
      <c r="CR80" s="55">
        <f>IFERROR(LOOKUP(CR$23,Timeseries!$A:$A,Timeseries!$U:$U),"")</f>
        <v>27</v>
      </c>
      <c r="CS80" s="55">
        <f>IFERROR(LOOKUP(CS$23,Timeseries!$A:$A,Timeseries!$U:$U),"")</f>
        <v>39</v>
      </c>
      <c r="CT80" s="55">
        <f>IFERROR(LOOKUP(CT$23,Timeseries!$A:$A,Timeseries!$U:$U),"")</f>
        <v>73</v>
      </c>
      <c r="CU80" s="55">
        <f>IFERROR(LOOKUP(CU$23,Timeseries!$A:$A,Timeseries!$U:$U),"")</f>
        <v>83</v>
      </c>
      <c r="CV80" s="55">
        <f>IFERROR(LOOKUP(CV$23,Timeseries!$A:$A,Timeseries!$U:$U),"")</f>
        <v>20</v>
      </c>
      <c r="CW80" s="55">
        <f>IFERROR(LOOKUP(CW$23,Timeseries!$A:$A,Timeseries!$U:$U),"")</f>
        <v>74</v>
      </c>
      <c r="CX80" s="55">
        <f>IFERROR(LOOKUP(CX$23,Timeseries!$A:$A,Timeseries!$U:$U),"")</f>
        <v>14</v>
      </c>
      <c r="CY80" s="55">
        <f>IFERROR(LOOKUP(CY$23,Timeseries!$A:$A,Timeseries!$U:$U),"")</f>
        <v>25</v>
      </c>
      <c r="CZ80" s="55">
        <f>IFERROR(LOOKUP(CZ$23,Timeseries!$A:$A,Timeseries!$U:$U),"")</f>
        <v>75</v>
      </c>
      <c r="DA80" s="55">
        <f>IFERROR(LOOKUP(DA$23,Timeseries!$A:$A,Timeseries!$U:$U),"")</f>
        <v>45</v>
      </c>
      <c r="DB80" s="55">
        <f>IFERROR(LOOKUP(DB$23,Timeseries!$A:$A,Timeseries!$U:$U),"")</f>
        <v>52</v>
      </c>
      <c r="DC80" s="55">
        <f>IFERROR(LOOKUP(DC$23,Timeseries!$A:$A,Timeseries!$U:$U),"")</f>
        <v>62</v>
      </c>
      <c r="DD80" s="55">
        <f>IFERROR(LOOKUP(DD$23,Timeseries!$A:$A,Timeseries!$U:$U),"")</f>
        <v>13</v>
      </c>
      <c r="DE80" s="55">
        <f>IFERROR(LOOKUP(DE$23,Timeseries!$A:$A,Timeseries!$U:$U),"")</f>
        <v>36</v>
      </c>
      <c r="DF80" s="55">
        <f>IFERROR(LOOKUP(DF$23,Timeseries!$A:$A,Timeseries!$U:$U),"")</f>
        <v>43</v>
      </c>
      <c r="DG80" s="55">
        <f>IFERROR(LOOKUP(DG$23,Timeseries!$A:$A,Timeseries!$U:$U),"")</f>
        <v>29</v>
      </c>
      <c r="DH80" s="55">
        <f>IFERROR(LOOKUP(DH$23,Timeseries!$A:$A,Timeseries!$U:$U),"")</f>
        <v>57</v>
      </c>
      <c r="DI80" s="55">
        <f>IFERROR(LOOKUP(DI$23,Timeseries!$A:$A,Timeseries!$U:$U),"")</f>
        <v>16</v>
      </c>
      <c r="DJ80" s="55">
        <f>IFERROR(LOOKUP(DJ$23,Timeseries!$A:$A,Timeseries!$U:$U),"")</f>
        <v>25</v>
      </c>
      <c r="DK80" s="55">
        <f>IFERROR(LOOKUP(DK$23,Timeseries!$A:$A,Timeseries!$U:$U),"")</f>
        <v>35</v>
      </c>
      <c r="DL80" s="55">
        <f>IFERROR(LOOKUP(DL$23,Timeseries!$A:$A,Timeseries!$U:$U),"")</f>
        <v>78</v>
      </c>
      <c r="DM80" s="55">
        <f>IFERROR(LOOKUP(DM$23,Timeseries!$A:$A,Timeseries!$U:$U),"")</f>
        <v>42</v>
      </c>
      <c r="DN80" s="55">
        <f>IFERROR(LOOKUP(DN$23,Timeseries!$A:$A,Timeseries!$U:$U),"")</f>
        <v>73</v>
      </c>
      <c r="DO80" s="55">
        <f>IFERROR(LOOKUP(DO$23,Timeseries!$A:$A,Timeseries!$U:$U),"")</f>
        <v>28</v>
      </c>
      <c r="DP80" s="55">
        <f>IFERROR(LOOKUP(DP$23,Timeseries!$A:$A,Timeseries!$U:$U),"")</f>
        <v>34</v>
      </c>
      <c r="DQ80" s="55">
        <f>IFERROR(LOOKUP(DQ$23,Timeseries!$A:$A,Timeseries!$U:$U),"")</f>
        <v>10</v>
      </c>
      <c r="DR80" s="55">
        <f>IFERROR(LOOKUP(DR$23,Timeseries!$A:$A,Timeseries!$U:$U),"")</f>
        <v>22</v>
      </c>
      <c r="DS80" s="55">
        <f>IFERROR(LOOKUP(DS$23,Timeseries!$A:$A,Timeseries!$U:$U),"")</f>
        <v>11</v>
      </c>
      <c r="DT80" s="55">
        <f>IFERROR(LOOKUP(DT$23,Timeseries!$A:$A,Timeseries!$U:$U),"")</f>
        <v>32</v>
      </c>
      <c r="DU80" s="55">
        <f>IFERROR(LOOKUP(DU$23,Timeseries!$A:$A,Timeseries!$U:$U),"")</f>
        <v>32</v>
      </c>
      <c r="DV80" s="55">
        <f>IFERROR(LOOKUP(DV$23,Timeseries!$A:$A,Timeseries!$U:$U),"")</f>
        <v>52</v>
      </c>
      <c r="DW80" s="55">
        <f>IFERROR(LOOKUP(DW$23,Timeseries!$A:$A,Timeseries!$U:$U),"")</f>
        <v>20</v>
      </c>
      <c r="DX80" s="55">
        <f>IFERROR(LOOKUP(DX$23,Timeseries!$A:$A,Timeseries!$U:$U),"")</f>
        <v>34</v>
      </c>
      <c r="DY80" s="55">
        <f>IFERROR(LOOKUP(DY$23,Timeseries!$A:$A,Timeseries!$U:$U),"")</f>
        <v>39</v>
      </c>
      <c r="DZ80" s="55">
        <f>IFERROR(LOOKUP(DZ$23,Timeseries!$A:$A,Timeseries!$U:$U),"")</f>
        <v>93</v>
      </c>
      <c r="EA80" s="55">
        <f>IFERROR(LOOKUP(EA$23,Timeseries!$A:$A,Timeseries!$U:$U),"")</f>
        <v>24</v>
      </c>
      <c r="EB80" s="55">
        <f>IFERROR(LOOKUP(EB$23,Timeseries!$A:$A,Timeseries!$U:$U),"")</f>
        <v>19</v>
      </c>
      <c r="EC80" s="55">
        <f>IFERROR(LOOKUP(EC$23,Timeseries!$A:$A,Timeseries!$U:$U),"")</f>
        <v>88</v>
      </c>
      <c r="ED80" s="55">
        <f>IFERROR(LOOKUP(ED$23,Timeseries!$A:$A,Timeseries!$U:$U),"")</f>
        <v>10</v>
      </c>
      <c r="EE80" s="55">
        <f>IFERROR(LOOKUP(EE$23,Timeseries!$A:$A,Timeseries!$U:$U),"")</f>
        <v>65</v>
      </c>
      <c r="EF80" s="55">
        <f>IFERROR(LOOKUP(EF$23,Timeseries!$A:$A,Timeseries!$U:$U),"")</f>
        <v>73</v>
      </c>
      <c r="EG80" s="55">
        <f>IFERROR(LOOKUP(EG$23,Timeseries!$A:$A,Timeseries!$U:$U),"")</f>
        <v>44</v>
      </c>
      <c r="EH80" s="55">
        <f>IFERROR(LOOKUP(EH$23,Timeseries!$A:$A,Timeseries!$U:$U),"")</f>
        <v>18</v>
      </c>
      <c r="EI80" s="55">
        <f>IFERROR(LOOKUP(EI$23,Timeseries!$A:$A,Timeseries!$U:$U),"")</f>
        <v>88</v>
      </c>
      <c r="EJ80" s="55">
        <f>IFERROR(LOOKUP(EJ$23,Timeseries!$A:$A,Timeseries!$U:$U),"")</f>
        <v>83</v>
      </c>
      <c r="EK80" s="55">
        <f>IFERROR(LOOKUP(EK$23,Timeseries!$A:$A,Timeseries!$U:$U),"")</f>
        <v>48</v>
      </c>
      <c r="EL80" s="55">
        <f>IFERROR(LOOKUP(EL$23,Timeseries!$A:$A,Timeseries!$U:$U),"")</f>
        <v>91</v>
      </c>
      <c r="EM80" s="55">
        <f>IFERROR(LOOKUP(EM$23,Timeseries!$A:$A,Timeseries!$U:$U),"")</f>
        <v>52</v>
      </c>
      <c r="EN80" s="55">
        <f>IFERROR(LOOKUP(EN$23,Timeseries!$A:$A,Timeseries!$U:$U),"")</f>
        <v>54</v>
      </c>
      <c r="EO80" s="55">
        <f>IFERROR(LOOKUP(EO$23,Timeseries!$A:$A,Timeseries!$U:$U),"")</f>
        <v>58</v>
      </c>
      <c r="EP80" s="55">
        <f>IFERROR(LOOKUP(EP$23,Timeseries!$A:$A,Timeseries!$U:$U),"")</f>
        <v>59</v>
      </c>
      <c r="EQ80" s="55">
        <f>IFERROR(LOOKUP(EQ$23,Timeseries!$A:$A,Timeseries!$U:$U),"")</f>
        <v>88</v>
      </c>
      <c r="ER80" s="55">
        <f>IFERROR(LOOKUP(ER$23,Timeseries!$A:$A,Timeseries!$U:$U),"")</f>
        <v>50</v>
      </c>
      <c r="ES80" s="55">
        <f>IFERROR(LOOKUP(ES$23,Timeseries!$A:$A,Timeseries!$U:$U),"")</f>
        <v>17</v>
      </c>
      <c r="ET80" s="55">
        <f>IFERROR(LOOKUP(ET$23,Timeseries!$A:$A,Timeseries!$U:$U),"")</f>
        <v>51</v>
      </c>
      <c r="EU80" s="55">
        <f>IFERROR(LOOKUP(EU$23,Timeseries!$A:$A,Timeseries!$U:$U),"")</f>
        <v>86</v>
      </c>
      <c r="EV80" s="55">
        <f>IFERROR(LOOKUP(EV$23,Timeseries!$A:$A,Timeseries!$U:$U),"")</f>
        <v>43</v>
      </c>
      <c r="EW80" s="55">
        <f>IFERROR(LOOKUP(EW$23,Timeseries!$A:$A,Timeseries!$U:$U),"")</f>
        <v>14</v>
      </c>
      <c r="EX80" s="55">
        <f>IFERROR(LOOKUP(EX$23,Timeseries!$A:$A,Timeseries!$U:$U),"")</f>
        <v>80</v>
      </c>
      <c r="EY80" s="55">
        <f>IFERROR(LOOKUP(EY$23,Timeseries!$A:$A,Timeseries!$U:$U),"")</f>
        <v>47</v>
      </c>
      <c r="EZ80" s="55">
        <f>IFERROR(LOOKUP(EZ$23,Timeseries!$A:$A,Timeseries!$U:$U),"")</f>
        <v>56</v>
      </c>
      <c r="FA80" s="55">
        <f>IFERROR(LOOKUP(FA$23,Timeseries!$A:$A,Timeseries!$U:$U),"")</f>
        <v>44</v>
      </c>
      <c r="FB80" s="55">
        <f>IFERROR(LOOKUP(FB$23,Timeseries!$A:$A,Timeseries!$U:$U),"")</f>
        <v>18</v>
      </c>
      <c r="FC80" s="55">
        <f>IFERROR(LOOKUP(FC$23,Timeseries!$A:$A,Timeseries!$U:$U),"")</f>
        <v>50</v>
      </c>
      <c r="FD80" s="55">
        <f>IFERROR(LOOKUP(FD$23,Timeseries!$A:$A,Timeseries!$U:$U),"")</f>
        <v>14</v>
      </c>
      <c r="FE80" s="55">
        <f>IFERROR(LOOKUP(FE$23,Timeseries!$A:$A,Timeseries!$U:$U),"")</f>
        <v>39</v>
      </c>
      <c r="FF80" s="55">
        <f>IFERROR(LOOKUP(FF$23,Timeseries!$A:$A,Timeseries!$U:$U),"")</f>
        <v>50</v>
      </c>
      <c r="FG80" s="55">
        <f>IFERROR(LOOKUP(FG$23,Timeseries!$A:$A,Timeseries!$U:$U),"")</f>
        <v>27</v>
      </c>
      <c r="FH80" s="55">
        <f>IFERROR(LOOKUP(FH$23,Timeseries!$A:$A,Timeseries!$U:$U),"")</f>
        <v>34</v>
      </c>
      <c r="FI80" s="55">
        <f>IFERROR(LOOKUP(FI$23,Timeseries!$A:$A,Timeseries!$U:$U),"")</f>
        <v>77</v>
      </c>
      <c r="FJ80" s="55">
        <f>IFERROR(LOOKUP(FJ$23,Timeseries!$A:$A,Timeseries!$U:$U),"")</f>
        <v>92</v>
      </c>
      <c r="FK80" s="55">
        <f>IFERROR(LOOKUP(FK$23,Timeseries!$A:$A,Timeseries!$U:$U),"")</f>
        <v>96</v>
      </c>
      <c r="FL80" s="55">
        <f>IFERROR(LOOKUP(FL$23,Timeseries!$A:$A,Timeseries!$U:$U),"")</f>
        <v>72</v>
      </c>
      <c r="FM80" s="55">
        <f>IFERROR(LOOKUP(FM$23,Timeseries!$A:$A,Timeseries!$U:$U),"")</f>
        <v>90</v>
      </c>
      <c r="FN80" s="55">
        <f>IFERROR(LOOKUP(FN$23,Timeseries!$A:$A,Timeseries!$U:$U),"")</f>
        <v>17</v>
      </c>
      <c r="FO80" s="55">
        <f>IFERROR(LOOKUP(FO$23,Timeseries!$A:$A,Timeseries!$U:$U),"")</f>
        <v>39</v>
      </c>
      <c r="FP80" s="55">
        <f>IFERROR(LOOKUP(FP$23,Timeseries!$A:$A,Timeseries!$U:$U),"")</f>
        <v>88</v>
      </c>
      <c r="FQ80" s="55">
        <f>IFERROR(LOOKUP(FQ$23,Timeseries!$A:$A,Timeseries!$U:$U),"")</f>
        <v>57</v>
      </c>
      <c r="FR80" s="55">
        <f>IFERROR(LOOKUP(FR$23,Timeseries!$A:$A,Timeseries!$U:$U),"")</f>
        <v>29</v>
      </c>
      <c r="FS80" s="55">
        <f>IFERROR(LOOKUP(FS$23,Timeseries!$A:$A,Timeseries!$U:$U),"")</f>
        <v>20</v>
      </c>
    </row>
    <row r="81" spans="4:8">
      <c r="D81" t="s">
        <v>47</v>
      </c>
      <c r="E81" s="2" t="s">
        <v>41</v>
      </c>
      <c r="F81" s="8" t="s">
        <v>151</v>
      </c>
      <c r="G81" s="5">
        <v>0.1</v>
      </c>
      <c r="H81" s="26" t="str">
        <f>IF(AND(G32=TRUE,G81&lt;0),"the penalty cost should be in range 0-25","")</f>
        <v/>
      </c>
    </row>
    <row r="82" spans="4:8">
      <c r="D82" t="s">
        <v>48</v>
      </c>
      <c r="E82" s="2" t="s">
        <v>42</v>
      </c>
      <c r="F82" s="8" t="s">
        <v>151</v>
      </c>
      <c r="G82" s="5">
        <v>0.1</v>
      </c>
      <c r="H82" s="26" t="str">
        <f>IF(AND(G32=TRUE,G82&lt;0),"the penalty cost should be in range 0-25","")</f>
        <v/>
      </c>
    </row>
    <row r="83" spans="4:8">
      <c r="D83" t="s">
        <v>49</v>
      </c>
      <c r="E83" s="2" t="s">
        <v>43</v>
      </c>
      <c r="F83" s="8" t="s">
        <v>151</v>
      </c>
      <c r="G83" s="5">
        <v>0.1</v>
      </c>
      <c r="H83" s="26" t="str">
        <f>IF(AND(G42=TRUE,G83&lt;0),"the penalty cost should be in range 0-25","")</f>
        <v/>
      </c>
    </row>
    <row r="84" spans="4:8">
      <c r="D84" t="s">
        <v>50</v>
      </c>
      <c r="E84" s="2" t="s">
        <v>44</v>
      </c>
      <c r="F84" s="8" t="s">
        <v>151</v>
      </c>
      <c r="G84" s="5">
        <v>0.1</v>
      </c>
      <c r="H84" s="26" t="str">
        <f>IF(AND(G42=TRUE,G84&lt;0),"the penalty cost should be in range 0-25","")</f>
        <v/>
      </c>
    </row>
    <row r="85" spans="4:8">
      <c r="D85" t="s">
        <v>51</v>
      </c>
      <c r="E85" s="2" t="s">
        <v>45</v>
      </c>
      <c r="F85" s="8" t="s">
        <v>151</v>
      </c>
      <c r="G85" s="5">
        <v>0.1</v>
      </c>
      <c r="H85" s="26" t="str">
        <f>IF(AND(G48=TRUE,G85&lt;0),"the penalty cost should be in range 0-25","")</f>
        <v/>
      </c>
    </row>
    <row r="86" spans="4:8">
      <c r="D86" t="s">
        <v>52</v>
      </c>
      <c r="E86" s="2" t="s">
        <v>46</v>
      </c>
      <c r="F86" s="8" t="s">
        <v>151</v>
      </c>
      <c r="G86" s="5">
        <v>0.1</v>
      </c>
      <c r="H86" s="26" t="str">
        <f>IF(AND(G48=TRUE,G86&lt;0),"the penalty cost should be in range 0-25","")</f>
        <v/>
      </c>
    </row>
    <row r="87" spans="4:8">
      <c r="D87" t="s">
        <v>203</v>
      </c>
      <c r="E87" s="2" t="s">
        <v>201</v>
      </c>
      <c r="F87" s="8" t="s">
        <v>153</v>
      </c>
      <c r="G87" s="5">
        <v>0.1</v>
      </c>
    </row>
    <row r="88" spans="4:8">
      <c r="D88" t="s">
        <v>204</v>
      </c>
      <c r="E88" s="2" t="s">
        <v>202</v>
      </c>
      <c r="F88" s="8" t="s">
        <v>153</v>
      </c>
      <c r="G88" s="5">
        <v>0.1</v>
      </c>
    </row>
  </sheetData>
  <phoneticPr fontId="7" type="noConversion"/>
  <conditionalFormatting sqref="G9">
    <cfRule type="cellIs" dxfId="20" priority="62" operator="equal">
      <formula>FALSE</formula>
    </cfRule>
    <cfRule type="cellIs" dxfId="19" priority="63" operator="equal">
      <formula>TRUE</formula>
    </cfRule>
  </conditionalFormatting>
  <conditionalFormatting sqref="G10">
    <cfRule type="cellIs" dxfId="18" priority="60" operator="equal">
      <formula>FALSE</formula>
    </cfRule>
    <cfRule type="cellIs" dxfId="17" priority="61" operator="equal">
      <formula>TRUE</formula>
    </cfRule>
  </conditionalFormatting>
  <conditionalFormatting sqref="G30">
    <cfRule type="cellIs" dxfId="16" priority="20" operator="equal">
      <formula>FALSE</formula>
    </cfRule>
    <cfRule type="cellIs" dxfId="15" priority="21" operator="equal">
      <formula>TRUE</formula>
    </cfRule>
  </conditionalFormatting>
  <conditionalFormatting sqref="G32 G53 G64 G38 G42 G47:G48">
    <cfRule type="cellIs" dxfId="14" priority="18" operator="equal">
      <formula>FALSE</formula>
    </cfRule>
    <cfRule type="cellIs" dxfId="13" priority="19" operator="equal">
      <formula>TRUE</formula>
    </cfRule>
  </conditionalFormatting>
  <conditionalFormatting sqref="G33:G34">
    <cfRule type="expression" dxfId="12" priority="15">
      <formula>$G$32=FALSE</formula>
    </cfRule>
  </conditionalFormatting>
  <conditionalFormatting sqref="G31">
    <cfRule type="expression" dxfId="11" priority="14">
      <formula>$G$30=FALSE</formula>
    </cfRule>
  </conditionalFormatting>
  <conditionalFormatting sqref="G43:G44">
    <cfRule type="expression" dxfId="10" priority="13">
      <formula>$G$42=FALSE</formula>
    </cfRule>
  </conditionalFormatting>
  <conditionalFormatting sqref="G49:G50">
    <cfRule type="expression" dxfId="9" priority="12">
      <formula>$G$48=FALSE</formula>
    </cfRule>
  </conditionalFormatting>
  <conditionalFormatting sqref="G39:G41">
    <cfRule type="expression" dxfId="8" priority="11">
      <formula>$G$32=FALSE</formula>
    </cfRule>
  </conditionalFormatting>
  <conditionalFormatting sqref="G39:G41">
    <cfRule type="expression" dxfId="7" priority="8">
      <formula>$G$10="LP"</formula>
    </cfRule>
  </conditionalFormatting>
  <conditionalFormatting sqref="G55:G56">
    <cfRule type="expression" dxfId="6" priority="7">
      <formula>$G$48=FALSE</formula>
    </cfRule>
  </conditionalFormatting>
  <conditionalFormatting sqref="G54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59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G25">
    <cfRule type="cellIs" dxfId="1" priority="1" operator="equal">
      <formula>FALSE</formula>
    </cfRule>
    <cfRule type="cellIs" dxfId="0" priority="2" operator="equal">
      <formula>TRUE</formula>
    </cfRule>
  </conditionalFormatting>
  <dataValidations disablePrompts="1" count="2">
    <dataValidation type="list" allowBlank="1" showInputMessage="1" showErrorMessage="1" sqref="G9 G64 G38 G47:G48 G32 G42 G30 G53:G54 G59 G25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BCAB434-1C4D-4D9F-A270-9BF6C31C4D1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Inputs!H80:AE80</xm:f>
              <xm:sqref>G80</xm:sqref>
            </x14:sparkline>
            <x14:sparkline>
              <xm:f>Inputs!H77:AE77</xm:f>
              <xm:sqref>G77</xm:sqref>
            </x14:sparkline>
          </x14:sparklines>
        </x14:sparklineGroup>
        <x14:sparklineGroup displayEmptyCellsAs="gap" xr2:uid="{82CD4ABA-B273-45B5-94EE-EC102B43C09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Inputs!H62:AE62</xm:f>
              <xm:sqref>G62</xm:sqref>
            </x14:sparkline>
            <x14:sparkline>
              <xm:f>Inputs!H63:AE63</xm:f>
              <xm:sqref>G63</xm:sqref>
            </x14:sparkline>
            <x14:sparkline>
              <xm:f>Inputs!H65:AE65</xm:f>
              <xm:sqref>G65</xm:sqref>
            </x14:sparkline>
            <x14:sparkline>
              <xm:f>Inputs!H66:AE66</xm:f>
              <xm:sqref>G66</xm:sqref>
            </x14:sparkline>
            <x14:sparkline>
              <xm:f>Inputs!H67:AE67</xm:f>
              <xm:sqref>G67</xm:sqref>
            </x14:sparkline>
          </x14:sparklines>
        </x14:sparklineGroup>
        <x14:sparklineGroup displayEmptyCellsAs="gap" xr2:uid="{7D049DFB-E378-47D1-9440-154383A5D7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Inputs!H36:AE36</xm:f>
              <xm:sqref>G36</xm:sqref>
            </x14:sparkline>
            <x14:sparkline>
              <xm:f>Inputs!H37:AE37</xm:f>
              <xm:sqref>G37</xm:sqref>
            </x14:sparkline>
            <x14:sparkline>
              <xm:f>Inputs!H45:AE45</xm:f>
              <xm:sqref>G45</xm:sqref>
            </x14:sparkline>
            <x14:sparkline>
              <xm:f>Inputs!H46:AE46</xm:f>
              <xm:sqref>G46</xm:sqref>
            </x14:sparkline>
            <x14:sparkline>
              <xm:f>Inputs!H51:AE51</xm:f>
              <xm:sqref>G51</xm:sqref>
            </x14:sparkline>
            <x14:sparkline>
              <xm:f>Inputs!H52:AE52</xm:f>
              <xm:sqref>G52</xm:sqref>
            </x14:sparkline>
          </x14:sparklines>
        </x14:sparklineGroup>
        <x14:sparklineGroup displayEmptyCellsAs="gap" xr2:uid="{C158CFA3-6126-40A8-B8DD-D0E71C4846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Inputs!H26:AE26</xm:f>
              <xm:sqref>G26</xm:sqref>
            </x14:sparkline>
            <x14:sparkline>
              <xm:f>Inputs!H27:AE27</xm:f>
              <xm:sqref>G27</xm:sqref>
            </x14:sparkline>
          </x14:sparklines>
        </x14:sparklineGroup>
        <x14:sparklineGroup displayEmptyCellsAs="gap" xr2:uid="{B1D28A62-8160-4214-90C6-7300CAB8AA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Inputs!H35:AE35</xm:f>
              <xm:sqref>G35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U626"/>
  <sheetViews>
    <sheetView tabSelected="1" workbookViewId="0">
      <selection activeCell="T27" sqref="T27:T625"/>
    </sheetView>
  </sheetViews>
  <sheetFormatPr defaultRowHeight="14.4"/>
  <cols>
    <col min="1" max="1" width="14.33203125" bestFit="1" customWidth="1"/>
    <col min="2" max="14" width="10.77734375" customWidth="1"/>
    <col min="15" max="17" width="11.77734375" customWidth="1"/>
    <col min="18" max="24" width="10.77734375" customWidth="1"/>
  </cols>
  <sheetData>
    <row r="1" spans="1:21" s="46" customFormat="1" ht="100.8">
      <c r="B1" s="47" t="s">
        <v>271</v>
      </c>
      <c r="C1" s="47" t="s">
        <v>270</v>
      </c>
      <c r="D1" s="47" t="s">
        <v>261</v>
      </c>
      <c r="E1" s="47" t="s">
        <v>80</v>
      </c>
      <c r="F1" s="47" t="s">
        <v>81</v>
      </c>
      <c r="G1" s="47" t="s">
        <v>82</v>
      </c>
      <c r="H1" s="47" t="s">
        <v>83</v>
      </c>
      <c r="I1" s="47" t="s">
        <v>84</v>
      </c>
      <c r="J1" s="47" t="s">
        <v>85</v>
      </c>
      <c r="K1" s="47" t="s">
        <v>194</v>
      </c>
      <c r="L1" s="47" t="s">
        <v>196</v>
      </c>
      <c r="M1" s="47" t="s">
        <v>35</v>
      </c>
      <c r="N1" s="47" t="s">
        <v>36</v>
      </c>
      <c r="O1" s="47" t="s">
        <v>34</v>
      </c>
      <c r="P1" s="47" t="s">
        <v>33</v>
      </c>
      <c r="Q1" s="47" t="s">
        <v>37</v>
      </c>
      <c r="R1" s="47" t="s">
        <v>87</v>
      </c>
      <c r="S1" s="47" t="s">
        <v>88</v>
      </c>
      <c r="T1" s="47" t="s">
        <v>55</v>
      </c>
      <c r="U1" s="47" t="s">
        <v>31</v>
      </c>
    </row>
    <row r="2" spans="1:21">
      <c r="A2" t="s">
        <v>272</v>
      </c>
      <c r="B2" s="8" t="s">
        <v>154</v>
      </c>
      <c r="C2" s="8" t="s">
        <v>154</v>
      </c>
      <c r="D2" s="8" t="s">
        <v>151</v>
      </c>
      <c r="E2" s="8" t="s">
        <v>151</v>
      </c>
      <c r="F2" s="8" t="s">
        <v>151</v>
      </c>
      <c r="G2" s="8" t="s">
        <v>151</v>
      </c>
      <c r="H2" s="8" t="s">
        <v>151</v>
      </c>
      <c r="I2" s="8" t="s">
        <v>151</v>
      </c>
      <c r="J2" s="8" t="s">
        <v>151</v>
      </c>
      <c r="K2" s="8" t="s">
        <v>153</v>
      </c>
      <c r="L2" s="8" t="s">
        <v>153</v>
      </c>
      <c r="M2" s="8" t="s">
        <v>151</v>
      </c>
      <c r="N2" s="8" t="s">
        <v>151</v>
      </c>
      <c r="O2" s="8" t="s">
        <v>153</v>
      </c>
      <c r="P2" s="8" t="s">
        <v>153</v>
      </c>
      <c r="Q2" s="8" t="s">
        <v>154</v>
      </c>
      <c r="R2" s="8" t="s">
        <v>151</v>
      </c>
      <c r="S2" s="8" t="s">
        <v>151</v>
      </c>
      <c r="T2" s="8" t="s">
        <v>152</v>
      </c>
      <c r="U2" s="8" t="s">
        <v>152</v>
      </c>
    </row>
    <row r="3" spans="1:21">
      <c r="A3" s="44">
        <v>45839</v>
      </c>
      <c r="B3" s="8">
        <v>5000</v>
      </c>
      <c r="C3" s="8">
        <v>25000</v>
      </c>
      <c r="D3" s="8">
        <v>0</v>
      </c>
      <c r="E3" s="8">
        <v>700</v>
      </c>
      <c r="F3" s="8">
        <v>7500</v>
      </c>
      <c r="G3" s="8">
        <v>2400</v>
      </c>
      <c r="H3" s="8">
        <v>25000</v>
      </c>
      <c r="I3" s="8">
        <v>5000</v>
      </c>
      <c r="J3" s="8">
        <v>25000</v>
      </c>
      <c r="K3" s="8">
        <v>5000</v>
      </c>
      <c r="L3" s="8">
        <v>25000</v>
      </c>
      <c r="M3" s="9">
        <v>9</v>
      </c>
      <c r="N3" s="9">
        <v>16.100000000000001</v>
      </c>
      <c r="O3" s="9">
        <v>14</v>
      </c>
      <c r="P3" s="9">
        <v>19.5</v>
      </c>
      <c r="Q3" s="9">
        <v>2.5</v>
      </c>
      <c r="R3">
        <v>10</v>
      </c>
      <c r="S3">
        <v>1000</v>
      </c>
      <c r="T3" s="5">
        <v>442.69657292841788</v>
      </c>
      <c r="U3">
        <v>32</v>
      </c>
    </row>
    <row r="4" spans="1:21">
      <c r="A4" s="44">
        <f>A3+TIME(1,0,0)</f>
        <v>45839.041666666664</v>
      </c>
      <c r="B4" s="8">
        <v>5000</v>
      </c>
      <c r="C4" s="8">
        <v>25000</v>
      </c>
      <c r="D4" s="8">
        <v>0</v>
      </c>
      <c r="E4" s="8">
        <v>700</v>
      </c>
      <c r="F4" s="8">
        <v>7500</v>
      </c>
      <c r="G4" s="8">
        <v>2400</v>
      </c>
      <c r="H4" s="8">
        <v>25000</v>
      </c>
      <c r="I4" s="8">
        <v>5000</v>
      </c>
      <c r="J4" s="8">
        <v>25000</v>
      </c>
      <c r="K4" s="8">
        <v>5000</v>
      </c>
      <c r="L4" s="8">
        <v>25000</v>
      </c>
      <c r="M4" s="9">
        <v>9</v>
      </c>
      <c r="N4" s="9">
        <v>16.100000000000001</v>
      </c>
      <c r="O4" s="9">
        <v>14</v>
      </c>
      <c r="P4" s="9">
        <v>19.5</v>
      </c>
      <c r="Q4" s="9">
        <v>2.6</v>
      </c>
      <c r="R4">
        <v>10</v>
      </c>
      <c r="S4">
        <v>1000</v>
      </c>
      <c r="T4" s="5">
        <v>362.27094893570683</v>
      </c>
      <c r="U4">
        <v>51</v>
      </c>
    </row>
    <row r="5" spans="1:21">
      <c r="A5" s="44">
        <f t="shared" ref="A5:A68" si="0">A4+TIME(1,0,0)</f>
        <v>45839.083333333328</v>
      </c>
      <c r="B5" s="8">
        <v>5000</v>
      </c>
      <c r="C5" s="8">
        <v>25000</v>
      </c>
      <c r="D5" s="8">
        <v>0</v>
      </c>
      <c r="E5" s="8">
        <v>700</v>
      </c>
      <c r="F5" s="8">
        <v>7500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v>9</v>
      </c>
      <c r="N5" s="9">
        <v>16.100000000000001</v>
      </c>
      <c r="O5" s="9">
        <v>14</v>
      </c>
      <c r="P5" s="9">
        <v>19.5</v>
      </c>
      <c r="Q5" s="9">
        <v>3</v>
      </c>
      <c r="R5">
        <v>10</v>
      </c>
      <c r="S5">
        <v>1000</v>
      </c>
      <c r="T5" s="5">
        <v>362.27094893570683</v>
      </c>
      <c r="U5">
        <v>65</v>
      </c>
    </row>
    <row r="6" spans="1:21">
      <c r="A6" s="44">
        <f t="shared" si="0"/>
        <v>45839.124999999993</v>
      </c>
      <c r="B6" s="8">
        <v>5000</v>
      </c>
      <c r="C6" s="8">
        <v>25000</v>
      </c>
      <c r="D6" s="8">
        <v>0</v>
      </c>
      <c r="E6" s="8">
        <v>700</v>
      </c>
      <c r="F6" s="8">
        <v>7500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v>9</v>
      </c>
      <c r="N6" s="9">
        <v>16.100000000000001</v>
      </c>
      <c r="O6" s="9">
        <v>14</v>
      </c>
      <c r="P6" s="9">
        <v>19.5</v>
      </c>
      <c r="Q6" s="9">
        <v>2.5</v>
      </c>
      <c r="R6">
        <v>10</v>
      </c>
      <c r="S6">
        <v>1000</v>
      </c>
      <c r="T6" s="5">
        <v>362.27094893570683</v>
      </c>
      <c r="U6">
        <v>42</v>
      </c>
    </row>
    <row r="7" spans="1:21">
      <c r="A7" s="44">
        <f t="shared" si="0"/>
        <v>45839.166666666657</v>
      </c>
      <c r="B7" s="8">
        <v>5000</v>
      </c>
      <c r="C7" s="8">
        <v>25000</v>
      </c>
      <c r="D7" s="8">
        <v>0</v>
      </c>
      <c r="E7" s="8">
        <v>700</v>
      </c>
      <c r="F7" s="8">
        <v>7500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v>9</v>
      </c>
      <c r="N7" s="9">
        <v>16.100000000000001</v>
      </c>
      <c r="O7" s="9">
        <v>14</v>
      </c>
      <c r="P7" s="9">
        <v>19.5</v>
      </c>
      <c r="Q7" s="9">
        <v>2.8</v>
      </c>
      <c r="R7">
        <v>10</v>
      </c>
      <c r="S7">
        <v>1000</v>
      </c>
      <c r="T7" s="5">
        <v>426.44032978095498</v>
      </c>
      <c r="U7">
        <v>20</v>
      </c>
    </row>
    <row r="8" spans="1:21">
      <c r="A8" s="44">
        <f t="shared" si="0"/>
        <v>45839.208333333321</v>
      </c>
      <c r="B8" s="8">
        <v>5000</v>
      </c>
      <c r="C8" s="8">
        <v>25000</v>
      </c>
      <c r="D8" s="8">
        <v>0</v>
      </c>
      <c r="E8" s="8">
        <v>700</v>
      </c>
      <c r="F8" s="8">
        <v>7500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v>9</v>
      </c>
      <c r="N8" s="9">
        <v>16.100000000000001</v>
      </c>
      <c r="O8" s="9">
        <v>14</v>
      </c>
      <c r="P8" s="9">
        <v>19.5</v>
      </c>
      <c r="Q8" s="9">
        <v>2.9</v>
      </c>
      <c r="R8">
        <v>10</v>
      </c>
      <c r="S8">
        <v>1000</v>
      </c>
      <c r="T8" s="5">
        <v>362.27094893570683</v>
      </c>
      <c r="U8">
        <v>97</v>
      </c>
    </row>
    <row r="9" spans="1:21">
      <c r="A9" s="44">
        <f t="shared" si="0"/>
        <v>45839.249999999985</v>
      </c>
      <c r="B9" s="8">
        <v>8000</v>
      </c>
      <c r="C9" s="8">
        <v>25000</v>
      </c>
      <c r="D9" s="8">
        <v>0</v>
      </c>
      <c r="E9" s="8">
        <v>700</v>
      </c>
      <c r="F9" s="8">
        <v>7500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v>9</v>
      </c>
      <c r="N9" s="9">
        <v>16.100000000000001</v>
      </c>
      <c r="O9" s="9">
        <v>14</v>
      </c>
      <c r="P9" s="9">
        <v>19.5</v>
      </c>
      <c r="Q9" s="9">
        <v>2.4</v>
      </c>
      <c r="R9">
        <v>10</v>
      </c>
      <c r="S9">
        <v>1000</v>
      </c>
      <c r="T9" s="5">
        <v>304.3759075508828</v>
      </c>
      <c r="U9">
        <v>97</v>
      </c>
    </row>
    <row r="10" spans="1:21">
      <c r="A10" s="44">
        <f t="shared" si="0"/>
        <v>45839.29166666665</v>
      </c>
      <c r="B10" s="8">
        <v>8000</v>
      </c>
      <c r="C10" s="8">
        <v>25000</v>
      </c>
      <c r="D10" s="8">
        <v>0</v>
      </c>
      <c r="E10" s="8">
        <v>700</v>
      </c>
      <c r="F10" s="8">
        <v>7500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v>9</v>
      </c>
      <c r="N10" s="9">
        <v>16.100000000000001</v>
      </c>
      <c r="O10" s="9">
        <v>14</v>
      </c>
      <c r="P10" s="9">
        <v>19.5</v>
      </c>
      <c r="Q10" s="9">
        <v>2.5</v>
      </c>
      <c r="R10">
        <v>10</v>
      </c>
      <c r="S10">
        <v>1000</v>
      </c>
      <c r="T10" s="5">
        <v>280.13414145378908</v>
      </c>
      <c r="U10">
        <v>24</v>
      </c>
    </row>
    <row r="11" spans="1:21">
      <c r="A11" s="44">
        <f t="shared" si="0"/>
        <v>45839.333333333314</v>
      </c>
      <c r="B11" s="8">
        <v>8000</v>
      </c>
      <c r="C11" s="8">
        <v>25000</v>
      </c>
      <c r="D11" s="8">
        <v>0</v>
      </c>
      <c r="E11" s="8">
        <v>700</v>
      </c>
      <c r="F11" s="8">
        <v>7500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v>9</v>
      </c>
      <c r="N11" s="9">
        <v>16.100000000000001</v>
      </c>
      <c r="O11" s="9">
        <v>14</v>
      </c>
      <c r="P11" s="9">
        <v>19.5</v>
      </c>
      <c r="Q11" s="9">
        <v>2.8</v>
      </c>
      <c r="R11">
        <v>10</v>
      </c>
      <c r="S11">
        <v>1000</v>
      </c>
      <c r="T11" s="5">
        <v>294.39400386384426</v>
      </c>
      <c r="U11">
        <v>77</v>
      </c>
    </row>
    <row r="12" spans="1:21">
      <c r="A12" s="44">
        <f t="shared" si="0"/>
        <v>45839.374999999978</v>
      </c>
      <c r="B12" s="8">
        <v>8000</v>
      </c>
      <c r="C12" s="8">
        <v>25000</v>
      </c>
      <c r="D12" s="8">
        <v>0</v>
      </c>
      <c r="E12" s="8">
        <v>700</v>
      </c>
      <c r="F12" s="8">
        <v>7500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v>9</v>
      </c>
      <c r="N12" s="9">
        <v>16.100000000000001</v>
      </c>
      <c r="O12" s="9">
        <v>14</v>
      </c>
      <c r="P12" s="9">
        <v>19.5</v>
      </c>
      <c r="Q12" s="9">
        <v>2.8</v>
      </c>
      <c r="R12">
        <v>10</v>
      </c>
      <c r="S12">
        <v>1000</v>
      </c>
      <c r="T12" s="5">
        <v>317.20978371993255</v>
      </c>
      <c r="U12">
        <v>100</v>
      </c>
    </row>
    <row r="13" spans="1:21">
      <c r="A13" s="44">
        <f t="shared" si="0"/>
        <v>45839.416666666642</v>
      </c>
      <c r="B13" s="8">
        <v>8000</v>
      </c>
      <c r="C13" s="8">
        <v>25000</v>
      </c>
      <c r="D13" s="8">
        <v>0</v>
      </c>
      <c r="E13" s="8">
        <v>700</v>
      </c>
      <c r="F13" s="8">
        <v>7500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v>9</v>
      </c>
      <c r="N13" s="9">
        <v>16.100000000000001</v>
      </c>
      <c r="O13" s="9">
        <v>14</v>
      </c>
      <c r="P13" s="9">
        <v>19.5</v>
      </c>
      <c r="Q13" s="9">
        <v>2.6</v>
      </c>
      <c r="R13">
        <v>10</v>
      </c>
      <c r="S13">
        <v>1000</v>
      </c>
      <c r="T13" s="5">
        <v>308.08347177749721</v>
      </c>
      <c r="U13">
        <v>79</v>
      </c>
    </row>
    <row r="14" spans="1:21">
      <c r="A14" s="44">
        <f t="shared" si="0"/>
        <v>45839.458333333307</v>
      </c>
      <c r="B14" s="8">
        <v>8000</v>
      </c>
      <c r="C14" s="8">
        <v>25000</v>
      </c>
      <c r="D14" s="8">
        <v>0</v>
      </c>
      <c r="E14" s="8">
        <v>700</v>
      </c>
      <c r="F14" s="8">
        <v>7500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v>9</v>
      </c>
      <c r="N14" s="9">
        <v>16.100000000000001</v>
      </c>
      <c r="O14" s="9">
        <v>14</v>
      </c>
      <c r="P14" s="9">
        <v>19.5</v>
      </c>
      <c r="Q14" s="9">
        <v>2.8</v>
      </c>
      <c r="R14">
        <v>10</v>
      </c>
      <c r="S14">
        <v>1000</v>
      </c>
      <c r="T14" s="5">
        <v>303.80551305448063</v>
      </c>
      <c r="U14">
        <v>18</v>
      </c>
    </row>
    <row r="15" spans="1:21">
      <c r="A15" s="44">
        <f t="shared" si="0"/>
        <v>45839.499999999971</v>
      </c>
      <c r="B15" s="8">
        <v>8000</v>
      </c>
      <c r="C15" s="8">
        <v>25000</v>
      </c>
      <c r="D15" s="8">
        <v>0</v>
      </c>
      <c r="E15" s="8">
        <v>700</v>
      </c>
      <c r="F15" s="8">
        <v>7500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v>9</v>
      </c>
      <c r="N15" s="9">
        <v>16.100000000000001</v>
      </c>
      <c r="O15" s="9">
        <v>14</v>
      </c>
      <c r="P15" s="9">
        <v>19.5</v>
      </c>
      <c r="Q15" s="9">
        <v>2.8</v>
      </c>
      <c r="R15">
        <v>10</v>
      </c>
      <c r="S15">
        <v>1000</v>
      </c>
      <c r="T15" s="5">
        <v>303.80551305448063</v>
      </c>
      <c r="U15">
        <v>40</v>
      </c>
    </row>
    <row r="16" spans="1:21">
      <c r="A16" s="44">
        <f t="shared" si="0"/>
        <v>45839.541666666635</v>
      </c>
      <c r="B16" s="8">
        <v>8000</v>
      </c>
      <c r="C16" s="8">
        <v>25000</v>
      </c>
      <c r="D16" s="8">
        <v>0</v>
      </c>
      <c r="E16" s="8">
        <v>700</v>
      </c>
      <c r="F16" s="8">
        <v>7500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v>9</v>
      </c>
      <c r="N16" s="9">
        <v>16.100000000000001</v>
      </c>
      <c r="O16" s="9">
        <v>14</v>
      </c>
      <c r="P16" s="9">
        <v>19.5</v>
      </c>
      <c r="Q16" s="9">
        <v>3</v>
      </c>
      <c r="R16">
        <v>10</v>
      </c>
      <c r="S16">
        <v>1000</v>
      </c>
      <c r="T16" s="4">
        <v>353.43040463596901</v>
      </c>
      <c r="U16">
        <v>72</v>
      </c>
    </row>
    <row r="17" spans="1:21">
      <c r="A17" s="44">
        <f t="shared" si="0"/>
        <v>45839.583333333299</v>
      </c>
      <c r="B17" s="8">
        <v>8000</v>
      </c>
      <c r="C17" s="8">
        <v>25000</v>
      </c>
      <c r="D17" s="8">
        <v>0</v>
      </c>
      <c r="E17" s="8">
        <v>700</v>
      </c>
      <c r="F17" s="8">
        <v>7500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v>9</v>
      </c>
      <c r="N17" s="9">
        <v>16.100000000000001</v>
      </c>
      <c r="O17" s="9">
        <v>14</v>
      </c>
      <c r="P17" s="9">
        <v>19.5</v>
      </c>
      <c r="Q17" s="9">
        <v>3</v>
      </c>
      <c r="R17">
        <v>10</v>
      </c>
      <c r="S17">
        <v>1000</v>
      </c>
      <c r="T17" s="4">
        <v>587.29100737188094</v>
      </c>
      <c r="U17">
        <v>65</v>
      </c>
    </row>
    <row r="18" spans="1:21">
      <c r="A18" s="44">
        <f t="shared" si="0"/>
        <v>45839.624999999964</v>
      </c>
      <c r="B18" s="8">
        <v>8000</v>
      </c>
      <c r="C18" s="8">
        <v>25000</v>
      </c>
      <c r="D18" s="8">
        <v>0</v>
      </c>
      <c r="E18" s="8">
        <v>700</v>
      </c>
      <c r="F18" s="8">
        <v>7500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v>9</v>
      </c>
      <c r="N18" s="9">
        <v>16.100000000000001</v>
      </c>
      <c r="O18" s="9">
        <v>14</v>
      </c>
      <c r="P18" s="9">
        <v>19.5</v>
      </c>
      <c r="Q18" s="9">
        <v>2.9</v>
      </c>
      <c r="R18">
        <v>10</v>
      </c>
      <c r="S18">
        <v>1000</v>
      </c>
      <c r="T18" s="4">
        <v>604.40284226394715</v>
      </c>
      <c r="U18">
        <v>82</v>
      </c>
    </row>
    <row r="19" spans="1:21">
      <c r="A19" s="44">
        <f t="shared" si="0"/>
        <v>45839.666666666628</v>
      </c>
      <c r="B19" s="8">
        <v>8000</v>
      </c>
      <c r="C19" s="8">
        <v>25000</v>
      </c>
      <c r="D19" s="8">
        <v>0</v>
      </c>
      <c r="E19" s="8">
        <v>700</v>
      </c>
      <c r="F19" s="8">
        <v>7500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v>9</v>
      </c>
      <c r="N19" s="9">
        <v>16.100000000000001</v>
      </c>
      <c r="O19" s="9">
        <v>14</v>
      </c>
      <c r="P19" s="9">
        <v>19.5</v>
      </c>
      <c r="Q19" s="9">
        <v>2.7</v>
      </c>
      <c r="R19">
        <v>10</v>
      </c>
      <c r="S19">
        <v>1000</v>
      </c>
      <c r="T19" s="4">
        <v>875.91062255139741</v>
      </c>
      <c r="U19">
        <v>44</v>
      </c>
    </row>
    <row r="20" spans="1:21">
      <c r="A20" s="44">
        <f t="shared" si="0"/>
        <v>45839.708333333292</v>
      </c>
      <c r="B20" s="8">
        <v>8000</v>
      </c>
      <c r="C20" s="8">
        <v>25000</v>
      </c>
      <c r="D20" s="8">
        <v>0</v>
      </c>
      <c r="E20" s="8">
        <v>700</v>
      </c>
      <c r="F20" s="8">
        <v>7500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v>9</v>
      </c>
      <c r="N20" s="9">
        <v>16.100000000000001</v>
      </c>
      <c r="O20" s="9">
        <v>14</v>
      </c>
      <c r="P20" s="9">
        <v>19.5</v>
      </c>
      <c r="Q20" s="9">
        <v>2.5</v>
      </c>
      <c r="R20">
        <v>10</v>
      </c>
      <c r="S20">
        <v>1000</v>
      </c>
      <c r="T20" s="4">
        <v>1116.9022972813298</v>
      </c>
      <c r="U20">
        <v>60</v>
      </c>
    </row>
    <row r="21" spans="1:21">
      <c r="A21" s="44">
        <f t="shared" si="0"/>
        <v>45839.749999999956</v>
      </c>
      <c r="B21" s="8">
        <v>5000</v>
      </c>
      <c r="C21" s="8">
        <v>25000</v>
      </c>
      <c r="D21" s="8">
        <v>0</v>
      </c>
      <c r="E21" s="8">
        <v>700</v>
      </c>
      <c r="F21" s="8">
        <v>7500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v>9</v>
      </c>
      <c r="N21" s="9">
        <v>16.100000000000001</v>
      </c>
      <c r="O21" s="9">
        <v>14</v>
      </c>
      <c r="P21" s="9">
        <v>19.5</v>
      </c>
      <c r="Q21" s="9">
        <v>2.6</v>
      </c>
      <c r="R21">
        <v>10</v>
      </c>
      <c r="S21">
        <v>1000</v>
      </c>
      <c r="T21" s="4">
        <v>1156.8299120294841</v>
      </c>
      <c r="U21">
        <v>13</v>
      </c>
    </row>
    <row r="22" spans="1:21">
      <c r="A22" s="44">
        <f t="shared" si="0"/>
        <v>45839.791666666621</v>
      </c>
      <c r="B22" s="8">
        <v>5000</v>
      </c>
      <c r="C22" s="8">
        <v>25000</v>
      </c>
      <c r="D22" s="8">
        <v>0</v>
      </c>
      <c r="E22" s="8">
        <v>700</v>
      </c>
      <c r="F22" s="8">
        <v>7500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v>9</v>
      </c>
      <c r="N22" s="9">
        <v>16.100000000000001</v>
      </c>
      <c r="O22" s="9">
        <v>14</v>
      </c>
      <c r="P22" s="9">
        <v>19.5</v>
      </c>
      <c r="Q22" s="9">
        <v>2.4</v>
      </c>
      <c r="R22">
        <v>10</v>
      </c>
      <c r="S22">
        <v>1000</v>
      </c>
      <c r="T22" s="4">
        <v>1156.8299120294841</v>
      </c>
      <c r="U22">
        <v>96</v>
      </c>
    </row>
    <row r="23" spans="1:21">
      <c r="A23" s="44">
        <f t="shared" si="0"/>
        <v>45839.833333333285</v>
      </c>
      <c r="B23" s="8">
        <v>5000</v>
      </c>
      <c r="C23" s="8">
        <v>25000</v>
      </c>
      <c r="D23" s="8">
        <v>0</v>
      </c>
      <c r="E23" s="8">
        <v>700</v>
      </c>
      <c r="F23" s="8">
        <v>7500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v>9</v>
      </c>
      <c r="N23" s="9">
        <v>16.100000000000001</v>
      </c>
      <c r="O23" s="9">
        <v>14</v>
      </c>
      <c r="P23" s="9">
        <v>19.5</v>
      </c>
      <c r="Q23" s="9">
        <v>3</v>
      </c>
      <c r="R23">
        <v>10</v>
      </c>
      <c r="S23">
        <v>1000</v>
      </c>
      <c r="T23" s="4">
        <v>1114.0503247993186</v>
      </c>
      <c r="U23">
        <v>11</v>
      </c>
    </row>
    <row r="24" spans="1:21">
      <c r="A24" s="44">
        <f t="shared" si="0"/>
        <v>45839.874999999949</v>
      </c>
      <c r="B24" s="8">
        <v>5000</v>
      </c>
      <c r="C24" s="8">
        <v>25000</v>
      </c>
      <c r="D24" s="8">
        <v>0</v>
      </c>
      <c r="E24" s="8">
        <v>700</v>
      </c>
      <c r="F24" s="8">
        <v>7500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v>9</v>
      </c>
      <c r="N24" s="9">
        <v>16.100000000000001</v>
      </c>
      <c r="O24" s="9">
        <v>14</v>
      </c>
      <c r="P24" s="9">
        <v>19.5</v>
      </c>
      <c r="Q24" s="9">
        <v>2.5</v>
      </c>
      <c r="R24">
        <v>10</v>
      </c>
      <c r="S24">
        <v>1000</v>
      </c>
      <c r="T24" s="4">
        <v>1034.1950953030096</v>
      </c>
      <c r="U24">
        <v>70</v>
      </c>
    </row>
    <row r="25" spans="1:21">
      <c r="A25" s="44">
        <f t="shared" si="0"/>
        <v>45839.916666666613</v>
      </c>
      <c r="B25" s="8">
        <v>5000</v>
      </c>
      <c r="C25" s="8">
        <v>25000</v>
      </c>
      <c r="D25" s="8">
        <v>0</v>
      </c>
      <c r="E25" s="8">
        <v>700</v>
      </c>
      <c r="F25" s="8">
        <v>7500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v>9</v>
      </c>
      <c r="N25" s="9">
        <v>16.100000000000001</v>
      </c>
      <c r="O25" s="9">
        <v>14</v>
      </c>
      <c r="P25" s="9">
        <v>19.5</v>
      </c>
      <c r="Q25" s="9">
        <v>2.5</v>
      </c>
      <c r="R25">
        <v>10</v>
      </c>
      <c r="S25">
        <v>1000</v>
      </c>
      <c r="T25" s="4">
        <v>807.46328298313267</v>
      </c>
      <c r="U25">
        <v>21</v>
      </c>
    </row>
    <row r="26" spans="1:21">
      <c r="A26" s="44">
        <f t="shared" si="0"/>
        <v>45839.958333333278</v>
      </c>
      <c r="B26" s="8">
        <v>5000</v>
      </c>
      <c r="C26" s="8">
        <v>25000</v>
      </c>
      <c r="D26" s="8">
        <v>0</v>
      </c>
      <c r="E26" s="8">
        <v>700</v>
      </c>
      <c r="F26" s="8">
        <v>7500</v>
      </c>
      <c r="G26" s="8">
        <v>2400</v>
      </c>
      <c r="H26" s="8">
        <v>25000</v>
      </c>
      <c r="I26" s="8">
        <v>5000</v>
      </c>
      <c r="J26" s="8">
        <v>25000</v>
      </c>
      <c r="K26" s="8">
        <v>5000</v>
      </c>
      <c r="L26" s="8">
        <v>25000</v>
      </c>
      <c r="M26" s="9">
        <v>9</v>
      </c>
      <c r="N26" s="9">
        <v>16.100000000000001</v>
      </c>
      <c r="O26" s="9">
        <v>14</v>
      </c>
      <c r="P26" s="9">
        <v>19.5</v>
      </c>
      <c r="Q26" s="9">
        <v>2.9</v>
      </c>
      <c r="R26">
        <v>10</v>
      </c>
      <c r="S26">
        <v>1000</v>
      </c>
      <c r="T26" s="4">
        <v>442.69657292841788</v>
      </c>
      <c r="U26">
        <v>92</v>
      </c>
    </row>
    <row r="27" spans="1:21">
      <c r="A27" s="44">
        <f t="shared" si="0"/>
        <v>45839.999999999942</v>
      </c>
      <c r="B27" s="45">
        <f>B3</f>
        <v>5000</v>
      </c>
      <c r="C27" s="8">
        <v>25000</v>
      </c>
      <c r="D27" s="8">
        <v>0</v>
      </c>
      <c r="E27" s="8">
        <v>700</v>
      </c>
      <c r="F27" s="8">
        <v>7500</v>
      </c>
      <c r="G27" s="45">
        <f>G3</f>
        <v>2400</v>
      </c>
      <c r="H27" s="8">
        <v>25000</v>
      </c>
      <c r="I27" s="45">
        <f>I3</f>
        <v>5000</v>
      </c>
      <c r="J27" s="8">
        <v>25000</v>
      </c>
      <c r="K27" s="45">
        <f>K3</f>
        <v>5000</v>
      </c>
      <c r="L27" s="8">
        <v>25000</v>
      </c>
      <c r="M27" s="9">
        <v>9</v>
      </c>
      <c r="N27" s="9">
        <v>16.100000000000001</v>
      </c>
      <c r="O27" s="9">
        <v>14</v>
      </c>
      <c r="P27" s="9">
        <v>19.5</v>
      </c>
      <c r="Q27" s="9">
        <v>2.4</v>
      </c>
      <c r="R27">
        <v>10</v>
      </c>
      <c r="S27">
        <v>1000</v>
      </c>
      <c r="T27" s="4">
        <f>T3</f>
        <v>442.69657292841788</v>
      </c>
      <c r="U27">
        <v>91</v>
      </c>
    </row>
    <row r="28" spans="1:21">
      <c r="A28" s="44">
        <f t="shared" si="0"/>
        <v>45840.041666666606</v>
      </c>
      <c r="B28" s="45">
        <f t="shared" ref="B28:B91" si="1">B4</f>
        <v>5000</v>
      </c>
      <c r="C28" s="8">
        <v>25000</v>
      </c>
      <c r="D28" s="8">
        <v>0</v>
      </c>
      <c r="E28" s="8">
        <v>700</v>
      </c>
      <c r="F28" s="8">
        <v>7500</v>
      </c>
      <c r="G28" s="45">
        <f t="shared" ref="G28:G91" si="2">G4</f>
        <v>2400</v>
      </c>
      <c r="H28" s="8">
        <v>25000</v>
      </c>
      <c r="I28" s="45">
        <f t="shared" ref="I28:I91" si="3">I4</f>
        <v>5000</v>
      </c>
      <c r="J28" s="8">
        <v>25000</v>
      </c>
      <c r="K28" s="45">
        <f t="shared" ref="K28:K91" si="4">K4</f>
        <v>5000</v>
      </c>
      <c r="L28" s="8">
        <v>25000</v>
      </c>
      <c r="M28" s="9">
        <v>9</v>
      </c>
      <c r="N28" s="9">
        <v>16.100000000000001</v>
      </c>
      <c r="O28" s="9">
        <v>14</v>
      </c>
      <c r="P28" s="9">
        <v>19.5</v>
      </c>
      <c r="Q28" s="9">
        <v>2.6</v>
      </c>
      <c r="R28">
        <v>10</v>
      </c>
      <c r="S28">
        <v>1000</v>
      </c>
      <c r="T28" s="4">
        <f t="shared" ref="T28:T91" si="5">T4</f>
        <v>362.27094893570683</v>
      </c>
      <c r="U28">
        <v>97</v>
      </c>
    </row>
    <row r="29" spans="1:21">
      <c r="A29" s="44">
        <f t="shared" si="0"/>
        <v>45840.08333333327</v>
      </c>
      <c r="B29" s="45">
        <f t="shared" si="1"/>
        <v>5000</v>
      </c>
      <c r="C29" s="8">
        <v>25000</v>
      </c>
      <c r="D29" s="8">
        <v>0</v>
      </c>
      <c r="E29" s="8">
        <v>700</v>
      </c>
      <c r="F29" s="8">
        <v>7500</v>
      </c>
      <c r="G29" s="45">
        <f t="shared" si="2"/>
        <v>2400</v>
      </c>
      <c r="H29" s="8">
        <v>25000</v>
      </c>
      <c r="I29" s="45">
        <f t="shared" si="3"/>
        <v>5000</v>
      </c>
      <c r="J29" s="8">
        <v>25000</v>
      </c>
      <c r="K29" s="45">
        <f t="shared" si="4"/>
        <v>5000</v>
      </c>
      <c r="L29" s="8">
        <v>25000</v>
      </c>
      <c r="M29" s="9">
        <v>9</v>
      </c>
      <c r="N29" s="9">
        <v>16.100000000000001</v>
      </c>
      <c r="O29" s="9">
        <v>14</v>
      </c>
      <c r="P29" s="9">
        <v>19.5</v>
      </c>
      <c r="Q29" s="9">
        <v>2.5</v>
      </c>
      <c r="R29">
        <v>10</v>
      </c>
      <c r="S29">
        <v>1000</v>
      </c>
      <c r="T29" s="4">
        <f t="shared" si="5"/>
        <v>362.27094893570683</v>
      </c>
      <c r="U29">
        <v>82</v>
      </c>
    </row>
    <row r="30" spans="1:21">
      <c r="A30" s="44">
        <f t="shared" si="0"/>
        <v>45840.124999999935</v>
      </c>
      <c r="B30" s="45">
        <f t="shared" si="1"/>
        <v>5000</v>
      </c>
      <c r="C30" s="8">
        <v>25000</v>
      </c>
      <c r="D30" s="8">
        <v>0</v>
      </c>
      <c r="E30" s="8">
        <v>700</v>
      </c>
      <c r="F30" s="8">
        <v>7500</v>
      </c>
      <c r="G30" s="45">
        <f t="shared" si="2"/>
        <v>2400</v>
      </c>
      <c r="H30" s="8">
        <v>25000</v>
      </c>
      <c r="I30" s="45">
        <f t="shared" si="3"/>
        <v>5000</v>
      </c>
      <c r="J30" s="8">
        <v>25000</v>
      </c>
      <c r="K30" s="45">
        <f t="shared" si="4"/>
        <v>5000</v>
      </c>
      <c r="L30" s="8">
        <v>25000</v>
      </c>
      <c r="M30" s="9">
        <v>9</v>
      </c>
      <c r="N30" s="9">
        <v>16.100000000000001</v>
      </c>
      <c r="O30" s="9">
        <v>14</v>
      </c>
      <c r="P30" s="9">
        <v>19.5</v>
      </c>
      <c r="Q30" s="9">
        <v>2.9</v>
      </c>
      <c r="R30">
        <v>10</v>
      </c>
      <c r="S30">
        <v>1000</v>
      </c>
      <c r="T30" s="4">
        <f t="shared" si="5"/>
        <v>362.27094893570683</v>
      </c>
      <c r="U30">
        <v>28</v>
      </c>
    </row>
    <row r="31" spans="1:21">
      <c r="A31" s="44">
        <f t="shared" si="0"/>
        <v>45840.166666666599</v>
      </c>
      <c r="B31" s="45">
        <f t="shared" si="1"/>
        <v>5000</v>
      </c>
      <c r="C31" s="8">
        <v>25000</v>
      </c>
      <c r="D31" s="8">
        <v>0</v>
      </c>
      <c r="E31" s="8">
        <v>700</v>
      </c>
      <c r="F31" s="8">
        <v>7500</v>
      </c>
      <c r="G31" s="45">
        <f t="shared" si="2"/>
        <v>2400</v>
      </c>
      <c r="H31" s="8">
        <v>25000</v>
      </c>
      <c r="I31" s="45">
        <f t="shared" si="3"/>
        <v>5000</v>
      </c>
      <c r="J31" s="8">
        <v>25000</v>
      </c>
      <c r="K31" s="45">
        <f t="shared" si="4"/>
        <v>5000</v>
      </c>
      <c r="L31" s="8">
        <v>25000</v>
      </c>
      <c r="M31" s="9">
        <v>9</v>
      </c>
      <c r="N31" s="9">
        <v>16.100000000000001</v>
      </c>
      <c r="O31" s="9">
        <v>14</v>
      </c>
      <c r="P31" s="9">
        <v>19.5</v>
      </c>
      <c r="Q31" s="9">
        <v>2.9</v>
      </c>
      <c r="R31">
        <v>10</v>
      </c>
      <c r="S31">
        <v>1000</v>
      </c>
      <c r="T31" s="4">
        <f t="shared" si="5"/>
        <v>426.44032978095498</v>
      </c>
      <c r="U31">
        <v>10</v>
      </c>
    </row>
    <row r="32" spans="1:21">
      <c r="A32" s="44">
        <f t="shared" si="0"/>
        <v>45840.208333333263</v>
      </c>
      <c r="B32" s="45">
        <f t="shared" si="1"/>
        <v>5000</v>
      </c>
      <c r="C32" s="8">
        <v>25000</v>
      </c>
      <c r="D32" s="8">
        <v>0</v>
      </c>
      <c r="E32" s="8">
        <v>700</v>
      </c>
      <c r="F32" s="8">
        <v>7500</v>
      </c>
      <c r="G32" s="45">
        <f t="shared" si="2"/>
        <v>2400</v>
      </c>
      <c r="H32" s="8">
        <v>25000</v>
      </c>
      <c r="I32" s="45">
        <f t="shared" si="3"/>
        <v>5000</v>
      </c>
      <c r="J32" s="8">
        <v>25000</v>
      </c>
      <c r="K32" s="45">
        <f t="shared" si="4"/>
        <v>5000</v>
      </c>
      <c r="L32" s="8">
        <v>25000</v>
      </c>
      <c r="M32" s="9">
        <v>9</v>
      </c>
      <c r="N32" s="9">
        <v>16.100000000000001</v>
      </c>
      <c r="O32" s="9">
        <v>14</v>
      </c>
      <c r="P32" s="9">
        <v>19.5</v>
      </c>
      <c r="Q32" s="9">
        <v>2.6</v>
      </c>
      <c r="R32">
        <v>10</v>
      </c>
      <c r="S32">
        <v>1000</v>
      </c>
      <c r="T32" s="4">
        <f t="shared" si="5"/>
        <v>362.27094893570683</v>
      </c>
      <c r="U32">
        <v>47</v>
      </c>
    </row>
    <row r="33" spans="1:21">
      <c r="A33" s="44">
        <f t="shared" si="0"/>
        <v>45840.249999999927</v>
      </c>
      <c r="B33" s="45">
        <f t="shared" si="1"/>
        <v>8000</v>
      </c>
      <c r="C33" s="8">
        <v>25000</v>
      </c>
      <c r="D33" s="8">
        <v>0</v>
      </c>
      <c r="E33" s="8">
        <v>700</v>
      </c>
      <c r="F33" s="8">
        <v>7500</v>
      </c>
      <c r="G33" s="45">
        <f t="shared" si="2"/>
        <v>2400</v>
      </c>
      <c r="H33" s="8">
        <v>25000</v>
      </c>
      <c r="I33" s="45">
        <f t="shared" si="3"/>
        <v>8000</v>
      </c>
      <c r="J33" s="8">
        <v>25000</v>
      </c>
      <c r="K33" s="45">
        <f t="shared" si="4"/>
        <v>8000</v>
      </c>
      <c r="L33" s="8">
        <v>25000</v>
      </c>
      <c r="M33" s="9">
        <v>9</v>
      </c>
      <c r="N33" s="9">
        <v>16.100000000000001</v>
      </c>
      <c r="O33" s="9">
        <v>14</v>
      </c>
      <c r="P33" s="9">
        <v>19.5</v>
      </c>
      <c r="Q33" s="9">
        <v>2.6</v>
      </c>
      <c r="R33">
        <v>10</v>
      </c>
      <c r="S33">
        <v>1000</v>
      </c>
      <c r="T33" s="4">
        <f t="shared" si="5"/>
        <v>304.3759075508828</v>
      </c>
      <c r="U33">
        <v>11</v>
      </c>
    </row>
    <row r="34" spans="1:21">
      <c r="A34" s="44">
        <f t="shared" si="0"/>
        <v>45840.291666666591</v>
      </c>
      <c r="B34" s="45">
        <f t="shared" si="1"/>
        <v>8000</v>
      </c>
      <c r="C34" s="8">
        <v>25000</v>
      </c>
      <c r="D34" s="8">
        <v>0</v>
      </c>
      <c r="E34" s="8">
        <v>700</v>
      </c>
      <c r="F34" s="8">
        <v>7500</v>
      </c>
      <c r="G34" s="45">
        <f t="shared" si="2"/>
        <v>2400</v>
      </c>
      <c r="H34" s="8">
        <v>25000</v>
      </c>
      <c r="I34" s="45">
        <f t="shared" si="3"/>
        <v>8000</v>
      </c>
      <c r="J34" s="8">
        <v>25000</v>
      </c>
      <c r="K34" s="45">
        <f t="shared" si="4"/>
        <v>8000</v>
      </c>
      <c r="L34" s="8">
        <v>25000</v>
      </c>
      <c r="M34" s="9">
        <v>9</v>
      </c>
      <c r="N34" s="9">
        <v>16.100000000000001</v>
      </c>
      <c r="O34" s="9">
        <v>14</v>
      </c>
      <c r="P34" s="9">
        <v>19.5</v>
      </c>
      <c r="Q34" s="9">
        <v>2.5</v>
      </c>
      <c r="R34">
        <v>10</v>
      </c>
      <c r="S34">
        <v>1000</v>
      </c>
      <c r="T34" s="4">
        <f t="shared" si="5"/>
        <v>280.13414145378908</v>
      </c>
      <c r="U34">
        <v>77</v>
      </c>
    </row>
    <row r="35" spans="1:21">
      <c r="A35" s="44">
        <f t="shared" si="0"/>
        <v>45840.333333333256</v>
      </c>
      <c r="B35" s="45">
        <f t="shared" si="1"/>
        <v>8000</v>
      </c>
      <c r="C35" s="8">
        <v>25000</v>
      </c>
      <c r="D35" s="8">
        <v>0</v>
      </c>
      <c r="E35" s="8">
        <v>700</v>
      </c>
      <c r="F35" s="8">
        <v>7500</v>
      </c>
      <c r="G35" s="45">
        <f t="shared" si="2"/>
        <v>2400</v>
      </c>
      <c r="H35" s="8">
        <v>25000</v>
      </c>
      <c r="I35" s="45">
        <f t="shared" si="3"/>
        <v>8000</v>
      </c>
      <c r="J35" s="8">
        <v>25000</v>
      </c>
      <c r="K35" s="45">
        <f t="shared" si="4"/>
        <v>8000</v>
      </c>
      <c r="L35" s="8">
        <v>25000</v>
      </c>
      <c r="M35" s="9">
        <v>9</v>
      </c>
      <c r="N35" s="9">
        <v>16.100000000000001</v>
      </c>
      <c r="O35" s="9">
        <v>14</v>
      </c>
      <c r="P35" s="9">
        <v>19.5</v>
      </c>
      <c r="Q35" s="9">
        <v>3</v>
      </c>
      <c r="R35">
        <v>10</v>
      </c>
      <c r="S35">
        <v>1000</v>
      </c>
      <c r="T35" s="4">
        <f t="shared" si="5"/>
        <v>294.39400386384426</v>
      </c>
      <c r="U35">
        <v>79</v>
      </c>
    </row>
    <row r="36" spans="1:21">
      <c r="A36" s="44">
        <f t="shared" si="0"/>
        <v>45840.37499999992</v>
      </c>
      <c r="B36" s="45">
        <f t="shared" si="1"/>
        <v>8000</v>
      </c>
      <c r="C36" s="8">
        <v>25000</v>
      </c>
      <c r="D36" s="8">
        <v>0</v>
      </c>
      <c r="E36" s="8">
        <v>700</v>
      </c>
      <c r="F36" s="8">
        <v>7500</v>
      </c>
      <c r="G36" s="45">
        <f t="shared" si="2"/>
        <v>2400</v>
      </c>
      <c r="H36" s="8">
        <v>25000</v>
      </c>
      <c r="I36" s="45">
        <f t="shared" si="3"/>
        <v>8000</v>
      </c>
      <c r="J36" s="8">
        <v>25000</v>
      </c>
      <c r="K36" s="45">
        <f t="shared" si="4"/>
        <v>8000</v>
      </c>
      <c r="L36" s="8">
        <v>25000</v>
      </c>
      <c r="M36" s="9">
        <v>9</v>
      </c>
      <c r="N36" s="9">
        <v>16.100000000000001</v>
      </c>
      <c r="O36" s="9">
        <v>14</v>
      </c>
      <c r="P36" s="9">
        <v>19.5</v>
      </c>
      <c r="Q36" s="9">
        <v>2.6</v>
      </c>
      <c r="R36">
        <v>10</v>
      </c>
      <c r="S36">
        <v>1000</v>
      </c>
      <c r="T36" s="4">
        <f t="shared" si="5"/>
        <v>317.20978371993255</v>
      </c>
      <c r="U36">
        <v>32</v>
      </c>
    </row>
    <row r="37" spans="1:21">
      <c r="A37" s="44">
        <f t="shared" si="0"/>
        <v>45840.416666666584</v>
      </c>
      <c r="B37" s="45">
        <f t="shared" si="1"/>
        <v>8000</v>
      </c>
      <c r="C37" s="8">
        <v>25000</v>
      </c>
      <c r="D37" s="8">
        <v>0</v>
      </c>
      <c r="E37" s="8">
        <v>700</v>
      </c>
      <c r="F37" s="8">
        <v>7500</v>
      </c>
      <c r="G37" s="45">
        <f t="shared" si="2"/>
        <v>2400</v>
      </c>
      <c r="H37" s="8">
        <v>25000</v>
      </c>
      <c r="I37" s="45">
        <f t="shared" si="3"/>
        <v>8000</v>
      </c>
      <c r="J37" s="8">
        <v>25000</v>
      </c>
      <c r="K37" s="45">
        <f t="shared" si="4"/>
        <v>8000</v>
      </c>
      <c r="L37" s="8">
        <v>25000</v>
      </c>
      <c r="M37" s="9">
        <v>9</v>
      </c>
      <c r="N37" s="9">
        <v>16.100000000000001</v>
      </c>
      <c r="O37" s="9">
        <v>14</v>
      </c>
      <c r="P37" s="9">
        <v>19.5</v>
      </c>
      <c r="Q37" s="9">
        <v>2.7</v>
      </c>
      <c r="R37">
        <v>10</v>
      </c>
      <c r="S37">
        <v>1000</v>
      </c>
      <c r="T37" s="4">
        <f t="shared" si="5"/>
        <v>308.08347177749721</v>
      </c>
      <c r="U37">
        <v>26</v>
      </c>
    </row>
    <row r="38" spans="1:21">
      <c r="A38" s="44">
        <f t="shared" si="0"/>
        <v>45840.458333333248</v>
      </c>
      <c r="B38" s="45">
        <f t="shared" si="1"/>
        <v>8000</v>
      </c>
      <c r="C38" s="8">
        <v>25000</v>
      </c>
      <c r="D38" s="8">
        <v>0</v>
      </c>
      <c r="E38" s="8">
        <v>700</v>
      </c>
      <c r="F38" s="8">
        <v>7500</v>
      </c>
      <c r="G38" s="45">
        <f t="shared" si="2"/>
        <v>2400</v>
      </c>
      <c r="H38" s="8">
        <v>25000</v>
      </c>
      <c r="I38" s="45">
        <f t="shared" si="3"/>
        <v>8000</v>
      </c>
      <c r="J38" s="8">
        <v>25000</v>
      </c>
      <c r="K38" s="45">
        <f t="shared" si="4"/>
        <v>8000</v>
      </c>
      <c r="L38" s="8">
        <v>25000</v>
      </c>
      <c r="M38" s="9">
        <v>9</v>
      </c>
      <c r="N38" s="9">
        <v>16.100000000000001</v>
      </c>
      <c r="O38" s="9">
        <v>14</v>
      </c>
      <c r="P38" s="9">
        <v>19.5</v>
      </c>
      <c r="Q38" s="9">
        <v>2.6</v>
      </c>
      <c r="R38">
        <v>10</v>
      </c>
      <c r="S38">
        <v>1000</v>
      </c>
      <c r="T38" s="4">
        <f t="shared" si="5"/>
        <v>303.80551305448063</v>
      </c>
      <c r="U38">
        <v>36</v>
      </c>
    </row>
    <row r="39" spans="1:21">
      <c r="A39" s="44">
        <f t="shared" si="0"/>
        <v>45840.499999999913</v>
      </c>
      <c r="B39" s="45">
        <f t="shared" si="1"/>
        <v>8000</v>
      </c>
      <c r="C39" s="8">
        <v>25000</v>
      </c>
      <c r="D39" s="8">
        <v>0</v>
      </c>
      <c r="E39" s="8">
        <v>700</v>
      </c>
      <c r="F39" s="8">
        <v>7500</v>
      </c>
      <c r="G39" s="45">
        <f t="shared" si="2"/>
        <v>2400</v>
      </c>
      <c r="H39" s="8">
        <v>25000</v>
      </c>
      <c r="I39" s="45">
        <f t="shared" si="3"/>
        <v>8000</v>
      </c>
      <c r="J39" s="8">
        <v>25000</v>
      </c>
      <c r="K39" s="45">
        <f t="shared" si="4"/>
        <v>8000</v>
      </c>
      <c r="L39" s="8">
        <v>25000</v>
      </c>
      <c r="M39" s="9">
        <v>9</v>
      </c>
      <c r="N39" s="9">
        <v>16.100000000000001</v>
      </c>
      <c r="O39" s="9">
        <v>14</v>
      </c>
      <c r="P39" s="9">
        <v>19.5</v>
      </c>
      <c r="Q39" s="9">
        <v>2.4</v>
      </c>
      <c r="R39">
        <v>10</v>
      </c>
      <c r="S39">
        <v>1000</v>
      </c>
      <c r="T39" s="4">
        <f t="shared" si="5"/>
        <v>303.80551305448063</v>
      </c>
      <c r="U39">
        <v>27</v>
      </c>
    </row>
    <row r="40" spans="1:21">
      <c r="A40" s="44">
        <f t="shared" si="0"/>
        <v>45840.541666666577</v>
      </c>
      <c r="B40" s="45">
        <f t="shared" si="1"/>
        <v>8000</v>
      </c>
      <c r="C40" s="8">
        <v>25000</v>
      </c>
      <c r="D40" s="8">
        <v>0</v>
      </c>
      <c r="E40" s="8">
        <v>700</v>
      </c>
      <c r="F40" s="8">
        <v>7500</v>
      </c>
      <c r="G40" s="45">
        <f t="shared" si="2"/>
        <v>2400</v>
      </c>
      <c r="H40" s="8">
        <v>25000</v>
      </c>
      <c r="I40" s="45">
        <f t="shared" si="3"/>
        <v>8000</v>
      </c>
      <c r="J40" s="8">
        <v>25000</v>
      </c>
      <c r="K40" s="45">
        <f t="shared" si="4"/>
        <v>8000</v>
      </c>
      <c r="L40" s="8">
        <v>25000</v>
      </c>
      <c r="M40" s="9">
        <v>9</v>
      </c>
      <c r="N40" s="9">
        <v>16.100000000000001</v>
      </c>
      <c r="O40" s="9">
        <v>14</v>
      </c>
      <c r="P40" s="9">
        <v>19.5</v>
      </c>
      <c r="Q40" s="9">
        <v>2.4</v>
      </c>
      <c r="R40">
        <v>10</v>
      </c>
      <c r="S40">
        <v>1000</v>
      </c>
      <c r="T40" s="4">
        <f t="shared" si="5"/>
        <v>353.43040463596901</v>
      </c>
      <c r="U40">
        <v>96</v>
      </c>
    </row>
    <row r="41" spans="1:21">
      <c r="A41" s="44">
        <f t="shared" si="0"/>
        <v>45840.583333333241</v>
      </c>
      <c r="B41" s="45">
        <f t="shared" si="1"/>
        <v>8000</v>
      </c>
      <c r="C41" s="8">
        <v>25000</v>
      </c>
      <c r="D41" s="8">
        <v>0</v>
      </c>
      <c r="E41" s="8">
        <v>700</v>
      </c>
      <c r="F41" s="8">
        <v>7500</v>
      </c>
      <c r="G41" s="45">
        <f t="shared" si="2"/>
        <v>2400</v>
      </c>
      <c r="H41" s="8">
        <v>25000</v>
      </c>
      <c r="I41" s="45">
        <f t="shared" si="3"/>
        <v>8000</v>
      </c>
      <c r="J41" s="8">
        <v>25000</v>
      </c>
      <c r="K41" s="45">
        <f t="shared" si="4"/>
        <v>8000</v>
      </c>
      <c r="L41" s="8">
        <v>25000</v>
      </c>
      <c r="M41" s="9">
        <v>9</v>
      </c>
      <c r="N41" s="9">
        <v>16.100000000000001</v>
      </c>
      <c r="O41" s="9">
        <v>14</v>
      </c>
      <c r="P41" s="9">
        <v>19.5</v>
      </c>
      <c r="Q41" s="9">
        <v>2.7</v>
      </c>
      <c r="R41">
        <v>10</v>
      </c>
      <c r="S41">
        <v>1000</v>
      </c>
      <c r="T41" s="4">
        <f t="shared" si="5"/>
        <v>587.29100737188094</v>
      </c>
      <c r="U41">
        <v>66</v>
      </c>
    </row>
    <row r="42" spans="1:21">
      <c r="A42" s="44">
        <f t="shared" si="0"/>
        <v>45840.624999999905</v>
      </c>
      <c r="B42" s="45">
        <f t="shared" si="1"/>
        <v>8000</v>
      </c>
      <c r="C42" s="8">
        <v>25000</v>
      </c>
      <c r="D42" s="8">
        <v>0</v>
      </c>
      <c r="E42" s="8">
        <v>700</v>
      </c>
      <c r="F42" s="8">
        <v>7500</v>
      </c>
      <c r="G42" s="45">
        <f t="shared" si="2"/>
        <v>2400</v>
      </c>
      <c r="H42" s="8">
        <v>25000</v>
      </c>
      <c r="I42" s="45">
        <f t="shared" si="3"/>
        <v>8000</v>
      </c>
      <c r="J42" s="8">
        <v>25000</v>
      </c>
      <c r="K42" s="45">
        <f t="shared" si="4"/>
        <v>8000</v>
      </c>
      <c r="L42" s="8">
        <v>25000</v>
      </c>
      <c r="M42" s="9">
        <v>9</v>
      </c>
      <c r="N42" s="9">
        <v>16.100000000000001</v>
      </c>
      <c r="O42" s="9">
        <v>14</v>
      </c>
      <c r="P42" s="9">
        <v>19.5</v>
      </c>
      <c r="Q42" s="9">
        <v>2.5</v>
      </c>
      <c r="R42">
        <v>10</v>
      </c>
      <c r="S42">
        <v>1000</v>
      </c>
      <c r="T42" s="4">
        <f t="shared" si="5"/>
        <v>604.40284226394715</v>
      </c>
      <c r="U42">
        <v>59</v>
      </c>
    </row>
    <row r="43" spans="1:21">
      <c r="A43" s="44">
        <f t="shared" si="0"/>
        <v>45840.66666666657</v>
      </c>
      <c r="B43" s="45">
        <f t="shared" si="1"/>
        <v>8000</v>
      </c>
      <c r="C43" s="8">
        <v>25000</v>
      </c>
      <c r="D43" s="8">
        <v>0</v>
      </c>
      <c r="E43" s="8">
        <v>700</v>
      </c>
      <c r="F43" s="8">
        <v>7500</v>
      </c>
      <c r="G43" s="45">
        <f t="shared" si="2"/>
        <v>2400</v>
      </c>
      <c r="H43" s="8">
        <v>25000</v>
      </c>
      <c r="I43" s="45">
        <f t="shared" si="3"/>
        <v>8000</v>
      </c>
      <c r="J43" s="8">
        <v>25000</v>
      </c>
      <c r="K43" s="45">
        <f t="shared" si="4"/>
        <v>8000</v>
      </c>
      <c r="L43" s="8">
        <v>25000</v>
      </c>
      <c r="M43" s="9">
        <v>9</v>
      </c>
      <c r="N43" s="9">
        <v>16.100000000000001</v>
      </c>
      <c r="O43" s="9">
        <v>14</v>
      </c>
      <c r="P43" s="9">
        <v>19.5</v>
      </c>
      <c r="Q43" s="9">
        <v>2.7</v>
      </c>
      <c r="R43">
        <v>10</v>
      </c>
      <c r="S43">
        <v>1000</v>
      </c>
      <c r="T43" s="4">
        <f t="shared" si="5"/>
        <v>875.91062255139741</v>
      </c>
      <c r="U43">
        <v>72</v>
      </c>
    </row>
    <row r="44" spans="1:21">
      <c r="A44" s="44">
        <f t="shared" si="0"/>
        <v>45840.708333333234</v>
      </c>
      <c r="B44" s="45">
        <f t="shared" si="1"/>
        <v>8000</v>
      </c>
      <c r="C44" s="8">
        <v>25000</v>
      </c>
      <c r="D44" s="8">
        <v>0</v>
      </c>
      <c r="E44" s="8">
        <v>700</v>
      </c>
      <c r="F44" s="8">
        <v>7500</v>
      </c>
      <c r="G44" s="45">
        <f t="shared" si="2"/>
        <v>2400</v>
      </c>
      <c r="H44" s="8">
        <v>25000</v>
      </c>
      <c r="I44" s="45">
        <f t="shared" si="3"/>
        <v>8000</v>
      </c>
      <c r="J44" s="8">
        <v>25000</v>
      </c>
      <c r="K44" s="45">
        <f t="shared" si="4"/>
        <v>8000</v>
      </c>
      <c r="L44" s="8">
        <v>25000</v>
      </c>
      <c r="M44" s="9">
        <v>9</v>
      </c>
      <c r="N44" s="9">
        <v>16.100000000000001</v>
      </c>
      <c r="O44" s="9">
        <v>14</v>
      </c>
      <c r="P44" s="9">
        <v>19.5</v>
      </c>
      <c r="Q44" s="9">
        <v>2.4</v>
      </c>
      <c r="R44">
        <v>10</v>
      </c>
      <c r="S44">
        <v>1000</v>
      </c>
      <c r="T44" s="4">
        <f t="shared" si="5"/>
        <v>1116.9022972813298</v>
      </c>
      <c r="U44">
        <v>27</v>
      </c>
    </row>
    <row r="45" spans="1:21">
      <c r="A45" s="44">
        <f t="shared" si="0"/>
        <v>45840.749999999898</v>
      </c>
      <c r="B45" s="45">
        <f t="shared" si="1"/>
        <v>5000</v>
      </c>
      <c r="C45" s="8">
        <v>25000</v>
      </c>
      <c r="D45" s="8">
        <v>0</v>
      </c>
      <c r="E45" s="8">
        <v>700</v>
      </c>
      <c r="F45" s="8">
        <v>7500</v>
      </c>
      <c r="G45" s="45">
        <f t="shared" si="2"/>
        <v>2400</v>
      </c>
      <c r="H45" s="8">
        <v>25000</v>
      </c>
      <c r="I45" s="45">
        <f t="shared" si="3"/>
        <v>5000</v>
      </c>
      <c r="J45" s="8">
        <v>25000</v>
      </c>
      <c r="K45" s="45">
        <f t="shared" si="4"/>
        <v>5000</v>
      </c>
      <c r="L45" s="8">
        <v>25000</v>
      </c>
      <c r="M45" s="9">
        <v>9</v>
      </c>
      <c r="N45" s="9">
        <v>16.100000000000001</v>
      </c>
      <c r="O45" s="9">
        <v>14</v>
      </c>
      <c r="P45" s="9">
        <v>19.5</v>
      </c>
      <c r="Q45" s="9">
        <v>2.8</v>
      </c>
      <c r="R45">
        <v>10</v>
      </c>
      <c r="S45">
        <v>1000</v>
      </c>
      <c r="T45" s="4">
        <f t="shared" si="5"/>
        <v>1156.8299120294841</v>
      </c>
      <c r="U45">
        <v>28</v>
      </c>
    </row>
    <row r="46" spans="1:21">
      <c r="A46" s="44">
        <f t="shared" si="0"/>
        <v>45840.791666666562</v>
      </c>
      <c r="B46" s="45">
        <f t="shared" si="1"/>
        <v>5000</v>
      </c>
      <c r="C46" s="8">
        <v>25000</v>
      </c>
      <c r="D46" s="8">
        <v>0</v>
      </c>
      <c r="E46" s="8">
        <v>700</v>
      </c>
      <c r="F46" s="8">
        <v>7500</v>
      </c>
      <c r="G46" s="45">
        <f t="shared" si="2"/>
        <v>2400</v>
      </c>
      <c r="H46" s="8">
        <v>25000</v>
      </c>
      <c r="I46" s="45">
        <f t="shared" si="3"/>
        <v>5000</v>
      </c>
      <c r="J46" s="8">
        <v>25000</v>
      </c>
      <c r="K46" s="45">
        <f t="shared" si="4"/>
        <v>5000</v>
      </c>
      <c r="L46" s="8">
        <v>25000</v>
      </c>
      <c r="M46" s="9">
        <v>9</v>
      </c>
      <c r="N46" s="9">
        <v>16.100000000000001</v>
      </c>
      <c r="O46" s="9">
        <v>14</v>
      </c>
      <c r="P46" s="9">
        <v>19.5</v>
      </c>
      <c r="Q46" s="9">
        <v>3</v>
      </c>
      <c r="R46">
        <v>10</v>
      </c>
      <c r="S46">
        <v>1000</v>
      </c>
      <c r="T46" s="4">
        <f t="shared" si="5"/>
        <v>1156.8299120294841</v>
      </c>
      <c r="U46">
        <v>11</v>
      </c>
    </row>
    <row r="47" spans="1:21">
      <c r="A47" s="44">
        <f t="shared" si="0"/>
        <v>45840.833333333227</v>
      </c>
      <c r="B47" s="45">
        <f t="shared" si="1"/>
        <v>5000</v>
      </c>
      <c r="C47" s="8">
        <v>25000</v>
      </c>
      <c r="D47" s="8">
        <v>0</v>
      </c>
      <c r="E47" s="8">
        <v>700</v>
      </c>
      <c r="F47" s="8">
        <v>7500</v>
      </c>
      <c r="G47" s="45">
        <f t="shared" si="2"/>
        <v>2400</v>
      </c>
      <c r="H47" s="8">
        <v>25000</v>
      </c>
      <c r="I47" s="45">
        <f t="shared" si="3"/>
        <v>5000</v>
      </c>
      <c r="J47" s="8">
        <v>25000</v>
      </c>
      <c r="K47" s="45">
        <f t="shared" si="4"/>
        <v>5000</v>
      </c>
      <c r="L47" s="8">
        <v>25000</v>
      </c>
      <c r="M47" s="9">
        <v>9</v>
      </c>
      <c r="N47" s="9">
        <v>16.100000000000001</v>
      </c>
      <c r="O47" s="9">
        <v>14</v>
      </c>
      <c r="P47" s="9">
        <v>19.5</v>
      </c>
      <c r="Q47" s="9">
        <v>2.8</v>
      </c>
      <c r="R47">
        <v>10</v>
      </c>
      <c r="S47">
        <v>1000</v>
      </c>
      <c r="T47" s="4">
        <f t="shared" si="5"/>
        <v>1114.0503247993186</v>
      </c>
      <c r="U47">
        <v>39</v>
      </c>
    </row>
    <row r="48" spans="1:21">
      <c r="A48" s="44">
        <f t="shared" si="0"/>
        <v>45840.874999999891</v>
      </c>
      <c r="B48" s="45">
        <f t="shared" si="1"/>
        <v>5000</v>
      </c>
      <c r="C48" s="8">
        <v>25000</v>
      </c>
      <c r="D48" s="8">
        <v>0</v>
      </c>
      <c r="E48" s="8">
        <v>700</v>
      </c>
      <c r="F48" s="8">
        <v>7500</v>
      </c>
      <c r="G48" s="45">
        <f t="shared" si="2"/>
        <v>2400</v>
      </c>
      <c r="H48" s="8">
        <v>25000</v>
      </c>
      <c r="I48" s="45">
        <f t="shared" si="3"/>
        <v>5000</v>
      </c>
      <c r="J48" s="8">
        <v>25000</v>
      </c>
      <c r="K48" s="45">
        <f t="shared" si="4"/>
        <v>5000</v>
      </c>
      <c r="L48" s="8">
        <v>25000</v>
      </c>
      <c r="M48" s="9">
        <v>9</v>
      </c>
      <c r="N48" s="9">
        <v>16.100000000000001</v>
      </c>
      <c r="O48" s="9">
        <v>14</v>
      </c>
      <c r="P48" s="9">
        <v>19.5</v>
      </c>
      <c r="Q48" s="9">
        <v>2.9</v>
      </c>
      <c r="R48">
        <v>10</v>
      </c>
      <c r="S48">
        <v>1000</v>
      </c>
      <c r="T48" s="4">
        <f t="shared" si="5"/>
        <v>1034.1950953030096</v>
      </c>
      <c r="U48">
        <v>95</v>
      </c>
    </row>
    <row r="49" spans="1:21">
      <c r="A49" s="44">
        <f t="shared" si="0"/>
        <v>45840.916666666555</v>
      </c>
      <c r="B49" s="45">
        <f t="shared" si="1"/>
        <v>5000</v>
      </c>
      <c r="C49" s="8">
        <v>25000</v>
      </c>
      <c r="D49" s="8">
        <v>0</v>
      </c>
      <c r="E49" s="8">
        <v>700</v>
      </c>
      <c r="F49" s="8">
        <v>7500</v>
      </c>
      <c r="G49" s="45">
        <f t="shared" si="2"/>
        <v>2400</v>
      </c>
      <c r="H49" s="8">
        <v>25000</v>
      </c>
      <c r="I49" s="45">
        <f t="shared" si="3"/>
        <v>5000</v>
      </c>
      <c r="J49" s="8">
        <v>25000</v>
      </c>
      <c r="K49" s="45">
        <f t="shared" si="4"/>
        <v>5000</v>
      </c>
      <c r="L49" s="8">
        <v>25000</v>
      </c>
      <c r="M49" s="9">
        <v>9</v>
      </c>
      <c r="N49" s="9">
        <v>16.100000000000001</v>
      </c>
      <c r="O49" s="9">
        <v>14</v>
      </c>
      <c r="P49" s="9">
        <v>19.5</v>
      </c>
      <c r="Q49" s="9">
        <v>3</v>
      </c>
      <c r="R49">
        <v>10</v>
      </c>
      <c r="S49">
        <v>1000</v>
      </c>
      <c r="T49" s="4">
        <f t="shared" si="5"/>
        <v>807.46328298313267</v>
      </c>
      <c r="U49">
        <v>62</v>
      </c>
    </row>
    <row r="50" spans="1:21">
      <c r="A50" s="44">
        <f t="shared" si="0"/>
        <v>45840.958333333219</v>
      </c>
      <c r="B50" s="45">
        <f t="shared" si="1"/>
        <v>5000</v>
      </c>
      <c r="C50" s="8">
        <v>25000</v>
      </c>
      <c r="D50" s="8">
        <v>0</v>
      </c>
      <c r="E50" s="8">
        <v>700</v>
      </c>
      <c r="F50" s="8">
        <v>7500</v>
      </c>
      <c r="G50" s="45">
        <f t="shared" si="2"/>
        <v>2400</v>
      </c>
      <c r="H50" s="8">
        <v>25000</v>
      </c>
      <c r="I50" s="45">
        <f t="shared" si="3"/>
        <v>5000</v>
      </c>
      <c r="J50" s="8">
        <v>25000</v>
      </c>
      <c r="K50" s="45">
        <f t="shared" si="4"/>
        <v>5000</v>
      </c>
      <c r="L50" s="8">
        <v>25000</v>
      </c>
      <c r="M50" s="9">
        <v>9</v>
      </c>
      <c r="N50" s="9">
        <v>16.100000000000001</v>
      </c>
      <c r="O50" s="9">
        <v>14</v>
      </c>
      <c r="P50" s="9">
        <v>19.5</v>
      </c>
      <c r="Q50" s="9">
        <v>2.4</v>
      </c>
      <c r="R50">
        <v>10</v>
      </c>
      <c r="S50">
        <v>1000</v>
      </c>
      <c r="T50" s="4">
        <f t="shared" si="5"/>
        <v>442.69657292841788</v>
      </c>
      <c r="U50">
        <v>48</v>
      </c>
    </row>
    <row r="51" spans="1:21">
      <c r="A51" s="44">
        <f t="shared" si="0"/>
        <v>45840.999999999884</v>
      </c>
      <c r="B51" s="45">
        <f t="shared" si="1"/>
        <v>5000</v>
      </c>
      <c r="C51" s="8">
        <v>25000</v>
      </c>
      <c r="D51" s="8">
        <v>0</v>
      </c>
      <c r="E51" s="8">
        <v>700</v>
      </c>
      <c r="F51" s="8">
        <v>7500</v>
      </c>
      <c r="G51" s="45">
        <f t="shared" si="2"/>
        <v>2400</v>
      </c>
      <c r="H51" s="8">
        <v>25000</v>
      </c>
      <c r="I51" s="45">
        <f t="shared" si="3"/>
        <v>5000</v>
      </c>
      <c r="J51" s="8">
        <v>25000</v>
      </c>
      <c r="K51" s="45">
        <f t="shared" si="4"/>
        <v>5000</v>
      </c>
      <c r="L51" s="8">
        <v>25000</v>
      </c>
      <c r="M51" s="9">
        <v>9</v>
      </c>
      <c r="N51" s="9">
        <v>16.100000000000001</v>
      </c>
      <c r="O51" s="9">
        <v>14</v>
      </c>
      <c r="P51" s="9">
        <v>19.5</v>
      </c>
      <c r="Q51" s="9">
        <v>2.7</v>
      </c>
      <c r="R51">
        <v>10</v>
      </c>
      <c r="S51">
        <v>1000</v>
      </c>
      <c r="T51" s="4">
        <f t="shared" si="5"/>
        <v>442.69657292841788</v>
      </c>
      <c r="U51">
        <v>72</v>
      </c>
    </row>
    <row r="52" spans="1:21">
      <c r="A52" s="44">
        <f t="shared" si="0"/>
        <v>45841.041666666548</v>
      </c>
      <c r="B52" s="45">
        <f t="shared" si="1"/>
        <v>5000</v>
      </c>
      <c r="C52" s="8">
        <v>25000</v>
      </c>
      <c r="D52" s="8">
        <v>0</v>
      </c>
      <c r="E52" s="8">
        <v>700</v>
      </c>
      <c r="F52" s="8">
        <v>7500</v>
      </c>
      <c r="G52" s="45">
        <f t="shared" si="2"/>
        <v>2400</v>
      </c>
      <c r="H52" s="8">
        <v>25000</v>
      </c>
      <c r="I52" s="45">
        <f t="shared" si="3"/>
        <v>5000</v>
      </c>
      <c r="J52" s="8">
        <v>25000</v>
      </c>
      <c r="K52" s="45">
        <f t="shared" si="4"/>
        <v>5000</v>
      </c>
      <c r="L52" s="8">
        <v>25000</v>
      </c>
      <c r="M52" s="9">
        <v>9</v>
      </c>
      <c r="N52" s="9">
        <v>16.100000000000001</v>
      </c>
      <c r="O52" s="9">
        <v>14</v>
      </c>
      <c r="P52" s="9">
        <v>19.5</v>
      </c>
      <c r="Q52" s="9">
        <v>2.5</v>
      </c>
      <c r="R52">
        <v>10</v>
      </c>
      <c r="S52">
        <v>1000</v>
      </c>
      <c r="T52" s="4">
        <f t="shared" si="5"/>
        <v>362.27094893570683</v>
      </c>
      <c r="U52">
        <v>62</v>
      </c>
    </row>
    <row r="53" spans="1:21">
      <c r="A53" s="44">
        <f t="shared" si="0"/>
        <v>45841.083333333212</v>
      </c>
      <c r="B53" s="45">
        <f t="shared" si="1"/>
        <v>5000</v>
      </c>
      <c r="C53" s="8">
        <v>25000</v>
      </c>
      <c r="D53" s="8">
        <v>0</v>
      </c>
      <c r="E53" s="8">
        <v>700</v>
      </c>
      <c r="F53" s="8">
        <v>7500</v>
      </c>
      <c r="G53" s="45">
        <f t="shared" si="2"/>
        <v>2400</v>
      </c>
      <c r="H53" s="8">
        <v>25000</v>
      </c>
      <c r="I53" s="45">
        <f t="shared" si="3"/>
        <v>5000</v>
      </c>
      <c r="J53" s="8">
        <v>25000</v>
      </c>
      <c r="K53" s="45">
        <f t="shared" si="4"/>
        <v>5000</v>
      </c>
      <c r="L53" s="8">
        <v>25000</v>
      </c>
      <c r="M53" s="9">
        <v>9</v>
      </c>
      <c r="N53" s="9">
        <v>16.100000000000001</v>
      </c>
      <c r="O53" s="9">
        <v>14</v>
      </c>
      <c r="P53" s="9">
        <v>19.5</v>
      </c>
      <c r="Q53" s="9">
        <v>2.7</v>
      </c>
      <c r="R53">
        <v>10</v>
      </c>
      <c r="S53">
        <v>1000</v>
      </c>
      <c r="T53" s="4">
        <f t="shared" si="5"/>
        <v>362.27094893570683</v>
      </c>
      <c r="U53">
        <v>35</v>
      </c>
    </row>
    <row r="54" spans="1:21">
      <c r="A54" s="44">
        <f t="shared" si="0"/>
        <v>45841.124999999876</v>
      </c>
      <c r="B54" s="45">
        <f t="shared" si="1"/>
        <v>5000</v>
      </c>
      <c r="C54" s="8">
        <v>25000</v>
      </c>
      <c r="D54" s="8">
        <v>0</v>
      </c>
      <c r="E54" s="8">
        <v>700</v>
      </c>
      <c r="F54" s="8">
        <v>7500</v>
      </c>
      <c r="G54" s="45">
        <f t="shared" si="2"/>
        <v>2400</v>
      </c>
      <c r="H54" s="8">
        <v>25000</v>
      </c>
      <c r="I54" s="45">
        <f t="shared" si="3"/>
        <v>5000</v>
      </c>
      <c r="J54" s="8">
        <v>25000</v>
      </c>
      <c r="K54" s="45">
        <f t="shared" si="4"/>
        <v>5000</v>
      </c>
      <c r="L54" s="8">
        <v>25000</v>
      </c>
      <c r="M54" s="9">
        <v>9</v>
      </c>
      <c r="N54" s="9">
        <v>16.100000000000001</v>
      </c>
      <c r="O54" s="9">
        <v>14</v>
      </c>
      <c r="P54" s="9">
        <v>19.5</v>
      </c>
      <c r="Q54" s="9">
        <v>2.4</v>
      </c>
      <c r="R54">
        <v>10</v>
      </c>
      <c r="S54">
        <v>1000</v>
      </c>
      <c r="T54" s="4">
        <f t="shared" si="5"/>
        <v>362.27094893570683</v>
      </c>
      <c r="U54">
        <v>79</v>
      </c>
    </row>
    <row r="55" spans="1:21">
      <c r="A55" s="44">
        <f t="shared" si="0"/>
        <v>45841.166666666541</v>
      </c>
      <c r="B55" s="45">
        <f t="shared" si="1"/>
        <v>5000</v>
      </c>
      <c r="C55" s="8">
        <v>25000</v>
      </c>
      <c r="D55" s="8">
        <v>0</v>
      </c>
      <c r="E55" s="8">
        <v>700</v>
      </c>
      <c r="F55" s="8">
        <v>7500</v>
      </c>
      <c r="G55" s="45">
        <f t="shared" si="2"/>
        <v>2400</v>
      </c>
      <c r="H55" s="8">
        <v>25000</v>
      </c>
      <c r="I55" s="45">
        <f t="shared" si="3"/>
        <v>5000</v>
      </c>
      <c r="J55" s="8">
        <v>25000</v>
      </c>
      <c r="K55" s="45">
        <f t="shared" si="4"/>
        <v>5000</v>
      </c>
      <c r="L55" s="8">
        <v>25000</v>
      </c>
      <c r="M55" s="9">
        <v>9</v>
      </c>
      <c r="N55" s="9">
        <v>16.100000000000001</v>
      </c>
      <c r="O55" s="9">
        <v>14</v>
      </c>
      <c r="P55" s="9">
        <v>19.5</v>
      </c>
      <c r="Q55" s="9">
        <v>2.6</v>
      </c>
      <c r="R55">
        <v>10</v>
      </c>
      <c r="S55">
        <v>1000</v>
      </c>
      <c r="T55" s="4">
        <f t="shared" si="5"/>
        <v>426.44032978095498</v>
      </c>
      <c r="U55">
        <v>43</v>
      </c>
    </row>
    <row r="56" spans="1:21">
      <c r="A56" s="44">
        <f t="shared" si="0"/>
        <v>45841.208333333205</v>
      </c>
      <c r="B56" s="45">
        <f t="shared" si="1"/>
        <v>5000</v>
      </c>
      <c r="C56" s="8">
        <v>25000</v>
      </c>
      <c r="D56" s="8">
        <v>0</v>
      </c>
      <c r="E56" s="8">
        <v>700</v>
      </c>
      <c r="F56" s="8">
        <v>7500</v>
      </c>
      <c r="G56" s="45">
        <f t="shared" si="2"/>
        <v>2400</v>
      </c>
      <c r="H56" s="8">
        <v>25000</v>
      </c>
      <c r="I56" s="45">
        <f t="shared" si="3"/>
        <v>5000</v>
      </c>
      <c r="J56" s="8">
        <v>25000</v>
      </c>
      <c r="K56" s="45">
        <f t="shared" si="4"/>
        <v>5000</v>
      </c>
      <c r="L56" s="8">
        <v>25000</v>
      </c>
      <c r="M56" s="9">
        <v>9</v>
      </c>
      <c r="N56" s="9">
        <v>16.100000000000001</v>
      </c>
      <c r="O56" s="9">
        <v>14</v>
      </c>
      <c r="P56" s="9">
        <v>19.5</v>
      </c>
      <c r="Q56" s="9">
        <v>3</v>
      </c>
      <c r="R56">
        <v>10</v>
      </c>
      <c r="S56">
        <v>1000</v>
      </c>
      <c r="T56" s="4">
        <f t="shared" si="5"/>
        <v>362.27094893570683</v>
      </c>
      <c r="U56">
        <v>92</v>
      </c>
    </row>
    <row r="57" spans="1:21">
      <c r="A57" s="44">
        <f t="shared" si="0"/>
        <v>45841.249999999869</v>
      </c>
      <c r="B57" s="45">
        <f t="shared" si="1"/>
        <v>8000</v>
      </c>
      <c r="C57" s="8">
        <v>25000</v>
      </c>
      <c r="D57" s="8">
        <v>0</v>
      </c>
      <c r="E57" s="8">
        <v>700</v>
      </c>
      <c r="F57" s="8">
        <v>7500</v>
      </c>
      <c r="G57" s="45">
        <f t="shared" si="2"/>
        <v>2400</v>
      </c>
      <c r="H57" s="8">
        <v>25000</v>
      </c>
      <c r="I57" s="45">
        <f t="shared" si="3"/>
        <v>8000</v>
      </c>
      <c r="J57" s="8">
        <v>25000</v>
      </c>
      <c r="K57" s="45">
        <f t="shared" si="4"/>
        <v>8000</v>
      </c>
      <c r="L57" s="8">
        <v>25000</v>
      </c>
      <c r="M57" s="9">
        <v>9</v>
      </c>
      <c r="N57" s="9">
        <v>16.100000000000001</v>
      </c>
      <c r="O57" s="9">
        <v>14</v>
      </c>
      <c r="P57" s="9">
        <v>19.5</v>
      </c>
      <c r="Q57" s="9">
        <v>2.4</v>
      </c>
      <c r="R57">
        <v>10</v>
      </c>
      <c r="S57">
        <v>1000</v>
      </c>
      <c r="T57" s="4">
        <f t="shared" si="5"/>
        <v>304.3759075508828</v>
      </c>
      <c r="U57">
        <v>41</v>
      </c>
    </row>
    <row r="58" spans="1:21">
      <c r="A58" s="44">
        <f t="shared" si="0"/>
        <v>45841.291666666533</v>
      </c>
      <c r="B58" s="45">
        <f t="shared" si="1"/>
        <v>8000</v>
      </c>
      <c r="C58" s="8">
        <v>25000</v>
      </c>
      <c r="D58" s="8">
        <v>0</v>
      </c>
      <c r="E58" s="8">
        <v>700</v>
      </c>
      <c r="F58" s="8">
        <v>7500</v>
      </c>
      <c r="G58" s="45">
        <f t="shared" si="2"/>
        <v>2400</v>
      </c>
      <c r="H58" s="8">
        <v>25000</v>
      </c>
      <c r="I58" s="45">
        <f t="shared" si="3"/>
        <v>8000</v>
      </c>
      <c r="J58" s="8">
        <v>25000</v>
      </c>
      <c r="K58" s="45">
        <f t="shared" si="4"/>
        <v>8000</v>
      </c>
      <c r="L58" s="8">
        <v>25000</v>
      </c>
      <c r="M58" s="9">
        <v>9</v>
      </c>
      <c r="N58" s="9">
        <v>16.100000000000001</v>
      </c>
      <c r="O58" s="9">
        <v>14</v>
      </c>
      <c r="P58" s="9">
        <v>19.5</v>
      </c>
      <c r="Q58" s="9">
        <v>2.9</v>
      </c>
      <c r="R58">
        <v>10</v>
      </c>
      <c r="S58">
        <v>1000</v>
      </c>
      <c r="T58" s="4">
        <f t="shared" si="5"/>
        <v>280.13414145378908</v>
      </c>
      <c r="U58">
        <v>40</v>
      </c>
    </row>
    <row r="59" spans="1:21">
      <c r="A59" s="44">
        <f t="shared" si="0"/>
        <v>45841.333333333198</v>
      </c>
      <c r="B59" s="45">
        <f t="shared" si="1"/>
        <v>8000</v>
      </c>
      <c r="C59" s="8">
        <v>25000</v>
      </c>
      <c r="D59" s="8">
        <v>0</v>
      </c>
      <c r="E59" s="8">
        <v>700</v>
      </c>
      <c r="F59" s="8">
        <v>7500</v>
      </c>
      <c r="G59" s="45">
        <f t="shared" si="2"/>
        <v>2400</v>
      </c>
      <c r="H59" s="8">
        <v>25000</v>
      </c>
      <c r="I59" s="45">
        <f t="shared" si="3"/>
        <v>8000</v>
      </c>
      <c r="J59" s="8">
        <v>25000</v>
      </c>
      <c r="K59" s="45">
        <f t="shared" si="4"/>
        <v>8000</v>
      </c>
      <c r="L59" s="8">
        <v>25000</v>
      </c>
      <c r="M59" s="9">
        <v>9</v>
      </c>
      <c r="N59" s="9">
        <v>16.100000000000001</v>
      </c>
      <c r="O59" s="9">
        <v>14</v>
      </c>
      <c r="P59" s="9">
        <v>19.5</v>
      </c>
      <c r="Q59" s="9">
        <v>2.4</v>
      </c>
      <c r="R59">
        <v>10</v>
      </c>
      <c r="S59">
        <v>1000</v>
      </c>
      <c r="T59" s="4">
        <f t="shared" si="5"/>
        <v>294.39400386384426</v>
      </c>
      <c r="U59">
        <v>34</v>
      </c>
    </row>
    <row r="60" spans="1:21">
      <c r="A60" s="44">
        <f t="shared" si="0"/>
        <v>45841.374999999862</v>
      </c>
      <c r="B60" s="45">
        <f t="shared" si="1"/>
        <v>8000</v>
      </c>
      <c r="C60" s="8">
        <v>25000</v>
      </c>
      <c r="D60" s="8">
        <v>0</v>
      </c>
      <c r="E60" s="8">
        <v>700</v>
      </c>
      <c r="F60" s="8">
        <v>7500</v>
      </c>
      <c r="G60" s="45">
        <f t="shared" si="2"/>
        <v>2400</v>
      </c>
      <c r="H60" s="8">
        <v>25000</v>
      </c>
      <c r="I60" s="45">
        <f t="shared" si="3"/>
        <v>8000</v>
      </c>
      <c r="J60" s="8">
        <v>25000</v>
      </c>
      <c r="K60" s="45">
        <f t="shared" si="4"/>
        <v>8000</v>
      </c>
      <c r="L60" s="8">
        <v>25000</v>
      </c>
      <c r="M60" s="9">
        <v>9</v>
      </c>
      <c r="N60" s="9">
        <v>16.100000000000001</v>
      </c>
      <c r="O60" s="9">
        <v>14</v>
      </c>
      <c r="P60" s="9">
        <v>19.5</v>
      </c>
      <c r="Q60" s="9">
        <v>2.4</v>
      </c>
      <c r="R60">
        <v>10</v>
      </c>
      <c r="S60">
        <v>1000</v>
      </c>
      <c r="T60" s="4">
        <f t="shared" si="5"/>
        <v>317.20978371993255</v>
      </c>
      <c r="U60">
        <v>18</v>
      </c>
    </row>
    <row r="61" spans="1:21">
      <c r="A61" s="44">
        <f t="shared" si="0"/>
        <v>45841.416666666526</v>
      </c>
      <c r="B61" s="45">
        <f t="shared" si="1"/>
        <v>8000</v>
      </c>
      <c r="C61" s="8">
        <v>25000</v>
      </c>
      <c r="D61" s="8">
        <v>0</v>
      </c>
      <c r="E61" s="8">
        <v>700</v>
      </c>
      <c r="F61" s="8">
        <v>7500</v>
      </c>
      <c r="G61" s="45">
        <f t="shared" si="2"/>
        <v>2400</v>
      </c>
      <c r="H61" s="8">
        <v>25000</v>
      </c>
      <c r="I61" s="45">
        <f t="shared" si="3"/>
        <v>8000</v>
      </c>
      <c r="J61" s="8">
        <v>25000</v>
      </c>
      <c r="K61" s="45">
        <f t="shared" si="4"/>
        <v>8000</v>
      </c>
      <c r="L61" s="8">
        <v>25000</v>
      </c>
      <c r="M61" s="9">
        <v>9</v>
      </c>
      <c r="N61" s="9">
        <v>16.100000000000001</v>
      </c>
      <c r="O61" s="9">
        <v>14</v>
      </c>
      <c r="P61" s="9">
        <v>19.5</v>
      </c>
      <c r="Q61" s="9">
        <v>2.9</v>
      </c>
      <c r="R61">
        <v>10</v>
      </c>
      <c r="S61">
        <v>1000</v>
      </c>
      <c r="T61" s="4">
        <f t="shared" si="5"/>
        <v>308.08347177749721</v>
      </c>
      <c r="U61">
        <v>11</v>
      </c>
    </row>
    <row r="62" spans="1:21">
      <c r="A62" s="44">
        <f t="shared" si="0"/>
        <v>45841.45833333319</v>
      </c>
      <c r="B62" s="45">
        <f t="shared" si="1"/>
        <v>8000</v>
      </c>
      <c r="C62" s="8">
        <v>25000</v>
      </c>
      <c r="D62" s="8">
        <v>0</v>
      </c>
      <c r="E62" s="8">
        <v>700</v>
      </c>
      <c r="F62" s="8">
        <v>7500</v>
      </c>
      <c r="G62" s="45">
        <f t="shared" si="2"/>
        <v>2400</v>
      </c>
      <c r="H62" s="8">
        <v>25000</v>
      </c>
      <c r="I62" s="45">
        <f t="shared" si="3"/>
        <v>8000</v>
      </c>
      <c r="J62" s="8">
        <v>25000</v>
      </c>
      <c r="K62" s="45">
        <f t="shared" si="4"/>
        <v>8000</v>
      </c>
      <c r="L62" s="8">
        <v>25000</v>
      </c>
      <c r="M62" s="9">
        <v>9</v>
      </c>
      <c r="N62" s="9">
        <v>16.100000000000001</v>
      </c>
      <c r="O62" s="9">
        <v>14</v>
      </c>
      <c r="P62" s="9">
        <v>19.5</v>
      </c>
      <c r="Q62" s="9">
        <v>2.9</v>
      </c>
      <c r="R62">
        <v>10</v>
      </c>
      <c r="S62">
        <v>1000</v>
      </c>
      <c r="T62" s="4">
        <f t="shared" si="5"/>
        <v>303.80551305448063</v>
      </c>
      <c r="U62">
        <v>64</v>
      </c>
    </row>
    <row r="63" spans="1:21">
      <c r="A63" s="44">
        <f t="shared" si="0"/>
        <v>45841.499999999854</v>
      </c>
      <c r="B63" s="45">
        <f t="shared" si="1"/>
        <v>8000</v>
      </c>
      <c r="C63" s="8">
        <v>25000</v>
      </c>
      <c r="D63" s="8">
        <v>0</v>
      </c>
      <c r="E63" s="8">
        <v>700</v>
      </c>
      <c r="F63" s="8">
        <v>7500</v>
      </c>
      <c r="G63" s="45">
        <f t="shared" si="2"/>
        <v>2400</v>
      </c>
      <c r="H63" s="8">
        <v>25000</v>
      </c>
      <c r="I63" s="45">
        <f t="shared" si="3"/>
        <v>8000</v>
      </c>
      <c r="J63" s="8">
        <v>25000</v>
      </c>
      <c r="K63" s="45">
        <f t="shared" si="4"/>
        <v>8000</v>
      </c>
      <c r="L63" s="8">
        <v>25000</v>
      </c>
      <c r="M63" s="9">
        <v>9</v>
      </c>
      <c r="N63" s="9">
        <v>16.100000000000001</v>
      </c>
      <c r="O63" s="9">
        <v>14</v>
      </c>
      <c r="P63" s="9">
        <v>19.5</v>
      </c>
      <c r="Q63" s="9">
        <v>3</v>
      </c>
      <c r="R63">
        <v>10</v>
      </c>
      <c r="S63">
        <v>1000</v>
      </c>
      <c r="T63" s="4">
        <f t="shared" si="5"/>
        <v>303.80551305448063</v>
      </c>
      <c r="U63">
        <v>80</v>
      </c>
    </row>
    <row r="64" spans="1:21">
      <c r="A64" s="44">
        <f t="shared" si="0"/>
        <v>45841.541666666519</v>
      </c>
      <c r="B64" s="45">
        <f t="shared" si="1"/>
        <v>8000</v>
      </c>
      <c r="C64" s="8">
        <v>25000</v>
      </c>
      <c r="D64" s="8">
        <v>0</v>
      </c>
      <c r="E64" s="8">
        <v>700</v>
      </c>
      <c r="F64" s="8">
        <v>7500</v>
      </c>
      <c r="G64" s="45">
        <f t="shared" si="2"/>
        <v>2400</v>
      </c>
      <c r="H64" s="8">
        <v>25000</v>
      </c>
      <c r="I64" s="45">
        <f t="shared" si="3"/>
        <v>8000</v>
      </c>
      <c r="J64" s="8">
        <v>25000</v>
      </c>
      <c r="K64" s="45">
        <f t="shared" si="4"/>
        <v>8000</v>
      </c>
      <c r="L64" s="8">
        <v>25000</v>
      </c>
      <c r="M64" s="9">
        <v>9</v>
      </c>
      <c r="N64" s="9">
        <v>16.100000000000001</v>
      </c>
      <c r="O64" s="9">
        <v>14</v>
      </c>
      <c r="P64" s="9">
        <v>19.5</v>
      </c>
      <c r="Q64" s="9">
        <v>2.7</v>
      </c>
      <c r="R64">
        <v>10</v>
      </c>
      <c r="S64">
        <v>1000</v>
      </c>
      <c r="T64" s="4">
        <f t="shared" si="5"/>
        <v>353.43040463596901</v>
      </c>
      <c r="U64">
        <v>85</v>
      </c>
    </row>
    <row r="65" spans="1:21">
      <c r="A65" s="44">
        <f t="shared" si="0"/>
        <v>45841.583333333183</v>
      </c>
      <c r="B65" s="45">
        <f t="shared" si="1"/>
        <v>8000</v>
      </c>
      <c r="C65" s="8">
        <v>25000</v>
      </c>
      <c r="D65" s="8">
        <v>0</v>
      </c>
      <c r="E65" s="8">
        <v>700</v>
      </c>
      <c r="F65" s="8">
        <v>7500</v>
      </c>
      <c r="G65" s="45">
        <f t="shared" si="2"/>
        <v>2400</v>
      </c>
      <c r="H65" s="8">
        <v>25000</v>
      </c>
      <c r="I65" s="45">
        <f t="shared" si="3"/>
        <v>8000</v>
      </c>
      <c r="J65" s="8">
        <v>25000</v>
      </c>
      <c r="K65" s="45">
        <f t="shared" si="4"/>
        <v>8000</v>
      </c>
      <c r="L65" s="8">
        <v>25000</v>
      </c>
      <c r="M65" s="9">
        <v>9</v>
      </c>
      <c r="N65" s="9">
        <v>16.100000000000001</v>
      </c>
      <c r="O65" s="9">
        <v>14</v>
      </c>
      <c r="P65" s="9">
        <v>19.5</v>
      </c>
      <c r="Q65" s="9">
        <v>2.7</v>
      </c>
      <c r="R65">
        <v>10</v>
      </c>
      <c r="S65">
        <v>1000</v>
      </c>
      <c r="T65" s="4">
        <f t="shared" si="5"/>
        <v>587.29100737188094</v>
      </c>
      <c r="U65">
        <v>68</v>
      </c>
    </row>
    <row r="66" spans="1:21">
      <c r="A66" s="44">
        <f t="shared" si="0"/>
        <v>45841.624999999847</v>
      </c>
      <c r="B66" s="45">
        <f t="shared" si="1"/>
        <v>8000</v>
      </c>
      <c r="C66" s="8">
        <v>25000</v>
      </c>
      <c r="D66" s="8">
        <v>0</v>
      </c>
      <c r="E66" s="8">
        <v>700</v>
      </c>
      <c r="F66" s="8">
        <v>7500</v>
      </c>
      <c r="G66" s="45">
        <f t="shared" si="2"/>
        <v>2400</v>
      </c>
      <c r="H66" s="8">
        <v>25000</v>
      </c>
      <c r="I66" s="45">
        <f t="shared" si="3"/>
        <v>8000</v>
      </c>
      <c r="J66" s="8">
        <v>25000</v>
      </c>
      <c r="K66" s="45">
        <f t="shared" si="4"/>
        <v>8000</v>
      </c>
      <c r="L66" s="8">
        <v>25000</v>
      </c>
      <c r="M66" s="9">
        <v>9</v>
      </c>
      <c r="N66" s="9">
        <v>16.100000000000001</v>
      </c>
      <c r="O66" s="9">
        <v>14</v>
      </c>
      <c r="P66" s="9">
        <v>19.5</v>
      </c>
      <c r="Q66" s="9">
        <v>2.7</v>
      </c>
      <c r="R66">
        <v>10</v>
      </c>
      <c r="S66">
        <v>1000</v>
      </c>
      <c r="T66" s="4">
        <f t="shared" si="5"/>
        <v>604.40284226394715</v>
      </c>
      <c r="U66">
        <v>44</v>
      </c>
    </row>
    <row r="67" spans="1:21">
      <c r="A67" s="44">
        <f t="shared" si="0"/>
        <v>45841.666666666511</v>
      </c>
      <c r="B67" s="45">
        <f t="shared" si="1"/>
        <v>8000</v>
      </c>
      <c r="C67" s="8">
        <v>25000</v>
      </c>
      <c r="D67" s="8">
        <v>0</v>
      </c>
      <c r="E67" s="8">
        <v>700</v>
      </c>
      <c r="F67" s="8">
        <v>7500</v>
      </c>
      <c r="G67" s="45">
        <f t="shared" si="2"/>
        <v>2400</v>
      </c>
      <c r="H67" s="8">
        <v>25000</v>
      </c>
      <c r="I67" s="45">
        <f t="shared" si="3"/>
        <v>8000</v>
      </c>
      <c r="J67" s="8">
        <v>25000</v>
      </c>
      <c r="K67" s="45">
        <f t="shared" si="4"/>
        <v>8000</v>
      </c>
      <c r="L67" s="8">
        <v>25000</v>
      </c>
      <c r="M67" s="9">
        <v>9</v>
      </c>
      <c r="N67" s="9">
        <v>16.100000000000001</v>
      </c>
      <c r="O67" s="9">
        <v>14</v>
      </c>
      <c r="P67" s="9">
        <v>19.5</v>
      </c>
      <c r="Q67" s="9">
        <v>2.8</v>
      </c>
      <c r="R67">
        <v>10</v>
      </c>
      <c r="S67">
        <v>1000</v>
      </c>
      <c r="T67" s="4">
        <f t="shared" si="5"/>
        <v>875.91062255139741</v>
      </c>
      <c r="U67">
        <v>77</v>
      </c>
    </row>
    <row r="68" spans="1:21">
      <c r="A68" s="44">
        <f t="shared" si="0"/>
        <v>45841.708333333176</v>
      </c>
      <c r="B68" s="45">
        <f t="shared" si="1"/>
        <v>8000</v>
      </c>
      <c r="C68" s="8">
        <v>25000</v>
      </c>
      <c r="D68" s="8">
        <v>0</v>
      </c>
      <c r="E68" s="8">
        <v>700</v>
      </c>
      <c r="F68" s="8">
        <v>7500</v>
      </c>
      <c r="G68" s="45">
        <f t="shared" si="2"/>
        <v>2400</v>
      </c>
      <c r="H68" s="8">
        <v>25000</v>
      </c>
      <c r="I68" s="45">
        <f t="shared" si="3"/>
        <v>8000</v>
      </c>
      <c r="J68" s="8">
        <v>25000</v>
      </c>
      <c r="K68" s="45">
        <f t="shared" si="4"/>
        <v>8000</v>
      </c>
      <c r="L68" s="8">
        <v>25000</v>
      </c>
      <c r="M68" s="9">
        <v>9</v>
      </c>
      <c r="N68" s="9">
        <v>16.100000000000001</v>
      </c>
      <c r="O68" s="9">
        <v>14</v>
      </c>
      <c r="P68" s="9">
        <v>19.5</v>
      </c>
      <c r="Q68" s="9">
        <v>2.6</v>
      </c>
      <c r="R68">
        <v>10</v>
      </c>
      <c r="S68">
        <v>1000</v>
      </c>
      <c r="T68" s="4">
        <f t="shared" si="5"/>
        <v>1116.9022972813298</v>
      </c>
      <c r="U68">
        <v>70</v>
      </c>
    </row>
    <row r="69" spans="1:21">
      <c r="A69" s="44">
        <f t="shared" ref="A69:A132" si="6">A68+TIME(1,0,0)</f>
        <v>45841.74999999984</v>
      </c>
      <c r="B69" s="45">
        <f t="shared" si="1"/>
        <v>5000</v>
      </c>
      <c r="C69" s="8">
        <v>25000</v>
      </c>
      <c r="D69" s="8">
        <v>0</v>
      </c>
      <c r="E69" s="8">
        <v>700</v>
      </c>
      <c r="F69" s="8">
        <v>7500</v>
      </c>
      <c r="G69" s="45">
        <f t="shared" si="2"/>
        <v>2400</v>
      </c>
      <c r="H69" s="8">
        <v>25000</v>
      </c>
      <c r="I69" s="45">
        <f t="shared" si="3"/>
        <v>5000</v>
      </c>
      <c r="J69" s="8">
        <v>25000</v>
      </c>
      <c r="K69" s="45">
        <f t="shared" si="4"/>
        <v>5000</v>
      </c>
      <c r="L69" s="8">
        <v>25000</v>
      </c>
      <c r="M69" s="9">
        <v>9</v>
      </c>
      <c r="N69" s="9">
        <v>16.100000000000001</v>
      </c>
      <c r="O69" s="9">
        <v>14</v>
      </c>
      <c r="P69" s="9">
        <v>19.5</v>
      </c>
      <c r="Q69" s="9">
        <v>2.7</v>
      </c>
      <c r="R69">
        <v>10</v>
      </c>
      <c r="S69">
        <v>1000</v>
      </c>
      <c r="T69" s="4">
        <f t="shared" si="5"/>
        <v>1156.8299120294841</v>
      </c>
      <c r="U69">
        <v>17</v>
      </c>
    </row>
    <row r="70" spans="1:21">
      <c r="A70" s="44">
        <f t="shared" si="6"/>
        <v>45841.791666666504</v>
      </c>
      <c r="B70" s="45">
        <f t="shared" si="1"/>
        <v>5000</v>
      </c>
      <c r="C70" s="8">
        <v>25000</v>
      </c>
      <c r="D70" s="8">
        <v>0</v>
      </c>
      <c r="E70" s="8">
        <v>700</v>
      </c>
      <c r="F70" s="8">
        <v>7500</v>
      </c>
      <c r="G70" s="45">
        <f t="shared" si="2"/>
        <v>2400</v>
      </c>
      <c r="H70" s="8">
        <v>25000</v>
      </c>
      <c r="I70" s="45">
        <f t="shared" si="3"/>
        <v>5000</v>
      </c>
      <c r="J70" s="8">
        <v>25000</v>
      </c>
      <c r="K70" s="45">
        <f t="shared" si="4"/>
        <v>5000</v>
      </c>
      <c r="L70" s="8">
        <v>25000</v>
      </c>
      <c r="M70" s="9">
        <v>9</v>
      </c>
      <c r="N70" s="9">
        <v>16.100000000000001</v>
      </c>
      <c r="O70" s="9">
        <v>14</v>
      </c>
      <c r="P70" s="9">
        <v>19.5</v>
      </c>
      <c r="Q70" s="9">
        <v>2.4</v>
      </c>
      <c r="R70">
        <v>10</v>
      </c>
      <c r="S70">
        <v>1000</v>
      </c>
      <c r="T70" s="4">
        <f t="shared" si="5"/>
        <v>1156.8299120294841</v>
      </c>
      <c r="U70">
        <v>69</v>
      </c>
    </row>
    <row r="71" spans="1:21">
      <c r="A71" s="44">
        <f t="shared" si="6"/>
        <v>45841.833333333168</v>
      </c>
      <c r="B71" s="45">
        <f t="shared" si="1"/>
        <v>5000</v>
      </c>
      <c r="C71" s="8">
        <v>25000</v>
      </c>
      <c r="D71" s="8">
        <v>0</v>
      </c>
      <c r="E71" s="8">
        <v>700</v>
      </c>
      <c r="F71" s="8">
        <v>7500</v>
      </c>
      <c r="G71" s="45">
        <f t="shared" si="2"/>
        <v>2400</v>
      </c>
      <c r="H71" s="8">
        <v>25000</v>
      </c>
      <c r="I71" s="45">
        <f t="shared" si="3"/>
        <v>5000</v>
      </c>
      <c r="J71" s="8">
        <v>25000</v>
      </c>
      <c r="K71" s="45">
        <f t="shared" si="4"/>
        <v>5000</v>
      </c>
      <c r="L71" s="8">
        <v>25000</v>
      </c>
      <c r="M71" s="9">
        <v>9</v>
      </c>
      <c r="N71" s="9">
        <v>16.100000000000001</v>
      </c>
      <c r="O71" s="9">
        <v>14</v>
      </c>
      <c r="P71" s="9">
        <v>19.5</v>
      </c>
      <c r="Q71" s="9">
        <v>2.9</v>
      </c>
      <c r="R71">
        <v>10</v>
      </c>
      <c r="S71">
        <v>1000</v>
      </c>
      <c r="T71" s="4">
        <f t="shared" si="5"/>
        <v>1114.0503247993186</v>
      </c>
      <c r="U71">
        <v>21</v>
      </c>
    </row>
    <row r="72" spans="1:21">
      <c r="A72" s="44">
        <f t="shared" si="6"/>
        <v>45841.874999999833</v>
      </c>
      <c r="B72" s="45">
        <f t="shared" si="1"/>
        <v>5000</v>
      </c>
      <c r="C72" s="8">
        <v>25000</v>
      </c>
      <c r="D72" s="8">
        <v>0</v>
      </c>
      <c r="E72" s="8">
        <v>700</v>
      </c>
      <c r="F72" s="8">
        <v>7500</v>
      </c>
      <c r="G72" s="45">
        <f t="shared" si="2"/>
        <v>2400</v>
      </c>
      <c r="H72" s="8">
        <v>25000</v>
      </c>
      <c r="I72" s="45">
        <f t="shared" si="3"/>
        <v>5000</v>
      </c>
      <c r="J72" s="8">
        <v>25000</v>
      </c>
      <c r="K72" s="45">
        <f t="shared" si="4"/>
        <v>5000</v>
      </c>
      <c r="L72" s="8">
        <v>25000</v>
      </c>
      <c r="M72" s="9">
        <v>9</v>
      </c>
      <c r="N72" s="9">
        <v>16.100000000000001</v>
      </c>
      <c r="O72" s="9">
        <v>14</v>
      </c>
      <c r="P72" s="9">
        <v>19.5</v>
      </c>
      <c r="Q72" s="9">
        <v>3</v>
      </c>
      <c r="R72">
        <v>10</v>
      </c>
      <c r="S72">
        <v>1000</v>
      </c>
      <c r="T72" s="4">
        <f t="shared" si="5"/>
        <v>1034.1950953030096</v>
      </c>
      <c r="U72">
        <v>70</v>
      </c>
    </row>
    <row r="73" spans="1:21">
      <c r="A73" s="44">
        <f t="shared" si="6"/>
        <v>45841.916666666497</v>
      </c>
      <c r="B73" s="45">
        <f t="shared" si="1"/>
        <v>5000</v>
      </c>
      <c r="C73" s="8">
        <v>25000</v>
      </c>
      <c r="D73" s="8">
        <v>0</v>
      </c>
      <c r="E73" s="8">
        <v>700</v>
      </c>
      <c r="F73" s="8">
        <v>7500</v>
      </c>
      <c r="G73" s="45">
        <f t="shared" si="2"/>
        <v>2400</v>
      </c>
      <c r="H73" s="8">
        <v>25000</v>
      </c>
      <c r="I73" s="45">
        <f t="shared" si="3"/>
        <v>5000</v>
      </c>
      <c r="J73" s="8">
        <v>25000</v>
      </c>
      <c r="K73" s="45">
        <f t="shared" si="4"/>
        <v>5000</v>
      </c>
      <c r="L73" s="8">
        <v>25000</v>
      </c>
      <c r="M73" s="9">
        <v>9</v>
      </c>
      <c r="N73" s="9">
        <v>16.100000000000001</v>
      </c>
      <c r="O73" s="9">
        <v>14</v>
      </c>
      <c r="P73" s="9">
        <v>19.5</v>
      </c>
      <c r="Q73" s="9">
        <v>2.6</v>
      </c>
      <c r="R73">
        <v>10</v>
      </c>
      <c r="S73">
        <v>1000</v>
      </c>
      <c r="T73" s="4">
        <f t="shared" si="5"/>
        <v>807.46328298313267</v>
      </c>
      <c r="U73">
        <v>64</v>
      </c>
    </row>
    <row r="74" spans="1:21">
      <c r="A74" s="44">
        <f t="shared" si="6"/>
        <v>45841.958333333161</v>
      </c>
      <c r="B74" s="45">
        <f t="shared" si="1"/>
        <v>5000</v>
      </c>
      <c r="C74" s="8">
        <v>25000</v>
      </c>
      <c r="D74" s="8">
        <v>0</v>
      </c>
      <c r="E74" s="8">
        <v>700</v>
      </c>
      <c r="F74" s="8">
        <v>7500</v>
      </c>
      <c r="G74" s="45">
        <f t="shared" si="2"/>
        <v>2400</v>
      </c>
      <c r="H74" s="8">
        <v>25000</v>
      </c>
      <c r="I74" s="45">
        <f t="shared" si="3"/>
        <v>5000</v>
      </c>
      <c r="J74" s="8">
        <v>25000</v>
      </c>
      <c r="K74" s="45">
        <f t="shared" si="4"/>
        <v>5000</v>
      </c>
      <c r="L74" s="8">
        <v>25000</v>
      </c>
      <c r="M74" s="9">
        <v>9</v>
      </c>
      <c r="N74" s="9">
        <v>16.100000000000001</v>
      </c>
      <c r="O74" s="9">
        <v>14</v>
      </c>
      <c r="P74" s="9">
        <v>19.5</v>
      </c>
      <c r="Q74" s="9">
        <v>2.4</v>
      </c>
      <c r="R74">
        <v>10</v>
      </c>
      <c r="S74">
        <v>1000</v>
      </c>
      <c r="T74" s="4">
        <f t="shared" si="5"/>
        <v>442.69657292841788</v>
      </c>
      <c r="U74">
        <v>37</v>
      </c>
    </row>
    <row r="75" spans="1:21">
      <c r="A75" s="44">
        <f t="shared" si="6"/>
        <v>45841.999999999825</v>
      </c>
      <c r="B75" s="45">
        <f t="shared" si="1"/>
        <v>5000</v>
      </c>
      <c r="C75" s="8">
        <v>25000</v>
      </c>
      <c r="D75" s="8">
        <v>0</v>
      </c>
      <c r="E75" s="8">
        <v>700</v>
      </c>
      <c r="F75" s="8">
        <v>7500</v>
      </c>
      <c r="G75" s="45">
        <f t="shared" si="2"/>
        <v>2400</v>
      </c>
      <c r="H75" s="8">
        <v>25000</v>
      </c>
      <c r="I75" s="45">
        <f t="shared" si="3"/>
        <v>5000</v>
      </c>
      <c r="J75" s="8">
        <v>25000</v>
      </c>
      <c r="K75" s="45">
        <f t="shared" si="4"/>
        <v>5000</v>
      </c>
      <c r="L75" s="8">
        <v>25000</v>
      </c>
      <c r="M75" s="9">
        <v>9</v>
      </c>
      <c r="N75" s="9">
        <v>16.100000000000001</v>
      </c>
      <c r="O75" s="9">
        <v>14</v>
      </c>
      <c r="P75" s="9">
        <v>19.5</v>
      </c>
      <c r="Q75" s="9">
        <v>2.6</v>
      </c>
      <c r="R75">
        <v>10</v>
      </c>
      <c r="S75">
        <v>1000</v>
      </c>
      <c r="T75" s="4">
        <f t="shared" si="5"/>
        <v>442.69657292841788</v>
      </c>
      <c r="U75">
        <v>45</v>
      </c>
    </row>
    <row r="76" spans="1:21">
      <c r="A76" s="44">
        <f t="shared" si="6"/>
        <v>45842.04166666649</v>
      </c>
      <c r="B76" s="45">
        <f t="shared" si="1"/>
        <v>5000</v>
      </c>
      <c r="C76" s="8">
        <v>25000</v>
      </c>
      <c r="D76" s="8">
        <v>0</v>
      </c>
      <c r="E76" s="8">
        <v>700</v>
      </c>
      <c r="F76" s="8">
        <v>7500</v>
      </c>
      <c r="G76" s="45">
        <f t="shared" si="2"/>
        <v>2400</v>
      </c>
      <c r="H76" s="8">
        <v>25000</v>
      </c>
      <c r="I76" s="45">
        <f t="shared" si="3"/>
        <v>5000</v>
      </c>
      <c r="J76" s="8">
        <v>25000</v>
      </c>
      <c r="K76" s="45">
        <f t="shared" si="4"/>
        <v>5000</v>
      </c>
      <c r="L76" s="8">
        <v>25000</v>
      </c>
      <c r="M76" s="9">
        <v>9</v>
      </c>
      <c r="N76" s="9">
        <v>16.100000000000001</v>
      </c>
      <c r="O76" s="9">
        <v>14</v>
      </c>
      <c r="P76" s="9">
        <v>19.5</v>
      </c>
      <c r="Q76" s="9">
        <v>2.5</v>
      </c>
      <c r="R76">
        <v>10</v>
      </c>
      <c r="S76">
        <v>1000</v>
      </c>
      <c r="T76" s="4">
        <f t="shared" si="5"/>
        <v>362.27094893570683</v>
      </c>
      <c r="U76">
        <v>61</v>
      </c>
    </row>
    <row r="77" spans="1:21">
      <c r="A77" s="44">
        <f t="shared" si="6"/>
        <v>45842.083333333154</v>
      </c>
      <c r="B77" s="45">
        <f t="shared" si="1"/>
        <v>5000</v>
      </c>
      <c r="C77" s="8">
        <v>25000</v>
      </c>
      <c r="D77" s="8">
        <v>0</v>
      </c>
      <c r="E77" s="8">
        <v>700</v>
      </c>
      <c r="F77" s="8">
        <v>7500</v>
      </c>
      <c r="G77" s="45">
        <f t="shared" si="2"/>
        <v>2400</v>
      </c>
      <c r="H77" s="8">
        <v>25000</v>
      </c>
      <c r="I77" s="45">
        <f t="shared" si="3"/>
        <v>5000</v>
      </c>
      <c r="J77" s="8">
        <v>25000</v>
      </c>
      <c r="K77" s="45">
        <f t="shared" si="4"/>
        <v>5000</v>
      </c>
      <c r="L77" s="8">
        <v>25000</v>
      </c>
      <c r="M77" s="9">
        <v>9</v>
      </c>
      <c r="N77" s="9">
        <v>16.100000000000001</v>
      </c>
      <c r="O77" s="9">
        <v>14</v>
      </c>
      <c r="P77" s="9">
        <v>19.5</v>
      </c>
      <c r="Q77" s="9">
        <v>3</v>
      </c>
      <c r="R77">
        <v>10</v>
      </c>
      <c r="S77">
        <v>1000</v>
      </c>
      <c r="T77" s="4">
        <f t="shared" si="5"/>
        <v>362.27094893570683</v>
      </c>
      <c r="U77">
        <v>87</v>
      </c>
    </row>
    <row r="78" spans="1:21">
      <c r="A78" s="44">
        <f t="shared" si="6"/>
        <v>45842.124999999818</v>
      </c>
      <c r="B78" s="45">
        <f t="shared" si="1"/>
        <v>5000</v>
      </c>
      <c r="C78" s="8">
        <v>25000</v>
      </c>
      <c r="D78" s="8">
        <v>0</v>
      </c>
      <c r="E78" s="8">
        <v>700</v>
      </c>
      <c r="F78" s="8">
        <v>7500</v>
      </c>
      <c r="G78" s="45">
        <f t="shared" si="2"/>
        <v>2400</v>
      </c>
      <c r="H78" s="8">
        <v>25000</v>
      </c>
      <c r="I78" s="45">
        <f t="shared" si="3"/>
        <v>5000</v>
      </c>
      <c r="J78" s="8">
        <v>25000</v>
      </c>
      <c r="K78" s="45">
        <f t="shared" si="4"/>
        <v>5000</v>
      </c>
      <c r="L78" s="8">
        <v>25000</v>
      </c>
      <c r="M78" s="9">
        <v>9</v>
      </c>
      <c r="N78" s="9">
        <v>16.100000000000001</v>
      </c>
      <c r="O78" s="9">
        <v>14</v>
      </c>
      <c r="P78" s="9">
        <v>19.5</v>
      </c>
      <c r="Q78" s="9">
        <v>2.4</v>
      </c>
      <c r="R78">
        <v>10</v>
      </c>
      <c r="S78">
        <v>1000</v>
      </c>
      <c r="T78" s="4">
        <f t="shared" si="5"/>
        <v>362.27094893570683</v>
      </c>
      <c r="U78">
        <v>33</v>
      </c>
    </row>
    <row r="79" spans="1:21">
      <c r="A79" s="44">
        <f t="shared" si="6"/>
        <v>45842.166666666482</v>
      </c>
      <c r="B79" s="45">
        <f t="shared" si="1"/>
        <v>5000</v>
      </c>
      <c r="C79" s="8">
        <v>25000</v>
      </c>
      <c r="D79" s="8">
        <v>0</v>
      </c>
      <c r="E79" s="8">
        <v>700</v>
      </c>
      <c r="F79" s="8">
        <v>7500</v>
      </c>
      <c r="G79" s="45">
        <f t="shared" si="2"/>
        <v>2400</v>
      </c>
      <c r="H79" s="8">
        <v>25000</v>
      </c>
      <c r="I79" s="45">
        <f t="shared" si="3"/>
        <v>5000</v>
      </c>
      <c r="J79" s="8">
        <v>25000</v>
      </c>
      <c r="K79" s="45">
        <f t="shared" si="4"/>
        <v>5000</v>
      </c>
      <c r="L79" s="8">
        <v>25000</v>
      </c>
      <c r="M79" s="9">
        <v>9</v>
      </c>
      <c r="N79" s="9">
        <v>16.100000000000001</v>
      </c>
      <c r="O79" s="9">
        <v>14</v>
      </c>
      <c r="P79" s="9">
        <v>19.5</v>
      </c>
      <c r="Q79" s="9">
        <v>2.7</v>
      </c>
      <c r="R79">
        <v>10</v>
      </c>
      <c r="S79">
        <v>1000</v>
      </c>
      <c r="T79" s="4">
        <f t="shared" si="5"/>
        <v>426.44032978095498</v>
      </c>
      <c r="U79">
        <v>37</v>
      </c>
    </row>
    <row r="80" spans="1:21">
      <c r="A80" s="44">
        <f t="shared" si="6"/>
        <v>45842.208333333147</v>
      </c>
      <c r="B80" s="45">
        <f t="shared" si="1"/>
        <v>5000</v>
      </c>
      <c r="C80" s="8">
        <v>25000</v>
      </c>
      <c r="D80" s="8">
        <v>0</v>
      </c>
      <c r="E80" s="8">
        <v>700</v>
      </c>
      <c r="F80" s="8">
        <v>7500</v>
      </c>
      <c r="G80" s="45">
        <f t="shared" si="2"/>
        <v>2400</v>
      </c>
      <c r="H80" s="8">
        <v>25000</v>
      </c>
      <c r="I80" s="45">
        <f t="shared" si="3"/>
        <v>5000</v>
      </c>
      <c r="J80" s="8">
        <v>25000</v>
      </c>
      <c r="K80" s="45">
        <f t="shared" si="4"/>
        <v>5000</v>
      </c>
      <c r="L80" s="8">
        <v>25000</v>
      </c>
      <c r="M80" s="9">
        <v>9</v>
      </c>
      <c r="N80" s="9">
        <v>16.100000000000001</v>
      </c>
      <c r="O80" s="9">
        <v>14</v>
      </c>
      <c r="P80" s="9">
        <v>19.5</v>
      </c>
      <c r="Q80" s="9">
        <v>2.9</v>
      </c>
      <c r="R80">
        <v>10</v>
      </c>
      <c r="S80">
        <v>1000</v>
      </c>
      <c r="T80" s="4">
        <f t="shared" si="5"/>
        <v>362.27094893570683</v>
      </c>
      <c r="U80">
        <v>88</v>
      </c>
    </row>
    <row r="81" spans="1:21">
      <c r="A81" s="44">
        <f t="shared" si="6"/>
        <v>45842.249999999811</v>
      </c>
      <c r="B81" s="45">
        <f t="shared" si="1"/>
        <v>8000</v>
      </c>
      <c r="C81" s="8">
        <v>25000</v>
      </c>
      <c r="D81" s="8">
        <v>0</v>
      </c>
      <c r="E81" s="8">
        <v>700</v>
      </c>
      <c r="F81" s="8">
        <v>7500</v>
      </c>
      <c r="G81" s="45">
        <f t="shared" si="2"/>
        <v>2400</v>
      </c>
      <c r="H81" s="8">
        <v>25000</v>
      </c>
      <c r="I81" s="45">
        <f t="shared" si="3"/>
        <v>8000</v>
      </c>
      <c r="J81" s="8">
        <v>25000</v>
      </c>
      <c r="K81" s="45">
        <f t="shared" si="4"/>
        <v>8000</v>
      </c>
      <c r="L81" s="8">
        <v>25000</v>
      </c>
      <c r="M81" s="9">
        <v>9</v>
      </c>
      <c r="N81" s="9">
        <v>16.100000000000001</v>
      </c>
      <c r="O81" s="9">
        <v>14</v>
      </c>
      <c r="P81" s="9">
        <v>19.5</v>
      </c>
      <c r="Q81" s="9">
        <v>2.9</v>
      </c>
      <c r="R81">
        <v>10</v>
      </c>
      <c r="S81">
        <v>1000</v>
      </c>
      <c r="T81" s="4">
        <f t="shared" si="5"/>
        <v>304.3759075508828</v>
      </c>
      <c r="U81">
        <v>15</v>
      </c>
    </row>
    <row r="82" spans="1:21">
      <c r="A82" s="44">
        <f t="shared" si="6"/>
        <v>45842.291666666475</v>
      </c>
      <c r="B82" s="45">
        <f t="shared" si="1"/>
        <v>8000</v>
      </c>
      <c r="C82" s="8">
        <v>25000</v>
      </c>
      <c r="D82" s="8">
        <v>0</v>
      </c>
      <c r="E82" s="8">
        <v>700</v>
      </c>
      <c r="F82" s="8">
        <v>7500</v>
      </c>
      <c r="G82" s="45">
        <f t="shared" si="2"/>
        <v>2400</v>
      </c>
      <c r="H82" s="8">
        <v>25000</v>
      </c>
      <c r="I82" s="45">
        <f t="shared" si="3"/>
        <v>8000</v>
      </c>
      <c r="J82" s="8">
        <v>25000</v>
      </c>
      <c r="K82" s="45">
        <f t="shared" si="4"/>
        <v>8000</v>
      </c>
      <c r="L82" s="8">
        <v>25000</v>
      </c>
      <c r="M82" s="9">
        <v>9</v>
      </c>
      <c r="N82" s="9">
        <v>16.100000000000001</v>
      </c>
      <c r="O82" s="9">
        <v>14</v>
      </c>
      <c r="P82" s="9">
        <v>19.5</v>
      </c>
      <c r="Q82" s="9">
        <v>2.4</v>
      </c>
      <c r="R82">
        <v>10</v>
      </c>
      <c r="S82">
        <v>1000</v>
      </c>
      <c r="T82" s="4">
        <f t="shared" si="5"/>
        <v>280.13414145378908</v>
      </c>
      <c r="U82">
        <v>75</v>
      </c>
    </row>
    <row r="83" spans="1:21">
      <c r="A83" s="44">
        <f t="shared" si="6"/>
        <v>45842.333333333139</v>
      </c>
      <c r="B83" s="45">
        <f t="shared" si="1"/>
        <v>8000</v>
      </c>
      <c r="C83" s="8">
        <v>25000</v>
      </c>
      <c r="D83" s="8">
        <v>0</v>
      </c>
      <c r="E83" s="8">
        <v>700</v>
      </c>
      <c r="F83" s="8">
        <v>7500</v>
      </c>
      <c r="G83" s="45">
        <f t="shared" si="2"/>
        <v>2400</v>
      </c>
      <c r="H83" s="8">
        <v>25000</v>
      </c>
      <c r="I83" s="45">
        <f t="shared" si="3"/>
        <v>8000</v>
      </c>
      <c r="J83" s="8">
        <v>25000</v>
      </c>
      <c r="K83" s="45">
        <f t="shared" si="4"/>
        <v>8000</v>
      </c>
      <c r="L83" s="8">
        <v>25000</v>
      </c>
      <c r="M83" s="9">
        <v>9</v>
      </c>
      <c r="N83" s="9">
        <v>16.100000000000001</v>
      </c>
      <c r="O83" s="9">
        <v>14</v>
      </c>
      <c r="P83" s="9">
        <v>19.5</v>
      </c>
      <c r="Q83" s="9">
        <v>2.9</v>
      </c>
      <c r="R83">
        <v>10</v>
      </c>
      <c r="S83">
        <v>1000</v>
      </c>
      <c r="T83" s="4">
        <f t="shared" si="5"/>
        <v>294.39400386384426</v>
      </c>
      <c r="U83">
        <v>99</v>
      </c>
    </row>
    <row r="84" spans="1:21">
      <c r="A84" s="44">
        <f t="shared" si="6"/>
        <v>45842.374999999804</v>
      </c>
      <c r="B84" s="45">
        <f t="shared" si="1"/>
        <v>8000</v>
      </c>
      <c r="C84" s="8">
        <v>25000</v>
      </c>
      <c r="D84" s="8">
        <v>0</v>
      </c>
      <c r="E84" s="8">
        <v>700</v>
      </c>
      <c r="F84" s="8">
        <v>7500</v>
      </c>
      <c r="G84" s="45">
        <f t="shared" si="2"/>
        <v>2400</v>
      </c>
      <c r="H84" s="8">
        <v>25000</v>
      </c>
      <c r="I84" s="45">
        <f t="shared" si="3"/>
        <v>8000</v>
      </c>
      <c r="J84" s="8">
        <v>25000</v>
      </c>
      <c r="K84" s="45">
        <f t="shared" si="4"/>
        <v>8000</v>
      </c>
      <c r="L84" s="8">
        <v>25000</v>
      </c>
      <c r="M84" s="9">
        <v>9</v>
      </c>
      <c r="N84" s="9">
        <v>16.100000000000001</v>
      </c>
      <c r="O84" s="9">
        <v>14</v>
      </c>
      <c r="P84" s="9">
        <v>19.5</v>
      </c>
      <c r="Q84" s="9">
        <v>2.6</v>
      </c>
      <c r="R84">
        <v>10</v>
      </c>
      <c r="S84">
        <v>1000</v>
      </c>
      <c r="T84" s="4">
        <f t="shared" si="5"/>
        <v>317.20978371993255</v>
      </c>
      <c r="U84">
        <v>16</v>
      </c>
    </row>
    <row r="85" spans="1:21">
      <c r="A85" s="44">
        <f t="shared" si="6"/>
        <v>45842.416666666468</v>
      </c>
      <c r="B85" s="45">
        <f t="shared" si="1"/>
        <v>8000</v>
      </c>
      <c r="C85" s="8">
        <v>25000</v>
      </c>
      <c r="D85" s="8">
        <v>0</v>
      </c>
      <c r="E85" s="8">
        <v>700</v>
      </c>
      <c r="F85" s="8">
        <v>7500</v>
      </c>
      <c r="G85" s="45">
        <f t="shared" si="2"/>
        <v>2400</v>
      </c>
      <c r="H85" s="8">
        <v>25000</v>
      </c>
      <c r="I85" s="45">
        <f t="shared" si="3"/>
        <v>8000</v>
      </c>
      <c r="J85" s="8">
        <v>25000</v>
      </c>
      <c r="K85" s="45">
        <f t="shared" si="4"/>
        <v>8000</v>
      </c>
      <c r="L85" s="8">
        <v>25000</v>
      </c>
      <c r="M85" s="9">
        <v>9</v>
      </c>
      <c r="N85" s="9">
        <v>16.100000000000001</v>
      </c>
      <c r="O85" s="9">
        <v>14</v>
      </c>
      <c r="P85" s="9">
        <v>19.5</v>
      </c>
      <c r="Q85" s="9">
        <v>2.7</v>
      </c>
      <c r="R85">
        <v>10</v>
      </c>
      <c r="S85">
        <v>1000</v>
      </c>
      <c r="T85" s="4">
        <f t="shared" si="5"/>
        <v>308.08347177749721</v>
      </c>
      <c r="U85">
        <v>82</v>
      </c>
    </row>
    <row r="86" spans="1:21">
      <c r="A86" s="44">
        <f t="shared" si="6"/>
        <v>45842.458333333132</v>
      </c>
      <c r="B86" s="45">
        <f t="shared" si="1"/>
        <v>8000</v>
      </c>
      <c r="C86" s="8">
        <v>25000</v>
      </c>
      <c r="D86" s="8">
        <v>0</v>
      </c>
      <c r="E86" s="8">
        <v>700</v>
      </c>
      <c r="F86" s="8">
        <v>7500</v>
      </c>
      <c r="G86" s="45">
        <f t="shared" si="2"/>
        <v>2400</v>
      </c>
      <c r="H86" s="8">
        <v>25000</v>
      </c>
      <c r="I86" s="45">
        <f t="shared" si="3"/>
        <v>8000</v>
      </c>
      <c r="J86" s="8">
        <v>25000</v>
      </c>
      <c r="K86" s="45">
        <f t="shared" si="4"/>
        <v>8000</v>
      </c>
      <c r="L86" s="8">
        <v>25000</v>
      </c>
      <c r="M86" s="9">
        <v>9</v>
      </c>
      <c r="N86" s="9">
        <v>16.100000000000001</v>
      </c>
      <c r="O86" s="9">
        <v>14</v>
      </c>
      <c r="P86" s="9">
        <v>19.5</v>
      </c>
      <c r="Q86" s="9">
        <v>2.4</v>
      </c>
      <c r="R86">
        <v>10</v>
      </c>
      <c r="S86">
        <v>1000</v>
      </c>
      <c r="T86" s="4">
        <f t="shared" si="5"/>
        <v>303.80551305448063</v>
      </c>
      <c r="U86">
        <v>79</v>
      </c>
    </row>
    <row r="87" spans="1:21">
      <c r="A87" s="44">
        <f t="shared" si="6"/>
        <v>45842.499999999796</v>
      </c>
      <c r="B87" s="45">
        <f t="shared" si="1"/>
        <v>8000</v>
      </c>
      <c r="C87" s="8">
        <v>25000</v>
      </c>
      <c r="D87" s="8">
        <v>0</v>
      </c>
      <c r="E87" s="8">
        <v>700</v>
      </c>
      <c r="F87" s="8">
        <v>7500</v>
      </c>
      <c r="G87" s="45">
        <f t="shared" si="2"/>
        <v>2400</v>
      </c>
      <c r="H87" s="8">
        <v>25000</v>
      </c>
      <c r="I87" s="45">
        <f t="shared" si="3"/>
        <v>8000</v>
      </c>
      <c r="J87" s="8">
        <v>25000</v>
      </c>
      <c r="K87" s="45">
        <f t="shared" si="4"/>
        <v>8000</v>
      </c>
      <c r="L87" s="8">
        <v>25000</v>
      </c>
      <c r="M87" s="9">
        <v>9</v>
      </c>
      <c r="N87" s="9">
        <v>16.100000000000001</v>
      </c>
      <c r="O87" s="9">
        <v>14</v>
      </c>
      <c r="P87" s="9">
        <v>19.5</v>
      </c>
      <c r="Q87" s="9">
        <v>2.9</v>
      </c>
      <c r="R87">
        <v>10</v>
      </c>
      <c r="S87">
        <v>1000</v>
      </c>
      <c r="T87" s="4">
        <f t="shared" si="5"/>
        <v>303.80551305448063</v>
      </c>
      <c r="U87">
        <v>20</v>
      </c>
    </row>
    <row r="88" spans="1:21">
      <c r="A88" s="44">
        <f t="shared" si="6"/>
        <v>45842.541666666461</v>
      </c>
      <c r="B88" s="45">
        <f t="shared" si="1"/>
        <v>8000</v>
      </c>
      <c r="C88" s="8">
        <v>25000</v>
      </c>
      <c r="D88" s="8">
        <v>0</v>
      </c>
      <c r="E88" s="8">
        <v>700</v>
      </c>
      <c r="F88" s="8">
        <v>7500</v>
      </c>
      <c r="G88" s="45">
        <f t="shared" si="2"/>
        <v>2400</v>
      </c>
      <c r="H88" s="8">
        <v>25000</v>
      </c>
      <c r="I88" s="45">
        <f t="shared" si="3"/>
        <v>8000</v>
      </c>
      <c r="J88" s="8">
        <v>25000</v>
      </c>
      <c r="K88" s="45">
        <f t="shared" si="4"/>
        <v>8000</v>
      </c>
      <c r="L88" s="8">
        <v>25000</v>
      </c>
      <c r="M88" s="9">
        <v>9</v>
      </c>
      <c r="N88" s="9">
        <v>16.100000000000001</v>
      </c>
      <c r="O88" s="9">
        <v>14</v>
      </c>
      <c r="P88" s="9">
        <v>19.5</v>
      </c>
      <c r="Q88" s="9">
        <v>3</v>
      </c>
      <c r="R88">
        <v>10</v>
      </c>
      <c r="S88">
        <v>1000</v>
      </c>
      <c r="T88" s="4">
        <f t="shared" si="5"/>
        <v>353.43040463596901</v>
      </c>
      <c r="U88">
        <v>86</v>
      </c>
    </row>
    <row r="89" spans="1:21">
      <c r="A89" s="44">
        <f t="shared" si="6"/>
        <v>45842.583333333125</v>
      </c>
      <c r="B89" s="45">
        <f t="shared" si="1"/>
        <v>8000</v>
      </c>
      <c r="C89" s="8">
        <v>25000</v>
      </c>
      <c r="D89" s="8">
        <v>0</v>
      </c>
      <c r="E89" s="8">
        <v>700</v>
      </c>
      <c r="F89" s="8">
        <v>7500</v>
      </c>
      <c r="G89" s="45">
        <f t="shared" si="2"/>
        <v>2400</v>
      </c>
      <c r="H89" s="8">
        <v>25000</v>
      </c>
      <c r="I89" s="45">
        <f t="shared" si="3"/>
        <v>8000</v>
      </c>
      <c r="J89" s="8">
        <v>25000</v>
      </c>
      <c r="K89" s="45">
        <f t="shared" si="4"/>
        <v>8000</v>
      </c>
      <c r="L89" s="8">
        <v>25000</v>
      </c>
      <c r="M89" s="9">
        <v>9</v>
      </c>
      <c r="N89" s="9">
        <v>16.100000000000001</v>
      </c>
      <c r="O89" s="9">
        <v>14</v>
      </c>
      <c r="P89" s="9">
        <v>19.5</v>
      </c>
      <c r="Q89" s="9">
        <v>2.5</v>
      </c>
      <c r="R89">
        <v>10</v>
      </c>
      <c r="S89">
        <v>1000</v>
      </c>
      <c r="T89" s="4">
        <f t="shared" si="5"/>
        <v>587.29100737188094</v>
      </c>
      <c r="U89">
        <v>66</v>
      </c>
    </row>
    <row r="90" spans="1:21">
      <c r="A90" s="44">
        <f t="shared" si="6"/>
        <v>45842.624999999789</v>
      </c>
      <c r="B90" s="45">
        <f t="shared" si="1"/>
        <v>8000</v>
      </c>
      <c r="C90" s="8">
        <v>25000</v>
      </c>
      <c r="D90" s="8">
        <v>0</v>
      </c>
      <c r="E90" s="8">
        <v>700</v>
      </c>
      <c r="F90" s="8">
        <v>7500</v>
      </c>
      <c r="G90" s="45">
        <f t="shared" si="2"/>
        <v>2400</v>
      </c>
      <c r="H90" s="8">
        <v>25000</v>
      </c>
      <c r="I90" s="45">
        <f t="shared" si="3"/>
        <v>8000</v>
      </c>
      <c r="J90" s="8">
        <v>25000</v>
      </c>
      <c r="K90" s="45">
        <f t="shared" si="4"/>
        <v>8000</v>
      </c>
      <c r="L90" s="8">
        <v>25000</v>
      </c>
      <c r="M90" s="9">
        <v>9</v>
      </c>
      <c r="N90" s="9">
        <v>16.100000000000001</v>
      </c>
      <c r="O90" s="9">
        <v>14</v>
      </c>
      <c r="P90" s="9">
        <v>19.5</v>
      </c>
      <c r="Q90" s="9">
        <v>2.8</v>
      </c>
      <c r="R90">
        <v>10</v>
      </c>
      <c r="S90">
        <v>1000</v>
      </c>
      <c r="T90" s="4">
        <f t="shared" si="5"/>
        <v>604.40284226394715</v>
      </c>
      <c r="U90">
        <v>36</v>
      </c>
    </row>
    <row r="91" spans="1:21">
      <c r="A91" s="44">
        <f t="shared" si="6"/>
        <v>45842.666666666453</v>
      </c>
      <c r="B91" s="45">
        <f t="shared" si="1"/>
        <v>8000</v>
      </c>
      <c r="C91" s="8">
        <v>25000</v>
      </c>
      <c r="D91" s="8">
        <v>0</v>
      </c>
      <c r="E91" s="8">
        <v>700</v>
      </c>
      <c r="F91" s="8">
        <v>7500</v>
      </c>
      <c r="G91" s="45">
        <f t="shared" si="2"/>
        <v>2400</v>
      </c>
      <c r="H91" s="8">
        <v>25000</v>
      </c>
      <c r="I91" s="45">
        <f t="shared" si="3"/>
        <v>8000</v>
      </c>
      <c r="J91" s="8">
        <v>25000</v>
      </c>
      <c r="K91" s="45">
        <f t="shared" si="4"/>
        <v>8000</v>
      </c>
      <c r="L91" s="8">
        <v>25000</v>
      </c>
      <c r="M91" s="9">
        <v>9</v>
      </c>
      <c r="N91" s="9">
        <v>16.100000000000001</v>
      </c>
      <c r="O91" s="9">
        <v>14</v>
      </c>
      <c r="P91" s="9">
        <v>19.5</v>
      </c>
      <c r="Q91" s="9">
        <v>2.8</v>
      </c>
      <c r="R91">
        <v>10</v>
      </c>
      <c r="S91">
        <v>1000</v>
      </c>
      <c r="T91" s="4">
        <f t="shared" si="5"/>
        <v>875.91062255139741</v>
      </c>
      <c r="U91">
        <v>29</v>
      </c>
    </row>
    <row r="92" spans="1:21">
      <c r="A92" s="44">
        <f t="shared" si="6"/>
        <v>45842.708333333117</v>
      </c>
      <c r="B92" s="45">
        <f t="shared" ref="B92:B155" si="7">B68</f>
        <v>8000</v>
      </c>
      <c r="C92" s="8">
        <v>25000</v>
      </c>
      <c r="D92" s="8">
        <v>0</v>
      </c>
      <c r="E92" s="8">
        <v>700</v>
      </c>
      <c r="F92" s="8">
        <v>7500</v>
      </c>
      <c r="G92" s="45">
        <f t="shared" ref="G92:G155" si="8">G68</f>
        <v>2400</v>
      </c>
      <c r="H92" s="8">
        <v>25000</v>
      </c>
      <c r="I92" s="45">
        <f t="shared" ref="I92:I155" si="9">I68</f>
        <v>8000</v>
      </c>
      <c r="J92" s="8">
        <v>25000</v>
      </c>
      <c r="K92" s="45">
        <f t="shared" ref="K92:K155" si="10">K68</f>
        <v>8000</v>
      </c>
      <c r="L92" s="8">
        <v>25000</v>
      </c>
      <c r="M92" s="9">
        <v>9</v>
      </c>
      <c r="N92" s="9">
        <v>16.100000000000001</v>
      </c>
      <c r="O92" s="9">
        <v>14</v>
      </c>
      <c r="P92" s="9">
        <v>19.5</v>
      </c>
      <c r="Q92" s="9">
        <v>2.6</v>
      </c>
      <c r="R92">
        <v>10</v>
      </c>
      <c r="S92">
        <v>1000</v>
      </c>
      <c r="T92" s="4">
        <f t="shared" ref="T92:T155" si="11">T68</f>
        <v>1116.9022972813298</v>
      </c>
      <c r="U92">
        <v>79</v>
      </c>
    </row>
    <row r="93" spans="1:21">
      <c r="A93" s="44">
        <f t="shared" si="6"/>
        <v>45842.749999999782</v>
      </c>
      <c r="B93" s="45">
        <f t="shared" si="7"/>
        <v>5000</v>
      </c>
      <c r="C93" s="8">
        <v>25000</v>
      </c>
      <c r="D93" s="8">
        <v>0</v>
      </c>
      <c r="E93" s="8">
        <v>700</v>
      </c>
      <c r="F93" s="8">
        <v>7500</v>
      </c>
      <c r="G93" s="45">
        <f t="shared" si="8"/>
        <v>2400</v>
      </c>
      <c r="H93" s="8">
        <v>25000</v>
      </c>
      <c r="I93" s="45">
        <f t="shared" si="9"/>
        <v>5000</v>
      </c>
      <c r="J93" s="8">
        <v>25000</v>
      </c>
      <c r="K93" s="45">
        <f t="shared" si="10"/>
        <v>5000</v>
      </c>
      <c r="L93" s="8">
        <v>25000</v>
      </c>
      <c r="M93" s="9">
        <v>9</v>
      </c>
      <c r="N93" s="9">
        <v>16.100000000000001</v>
      </c>
      <c r="O93" s="9">
        <v>14</v>
      </c>
      <c r="P93" s="9">
        <v>19.5</v>
      </c>
      <c r="Q93" s="9">
        <v>2.4</v>
      </c>
      <c r="R93">
        <v>10</v>
      </c>
      <c r="S93">
        <v>1000</v>
      </c>
      <c r="T93" s="4">
        <f t="shared" si="11"/>
        <v>1156.8299120294841</v>
      </c>
      <c r="U93">
        <v>91</v>
      </c>
    </row>
    <row r="94" spans="1:21">
      <c r="A94" s="44">
        <f t="shared" si="6"/>
        <v>45842.791666666446</v>
      </c>
      <c r="B94" s="45">
        <f t="shared" si="7"/>
        <v>5000</v>
      </c>
      <c r="C94" s="8">
        <v>25000</v>
      </c>
      <c r="D94" s="8">
        <v>0</v>
      </c>
      <c r="E94" s="8">
        <v>700</v>
      </c>
      <c r="F94" s="8">
        <v>7500</v>
      </c>
      <c r="G94" s="45">
        <f t="shared" si="8"/>
        <v>2400</v>
      </c>
      <c r="H94" s="8">
        <v>25000</v>
      </c>
      <c r="I94" s="45">
        <f t="shared" si="9"/>
        <v>5000</v>
      </c>
      <c r="J94" s="8">
        <v>25000</v>
      </c>
      <c r="K94" s="45">
        <f t="shared" si="10"/>
        <v>5000</v>
      </c>
      <c r="L94" s="8">
        <v>25000</v>
      </c>
      <c r="M94" s="9">
        <v>9</v>
      </c>
      <c r="N94" s="9">
        <v>16.100000000000001</v>
      </c>
      <c r="O94" s="9">
        <v>14</v>
      </c>
      <c r="P94" s="9">
        <v>19.5</v>
      </c>
      <c r="Q94" s="9">
        <v>2.4</v>
      </c>
      <c r="R94">
        <v>10</v>
      </c>
      <c r="S94">
        <v>1000</v>
      </c>
      <c r="T94" s="4">
        <f t="shared" si="11"/>
        <v>1156.8299120294841</v>
      </c>
      <c r="U94">
        <v>28</v>
      </c>
    </row>
    <row r="95" spans="1:21">
      <c r="A95" s="44">
        <f t="shared" si="6"/>
        <v>45842.83333333311</v>
      </c>
      <c r="B95" s="45">
        <f t="shared" si="7"/>
        <v>5000</v>
      </c>
      <c r="C95" s="8">
        <v>25000</v>
      </c>
      <c r="D95" s="8">
        <v>0</v>
      </c>
      <c r="E95" s="8">
        <v>700</v>
      </c>
      <c r="F95" s="8">
        <v>7500</v>
      </c>
      <c r="G95" s="45">
        <f t="shared" si="8"/>
        <v>2400</v>
      </c>
      <c r="H95" s="8">
        <v>25000</v>
      </c>
      <c r="I95" s="45">
        <f t="shared" si="9"/>
        <v>5000</v>
      </c>
      <c r="J95" s="8">
        <v>25000</v>
      </c>
      <c r="K95" s="45">
        <f t="shared" si="10"/>
        <v>5000</v>
      </c>
      <c r="L95" s="8">
        <v>25000</v>
      </c>
      <c r="M95" s="9">
        <v>9</v>
      </c>
      <c r="N95" s="9">
        <v>16.100000000000001</v>
      </c>
      <c r="O95" s="9">
        <v>14</v>
      </c>
      <c r="P95" s="9">
        <v>19.5</v>
      </c>
      <c r="Q95" s="9">
        <v>2.8</v>
      </c>
      <c r="R95">
        <v>10</v>
      </c>
      <c r="S95">
        <v>1000</v>
      </c>
      <c r="T95" s="4">
        <f t="shared" si="11"/>
        <v>1114.0503247993186</v>
      </c>
      <c r="U95">
        <v>22</v>
      </c>
    </row>
    <row r="96" spans="1:21">
      <c r="A96" s="44">
        <f t="shared" si="6"/>
        <v>45842.874999999774</v>
      </c>
      <c r="B96" s="45">
        <f t="shared" si="7"/>
        <v>5000</v>
      </c>
      <c r="C96" s="8">
        <v>25000</v>
      </c>
      <c r="D96" s="8">
        <v>0</v>
      </c>
      <c r="E96" s="8">
        <v>700</v>
      </c>
      <c r="F96" s="8">
        <v>7500</v>
      </c>
      <c r="G96" s="45">
        <f t="shared" si="8"/>
        <v>2400</v>
      </c>
      <c r="H96" s="8">
        <v>25000</v>
      </c>
      <c r="I96" s="45">
        <f t="shared" si="9"/>
        <v>5000</v>
      </c>
      <c r="J96" s="8">
        <v>25000</v>
      </c>
      <c r="K96" s="45">
        <f t="shared" si="10"/>
        <v>5000</v>
      </c>
      <c r="L96" s="8">
        <v>25000</v>
      </c>
      <c r="M96" s="9">
        <v>9</v>
      </c>
      <c r="N96" s="9">
        <v>16.100000000000001</v>
      </c>
      <c r="O96" s="9">
        <v>14</v>
      </c>
      <c r="P96" s="9">
        <v>19.5</v>
      </c>
      <c r="Q96" s="9">
        <v>3</v>
      </c>
      <c r="R96">
        <v>10</v>
      </c>
      <c r="S96">
        <v>1000</v>
      </c>
      <c r="T96" s="4">
        <f t="shared" si="11"/>
        <v>1034.1950953030096</v>
      </c>
      <c r="U96">
        <v>85</v>
      </c>
    </row>
    <row r="97" spans="1:21">
      <c r="A97" s="44">
        <f t="shared" si="6"/>
        <v>45842.916666666439</v>
      </c>
      <c r="B97" s="45">
        <f t="shared" si="7"/>
        <v>5000</v>
      </c>
      <c r="C97" s="8">
        <v>25000</v>
      </c>
      <c r="D97" s="8">
        <v>0</v>
      </c>
      <c r="E97" s="8">
        <v>700</v>
      </c>
      <c r="F97" s="8">
        <v>7500</v>
      </c>
      <c r="G97" s="45">
        <f t="shared" si="8"/>
        <v>2400</v>
      </c>
      <c r="H97" s="8">
        <v>25000</v>
      </c>
      <c r="I97" s="45">
        <f t="shared" si="9"/>
        <v>5000</v>
      </c>
      <c r="J97" s="8">
        <v>25000</v>
      </c>
      <c r="K97" s="45">
        <f t="shared" si="10"/>
        <v>5000</v>
      </c>
      <c r="L97" s="8">
        <v>25000</v>
      </c>
      <c r="M97" s="9">
        <v>9</v>
      </c>
      <c r="N97" s="9">
        <v>16.100000000000001</v>
      </c>
      <c r="O97" s="9">
        <v>14</v>
      </c>
      <c r="P97" s="9">
        <v>19.5</v>
      </c>
      <c r="Q97" s="9">
        <v>2.7</v>
      </c>
      <c r="R97">
        <v>10</v>
      </c>
      <c r="S97">
        <v>1000</v>
      </c>
      <c r="T97" s="4">
        <f t="shared" si="11"/>
        <v>807.46328298313267</v>
      </c>
      <c r="U97">
        <v>75</v>
      </c>
    </row>
    <row r="98" spans="1:21">
      <c r="A98" s="44">
        <f t="shared" si="6"/>
        <v>45842.958333333103</v>
      </c>
      <c r="B98" s="45">
        <f t="shared" si="7"/>
        <v>5000</v>
      </c>
      <c r="C98" s="8">
        <v>25000</v>
      </c>
      <c r="D98" s="8">
        <v>0</v>
      </c>
      <c r="E98" s="8">
        <v>700</v>
      </c>
      <c r="F98" s="8">
        <v>7500</v>
      </c>
      <c r="G98" s="45">
        <f t="shared" si="8"/>
        <v>2400</v>
      </c>
      <c r="H98" s="8">
        <v>25000</v>
      </c>
      <c r="I98" s="45">
        <f t="shared" si="9"/>
        <v>5000</v>
      </c>
      <c r="J98" s="8">
        <v>25000</v>
      </c>
      <c r="K98" s="45">
        <f t="shared" si="10"/>
        <v>5000</v>
      </c>
      <c r="L98" s="8">
        <v>25000</v>
      </c>
      <c r="M98" s="9">
        <v>9</v>
      </c>
      <c r="N98" s="9">
        <v>16.100000000000001</v>
      </c>
      <c r="O98" s="9">
        <v>14</v>
      </c>
      <c r="P98" s="9">
        <v>19.5</v>
      </c>
      <c r="Q98" s="9">
        <v>2.4</v>
      </c>
      <c r="R98">
        <v>10</v>
      </c>
      <c r="S98">
        <v>1000</v>
      </c>
      <c r="T98" s="4">
        <f t="shared" si="11"/>
        <v>442.69657292841788</v>
      </c>
      <c r="U98">
        <v>46</v>
      </c>
    </row>
    <row r="99" spans="1:21">
      <c r="A99" s="44">
        <f t="shared" si="6"/>
        <v>45842.999999999767</v>
      </c>
      <c r="B99" s="45">
        <f t="shared" si="7"/>
        <v>5000</v>
      </c>
      <c r="C99" s="8">
        <v>25000</v>
      </c>
      <c r="D99" s="8">
        <v>0</v>
      </c>
      <c r="E99" s="8">
        <v>700</v>
      </c>
      <c r="F99" s="8">
        <v>7500</v>
      </c>
      <c r="G99" s="45">
        <f t="shared" si="8"/>
        <v>2400</v>
      </c>
      <c r="H99" s="8">
        <v>25000</v>
      </c>
      <c r="I99" s="45">
        <f t="shared" si="9"/>
        <v>5000</v>
      </c>
      <c r="J99" s="8">
        <v>25000</v>
      </c>
      <c r="K99" s="45">
        <f t="shared" si="10"/>
        <v>5000</v>
      </c>
      <c r="L99" s="8">
        <v>25000</v>
      </c>
      <c r="M99" s="9">
        <v>9</v>
      </c>
      <c r="N99" s="9">
        <v>16.100000000000001</v>
      </c>
      <c r="O99" s="9">
        <v>14</v>
      </c>
      <c r="P99" s="9">
        <v>19.5</v>
      </c>
      <c r="Q99" s="9">
        <v>2.8</v>
      </c>
      <c r="R99">
        <v>10</v>
      </c>
      <c r="S99">
        <v>1000</v>
      </c>
      <c r="T99" s="4">
        <f t="shared" si="11"/>
        <v>442.69657292841788</v>
      </c>
      <c r="U99">
        <v>10</v>
      </c>
    </row>
    <row r="100" spans="1:21">
      <c r="A100" s="44">
        <f t="shared" si="6"/>
        <v>45843.041666666431</v>
      </c>
      <c r="B100" s="45">
        <f t="shared" si="7"/>
        <v>5000</v>
      </c>
      <c r="C100" s="8">
        <v>25000</v>
      </c>
      <c r="D100" s="8">
        <v>0</v>
      </c>
      <c r="E100" s="8">
        <v>700</v>
      </c>
      <c r="F100" s="8">
        <v>7500</v>
      </c>
      <c r="G100" s="45">
        <f t="shared" si="8"/>
        <v>2400</v>
      </c>
      <c r="H100" s="8">
        <v>25000</v>
      </c>
      <c r="I100" s="45">
        <f t="shared" si="9"/>
        <v>5000</v>
      </c>
      <c r="J100" s="8">
        <v>25000</v>
      </c>
      <c r="K100" s="45">
        <f t="shared" si="10"/>
        <v>5000</v>
      </c>
      <c r="L100" s="8">
        <v>25000</v>
      </c>
      <c r="M100" s="9">
        <v>9</v>
      </c>
      <c r="N100" s="9">
        <v>16.100000000000001</v>
      </c>
      <c r="O100" s="9">
        <v>14</v>
      </c>
      <c r="P100" s="9">
        <v>19.5</v>
      </c>
      <c r="Q100" s="9">
        <v>2.6</v>
      </c>
      <c r="R100">
        <v>10</v>
      </c>
      <c r="S100">
        <v>1000</v>
      </c>
      <c r="T100" s="4">
        <f t="shared" si="11"/>
        <v>362.27094893570683</v>
      </c>
      <c r="U100">
        <v>34</v>
      </c>
    </row>
    <row r="101" spans="1:21">
      <c r="A101" s="44">
        <f t="shared" si="6"/>
        <v>45843.083333333096</v>
      </c>
      <c r="B101" s="45">
        <f t="shared" si="7"/>
        <v>5000</v>
      </c>
      <c r="C101" s="8">
        <v>25000</v>
      </c>
      <c r="D101" s="8">
        <v>0</v>
      </c>
      <c r="E101" s="8">
        <v>700</v>
      </c>
      <c r="F101" s="8">
        <v>7500</v>
      </c>
      <c r="G101" s="45">
        <f t="shared" si="8"/>
        <v>2400</v>
      </c>
      <c r="H101" s="8">
        <v>25000</v>
      </c>
      <c r="I101" s="45">
        <f t="shared" si="9"/>
        <v>5000</v>
      </c>
      <c r="J101" s="8">
        <v>25000</v>
      </c>
      <c r="K101" s="45">
        <f t="shared" si="10"/>
        <v>5000</v>
      </c>
      <c r="L101" s="8">
        <v>25000</v>
      </c>
      <c r="M101" s="9">
        <v>9</v>
      </c>
      <c r="N101" s="9">
        <v>16.100000000000001</v>
      </c>
      <c r="O101" s="9">
        <v>14</v>
      </c>
      <c r="P101" s="9">
        <v>19.5</v>
      </c>
      <c r="Q101" s="9">
        <v>2.6</v>
      </c>
      <c r="R101">
        <v>10</v>
      </c>
      <c r="S101">
        <v>1000</v>
      </c>
      <c r="T101" s="4">
        <f t="shared" si="11"/>
        <v>362.27094893570683</v>
      </c>
      <c r="U101">
        <v>37</v>
      </c>
    </row>
    <row r="102" spans="1:21">
      <c r="A102" s="44">
        <f t="shared" si="6"/>
        <v>45843.12499999976</v>
      </c>
      <c r="B102" s="45">
        <f t="shared" si="7"/>
        <v>5000</v>
      </c>
      <c r="C102" s="8">
        <v>25000</v>
      </c>
      <c r="D102" s="8">
        <v>0</v>
      </c>
      <c r="E102" s="8">
        <v>700</v>
      </c>
      <c r="F102" s="8">
        <v>7500</v>
      </c>
      <c r="G102" s="45">
        <f t="shared" si="8"/>
        <v>2400</v>
      </c>
      <c r="H102" s="8">
        <v>25000</v>
      </c>
      <c r="I102" s="45">
        <f t="shared" si="9"/>
        <v>5000</v>
      </c>
      <c r="J102" s="8">
        <v>25000</v>
      </c>
      <c r="K102" s="45">
        <f t="shared" si="10"/>
        <v>5000</v>
      </c>
      <c r="L102" s="8">
        <v>25000</v>
      </c>
      <c r="M102" s="9">
        <v>9</v>
      </c>
      <c r="N102" s="9">
        <v>16.100000000000001</v>
      </c>
      <c r="O102" s="9">
        <v>14</v>
      </c>
      <c r="P102" s="9">
        <v>19.5</v>
      </c>
      <c r="Q102" s="9">
        <v>3</v>
      </c>
      <c r="R102">
        <v>10</v>
      </c>
      <c r="S102">
        <v>1000</v>
      </c>
      <c r="T102" s="4">
        <f t="shared" si="11"/>
        <v>362.27094893570683</v>
      </c>
      <c r="U102">
        <v>10</v>
      </c>
    </row>
    <row r="103" spans="1:21">
      <c r="A103" s="44">
        <f t="shared" si="6"/>
        <v>45843.166666666424</v>
      </c>
      <c r="B103" s="45">
        <f t="shared" si="7"/>
        <v>5000</v>
      </c>
      <c r="C103" s="8">
        <v>25000</v>
      </c>
      <c r="D103" s="8">
        <v>0</v>
      </c>
      <c r="E103" s="8">
        <v>700</v>
      </c>
      <c r="F103" s="8">
        <v>7500</v>
      </c>
      <c r="G103" s="45">
        <f t="shared" si="8"/>
        <v>2400</v>
      </c>
      <c r="H103" s="8">
        <v>25000</v>
      </c>
      <c r="I103" s="45">
        <f t="shared" si="9"/>
        <v>5000</v>
      </c>
      <c r="J103" s="8">
        <v>25000</v>
      </c>
      <c r="K103" s="45">
        <f t="shared" si="10"/>
        <v>5000</v>
      </c>
      <c r="L103" s="8">
        <v>25000</v>
      </c>
      <c r="M103" s="9">
        <v>9</v>
      </c>
      <c r="N103" s="9">
        <v>16.100000000000001</v>
      </c>
      <c r="O103" s="9">
        <v>14</v>
      </c>
      <c r="P103" s="9">
        <v>19.5</v>
      </c>
      <c r="Q103" s="9">
        <v>2.7</v>
      </c>
      <c r="R103">
        <v>10</v>
      </c>
      <c r="S103">
        <v>1000</v>
      </c>
      <c r="T103" s="4">
        <f t="shared" si="11"/>
        <v>426.44032978095498</v>
      </c>
      <c r="U103">
        <v>75</v>
      </c>
    </row>
    <row r="104" spans="1:21">
      <c r="A104" s="44">
        <f t="shared" si="6"/>
        <v>45843.208333333088</v>
      </c>
      <c r="B104" s="45">
        <f t="shared" si="7"/>
        <v>5000</v>
      </c>
      <c r="C104" s="8">
        <v>25000</v>
      </c>
      <c r="D104" s="8">
        <v>0</v>
      </c>
      <c r="E104" s="8">
        <v>700</v>
      </c>
      <c r="F104" s="8">
        <v>7500</v>
      </c>
      <c r="G104" s="45">
        <f t="shared" si="8"/>
        <v>2400</v>
      </c>
      <c r="H104" s="8">
        <v>25000</v>
      </c>
      <c r="I104" s="45">
        <f t="shared" si="9"/>
        <v>5000</v>
      </c>
      <c r="J104" s="8">
        <v>25000</v>
      </c>
      <c r="K104" s="45">
        <f t="shared" si="10"/>
        <v>5000</v>
      </c>
      <c r="L104" s="8">
        <v>25000</v>
      </c>
      <c r="M104" s="9">
        <v>9</v>
      </c>
      <c r="N104" s="9">
        <v>16.100000000000001</v>
      </c>
      <c r="O104" s="9">
        <v>14</v>
      </c>
      <c r="P104" s="9">
        <v>19.5</v>
      </c>
      <c r="Q104" s="9">
        <v>3</v>
      </c>
      <c r="R104">
        <v>10</v>
      </c>
      <c r="S104">
        <v>1000</v>
      </c>
      <c r="T104" s="4">
        <f t="shared" si="11"/>
        <v>362.27094893570683</v>
      </c>
      <c r="U104">
        <v>54</v>
      </c>
    </row>
    <row r="105" spans="1:21">
      <c r="A105" s="44">
        <f t="shared" si="6"/>
        <v>45843.249999999753</v>
      </c>
      <c r="B105" s="45">
        <f t="shared" si="7"/>
        <v>8000</v>
      </c>
      <c r="C105" s="8">
        <v>25000</v>
      </c>
      <c r="D105" s="8">
        <v>0</v>
      </c>
      <c r="E105" s="8">
        <v>700</v>
      </c>
      <c r="F105" s="8">
        <v>7500</v>
      </c>
      <c r="G105" s="45">
        <f t="shared" si="8"/>
        <v>2400</v>
      </c>
      <c r="H105" s="8">
        <v>25000</v>
      </c>
      <c r="I105" s="45">
        <f t="shared" si="9"/>
        <v>8000</v>
      </c>
      <c r="J105" s="8">
        <v>25000</v>
      </c>
      <c r="K105" s="45">
        <f t="shared" si="10"/>
        <v>8000</v>
      </c>
      <c r="L105" s="8">
        <v>25000</v>
      </c>
      <c r="M105" s="9">
        <v>9</v>
      </c>
      <c r="N105" s="9">
        <v>16.100000000000001</v>
      </c>
      <c r="O105" s="9">
        <v>14</v>
      </c>
      <c r="P105" s="9">
        <v>19.5</v>
      </c>
      <c r="Q105" s="9">
        <v>2.4</v>
      </c>
      <c r="R105">
        <v>10</v>
      </c>
      <c r="S105">
        <v>1000</v>
      </c>
      <c r="T105" s="4">
        <f t="shared" si="11"/>
        <v>304.3759075508828</v>
      </c>
      <c r="U105">
        <v>25</v>
      </c>
    </row>
    <row r="106" spans="1:21">
      <c r="A106" s="44">
        <f t="shared" si="6"/>
        <v>45843.291666666417</v>
      </c>
      <c r="B106" s="45">
        <f t="shared" si="7"/>
        <v>8000</v>
      </c>
      <c r="C106" s="8">
        <v>25000</v>
      </c>
      <c r="D106" s="8">
        <v>0</v>
      </c>
      <c r="E106" s="8">
        <v>700</v>
      </c>
      <c r="F106" s="8">
        <v>7500</v>
      </c>
      <c r="G106" s="45">
        <f t="shared" si="8"/>
        <v>2400</v>
      </c>
      <c r="H106" s="8">
        <v>25000</v>
      </c>
      <c r="I106" s="45">
        <f t="shared" si="9"/>
        <v>8000</v>
      </c>
      <c r="J106" s="8">
        <v>25000</v>
      </c>
      <c r="K106" s="45">
        <f t="shared" si="10"/>
        <v>8000</v>
      </c>
      <c r="L106" s="8">
        <v>25000</v>
      </c>
      <c r="M106" s="9">
        <v>9</v>
      </c>
      <c r="N106" s="9">
        <v>16.100000000000001</v>
      </c>
      <c r="O106" s="9">
        <v>14</v>
      </c>
      <c r="P106" s="9">
        <v>19.5</v>
      </c>
      <c r="Q106" s="9">
        <v>2.4</v>
      </c>
      <c r="R106">
        <v>10</v>
      </c>
      <c r="S106">
        <v>1000</v>
      </c>
      <c r="T106" s="4">
        <f t="shared" si="11"/>
        <v>280.13414145378908</v>
      </c>
      <c r="U106">
        <v>22</v>
      </c>
    </row>
    <row r="107" spans="1:21">
      <c r="A107" s="44">
        <f t="shared" si="6"/>
        <v>45843.333333333081</v>
      </c>
      <c r="B107" s="45">
        <f t="shared" si="7"/>
        <v>8000</v>
      </c>
      <c r="C107" s="8">
        <v>25000</v>
      </c>
      <c r="D107" s="8">
        <v>0</v>
      </c>
      <c r="E107" s="8">
        <v>700</v>
      </c>
      <c r="F107" s="8">
        <v>7500</v>
      </c>
      <c r="G107" s="45">
        <f t="shared" si="8"/>
        <v>2400</v>
      </c>
      <c r="H107" s="8">
        <v>25000</v>
      </c>
      <c r="I107" s="45">
        <f t="shared" si="9"/>
        <v>8000</v>
      </c>
      <c r="J107" s="8">
        <v>25000</v>
      </c>
      <c r="K107" s="45">
        <f t="shared" si="10"/>
        <v>8000</v>
      </c>
      <c r="L107" s="8">
        <v>25000</v>
      </c>
      <c r="M107" s="9">
        <v>9</v>
      </c>
      <c r="N107" s="9">
        <v>16.100000000000001</v>
      </c>
      <c r="O107" s="9">
        <v>14</v>
      </c>
      <c r="P107" s="9">
        <v>19.5</v>
      </c>
      <c r="Q107" s="9">
        <v>2.7</v>
      </c>
      <c r="R107">
        <v>10</v>
      </c>
      <c r="S107">
        <v>1000</v>
      </c>
      <c r="T107" s="4">
        <f t="shared" si="11"/>
        <v>294.39400386384426</v>
      </c>
      <c r="U107">
        <v>50</v>
      </c>
    </row>
    <row r="108" spans="1:21">
      <c r="A108" s="44">
        <f t="shared" si="6"/>
        <v>45843.374999999745</v>
      </c>
      <c r="B108" s="45">
        <f t="shared" si="7"/>
        <v>8000</v>
      </c>
      <c r="C108" s="8">
        <v>25000</v>
      </c>
      <c r="D108" s="8">
        <v>0</v>
      </c>
      <c r="E108" s="8">
        <v>700</v>
      </c>
      <c r="F108" s="8">
        <v>7500</v>
      </c>
      <c r="G108" s="45">
        <f t="shared" si="8"/>
        <v>2400</v>
      </c>
      <c r="H108" s="8">
        <v>25000</v>
      </c>
      <c r="I108" s="45">
        <f t="shared" si="9"/>
        <v>8000</v>
      </c>
      <c r="J108" s="8">
        <v>25000</v>
      </c>
      <c r="K108" s="45">
        <f t="shared" si="10"/>
        <v>8000</v>
      </c>
      <c r="L108" s="8">
        <v>25000</v>
      </c>
      <c r="M108" s="9">
        <v>9</v>
      </c>
      <c r="N108" s="9">
        <v>16.100000000000001</v>
      </c>
      <c r="O108" s="9">
        <v>14</v>
      </c>
      <c r="P108" s="9">
        <v>19.5</v>
      </c>
      <c r="Q108" s="9">
        <v>2.9</v>
      </c>
      <c r="R108">
        <v>10</v>
      </c>
      <c r="S108">
        <v>1000</v>
      </c>
      <c r="T108" s="4">
        <f t="shared" si="11"/>
        <v>317.20978371993255</v>
      </c>
      <c r="U108">
        <v>64</v>
      </c>
    </row>
    <row r="109" spans="1:21">
      <c r="A109" s="44">
        <f t="shared" si="6"/>
        <v>45843.41666666641</v>
      </c>
      <c r="B109" s="45">
        <f t="shared" si="7"/>
        <v>8000</v>
      </c>
      <c r="C109" s="8">
        <v>25000</v>
      </c>
      <c r="D109" s="8">
        <v>0</v>
      </c>
      <c r="E109" s="8">
        <v>700</v>
      </c>
      <c r="F109" s="8">
        <v>7500</v>
      </c>
      <c r="G109" s="45">
        <f t="shared" si="8"/>
        <v>2400</v>
      </c>
      <c r="H109" s="8">
        <v>25000</v>
      </c>
      <c r="I109" s="45">
        <f t="shared" si="9"/>
        <v>8000</v>
      </c>
      <c r="J109" s="8">
        <v>25000</v>
      </c>
      <c r="K109" s="45">
        <f t="shared" si="10"/>
        <v>8000</v>
      </c>
      <c r="L109" s="8">
        <v>25000</v>
      </c>
      <c r="M109" s="9">
        <v>9</v>
      </c>
      <c r="N109" s="9">
        <v>16.100000000000001</v>
      </c>
      <c r="O109" s="9">
        <v>14</v>
      </c>
      <c r="P109" s="9">
        <v>19.5</v>
      </c>
      <c r="Q109" s="9">
        <v>2.7</v>
      </c>
      <c r="R109">
        <v>10</v>
      </c>
      <c r="S109">
        <v>1000</v>
      </c>
      <c r="T109" s="4">
        <f t="shared" si="11"/>
        <v>308.08347177749721</v>
      </c>
      <c r="U109">
        <v>75</v>
      </c>
    </row>
    <row r="110" spans="1:21">
      <c r="A110" s="44">
        <f t="shared" si="6"/>
        <v>45843.458333333074</v>
      </c>
      <c r="B110" s="45">
        <f t="shared" si="7"/>
        <v>8000</v>
      </c>
      <c r="C110" s="8">
        <v>25000</v>
      </c>
      <c r="D110" s="8">
        <v>0</v>
      </c>
      <c r="E110" s="8">
        <v>700</v>
      </c>
      <c r="F110" s="8">
        <v>7500</v>
      </c>
      <c r="G110" s="45">
        <f t="shared" si="8"/>
        <v>2400</v>
      </c>
      <c r="H110" s="8">
        <v>25000</v>
      </c>
      <c r="I110" s="45">
        <f t="shared" si="9"/>
        <v>8000</v>
      </c>
      <c r="J110" s="8">
        <v>25000</v>
      </c>
      <c r="K110" s="45">
        <f t="shared" si="10"/>
        <v>8000</v>
      </c>
      <c r="L110" s="8">
        <v>25000</v>
      </c>
      <c r="M110" s="9">
        <v>9</v>
      </c>
      <c r="N110" s="9">
        <v>16.100000000000001</v>
      </c>
      <c r="O110" s="9">
        <v>14</v>
      </c>
      <c r="P110" s="9">
        <v>19.5</v>
      </c>
      <c r="Q110" s="9">
        <v>2.6</v>
      </c>
      <c r="R110">
        <v>10</v>
      </c>
      <c r="S110">
        <v>1000</v>
      </c>
      <c r="T110" s="4">
        <f t="shared" si="11"/>
        <v>303.80551305448063</v>
      </c>
      <c r="U110">
        <v>66</v>
      </c>
    </row>
    <row r="111" spans="1:21">
      <c r="A111" s="44">
        <f t="shared" si="6"/>
        <v>45843.499999999738</v>
      </c>
      <c r="B111" s="45">
        <f t="shared" si="7"/>
        <v>8000</v>
      </c>
      <c r="C111" s="8">
        <v>25000</v>
      </c>
      <c r="D111" s="8">
        <v>0</v>
      </c>
      <c r="E111" s="8">
        <v>700</v>
      </c>
      <c r="F111" s="8">
        <v>7500</v>
      </c>
      <c r="G111" s="45">
        <f t="shared" si="8"/>
        <v>2400</v>
      </c>
      <c r="H111" s="8">
        <v>25000</v>
      </c>
      <c r="I111" s="45">
        <f t="shared" si="9"/>
        <v>8000</v>
      </c>
      <c r="J111" s="8">
        <v>25000</v>
      </c>
      <c r="K111" s="45">
        <f t="shared" si="10"/>
        <v>8000</v>
      </c>
      <c r="L111" s="8">
        <v>25000</v>
      </c>
      <c r="M111" s="9">
        <v>9</v>
      </c>
      <c r="N111" s="9">
        <v>16.100000000000001</v>
      </c>
      <c r="O111" s="9">
        <v>14</v>
      </c>
      <c r="P111" s="9">
        <v>19.5</v>
      </c>
      <c r="Q111" s="9">
        <v>2.6</v>
      </c>
      <c r="R111">
        <v>10</v>
      </c>
      <c r="S111">
        <v>1000</v>
      </c>
      <c r="T111" s="4">
        <f t="shared" si="11"/>
        <v>303.80551305448063</v>
      </c>
      <c r="U111">
        <v>80</v>
      </c>
    </row>
    <row r="112" spans="1:21">
      <c r="A112" s="44">
        <f t="shared" si="6"/>
        <v>45843.541666666402</v>
      </c>
      <c r="B112" s="45">
        <f t="shared" si="7"/>
        <v>8000</v>
      </c>
      <c r="C112" s="8">
        <v>25000</v>
      </c>
      <c r="D112" s="8">
        <v>0</v>
      </c>
      <c r="E112" s="8">
        <v>700</v>
      </c>
      <c r="F112" s="8">
        <v>7500</v>
      </c>
      <c r="G112" s="45">
        <f t="shared" si="8"/>
        <v>2400</v>
      </c>
      <c r="H112" s="8">
        <v>25000</v>
      </c>
      <c r="I112" s="45">
        <f t="shared" si="9"/>
        <v>8000</v>
      </c>
      <c r="J112" s="8">
        <v>25000</v>
      </c>
      <c r="K112" s="45">
        <f t="shared" si="10"/>
        <v>8000</v>
      </c>
      <c r="L112" s="8">
        <v>25000</v>
      </c>
      <c r="M112" s="9">
        <v>9</v>
      </c>
      <c r="N112" s="9">
        <v>16.100000000000001</v>
      </c>
      <c r="O112" s="9">
        <v>14</v>
      </c>
      <c r="P112" s="9">
        <v>19.5</v>
      </c>
      <c r="Q112" s="9">
        <v>2.7</v>
      </c>
      <c r="R112">
        <v>10</v>
      </c>
      <c r="S112">
        <v>1000</v>
      </c>
      <c r="T112" s="4">
        <f t="shared" si="11"/>
        <v>353.43040463596901</v>
      </c>
      <c r="U112">
        <v>81</v>
      </c>
    </row>
    <row r="113" spans="1:21">
      <c r="A113" s="44">
        <f t="shared" si="6"/>
        <v>45843.583333333067</v>
      </c>
      <c r="B113" s="45">
        <f t="shared" si="7"/>
        <v>8000</v>
      </c>
      <c r="C113" s="8">
        <v>25000</v>
      </c>
      <c r="D113" s="8">
        <v>0</v>
      </c>
      <c r="E113" s="8">
        <v>700</v>
      </c>
      <c r="F113" s="8">
        <v>7500</v>
      </c>
      <c r="G113" s="45">
        <f t="shared" si="8"/>
        <v>2400</v>
      </c>
      <c r="H113" s="8">
        <v>25000</v>
      </c>
      <c r="I113" s="45">
        <f t="shared" si="9"/>
        <v>8000</v>
      </c>
      <c r="J113" s="8">
        <v>25000</v>
      </c>
      <c r="K113" s="45">
        <f t="shared" si="10"/>
        <v>8000</v>
      </c>
      <c r="L113" s="8">
        <v>25000</v>
      </c>
      <c r="M113" s="9">
        <v>9</v>
      </c>
      <c r="N113" s="9">
        <v>16.100000000000001</v>
      </c>
      <c r="O113" s="9">
        <v>14</v>
      </c>
      <c r="P113" s="9">
        <v>19.5</v>
      </c>
      <c r="Q113" s="9">
        <v>2.4</v>
      </c>
      <c r="R113">
        <v>10</v>
      </c>
      <c r="S113">
        <v>1000</v>
      </c>
      <c r="T113" s="4">
        <f t="shared" si="11"/>
        <v>587.29100737188094</v>
      </c>
      <c r="U113">
        <v>79</v>
      </c>
    </row>
    <row r="114" spans="1:21">
      <c r="A114" s="44">
        <f t="shared" si="6"/>
        <v>45843.624999999731</v>
      </c>
      <c r="B114" s="45">
        <f t="shared" si="7"/>
        <v>8000</v>
      </c>
      <c r="C114" s="8">
        <v>25000</v>
      </c>
      <c r="D114" s="8">
        <v>0</v>
      </c>
      <c r="E114" s="8">
        <v>700</v>
      </c>
      <c r="F114" s="8">
        <v>7500</v>
      </c>
      <c r="G114" s="45">
        <f t="shared" si="8"/>
        <v>2400</v>
      </c>
      <c r="H114" s="8">
        <v>25000</v>
      </c>
      <c r="I114" s="45">
        <f t="shared" si="9"/>
        <v>8000</v>
      </c>
      <c r="J114" s="8">
        <v>25000</v>
      </c>
      <c r="K114" s="45">
        <f t="shared" si="10"/>
        <v>8000</v>
      </c>
      <c r="L114" s="8">
        <v>25000</v>
      </c>
      <c r="M114" s="9">
        <v>9</v>
      </c>
      <c r="N114" s="9">
        <v>16.100000000000001</v>
      </c>
      <c r="O114" s="9">
        <v>14</v>
      </c>
      <c r="P114" s="9">
        <v>19.5</v>
      </c>
      <c r="Q114" s="9">
        <v>3</v>
      </c>
      <c r="R114">
        <v>10</v>
      </c>
      <c r="S114">
        <v>1000</v>
      </c>
      <c r="T114" s="4">
        <f t="shared" si="11"/>
        <v>604.40284226394715</v>
      </c>
      <c r="U114">
        <v>79</v>
      </c>
    </row>
    <row r="115" spans="1:21">
      <c r="A115" s="44">
        <f t="shared" si="6"/>
        <v>45843.666666666395</v>
      </c>
      <c r="B115" s="45">
        <f t="shared" si="7"/>
        <v>8000</v>
      </c>
      <c r="C115" s="8">
        <v>25000</v>
      </c>
      <c r="D115" s="8">
        <v>0</v>
      </c>
      <c r="E115" s="8">
        <v>700</v>
      </c>
      <c r="F115" s="8">
        <v>7500</v>
      </c>
      <c r="G115" s="45">
        <f t="shared" si="8"/>
        <v>2400</v>
      </c>
      <c r="H115" s="8">
        <v>25000</v>
      </c>
      <c r="I115" s="45">
        <f t="shared" si="9"/>
        <v>8000</v>
      </c>
      <c r="J115" s="8">
        <v>25000</v>
      </c>
      <c r="K115" s="45">
        <f t="shared" si="10"/>
        <v>8000</v>
      </c>
      <c r="L115" s="8">
        <v>25000</v>
      </c>
      <c r="M115" s="9">
        <v>9</v>
      </c>
      <c r="N115" s="9">
        <v>16.100000000000001</v>
      </c>
      <c r="O115" s="9">
        <v>14</v>
      </c>
      <c r="P115" s="9">
        <v>19.5</v>
      </c>
      <c r="Q115" s="9">
        <v>2.4</v>
      </c>
      <c r="R115">
        <v>10</v>
      </c>
      <c r="S115">
        <v>1000</v>
      </c>
      <c r="T115" s="4">
        <f t="shared" si="11"/>
        <v>875.91062255139741</v>
      </c>
      <c r="U115">
        <v>11</v>
      </c>
    </row>
    <row r="116" spans="1:21">
      <c r="A116" s="44">
        <f t="shared" si="6"/>
        <v>45843.708333333059</v>
      </c>
      <c r="B116" s="45">
        <f t="shared" si="7"/>
        <v>8000</v>
      </c>
      <c r="C116" s="8">
        <v>25000</v>
      </c>
      <c r="D116" s="8">
        <v>0</v>
      </c>
      <c r="E116" s="8">
        <v>700</v>
      </c>
      <c r="F116" s="8">
        <v>7500</v>
      </c>
      <c r="G116" s="45">
        <f t="shared" si="8"/>
        <v>2400</v>
      </c>
      <c r="H116" s="8">
        <v>25000</v>
      </c>
      <c r="I116" s="45">
        <f t="shared" si="9"/>
        <v>8000</v>
      </c>
      <c r="J116" s="8">
        <v>25000</v>
      </c>
      <c r="K116" s="45">
        <f t="shared" si="10"/>
        <v>8000</v>
      </c>
      <c r="L116" s="8">
        <v>25000</v>
      </c>
      <c r="M116" s="9">
        <v>9</v>
      </c>
      <c r="N116" s="9">
        <v>16.100000000000001</v>
      </c>
      <c r="O116" s="9">
        <v>14</v>
      </c>
      <c r="P116" s="9">
        <v>19.5</v>
      </c>
      <c r="Q116" s="9">
        <v>2.6</v>
      </c>
      <c r="R116">
        <v>10</v>
      </c>
      <c r="S116">
        <v>1000</v>
      </c>
      <c r="T116" s="4">
        <f t="shared" si="11"/>
        <v>1116.9022972813298</v>
      </c>
      <c r="U116">
        <v>72</v>
      </c>
    </row>
    <row r="117" spans="1:21">
      <c r="A117" s="44">
        <f t="shared" si="6"/>
        <v>45843.749999999724</v>
      </c>
      <c r="B117" s="45">
        <f t="shared" si="7"/>
        <v>5000</v>
      </c>
      <c r="C117" s="8">
        <v>25000</v>
      </c>
      <c r="D117" s="8">
        <v>0</v>
      </c>
      <c r="E117" s="8">
        <v>700</v>
      </c>
      <c r="F117" s="8">
        <v>7500</v>
      </c>
      <c r="G117" s="45">
        <f t="shared" si="8"/>
        <v>2400</v>
      </c>
      <c r="H117" s="8">
        <v>25000</v>
      </c>
      <c r="I117" s="45">
        <f t="shared" si="9"/>
        <v>5000</v>
      </c>
      <c r="J117" s="8">
        <v>25000</v>
      </c>
      <c r="K117" s="45">
        <f t="shared" si="10"/>
        <v>5000</v>
      </c>
      <c r="L117" s="8">
        <v>25000</v>
      </c>
      <c r="M117" s="9">
        <v>9</v>
      </c>
      <c r="N117" s="9">
        <v>16.100000000000001</v>
      </c>
      <c r="O117" s="9">
        <v>14</v>
      </c>
      <c r="P117" s="9">
        <v>19.5</v>
      </c>
      <c r="Q117" s="9">
        <v>2.6</v>
      </c>
      <c r="R117">
        <v>10</v>
      </c>
      <c r="S117">
        <v>1000</v>
      </c>
      <c r="T117" s="4">
        <f t="shared" si="11"/>
        <v>1156.8299120294841</v>
      </c>
      <c r="U117">
        <v>29</v>
      </c>
    </row>
    <row r="118" spans="1:21">
      <c r="A118" s="44">
        <f t="shared" si="6"/>
        <v>45843.791666666388</v>
      </c>
      <c r="B118" s="45">
        <f t="shared" si="7"/>
        <v>5000</v>
      </c>
      <c r="C118" s="8">
        <v>25000</v>
      </c>
      <c r="D118" s="8">
        <v>0</v>
      </c>
      <c r="E118" s="8">
        <v>700</v>
      </c>
      <c r="F118" s="8">
        <v>7500</v>
      </c>
      <c r="G118" s="45">
        <f t="shared" si="8"/>
        <v>2400</v>
      </c>
      <c r="H118" s="8">
        <v>25000</v>
      </c>
      <c r="I118" s="45">
        <f t="shared" si="9"/>
        <v>5000</v>
      </c>
      <c r="J118" s="8">
        <v>25000</v>
      </c>
      <c r="K118" s="45">
        <f t="shared" si="10"/>
        <v>5000</v>
      </c>
      <c r="L118" s="8">
        <v>25000</v>
      </c>
      <c r="M118" s="9">
        <v>9</v>
      </c>
      <c r="N118" s="9">
        <v>16.100000000000001</v>
      </c>
      <c r="O118" s="9">
        <v>14</v>
      </c>
      <c r="P118" s="9">
        <v>19.5</v>
      </c>
      <c r="Q118" s="9">
        <v>3</v>
      </c>
      <c r="R118">
        <v>10</v>
      </c>
      <c r="S118">
        <v>1000</v>
      </c>
      <c r="T118" s="4">
        <f t="shared" si="11"/>
        <v>1156.8299120294841</v>
      </c>
      <c r="U118">
        <v>59</v>
      </c>
    </row>
    <row r="119" spans="1:21">
      <c r="A119" s="44">
        <f t="shared" si="6"/>
        <v>45843.833333333052</v>
      </c>
      <c r="B119" s="45">
        <f t="shared" si="7"/>
        <v>5000</v>
      </c>
      <c r="C119" s="8">
        <v>25000</v>
      </c>
      <c r="D119" s="8">
        <v>0</v>
      </c>
      <c r="E119" s="8">
        <v>700</v>
      </c>
      <c r="F119" s="8">
        <v>7500</v>
      </c>
      <c r="G119" s="45">
        <f t="shared" si="8"/>
        <v>2400</v>
      </c>
      <c r="H119" s="8">
        <v>25000</v>
      </c>
      <c r="I119" s="45">
        <f t="shared" si="9"/>
        <v>5000</v>
      </c>
      <c r="J119" s="8">
        <v>25000</v>
      </c>
      <c r="K119" s="45">
        <f t="shared" si="10"/>
        <v>5000</v>
      </c>
      <c r="L119" s="8">
        <v>25000</v>
      </c>
      <c r="M119" s="9">
        <v>9</v>
      </c>
      <c r="N119" s="9">
        <v>16.100000000000001</v>
      </c>
      <c r="O119" s="9">
        <v>14</v>
      </c>
      <c r="P119" s="9">
        <v>19.5</v>
      </c>
      <c r="Q119" s="9">
        <v>3</v>
      </c>
      <c r="R119">
        <v>10</v>
      </c>
      <c r="S119">
        <v>1000</v>
      </c>
      <c r="T119" s="4">
        <f t="shared" si="11"/>
        <v>1114.0503247993186</v>
      </c>
      <c r="U119">
        <v>53</v>
      </c>
    </row>
    <row r="120" spans="1:21">
      <c r="A120" s="44">
        <f t="shared" si="6"/>
        <v>45843.874999999716</v>
      </c>
      <c r="B120" s="45">
        <f t="shared" si="7"/>
        <v>5000</v>
      </c>
      <c r="C120" s="8">
        <v>25000</v>
      </c>
      <c r="D120" s="8">
        <v>0</v>
      </c>
      <c r="E120" s="8">
        <v>700</v>
      </c>
      <c r="F120" s="8">
        <v>7500</v>
      </c>
      <c r="G120" s="45">
        <f t="shared" si="8"/>
        <v>2400</v>
      </c>
      <c r="H120" s="8">
        <v>25000</v>
      </c>
      <c r="I120" s="45">
        <f t="shared" si="9"/>
        <v>5000</v>
      </c>
      <c r="J120" s="8">
        <v>25000</v>
      </c>
      <c r="K120" s="45">
        <f t="shared" si="10"/>
        <v>5000</v>
      </c>
      <c r="L120" s="8">
        <v>25000</v>
      </c>
      <c r="M120" s="9">
        <v>9</v>
      </c>
      <c r="N120" s="9">
        <v>16.100000000000001</v>
      </c>
      <c r="O120" s="9">
        <v>14</v>
      </c>
      <c r="P120" s="9">
        <v>19.5</v>
      </c>
      <c r="Q120" s="9">
        <v>2.8</v>
      </c>
      <c r="R120">
        <v>10</v>
      </c>
      <c r="S120">
        <v>1000</v>
      </c>
      <c r="T120" s="4">
        <f t="shared" si="11"/>
        <v>1034.1950953030096</v>
      </c>
      <c r="U120">
        <v>62</v>
      </c>
    </row>
    <row r="121" spans="1:21">
      <c r="A121" s="44">
        <f t="shared" si="6"/>
        <v>45843.91666666638</v>
      </c>
      <c r="B121" s="45">
        <f t="shared" si="7"/>
        <v>5000</v>
      </c>
      <c r="C121" s="8">
        <v>25000</v>
      </c>
      <c r="D121" s="8">
        <v>0</v>
      </c>
      <c r="E121" s="8">
        <v>700</v>
      </c>
      <c r="F121" s="8">
        <v>7500</v>
      </c>
      <c r="G121" s="45">
        <f t="shared" si="8"/>
        <v>2400</v>
      </c>
      <c r="H121" s="8">
        <v>25000</v>
      </c>
      <c r="I121" s="45">
        <f t="shared" si="9"/>
        <v>5000</v>
      </c>
      <c r="J121" s="8">
        <v>25000</v>
      </c>
      <c r="K121" s="45">
        <f t="shared" si="10"/>
        <v>5000</v>
      </c>
      <c r="L121" s="8">
        <v>25000</v>
      </c>
      <c r="M121" s="9">
        <v>9</v>
      </c>
      <c r="N121" s="9">
        <v>16.100000000000001</v>
      </c>
      <c r="O121" s="9">
        <v>14</v>
      </c>
      <c r="P121" s="9">
        <v>19.5</v>
      </c>
      <c r="Q121" s="9">
        <v>3</v>
      </c>
      <c r="R121">
        <v>10</v>
      </c>
      <c r="S121">
        <v>1000</v>
      </c>
      <c r="T121" s="4">
        <f t="shared" si="11"/>
        <v>807.46328298313267</v>
      </c>
      <c r="U121">
        <v>83</v>
      </c>
    </row>
    <row r="122" spans="1:21">
      <c r="A122" s="44">
        <f t="shared" si="6"/>
        <v>45843.958333333045</v>
      </c>
      <c r="B122" s="45">
        <f t="shared" si="7"/>
        <v>5000</v>
      </c>
      <c r="C122" s="8">
        <v>25000</v>
      </c>
      <c r="D122" s="8">
        <v>0</v>
      </c>
      <c r="E122" s="8">
        <v>700</v>
      </c>
      <c r="F122" s="8">
        <v>7500</v>
      </c>
      <c r="G122" s="45">
        <f t="shared" si="8"/>
        <v>2400</v>
      </c>
      <c r="H122" s="8">
        <v>25000</v>
      </c>
      <c r="I122" s="45">
        <f t="shared" si="9"/>
        <v>5000</v>
      </c>
      <c r="J122" s="8">
        <v>25000</v>
      </c>
      <c r="K122" s="45">
        <f t="shared" si="10"/>
        <v>5000</v>
      </c>
      <c r="L122" s="8">
        <v>25000</v>
      </c>
      <c r="M122" s="9">
        <v>9</v>
      </c>
      <c r="N122" s="9">
        <v>16.100000000000001</v>
      </c>
      <c r="O122" s="9">
        <v>14</v>
      </c>
      <c r="P122" s="9">
        <v>19.5</v>
      </c>
      <c r="Q122" s="9">
        <v>3</v>
      </c>
      <c r="R122">
        <v>10</v>
      </c>
      <c r="S122">
        <v>1000</v>
      </c>
      <c r="T122" s="4">
        <f t="shared" si="11"/>
        <v>442.69657292841788</v>
      </c>
      <c r="U122">
        <v>93</v>
      </c>
    </row>
    <row r="123" spans="1:21">
      <c r="A123" s="44">
        <f t="shared" si="6"/>
        <v>45843.999999999709</v>
      </c>
      <c r="B123" s="45">
        <f t="shared" si="7"/>
        <v>5000</v>
      </c>
      <c r="C123" s="8">
        <v>25000</v>
      </c>
      <c r="D123" s="8">
        <v>0</v>
      </c>
      <c r="E123" s="8">
        <v>700</v>
      </c>
      <c r="F123" s="8">
        <v>7500</v>
      </c>
      <c r="G123" s="45">
        <f t="shared" si="8"/>
        <v>2400</v>
      </c>
      <c r="H123" s="8">
        <v>25000</v>
      </c>
      <c r="I123" s="45">
        <f t="shared" si="9"/>
        <v>5000</v>
      </c>
      <c r="J123" s="8">
        <v>25000</v>
      </c>
      <c r="K123" s="45">
        <f t="shared" si="10"/>
        <v>5000</v>
      </c>
      <c r="L123" s="8">
        <v>25000</v>
      </c>
      <c r="M123" s="9">
        <v>9</v>
      </c>
      <c r="N123" s="9">
        <v>16.100000000000001</v>
      </c>
      <c r="O123" s="9">
        <v>14</v>
      </c>
      <c r="P123" s="9">
        <v>19.5</v>
      </c>
      <c r="Q123" s="9">
        <v>2.7</v>
      </c>
      <c r="R123">
        <v>10</v>
      </c>
      <c r="S123">
        <v>1000</v>
      </c>
      <c r="T123" s="4">
        <f t="shared" si="11"/>
        <v>442.69657292841788</v>
      </c>
      <c r="U123">
        <v>26</v>
      </c>
    </row>
    <row r="124" spans="1:21">
      <c r="A124" s="44">
        <f t="shared" si="6"/>
        <v>45844.041666666373</v>
      </c>
      <c r="B124" s="45">
        <f t="shared" si="7"/>
        <v>5000</v>
      </c>
      <c r="C124" s="8">
        <v>25000</v>
      </c>
      <c r="D124" s="8">
        <v>0</v>
      </c>
      <c r="E124" s="8">
        <v>700</v>
      </c>
      <c r="F124" s="8">
        <v>7500</v>
      </c>
      <c r="G124" s="45">
        <f t="shared" si="8"/>
        <v>2400</v>
      </c>
      <c r="H124" s="8">
        <v>25000</v>
      </c>
      <c r="I124" s="45">
        <f t="shared" si="9"/>
        <v>5000</v>
      </c>
      <c r="J124" s="8">
        <v>25000</v>
      </c>
      <c r="K124" s="45">
        <f t="shared" si="10"/>
        <v>5000</v>
      </c>
      <c r="L124" s="8">
        <v>25000</v>
      </c>
      <c r="M124" s="9">
        <v>9</v>
      </c>
      <c r="N124" s="9">
        <v>16.100000000000001</v>
      </c>
      <c r="O124" s="9">
        <v>14</v>
      </c>
      <c r="P124" s="9">
        <v>19.5</v>
      </c>
      <c r="Q124" s="9">
        <v>2.8</v>
      </c>
      <c r="R124">
        <v>10</v>
      </c>
      <c r="S124">
        <v>1000</v>
      </c>
      <c r="T124" s="4">
        <f t="shared" si="11"/>
        <v>362.27094893570683</v>
      </c>
      <c r="U124">
        <v>55</v>
      </c>
    </row>
    <row r="125" spans="1:21">
      <c r="A125" s="44">
        <f t="shared" si="6"/>
        <v>45844.083333333037</v>
      </c>
      <c r="B125" s="45">
        <f t="shared" si="7"/>
        <v>5000</v>
      </c>
      <c r="C125" s="8">
        <v>25000</v>
      </c>
      <c r="D125" s="8">
        <v>0</v>
      </c>
      <c r="E125" s="8">
        <v>700</v>
      </c>
      <c r="F125" s="8">
        <v>7500</v>
      </c>
      <c r="G125" s="45">
        <f t="shared" si="8"/>
        <v>2400</v>
      </c>
      <c r="H125" s="8">
        <v>25000</v>
      </c>
      <c r="I125" s="45">
        <f t="shared" si="9"/>
        <v>5000</v>
      </c>
      <c r="J125" s="8">
        <v>25000</v>
      </c>
      <c r="K125" s="45">
        <f t="shared" si="10"/>
        <v>5000</v>
      </c>
      <c r="L125" s="8">
        <v>25000</v>
      </c>
      <c r="M125" s="9">
        <v>9</v>
      </c>
      <c r="N125" s="9">
        <v>16.100000000000001</v>
      </c>
      <c r="O125" s="9">
        <v>14</v>
      </c>
      <c r="P125" s="9">
        <v>19.5</v>
      </c>
      <c r="Q125" s="9">
        <v>2.5</v>
      </c>
      <c r="R125">
        <v>10</v>
      </c>
      <c r="S125">
        <v>1000</v>
      </c>
      <c r="T125" s="4">
        <f t="shared" si="11"/>
        <v>362.27094893570683</v>
      </c>
      <c r="U125">
        <v>74</v>
      </c>
    </row>
    <row r="126" spans="1:21">
      <c r="A126" s="44">
        <f t="shared" si="6"/>
        <v>45844.124999999702</v>
      </c>
      <c r="B126" s="45">
        <f t="shared" si="7"/>
        <v>5000</v>
      </c>
      <c r="C126" s="8">
        <v>25000</v>
      </c>
      <c r="D126" s="8">
        <v>0</v>
      </c>
      <c r="E126" s="8">
        <v>700</v>
      </c>
      <c r="F126" s="8">
        <v>7500</v>
      </c>
      <c r="G126" s="45">
        <f t="shared" si="8"/>
        <v>2400</v>
      </c>
      <c r="H126" s="8">
        <v>25000</v>
      </c>
      <c r="I126" s="45">
        <f t="shared" si="9"/>
        <v>5000</v>
      </c>
      <c r="J126" s="8">
        <v>25000</v>
      </c>
      <c r="K126" s="45">
        <f t="shared" si="10"/>
        <v>5000</v>
      </c>
      <c r="L126" s="8">
        <v>25000</v>
      </c>
      <c r="M126" s="9">
        <v>9</v>
      </c>
      <c r="N126" s="9">
        <v>16.100000000000001</v>
      </c>
      <c r="O126" s="9">
        <v>14</v>
      </c>
      <c r="P126" s="9">
        <v>19.5</v>
      </c>
      <c r="Q126" s="9">
        <v>2.6</v>
      </c>
      <c r="R126">
        <v>10</v>
      </c>
      <c r="S126">
        <v>1000</v>
      </c>
      <c r="T126" s="4">
        <f t="shared" si="11"/>
        <v>362.27094893570683</v>
      </c>
      <c r="U126">
        <v>22</v>
      </c>
    </row>
    <row r="127" spans="1:21">
      <c r="A127" s="44">
        <f t="shared" si="6"/>
        <v>45844.166666666366</v>
      </c>
      <c r="B127" s="45">
        <f t="shared" si="7"/>
        <v>5000</v>
      </c>
      <c r="C127" s="8">
        <v>25000</v>
      </c>
      <c r="D127" s="8">
        <v>0</v>
      </c>
      <c r="E127" s="8">
        <v>700</v>
      </c>
      <c r="F127" s="8">
        <v>7500</v>
      </c>
      <c r="G127" s="45">
        <f t="shared" si="8"/>
        <v>2400</v>
      </c>
      <c r="H127" s="8">
        <v>25000</v>
      </c>
      <c r="I127" s="45">
        <f t="shared" si="9"/>
        <v>5000</v>
      </c>
      <c r="J127" s="8">
        <v>25000</v>
      </c>
      <c r="K127" s="45">
        <f t="shared" si="10"/>
        <v>5000</v>
      </c>
      <c r="L127" s="8">
        <v>25000</v>
      </c>
      <c r="M127" s="9">
        <v>9</v>
      </c>
      <c r="N127" s="9">
        <v>16.100000000000001</v>
      </c>
      <c r="O127" s="9">
        <v>14</v>
      </c>
      <c r="P127" s="9">
        <v>19.5</v>
      </c>
      <c r="Q127" s="9">
        <v>3</v>
      </c>
      <c r="R127">
        <v>10</v>
      </c>
      <c r="S127">
        <v>1000</v>
      </c>
      <c r="T127" s="4">
        <f t="shared" si="11"/>
        <v>426.44032978095498</v>
      </c>
      <c r="U127">
        <v>39</v>
      </c>
    </row>
    <row r="128" spans="1:21">
      <c r="A128" s="44">
        <f t="shared" si="6"/>
        <v>45844.20833333303</v>
      </c>
      <c r="B128" s="45">
        <f t="shared" si="7"/>
        <v>5000</v>
      </c>
      <c r="C128" s="8">
        <v>25000</v>
      </c>
      <c r="D128" s="8">
        <v>0</v>
      </c>
      <c r="E128" s="8">
        <v>700</v>
      </c>
      <c r="F128" s="8">
        <v>7500</v>
      </c>
      <c r="G128" s="45">
        <f t="shared" si="8"/>
        <v>2400</v>
      </c>
      <c r="H128" s="8">
        <v>25000</v>
      </c>
      <c r="I128" s="45">
        <f t="shared" si="9"/>
        <v>5000</v>
      </c>
      <c r="J128" s="8">
        <v>25000</v>
      </c>
      <c r="K128" s="45">
        <f t="shared" si="10"/>
        <v>5000</v>
      </c>
      <c r="L128" s="8">
        <v>25000</v>
      </c>
      <c r="M128" s="9">
        <v>9</v>
      </c>
      <c r="N128" s="9">
        <v>16.100000000000001</v>
      </c>
      <c r="O128" s="9">
        <v>14</v>
      </c>
      <c r="P128" s="9">
        <v>19.5</v>
      </c>
      <c r="Q128" s="9">
        <v>2.4</v>
      </c>
      <c r="R128">
        <v>10</v>
      </c>
      <c r="S128">
        <v>1000</v>
      </c>
      <c r="T128" s="4">
        <f t="shared" si="11"/>
        <v>362.27094893570683</v>
      </c>
      <c r="U128">
        <v>76</v>
      </c>
    </row>
    <row r="129" spans="1:21">
      <c r="A129" s="44">
        <f t="shared" si="6"/>
        <v>45844.249999999694</v>
      </c>
      <c r="B129" s="45">
        <f t="shared" si="7"/>
        <v>8000</v>
      </c>
      <c r="C129" s="8">
        <v>25000</v>
      </c>
      <c r="D129" s="8">
        <v>0</v>
      </c>
      <c r="E129" s="8">
        <v>700</v>
      </c>
      <c r="F129" s="8">
        <v>7500</v>
      </c>
      <c r="G129" s="45">
        <f t="shared" si="8"/>
        <v>2400</v>
      </c>
      <c r="H129" s="8">
        <v>25000</v>
      </c>
      <c r="I129" s="45">
        <f t="shared" si="9"/>
        <v>8000</v>
      </c>
      <c r="J129" s="8">
        <v>25000</v>
      </c>
      <c r="K129" s="45">
        <f t="shared" si="10"/>
        <v>8000</v>
      </c>
      <c r="L129" s="8">
        <v>25000</v>
      </c>
      <c r="M129" s="9">
        <v>9</v>
      </c>
      <c r="N129" s="9">
        <v>16.100000000000001</v>
      </c>
      <c r="O129" s="9">
        <v>14</v>
      </c>
      <c r="P129" s="9">
        <v>19.5</v>
      </c>
      <c r="Q129" s="9">
        <v>2.9</v>
      </c>
      <c r="R129">
        <v>10</v>
      </c>
      <c r="S129">
        <v>1000</v>
      </c>
      <c r="T129" s="4">
        <f t="shared" si="11"/>
        <v>304.3759075508828</v>
      </c>
      <c r="U129">
        <v>49</v>
      </c>
    </row>
    <row r="130" spans="1:21">
      <c r="A130" s="44">
        <f t="shared" si="6"/>
        <v>45844.291666666359</v>
      </c>
      <c r="B130" s="45">
        <f t="shared" si="7"/>
        <v>8000</v>
      </c>
      <c r="C130" s="8">
        <v>25000</v>
      </c>
      <c r="D130" s="8">
        <v>0</v>
      </c>
      <c r="E130" s="8">
        <v>700</v>
      </c>
      <c r="F130" s="8">
        <v>7500</v>
      </c>
      <c r="G130" s="45">
        <f t="shared" si="8"/>
        <v>2400</v>
      </c>
      <c r="H130" s="8">
        <v>25000</v>
      </c>
      <c r="I130" s="45">
        <f t="shared" si="9"/>
        <v>8000</v>
      </c>
      <c r="J130" s="8">
        <v>25000</v>
      </c>
      <c r="K130" s="45">
        <f t="shared" si="10"/>
        <v>8000</v>
      </c>
      <c r="L130" s="8">
        <v>25000</v>
      </c>
      <c r="M130" s="9">
        <v>9</v>
      </c>
      <c r="N130" s="9">
        <v>16.100000000000001</v>
      </c>
      <c r="O130" s="9">
        <v>14</v>
      </c>
      <c r="P130" s="9">
        <v>19.5</v>
      </c>
      <c r="Q130" s="9">
        <v>2.6</v>
      </c>
      <c r="R130">
        <v>10</v>
      </c>
      <c r="S130">
        <v>1000</v>
      </c>
      <c r="T130" s="4">
        <f t="shared" si="11"/>
        <v>280.13414145378908</v>
      </c>
      <c r="U130">
        <v>31</v>
      </c>
    </row>
    <row r="131" spans="1:21">
      <c r="A131" s="44">
        <f t="shared" si="6"/>
        <v>45844.333333333023</v>
      </c>
      <c r="B131" s="45">
        <f t="shared" si="7"/>
        <v>8000</v>
      </c>
      <c r="C131" s="8">
        <v>25000</v>
      </c>
      <c r="D131" s="8">
        <v>0</v>
      </c>
      <c r="E131" s="8">
        <v>700</v>
      </c>
      <c r="F131" s="8">
        <v>7500</v>
      </c>
      <c r="G131" s="45">
        <f t="shared" si="8"/>
        <v>2400</v>
      </c>
      <c r="H131" s="8">
        <v>25000</v>
      </c>
      <c r="I131" s="45">
        <f t="shared" si="9"/>
        <v>8000</v>
      </c>
      <c r="J131" s="8">
        <v>25000</v>
      </c>
      <c r="K131" s="45">
        <f t="shared" si="10"/>
        <v>8000</v>
      </c>
      <c r="L131" s="8">
        <v>25000</v>
      </c>
      <c r="M131" s="9">
        <v>9</v>
      </c>
      <c r="N131" s="9">
        <v>16.100000000000001</v>
      </c>
      <c r="O131" s="9">
        <v>14</v>
      </c>
      <c r="P131" s="9">
        <v>19.5</v>
      </c>
      <c r="Q131" s="9">
        <v>3</v>
      </c>
      <c r="R131">
        <v>10</v>
      </c>
      <c r="S131">
        <v>1000</v>
      </c>
      <c r="T131" s="4">
        <f t="shared" si="11"/>
        <v>294.39400386384426</v>
      </c>
      <c r="U131">
        <v>25</v>
      </c>
    </row>
    <row r="132" spans="1:21">
      <c r="A132" s="44">
        <f t="shared" si="6"/>
        <v>45844.374999999687</v>
      </c>
      <c r="B132" s="45">
        <f t="shared" si="7"/>
        <v>8000</v>
      </c>
      <c r="C132" s="8">
        <v>25000</v>
      </c>
      <c r="D132" s="8">
        <v>0</v>
      </c>
      <c r="E132" s="8">
        <v>700</v>
      </c>
      <c r="F132" s="8">
        <v>7500</v>
      </c>
      <c r="G132" s="45">
        <f t="shared" si="8"/>
        <v>2400</v>
      </c>
      <c r="H132" s="8">
        <v>25000</v>
      </c>
      <c r="I132" s="45">
        <f t="shared" si="9"/>
        <v>8000</v>
      </c>
      <c r="J132" s="8">
        <v>25000</v>
      </c>
      <c r="K132" s="45">
        <f t="shared" si="10"/>
        <v>8000</v>
      </c>
      <c r="L132" s="8">
        <v>25000</v>
      </c>
      <c r="M132" s="9">
        <v>9</v>
      </c>
      <c r="N132" s="9">
        <v>16.100000000000001</v>
      </c>
      <c r="O132" s="9">
        <v>14</v>
      </c>
      <c r="P132" s="9">
        <v>19.5</v>
      </c>
      <c r="Q132" s="9">
        <v>3</v>
      </c>
      <c r="R132">
        <v>10</v>
      </c>
      <c r="S132">
        <v>1000</v>
      </c>
      <c r="T132" s="4">
        <f t="shared" si="11"/>
        <v>317.20978371993255</v>
      </c>
      <c r="U132">
        <v>74</v>
      </c>
    </row>
    <row r="133" spans="1:21">
      <c r="A133" s="44">
        <f t="shared" ref="A133:A196" si="12">A132+TIME(1,0,0)</f>
        <v>45844.416666666351</v>
      </c>
      <c r="B133" s="45">
        <f t="shared" si="7"/>
        <v>8000</v>
      </c>
      <c r="C133" s="8">
        <v>25000</v>
      </c>
      <c r="D133" s="8">
        <v>0</v>
      </c>
      <c r="E133" s="8">
        <v>700</v>
      </c>
      <c r="F133" s="8">
        <v>7500</v>
      </c>
      <c r="G133" s="45">
        <f t="shared" si="8"/>
        <v>2400</v>
      </c>
      <c r="H133" s="8">
        <v>25000</v>
      </c>
      <c r="I133" s="45">
        <f t="shared" si="9"/>
        <v>8000</v>
      </c>
      <c r="J133" s="8">
        <v>25000</v>
      </c>
      <c r="K133" s="45">
        <f t="shared" si="10"/>
        <v>8000</v>
      </c>
      <c r="L133" s="8">
        <v>25000</v>
      </c>
      <c r="M133" s="9">
        <v>9</v>
      </c>
      <c r="N133" s="9">
        <v>16.100000000000001</v>
      </c>
      <c r="O133" s="9">
        <v>14</v>
      </c>
      <c r="P133" s="9">
        <v>19.5</v>
      </c>
      <c r="Q133" s="9">
        <v>2.8</v>
      </c>
      <c r="R133">
        <v>10</v>
      </c>
      <c r="S133">
        <v>1000</v>
      </c>
      <c r="T133" s="4">
        <f t="shared" si="11"/>
        <v>308.08347177749721</v>
      </c>
      <c r="U133">
        <v>51</v>
      </c>
    </row>
    <row r="134" spans="1:21">
      <c r="A134" s="44">
        <f t="shared" si="12"/>
        <v>45844.458333333016</v>
      </c>
      <c r="B134" s="45">
        <f t="shared" si="7"/>
        <v>8000</v>
      </c>
      <c r="C134" s="8">
        <v>25000</v>
      </c>
      <c r="D134" s="8">
        <v>0</v>
      </c>
      <c r="E134" s="8">
        <v>700</v>
      </c>
      <c r="F134" s="8">
        <v>7500</v>
      </c>
      <c r="G134" s="45">
        <f t="shared" si="8"/>
        <v>2400</v>
      </c>
      <c r="H134" s="8">
        <v>25000</v>
      </c>
      <c r="I134" s="45">
        <f t="shared" si="9"/>
        <v>8000</v>
      </c>
      <c r="J134" s="8">
        <v>25000</v>
      </c>
      <c r="K134" s="45">
        <f t="shared" si="10"/>
        <v>8000</v>
      </c>
      <c r="L134" s="8">
        <v>25000</v>
      </c>
      <c r="M134" s="9">
        <v>9</v>
      </c>
      <c r="N134" s="9">
        <v>16.100000000000001</v>
      </c>
      <c r="O134" s="9">
        <v>14</v>
      </c>
      <c r="P134" s="9">
        <v>19.5</v>
      </c>
      <c r="Q134" s="9">
        <v>2.8</v>
      </c>
      <c r="R134">
        <v>10</v>
      </c>
      <c r="S134">
        <v>1000</v>
      </c>
      <c r="T134" s="4">
        <f t="shared" si="11"/>
        <v>303.80551305448063</v>
      </c>
      <c r="U134">
        <v>18</v>
      </c>
    </row>
    <row r="135" spans="1:21">
      <c r="A135" s="44">
        <f t="shared" si="12"/>
        <v>45844.49999999968</v>
      </c>
      <c r="B135" s="45">
        <f t="shared" si="7"/>
        <v>8000</v>
      </c>
      <c r="C135" s="8">
        <v>25000</v>
      </c>
      <c r="D135" s="8">
        <v>0</v>
      </c>
      <c r="E135" s="8">
        <v>700</v>
      </c>
      <c r="F135" s="8">
        <v>7500</v>
      </c>
      <c r="G135" s="45">
        <f t="shared" si="8"/>
        <v>2400</v>
      </c>
      <c r="H135" s="8">
        <v>25000</v>
      </c>
      <c r="I135" s="45">
        <f t="shared" si="9"/>
        <v>8000</v>
      </c>
      <c r="J135" s="8">
        <v>25000</v>
      </c>
      <c r="K135" s="45">
        <f t="shared" si="10"/>
        <v>8000</v>
      </c>
      <c r="L135" s="8">
        <v>25000</v>
      </c>
      <c r="M135" s="9">
        <v>9</v>
      </c>
      <c r="N135" s="9">
        <v>16.100000000000001</v>
      </c>
      <c r="O135" s="9">
        <v>14</v>
      </c>
      <c r="P135" s="9">
        <v>19.5</v>
      </c>
      <c r="Q135" s="9">
        <v>2.6</v>
      </c>
      <c r="R135">
        <v>10</v>
      </c>
      <c r="S135">
        <v>1000</v>
      </c>
      <c r="T135" s="4">
        <f t="shared" si="11"/>
        <v>303.80551305448063</v>
      </c>
      <c r="U135">
        <v>66</v>
      </c>
    </row>
    <row r="136" spans="1:21">
      <c r="A136" s="44">
        <f t="shared" si="12"/>
        <v>45844.541666666344</v>
      </c>
      <c r="B136" s="45">
        <f t="shared" si="7"/>
        <v>8000</v>
      </c>
      <c r="C136" s="8">
        <v>25000</v>
      </c>
      <c r="D136" s="8">
        <v>0</v>
      </c>
      <c r="E136" s="8">
        <v>700</v>
      </c>
      <c r="F136" s="8">
        <v>7500</v>
      </c>
      <c r="G136" s="45">
        <f t="shared" si="8"/>
        <v>2400</v>
      </c>
      <c r="H136" s="8">
        <v>25000</v>
      </c>
      <c r="I136" s="45">
        <f t="shared" si="9"/>
        <v>8000</v>
      </c>
      <c r="J136" s="8">
        <v>25000</v>
      </c>
      <c r="K136" s="45">
        <f t="shared" si="10"/>
        <v>8000</v>
      </c>
      <c r="L136" s="8">
        <v>25000</v>
      </c>
      <c r="M136" s="9">
        <v>9</v>
      </c>
      <c r="N136" s="9">
        <v>16.100000000000001</v>
      </c>
      <c r="O136" s="9">
        <v>14</v>
      </c>
      <c r="P136" s="9">
        <v>19.5</v>
      </c>
      <c r="Q136" s="9">
        <v>2.5</v>
      </c>
      <c r="R136">
        <v>10</v>
      </c>
      <c r="S136">
        <v>1000</v>
      </c>
      <c r="T136" s="4">
        <f t="shared" si="11"/>
        <v>353.43040463596901</v>
      </c>
      <c r="U136">
        <v>46</v>
      </c>
    </row>
    <row r="137" spans="1:21">
      <c r="A137" s="44">
        <f t="shared" si="12"/>
        <v>45844.583333333008</v>
      </c>
      <c r="B137" s="45">
        <f t="shared" si="7"/>
        <v>8000</v>
      </c>
      <c r="C137" s="8">
        <v>25000</v>
      </c>
      <c r="D137" s="8">
        <v>0</v>
      </c>
      <c r="E137" s="8">
        <v>700</v>
      </c>
      <c r="F137" s="8">
        <v>7500</v>
      </c>
      <c r="G137" s="45">
        <f t="shared" si="8"/>
        <v>2400</v>
      </c>
      <c r="H137" s="8">
        <v>25000</v>
      </c>
      <c r="I137" s="45">
        <f t="shared" si="9"/>
        <v>8000</v>
      </c>
      <c r="J137" s="8">
        <v>25000</v>
      </c>
      <c r="K137" s="45">
        <f t="shared" si="10"/>
        <v>8000</v>
      </c>
      <c r="L137" s="8">
        <v>25000</v>
      </c>
      <c r="M137" s="9">
        <v>9</v>
      </c>
      <c r="N137" s="9">
        <v>16.100000000000001</v>
      </c>
      <c r="O137" s="9">
        <v>14</v>
      </c>
      <c r="P137" s="9">
        <v>19.5</v>
      </c>
      <c r="Q137" s="9">
        <v>2.4</v>
      </c>
      <c r="R137">
        <v>10</v>
      </c>
      <c r="S137">
        <v>1000</v>
      </c>
      <c r="T137" s="4">
        <f t="shared" si="11"/>
        <v>587.29100737188094</v>
      </c>
      <c r="U137">
        <v>42</v>
      </c>
    </row>
    <row r="138" spans="1:21">
      <c r="A138" s="44">
        <f t="shared" si="12"/>
        <v>45844.624999999673</v>
      </c>
      <c r="B138" s="45">
        <f t="shared" si="7"/>
        <v>8000</v>
      </c>
      <c r="C138" s="8">
        <v>25000</v>
      </c>
      <c r="D138" s="8">
        <v>0</v>
      </c>
      <c r="E138" s="8">
        <v>700</v>
      </c>
      <c r="F138" s="8">
        <v>7500</v>
      </c>
      <c r="G138" s="45">
        <f t="shared" si="8"/>
        <v>2400</v>
      </c>
      <c r="H138" s="8">
        <v>25000</v>
      </c>
      <c r="I138" s="45">
        <f t="shared" si="9"/>
        <v>8000</v>
      </c>
      <c r="J138" s="8">
        <v>25000</v>
      </c>
      <c r="K138" s="45">
        <f t="shared" si="10"/>
        <v>8000</v>
      </c>
      <c r="L138" s="8">
        <v>25000</v>
      </c>
      <c r="M138" s="9">
        <v>9</v>
      </c>
      <c r="N138" s="9">
        <v>16.100000000000001</v>
      </c>
      <c r="O138" s="9">
        <v>14</v>
      </c>
      <c r="P138" s="9">
        <v>19.5</v>
      </c>
      <c r="Q138" s="9">
        <v>2.7</v>
      </c>
      <c r="R138">
        <v>10</v>
      </c>
      <c r="S138">
        <v>1000</v>
      </c>
      <c r="T138" s="4">
        <f t="shared" si="11"/>
        <v>604.40284226394715</v>
      </c>
      <c r="U138">
        <v>21</v>
      </c>
    </row>
    <row r="139" spans="1:21">
      <c r="A139" s="44">
        <f t="shared" si="12"/>
        <v>45844.666666666337</v>
      </c>
      <c r="B139" s="45">
        <f t="shared" si="7"/>
        <v>8000</v>
      </c>
      <c r="C139" s="8">
        <v>25000</v>
      </c>
      <c r="D139" s="8">
        <v>0</v>
      </c>
      <c r="E139" s="8">
        <v>700</v>
      </c>
      <c r="F139" s="8">
        <v>7500</v>
      </c>
      <c r="G139" s="45">
        <f t="shared" si="8"/>
        <v>2400</v>
      </c>
      <c r="H139" s="8">
        <v>25000</v>
      </c>
      <c r="I139" s="45">
        <f t="shared" si="9"/>
        <v>8000</v>
      </c>
      <c r="J139" s="8">
        <v>25000</v>
      </c>
      <c r="K139" s="45">
        <f t="shared" si="10"/>
        <v>8000</v>
      </c>
      <c r="L139" s="8">
        <v>25000</v>
      </c>
      <c r="M139" s="9">
        <v>9</v>
      </c>
      <c r="N139" s="9">
        <v>16.100000000000001</v>
      </c>
      <c r="O139" s="9">
        <v>14</v>
      </c>
      <c r="P139" s="9">
        <v>19.5</v>
      </c>
      <c r="Q139" s="9">
        <v>3</v>
      </c>
      <c r="R139">
        <v>10</v>
      </c>
      <c r="S139">
        <v>1000</v>
      </c>
      <c r="T139" s="4">
        <f t="shared" si="11"/>
        <v>875.91062255139741</v>
      </c>
      <c r="U139">
        <v>12</v>
      </c>
    </row>
    <row r="140" spans="1:21">
      <c r="A140" s="44">
        <f t="shared" si="12"/>
        <v>45844.708333333001</v>
      </c>
      <c r="B140" s="45">
        <f t="shared" si="7"/>
        <v>8000</v>
      </c>
      <c r="C140" s="8">
        <v>25000</v>
      </c>
      <c r="D140" s="8">
        <v>0</v>
      </c>
      <c r="E140" s="8">
        <v>700</v>
      </c>
      <c r="F140" s="8">
        <v>7500</v>
      </c>
      <c r="G140" s="45">
        <f t="shared" si="8"/>
        <v>2400</v>
      </c>
      <c r="H140" s="8">
        <v>25000</v>
      </c>
      <c r="I140" s="45">
        <f t="shared" si="9"/>
        <v>8000</v>
      </c>
      <c r="J140" s="8">
        <v>25000</v>
      </c>
      <c r="K140" s="45">
        <f t="shared" si="10"/>
        <v>8000</v>
      </c>
      <c r="L140" s="8">
        <v>25000</v>
      </c>
      <c r="M140" s="9">
        <v>9</v>
      </c>
      <c r="N140" s="9">
        <v>16.100000000000001</v>
      </c>
      <c r="O140" s="9">
        <v>14</v>
      </c>
      <c r="P140" s="9">
        <v>19.5</v>
      </c>
      <c r="Q140" s="9">
        <v>2.7</v>
      </c>
      <c r="R140">
        <v>10</v>
      </c>
      <c r="S140">
        <v>1000</v>
      </c>
      <c r="T140" s="4">
        <f t="shared" si="11"/>
        <v>1116.9022972813298</v>
      </c>
      <c r="U140">
        <v>30</v>
      </c>
    </row>
    <row r="141" spans="1:21">
      <c r="A141" s="44">
        <f t="shared" si="12"/>
        <v>45844.749999999665</v>
      </c>
      <c r="B141" s="45">
        <f t="shared" si="7"/>
        <v>5000</v>
      </c>
      <c r="C141" s="8">
        <v>25000</v>
      </c>
      <c r="D141" s="8">
        <v>0</v>
      </c>
      <c r="E141" s="8">
        <v>700</v>
      </c>
      <c r="F141" s="8">
        <v>7500</v>
      </c>
      <c r="G141" s="45">
        <f t="shared" si="8"/>
        <v>2400</v>
      </c>
      <c r="H141" s="8">
        <v>25000</v>
      </c>
      <c r="I141" s="45">
        <f t="shared" si="9"/>
        <v>5000</v>
      </c>
      <c r="J141" s="8">
        <v>25000</v>
      </c>
      <c r="K141" s="45">
        <f t="shared" si="10"/>
        <v>5000</v>
      </c>
      <c r="L141" s="8">
        <v>25000</v>
      </c>
      <c r="M141" s="9">
        <v>9</v>
      </c>
      <c r="N141" s="9">
        <v>16.100000000000001</v>
      </c>
      <c r="O141" s="9">
        <v>14</v>
      </c>
      <c r="P141" s="9">
        <v>19.5</v>
      </c>
      <c r="Q141" s="9">
        <v>2.6</v>
      </c>
      <c r="R141">
        <v>10</v>
      </c>
      <c r="S141">
        <v>1000</v>
      </c>
      <c r="T141" s="4">
        <f t="shared" si="11"/>
        <v>1156.8299120294841</v>
      </c>
      <c r="U141">
        <v>67</v>
      </c>
    </row>
    <row r="142" spans="1:21">
      <c r="A142" s="44">
        <f t="shared" si="12"/>
        <v>45844.79166666633</v>
      </c>
      <c r="B142" s="45">
        <f t="shared" si="7"/>
        <v>5000</v>
      </c>
      <c r="C142" s="8">
        <v>25000</v>
      </c>
      <c r="D142" s="8">
        <v>0</v>
      </c>
      <c r="E142" s="8">
        <v>700</v>
      </c>
      <c r="F142" s="8">
        <v>7500</v>
      </c>
      <c r="G142" s="45">
        <f t="shared" si="8"/>
        <v>2400</v>
      </c>
      <c r="H142" s="8">
        <v>25000</v>
      </c>
      <c r="I142" s="45">
        <f t="shared" si="9"/>
        <v>5000</v>
      </c>
      <c r="J142" s="8">
        <v>25000</v>
      </c>
      <c r="K142" s="45">
        <f t="shared" si="10"/>
        <v>5000</v>
      </c>
      <c r="L142" s="8">
        <v>25000</v>
      </c>
      <c r="M142" s="9">
        <v>9</v>
      </c>
      <c r="N142" s="9">
        <v>16.100000000000001</v>
      </c>
      <c r="O142" s="9">
        <v>14</v>
      </c>
      <c r="P142" s="9">
        <v>19.5</v>
      </c>
      <c r="Q142" s="9">
        <v>2.9</v>
      </c>
      <c r="R142">
        <v>10</v>
      </c>
      <c r="S142">
        <v>1000</v>
      </c>
      <c r="T142" s="4">
        <f t="shared" si="11"/>
        <v>1156.8299120294841</v>
      </c>
      <c r="U142">
        <v>63</v>
      </c>
    </row>
    <row r="143" spans="1:21">
      <c r="A143" s="44">
        <f t="shared" si="12"/>
        <v>45844.833333332994</v>
      </c>
      <c r="B143" s="45">
        <f t="shared" si="7"/>
        <v>5000</v>
      </c>
      <c r="C143" s="8">
        <v>25000</v>
      </c>
      <c r="D143" s="8">
        <v>0</v>
      </c>
      <c r="E143" s="8">
        <v>700</v>
      </c>
      <c r="F143" s="8">
        <v>7500</v>
      </c>
      <c r="G143" s="45">
        <f t="shared" si="8"/>
        <v>2400</v>
      </c>
      <c r="H143" s="8">
        <v>25000</v>
      </c>
      <c r="I143" s="45">
        <f t="shared" si="9"/>
        <v>5000</v>
      </c>
      <c r="J143" s="8">
        <v>25000</v>
      </c>
      <c r="K143" s="45">
        <f t="shared" si="10"/>
        <v>5000</v>
      </c>
      <c r="L143" s="8">
        <v>25000</v>
      </c>
      <c r="M143" s="9">
        <v>9</v>
      </c>
      <c r="N143" s="9">
        <v>16.100000000000001</v>
      </c>
      <c r="O143" s="9">
        <v>14</v>
      </c>
      <c r="P143" s="9">
        <v>19.5</v>
      </c>
      <c r="Q143" s="9">
        <v>2.7</v>
      </c>
      <c r="R143">
        <v>10</v>
      </c>
      <c r="S143">
        <v>1000</v>
      </c>
      <c r="T143" s="4">
        <f t="shared" si="11"/>
        <v>1114.0503247993186</v>
      </c>
      <c r="U143">
        <v>70</v>
      </c>
    </row>
    <row r="144" spans="1:21">
      <c r="A144" s="44">
        <f t="shared" si="12"/>
        <v>45844.874999999658</v>
      </c>
      <c r="B144" s="45">
        <f t="shared" si="7"/>
        <v>5000</v>
      </c>
      <c r="C144" s="8">
        <v>25000</v>
      </c>
      <c r="D144" s="8">
        <v>0</v>
      </c>
      <c r="E144" s="8">
        <v>700</v>
      </c>
      <c r="F144" s="8">
        <v>7500</v>
      </c>
      <c r="G144" s="45">
        <f t="shared" si="8"/>
        <v>2400</v>
      </c>
      <c r="H144" s="8">
        <v>25000</v>
      </c>
      <c r="I144" s="45">
        <f t="shared" si="9"/>
        <v>5000</v>
      </c>
      <c r="J144" s="8">
        <v>25000</v>
      </c>
      <c r="K144" s="45">
        <f t="shared" si="10"/>
        <v>5000</v>
      </c>
      <c r="L144" s="8">
        <v>25000</v>
      </c>
      <c r="M144" s="9">
        <v>9</v>
      </c>
      <c r="N144" s="9">
        <v>16.100000000000001</v>
      </c>
      <c r="O144" s="9">
        <v>14</v>
      </c>
      <c r="P144" s="9">
        <v>19.5</v>
      </c>
      <c r="Q144" s="9">
        <v>2.8</v>
      </c>
      <c r="R144">
        <v>10</v>
      </c>
      <c r="S144">
        <v>1000</v>
      </c>
      <c r="T144" s="4">
        <f t="shared" si="11"/>
        <v>1034.1950953030096</v>
      </c>
      <c r="U144">
        <v>81</v>
      </c>
    </row>
    <row r="145" spans="1:21">
      <c r="A145" s="44">
        <f t="shared" si="12"/>
        <v>45844.916666666322</v>
      </c>
      <c r="B145" s="45">
        <f t="shared" si="7"/>
        <v>5000</v>
      </c>
      <c r="C145" s="8">
        <v>25000</v>
      </c>
      <c r="D145" s="8">
        <v>0</v>
      </c>
      <c r="E145" s="8">
        <v>700</v>
      </c>
      <c r="F145" s="8">
        <v>7500</v>
      </c>
      <c r="G145" s="45">
        <f t="shared" si="8"/>
        <v>2400</v>
      </c>
      <c r="H145" s="8">
        <v>25000</v>
      </c>
      <c r="I145" s="45">
        <f t="shared" si="9"/>
        <v>5000</v>
      </c>
      <c r="J145" s="8">
        <v>25000</v>
      </c>
      <c r="K145" s="45">
        <f t="shared" si="10"/>
        <v>5000</v>
      </c>
      <c r="L145" s="8">
        <v>25000</v>
      </c>
      <c r="M145" s="9">
        <v>9</v>
      </c>
      <c r="N145" s="9">
        <v>16.100000000000001</v>
      </c>
      <c r="O145" s="9">
        <v>14</v>
      </c>
      <c r="P145" s="9">
        <v>19.5</v>
      </c>
      <c r="Q145" s="9">
        <v>2.8</v>
      </c>
      <c r="R145">
        <v>10</v>
      </c>
      <c r="S145">
        <v>1000</v>
      </c>
      <c r="T145" s="4">
        <f t="shared" si="11"/>
        <v>807.46328298313267</v>
      </c>
      <c r="U145">
        <v>36</v>
      </c>
    </row>
    <row r="146" spans="1:21">
      <c r="A146" s="44">
        <f t="shared" si="12"/>
        <v>45844.958333332987</v>
      </c>
      <c r="B146" s="45">
        <f t="shared" si="7"/>
        <v>5000</v>
      </c>
      <c r="C146" s="8">
        <v>25000</v>
      </c>
      <c r="D146" s="8">
        <v>0</v>
      </c>
      <c r="E146" s="8">
        <v>700</v>
      </c>
      <c r="F146" s="8">
        <v>7500</v>
      </c>
      <c r="G146" s="45">
        <f t="shared" si="8"/>
        <v>2400</v>
      </c>
      <c r="H146" s="8">
        <v>25000</v>
      </c>
      <c r="I146" s="45">
        <f t="shared" si="9"/>
        <v>5000</v>
      </c>
      <c r="J146" s="8">
        <v>25000</v>
      </c>
      <c r="K146" s="45">
        <f t="shared" si="10"/>
        <v>5000</v>
      </c>
      <c r="L146" s="8">
        <v>25000</v>
      </c>
      <c r="M146" s="9">
        <v>9</v>
      </c>
      <c r="N146" s="9">
        <v>16.100000000000001</v>
      </c>
      <c r="O146" s="9">
        <v>14</v>
      </c>
      <c r="P146" s="9">
        <v>19.5</v>
      </c>
      <c r="Q146" s="9">
        <v>2.5</v>
      </c>
      <c r="R146">
        <v>10</v>
      </c>
      <c r="S146">
        <v>1000</v>
      </c>
      <c r="T146" s="4">
        <f t="shared" si="11"/>
        <v>442.69657292841788</v>
      </c>
      <c r="U146">
        <v>62</v>
      </c>
    </row>
    <row r="147" spans="1:21">
      <c r="A147" s="44">
        <f t="shared" si="12"/>
        <v>45844.999999999651</v>
      </c>
      <c r="B147" s="45">
        <f t="shared" si="7"/>
        <v>5000</v>
      </c>
      <c r="C147" s="8">
        <v>25000</v>
      </c>
      <c r="D147" s="8">
        <v>0</v>
      </c>
      <c r="E147" s="8">
        <v>700</v>
      </c>
      <c r="F147" s="8">
        <v>7500</v>
      </c>
      <c r="G147" s="45">
        <f t="shared" si="8"/>
        <v>2400</v>
      </c>
      <c r="H147" s="8">
        <v>25000</v>
      </c>
      <c r="I147" s="45">
        <f t="shared" si="9"/>
        <v>5000</v>
      </c>
      <c r="J147" s="8">
        <v>25000</v>
      </c>
      <c r="K147" s="45">
        <f t="shared" si="10"/>
        <v>5000</v>
      </c>
      <c r="L147" s="8">
        <v>25000</v>
      </c>
      <c r="M147" s="9">
        <v>9</v>
      </c>
      <c r="N147" s="9">
        <v>16.100000000000001</v>
      </c>
      <c r="O147" s="9">
        <v>14</v>
      </c>
      <c r="P147" s="9">
        <v>19.5</v>
      </c>
      <c r="Q147" s="9">
        <v>3</v>
      </c>
      <c r="R147">
        <v>10</v>
      </c>
      <c r="S147">
        <v>1000</v>
      </c>
      <c r="T147" s="4">
        <f t="shared" si="11"/>
        <v>442.69657292841788</v>
      </c>
      <c r="U147">
        <v>78</v>
      </c>
    </row>
    <row r="148" spans="1:21">
      <c r="A148" s="44">
        <f t="shared" si="12"/>
        <v>45845.041666666315</v>
      </c>
      <c r="B148" s="45">
        <f t="shared" si="7"/>
        <v>5000</v>
      </c>
      <c r="C148" s="8">
        <v>25000</v>
      </c>
      <c r="D148" s="8">
        <v>0</v>
      </c>
      <c r="E148" s="8">
        <v>700</v>
      </c>
      <c r="F148" s="8">
        <v>7500</v>
      </c>
      <c r="G148" s="45">
        <f t="shared" si="8"/>
        <v>2400</v>
      </c>
      <c r="H148" s="8">
        <v>25000</v>
      </c>
      <c r="I148" s="45">
        <f t="shared" si="9"/>
        <v>5000</v>
      </c>
      <c r="J148" s="8">
        <v>25000</v>
      </c>
      <c r="K148" s="45">
        <f t="shared" si="10"/>
        <v>5000</v>
      </c>
      <c r="L148" s="8">
        <v>25000</v>
      </c>
      <c r="M148" s="9">
        <v>9</v>
      </c>
      <c r="N148" s="9">
        <v>16.100000000000001</v>
      </c>
      <c r="O148" s="9">
        <v>14</v>
      </c>
      <c r="P148" s="9">
        <v>19.5</v>
      </c>
      <c r="Q148" s="9">
        <v>2.8</v>
      </c>
      <c r="R148">
        <v>10</v>
      </c>
      <c r="S148">
        <v>1000</v>
      </c>
      <c r="T148" s="4">
        <f t="shared" si="11"/>
        <v>362.27094893570683</v>
      </c>
      <c r="U148">
        <v>13</v>
      </c>
    </row>
    <row r="149" spans="1:21">
      <c r="A149" s="44">
        <f t="shared" si="12"/>
        <v>45845.083333332979</v>
      </c>
      <c r="B149" s="45">
        <f t="shared" si="7"/>
        <v>5000</v>
      </c>
      <c r="C149" s="8">
        <v>25000</v>
      </c>
      <c r="D149" s="8">
        <v>0</v>
      </c>
      <c r="E149" s="8">
        <v>700</v>
      </c>
      <c r="F149" s="8">
        <v>7500</v>
      </c>
      <c r="G149" s="45">
        <f t="shared" si="8"/>
        <v>2400</v>
      </c>
      <c r="H149" s="8">
        <v>25000</v>
      </c>
      <c r="I149" s="45">
        <f t="shared" si="9"/>
        <v>5000</v>
      </c>
      <c r="J149" s="8">
        <v>25000</v>
      </c>
      <c r="K149" s="45">
        <f t="shared" si="10"/>
        <v>5000</v>
      </c>
      <c r="L149" s="8">
        <v>25000</v>
      </c>
      <c r="M149" s="9">
        <v>9</v>
      </c>
      <c r="N149" s="9">
        <v>16.100000000000001</v>
      </c>
      <c r="O149" s="9">
        <v>14</v>
      </c>
      <c r="P149" s="9">
        <v>19.5</v>
      </c>
      <c r="Q149" s="9">
        <v>3</v>
      </c>
      <c r="R149">
        <v>10</v>
      </c>
      <c r="S149">
        <v>1000</v>
      </c>
      <c r="T149" s="4">
        <f t="shared" si="11"/>
        <v>362.27094893570683</v>
      </c>
      <c r="U149">
        <v>99</v>
      </c>
    </row>
    <row r="150" spans="1:21">
      <c r="A150" s="44">
        <f t="shared" si="12"/>
        <v>45845.124999999643</v>
      </c>
      <c r="B150" s="45">
        <f t="shared" si="7"/>
        <v>5000</v>
      </c>
      <c r="C150" s="8">
        <v>25000</v>
      </c>
      <c r="D150" s="8">
        <v>0</v>
      </c>
      <c r="E150" s="8">
        <v>700</v>
      </c>
      <c r="F150" s="8">
        <v>7500</v>
      </c>
      <c r="G150" s="45">
        <f t="shared" si="8"/>
        <v>2400</v>
      </c>
      <c r="H150" s="8">
        <v>25000</v>
      </c>
      <c r="I150" s="45">
        <f t="shared" si="9"/>
        <v>5000</v>
      </c>
      <c r="J150" s="8">
        <v>25000</v>
      </c>
      <c r="K150" s="45">
        <f t="shared" si="10"/>
        <v>5000</v>
      </c>
      <c r="L150" s="8">
        <v>25000</v>
      </c>
      <c r="M150" s="9">
        <v>9</v>
      </c>
      <c r="N150" s="9">
        <v>16.100000000000001</v>
      </c>
      <c r="O150" s="9">
        <v>14</v>
      </c>
      <c r="P150" s="9">
        <v>19.5</v>
      </c>
      <c r="Q150" s="9">
        <v>2.8</v>
      </c>
      <c r="R150">
        <v>10</v>
      </c>
      <c r="S150">
        <v>1000</v>
      </c>
      <c r="T150" s="4">
        <f t="shared" si="11"/>
        <v>362.27094893570683</v>
      </c>
      <c r="U150">
        <v>52</v>
      </c>
    </row>
    <row r="151" spans="1:21">
      <c r="A151" s="44">
        <f t="shared" si="12"/>
        <v>45845.166666666308</v>
      </c>
      <c r="B151" s="45">
        <f t="shared" si="7"/>
        <v>5000</v>
      </c>
      <c r="C151" s="8">
        <v>25000</v>
      </c>
      <c r="D151" s="8">
        <v>0</v>
      </c>
      <c r="E151" s="8">
        <v>700</v>
      </c>
      <c r="F151" s="8">
        <v>7500</v>
      </c>
      <c r="G151" s="45">
        <f t="shared" si="8"/>
        <v>2400</v>
      </c>
      <c r="H151" s="8">
        <v>25000</v>
      </c>
      <c r="I151" s="45">
        <f t="shared" si="9"/>
        <v>5000</v>
      </c>
      <c r="J151" s="8">
        <v>25000</v>
      </c>
      <c r="K151" s="45">
        <f t="shared" si="10"/>
        <v>5000</v>
      </c>
      <c r="L151" s="8">
        <v>25000</v>
      </c>
      <c r="M151" s="9">
        <v>9</v>
      </c>
      <c r="N151" s="9">
        <v>16.100000000000001</v>
      </c>
      <c r="O151" s="9">
        <v>14</v>
      </c>
      <c r="P151" s="9">
        <v>19.5</v>
      </c>
      <c r="Q151" s="9">
        <v>3</v>
      </c>
      <c r="R151">
        <v>10</v>
      </c>
      <c r="S151">
        <v>1000</v>
      </c>
      <c r="T151" s="4">
        <f t="shared" si="11"/>
        <v>426.44032978095498</v>
      </c>
      <c r="U151">
        <v>94</v>
      </c>
    </row>
    <row r="152" spans="1:21">
      <c r="A152" s="44">
        <f t="shared" si="12"/>
        <v>45845.208333332972</v>
      </c>
      <c r="B152" s="45">
        <f t="shared" si="7"/>
        <v>5000</v>
      </c>
      <c r="C152" s="8">
        <v>25000</v>
      </c>
      <c r="D152" s="8">
        <v>0</v>
      </c>
      <c r="E152" s="8">
        <v>700</v>
      </c>
      <c r="F152" s="8">
        <v>7500</v>
      </c>
      <c r="G152" s="45">
        <f t="shared" si="8"/>
        <v>2400</v>
      </c>
      <c r="H152" s="8">
        <v>25000</v>
      </c>
      <c r="I152" s="45">
        <f t="shared" si="9"/>
        <v>5000</v>
      </c>
      <c r="J152" s="8">
        <v>25000</v>
      </c>
      <c r="K152" s="45">
        <f t="shared" si="10"/>
        <v>5000</v>
      </c>
      <c r="L152" s="8">
        <v>25000</v>
      </c>
      <c r="M152" s="9">
        <v>9</v>
      </c>
      <c r="N152" s="9">
        <v>16.100000000000001</v>
      </c>
      <c r="O152" s="9">
        <v>14</v>
      </c>
      <c r="P152" s="9">
        <v>19.5</v>
      </c>
      <c r="Q152" s="9">
        <v>2.6</v>
      </c>
      <c r="R152">
        <v>10</v>
      </c>
      <c r="S152">
        <v>1000</v>
      </c>
      <c r="T152" s="4">
        <f t="shared" si="11"/>
        <v>362.27094893570683</v>
      </c>
      <c r="U152">
        <v>68</v>
      </c>
    </row>
    <row r="153" spans="1:21">
      <c r="A153" s="44">
        <f t="shared" si="12"/>
        <v>45845.249999999636</v>
      </c>
      <c r="B153" s="45">
        <f t="shared" si="7"/>
        <v>8000</v>
      </c>
      <c r="C153" s="8">
        <v>25000</v>
      </c>
      <c r="D153" s="8">
        <v>0</v>
      </c>
      <c r="E153" s="8">
        <v>700</v>
      </c>
      <c r="F153" s="8">
        <v>7500</v>
      </c>
      <c r="G153" s="45">
        <f t="shared" si="8"/>
        <v>2400</v>
      </c>
      <c r="H153" s="8">
        <v>25000</v>
      </c>
      <c r="I153" s="45">
        <f t="shared" si="9"/>
        <v>8000</v>
      </c>
      <c r="J153" s="8">
        <v>25000</v>
      </c>
      <c r="K153" s="45">
        <f t="shared" si="10"/>
        <v>8000</v>
      </c>
      <c r="L153" s="8">
        <v>25000</v>
      </c>
      <c r="M153" s="9">
        <v>9</v>
      </c>
      <c r="N153" s="9">
        <v>16.100000000000001</v>
      </c>
      <c r="O153" s="9">
        <v>14</v>
      </c>
      <c r="P153" s="9">
        <v>19.5</v>
      </c>
      <c r="Q153" s="9">
        <v>2.8</v>
      </c>
      <c r="R153">
        <v>10</v>
      </c>
      <c r="S153">
        <v>1000</v>
      </c>
      <c r="T153" s="4">
        <f t="shared" si="11"/>
        <v>304.3759075508828</v>
      </c>
      <c r="U153">
        <v>100</v>
      </c>
    </row>
    <row r="154" spans="1:21">
      <c r="A154" s="44">
        <f t="shared" si="12"/>
        <v>45845.2916666663</v>
      </c>
      <c r="B154" s="45">
        <f t="shared" si="7"/>
        <v>8000</v>
      </c>
      <c r="C154" s="8">
        <v>25000</v>
      </c>
      <c r="D154" s="8">
        <v>0</v>
      </c>
      <c r="E154" s="8">
        <v>700</v>
      </c>
      <c r="F154" s="8">
        <v>7500</v>
      </c>
      <c r="G154" s="45">
        <f t="shared" si="8"/>
        <v>2400</v>
      </c>
      <c r="H154" s="8">
        <v>25000</v>
      </c>
      <c r="I154" s="45">
        <f t="shared" si="9"/>
        <v>8000</v>
      </c>
      <c r="J154" s="8">
        <v>25000</v>
      </c>
      <c r="K154" s="45">
        <f t="shared" si="10"/>
        <v>8000</v>
      </c>
      <c r="L154" s="8">
        <v>25000</v>
      </c>
      <c r="M154" s="9">
        <v>9</v>
      </c>
      <c r="N154" s="9">
        <v>16.100000000000001</v>
      </c>
      <c r="O154" s="9">
        <v>14</v>
      </c>
      <c r="P154" s="9">
        <v>19.5</v>
      </c>
      <c r="Q154" s="9">
        <v>2.8</v>
      </c>
      <c r="R154">
        <v>10</v>
      </c>
      <c r="S154">
        <v>1000</v>
      </c>
      <c r="T154" s="4">
        <f t="shared" si="11"/>
        <v>280.13414145378908</v>
      </c>
      <c r="U154">
        <v>87</v>
      </c>
    </row>
    <row r="155" spans="1:21">
      <c r="A155" s="44">
        <f t="shared" si="12"/>
        <v>45845.333333332965</v>
      </c>
      <c r="B155" s="45">
        <f t="shared" si="7"/>
        <v>8000</v>
      </c>
      <c r="C155" s="8">
        <v>25000</v>
      </c>
      <c r="D155" s="8">
        <v>0</v>
      </c>
      <c r="E155" s="8">
        <v>700</v>
      </c>
      <c r="F155" s="8">
        <v>7500</v>
      </c>
      <c r="G155" s="45">
        <f t="shared" si="8"/>
        <v>2400</v>
      </c>
      <c r="H155" s="8">
        <v>25000</v>
      </c>
      <c r="I155" s="45">
        <f t="shared" si="9"/>
        <v>8000</v>
      </c>
      <c r="J155" s="8">
        <v>25000</v>
      </c>
      <c r="K155" s="45">
        <f t="shared" si="10"/>
        <v>8000</v>
      </c>
      <c r="L155" s="8">
        <v>25000</v>
      </c>
      <c r="M155" s="9">
        <v>9</v>
      </c>
      <c r="N155" s="9">
        <v>16.100000000000001</v>
      </c>
      <c r="O155" s="9">
        <v>14</v>
      </c>
      <c r="P155" s="9">
        <v>19.5</v>
      </c>
      <c r="Q155" s="9">
        <v>2.4</v>
      </c>
      <c r="R155">
        <v>10</v>
      </c>
      <c r="S155">
        <v>1000</v>
      </c>
      <c r="T155" s="4">
        <f t="shared" si="11"/>
        <v>294.39400386384426</v>
      </c>
      <c r="U155">
        <v>66</v>
      </c>
    </row>
    <row r="156" spans="1:21">
      <c r="A156" s="44">
        <f t="shared" si="12"/>
        <v>45845.374999999629</v>
      </c>
      <c r="B156" s="45">
        <f t="shared" ref="B156:B219" si="13">B132</f>
        <v>8000</v>
      </c>
      <c r="C156" s="8">
        <v>25000</v>
      </c>
      <c r="D156" s="8">
        <v>0</v>
      </c>
      <c r="E156" s="8">
        <v>700</v>
      </c>
      <c r="F156" s="8">
        <v>7500</v>
      </c>
      <c r="G156" s="45">
        <f t="shared" ref="G156:G219" si="14">G132</f>
        <v>2400</v>
      </c>
      <c r="H156" s="8">
        <v>25000</v>
      </c>
      <c r="I156" s="45">
        <f t="shared" ref="I156:I219" si="15">I132</f>
        <v>8000</v>
      </c>
      <c r="J156" s="8">
        <v>25000</v>
      </c>
      <c r="K156" s="45">
        <f t="shared" ref="K156:K219" si="16">K132</f>
        <v>8000</v>
      </c>
      <c r="L156" s="8">
        <v>25000</v>
      </c>
      <c r="M156" s="9">
        <v>9</v>
      </c>
      <c r="N156" s="9">
        <v>16.100000000000001</v>
      </c>
      <c r="O156" s="9">
        <v>14</v>
      </c>
      <c r="P156" s="9">
        <v>19.5</v>
      </c>
      <c r="Q156" s="9">
        <v>2.7</v>
      </c>
      <c r="R156">
        <v>10</v>
      </c>
      <c r="S156">
        <v>1000</v>
      </c>
      <c r="T156" s="4">
        <f t="shared" ref="T156:T219" si="17">T132</f>
        <v>317.20978371993255</v>
      </c>
      <c r="U156">
        <v>65</v>
      </c>
    </row>
    <row r="157" spans="1:21">
      <c r="A157" s="44">
        <f t="shared" si="12"/>
        <v>45845.416666666293</v>
      </c>
      <c r="B157" s="45">
        <f t="shared" si="13"/>
        <v>8000</v>
      </c>
      <c r="C157" s="8">
        <v>25000</v>
      </c>
      <c r="D157" s="8">
        <v>0</v>
      </c>
      <c r="E157" s="8">
        <v>700</v>
      </c>
      <c r="F157" s="8">
        <v>7500</v>
      </c>
      <c r="G157" s="45">
        <f t="shared" si="14"/>
        <v>2400</v>
      </c>
      <c r="H157" s="8">
        <v>25000</v>
      </c>
      <c r="I157" s="45">
        <f t="shared" si="15"/>
        <v>8000</v>
      </c>
      <c r="J157" s="8">
        <v>25000</v>
      </c>
      <c r="K157" s="45">
        <f t="shared" si="16"/>
        <v>8000</v>
      </c>
      <c r="L157" s="8">
        <v>25000</v>
      </c>
      <c r="M157" s="9">
        <v>9</v>
      </c>
      <c r="N157" s="9">
        <v>16.100000000000001</v>
      </c>
      <c r="O157" s="9">
        <v>14</v>
      </c>
      <c r="P157" s="9">
        <v>19.5</v>
      </c>
      <c r="Q157" s="9">
        <v>2.8</v>
      </c>
      <c r="R157">
        <v>10</v>
      </c>
      <c r="S157">
        <v>1000</v>
      </c>
      <c r="T157" s="4">
        <f t="shared" si="17"/>
        <v>308.08347177749721</v>
      </c>
      <c r="U157">
        <v>11</v>
      </c>
    </row>
    <row r="158" spans="1:21">
      <c r="A158" s="44">
        <f t="shared" si="12"/>
        <v>45845.458333332957</v>
      </c>
      <c r="B158" s="45">
        <f t="shared" si="13"/>
        <v>8000</v>
      </c>
      <c r="C158" s="8">
        <v>25000</v>
      </c>
      <c r="D158" s="8">
        <v>0</v>
      </c>
      <c r="E158" s="8">
        <v>700</v>
      </c>
      <c r="F158" s="8">
        <v>7500</v>
      </c>
      <c r="G158" s="45">
        <f t="shared" si="14"/>
        <v>2400</v>
      </c>
      <c r="H158" s="8">
        <v>25000</v>
      </c>
      <c r="I158" s="45">
        <f t="shared" si="15"/>
        <v>8000</v>
      </c>
      <c r="J158" s="8">
        <v>25000</v>
      </c>
      <c r="K158" s="45">
        <f t="shared" si="16"/>
        <v>8000</v>
      </c>
      <c r="L158" s="8">
        <v>25000</v>
      </c>
      <c r="M158" s="9">
        <v>9</v>
      </c>
      <c r="N158" s="9">
        <v>16.100000000000001</v>
      </c>
      <c r="O158" s="9">
        <v>14</v>
      </c>
      <c r="P158" s="9">
        <v>19.5</v>
      </c>
      <c r="Q158" s="9">
        <v>2.7</v>
      </c>
      <c r="R158">
        <v>10</v>
      </c>
      <c r="S158">
        <v>1000</v>
      </c>
      <c r="T158" s="4">
        <f t="shared" si="17"/>
        <v>303.80551305448063</v>
      </c>
      <c r="U158">
        <v>49</v>
      </c>
    </row>
    <row r="159" spans="1:21">
      <c r="A159" s="44">
        <f t="shared" si="12"/>
        <v>45845.499999999622</v>
      </c>
      <c r="B159" s="45">
        <f t="shared" si="13"/>
        <v>8000</v>
      </c>
      <c r="C159" s="8">
        <v>25000</v>
      </c>
      <c r="D159" s="8">
        <v>0</v>
      </c>
      <c r="E159" s="8">
        <v>700</v>
      </c>
      <c r="F159" s="8">
        <v>7500</v>
      </c>
      <c r="G159" s="45">
        <f t="shared" si="14"/>
        <v>2400</v>
      </c>
      <c r="H159" s="8">
        <v>25000</v>
      </c>
      <c r="I159" s="45">
        <f t="shared" si="15"/>
        <v>8000</v>
      </c>
      <c r="J159" s="8">
        <v>25000</v>
      </c>
      <c r="K159" s="45">
        <f t="shared" si="16"/>
        <v>8000</v>
      </c>
      <c r="L159" s="8">
        <v>25000</v>
      </c>
      <c r="M159" s="9">
        <v>9</v>
      </c>
      <c r="N159" s="9">
        <v>16.100000000000001</v>
      </c>
      <c r="O159" s="9">
        <v>14</v>
      </c>
      <c r="P159" s="9">
        <v>19.5</v>
      </c>
      <c r="Q159" s="9">
        <v>2.5</v>
      </c>
      <c r="R159">
        <v>10</v>
      </c>
      <c r="S159">
        <v>1000</v>
      </c>
      <c r="T159" s="4">
        <f t="shared" si="17"/>
        <v>303.80551305448063</v>
      </c>
      <c r="U159">
        <v>79</v>
      </c>
    </row>
    <row r="160" spans="1:21">
      <c r="A160" s="44">
        <f t="shared" si="12"/>
        <v>45845.541666666286</v>
      </c>
      <c r="B160" s="45">
        <f t="shared" si="13"/>
        <v>8000</v>
      </c>
      <c r="C160" s="8">
        <v>25000</v>
      </c>
      <c r="D160" s="8">
        <v>0</v>
      </c>
      <c r="E160" s="8">
        <v>700</v>
      </c>
      <c r="F160" s="8">
        <v>7500</v>
      </c>
      <c r="G160" s="45">
        <f t="shared" si="14"/>
        <v>2400</v>
      </c>
      <c r="H160" s="8">
        <v>25000</v>
      </c>
      <c r="I160" s="45">
        <f t="shared" si="15"/>
        <v>8000</v>
      </c>
      <c r="J160" s="8">
        <v>25000</v>
      </c>
      <c r="K160" s="45">
        <f t="shared" si="16"/>
        <v>8000</v>
      </c>
      <c r="L160" s="8">
        <v>25000</v>
      </c>
      <c r="M160" s="9">
        <v>9</v>
      </c>
      <c r="N160" s="9">
        <v>16.100000000000001</v>
      </c>
      <c r="O160" s="9">
        <v>14</v>
      </c>
      <c r="P160" s="9">
        <v>19.5</v>
      </c>
      <c r="Q160" s="9">
        <v>2.6</v>
      </c>
      <c r="R160">
        <v>10</v>
      </c>
      <c r="S160">
        <v>1000</v>
      </c>
      <c r="T160" s="4">
        <f t="shared" si="17"/>
        <v>353.43040463596901</v>
      </c>
      <c r="U160">
        <v>58</v>
      </c>
    </row>
    <row r="161" spans="1:21">
      <c r="A161" s="44">
        <f t="shared" si="12"/>
        <v>45845.58333333295</v>
      </c>
      <c r="B161" s="45">
        <f t="shared" si="13"/>
        <v>8000</v>
      </c>
      <c r="C161" s="8">
        <v>25000</v>
      </c>
      <c r="D161" s="8">
        <v>0</v>
      </c>
      <c r="E161" s="8">
        <v>700</v>
      </c>
      <c r="F161" s="8">
        <v>7500</v>
      </c>
      <c r="G161" s="45">
        <f t="shared" si="14"/>
        <v>2400</v>
      </c>
      <c r="H161" s="8">
        <v>25000</v>
      </c>
      <c r="I161" s="45">
        <f t="shared" si="15"/>
        <v>8000</v>
      </c>
      <c r="J161" s="8">
        <v>25000</v>
      </c>
      <c r="K161" s="45">
        <f t="shared" si="16"/>
        <v>8000</v>
      </c>
      <c r="L161" s="8">
        <v>25000</v>
      </c>
      <c r="M161" s="9">
        <v>9</v>
      </c>
      <c r="N161" s="9">
        <v>16.100000000000001</v>
      </c>
      <c r="O161" s="9">
        <v>14</v>
      </c>
      <c r="P161" s="9">
        <v>19.5</v>
      </c>
      <c r="Q161" s="9">
        <v>2.7</v>
      </c>
      <c r="R161">
        <v>10</v>
      </c>
      <c r="S161">
        <v>1000</v>
      </c>
      <c r="T161" s="4">
        <f t="shared" si="17"/>
        <v>587.29100737188094</v>
      </c>
      <c r="U161">
        <v>97</v>
      </c>
    </row>
    <row r="162" spans="1:21">
      <c r="A162" s="44">
        <f t="shared" si="12"/>
        <v>45845.624999999614</v>
      </c>
      <c r="B162" s="45">
        <f t="shared" si="13"/>
        <v>8000</v>
      </c>
      <c r="C162" s="8">
        <v>25000</v>
      </c>
      <c r="D162" s="8">
        <v>0</v>
      </c>
      <c r="E162" s="8">
        <v>700</v>
      </c>
      <c r="F162" s="8">
        <v>7500</v>
      </c>
      <c r="G162" s="45">
        <f t="shared" si="14"/>
        <v>2400</v>
      </c>
      <c r="H162" s="8">
        <v>25000</v>
      </c>
      <c r="I162" s="45">
        <f t="shared" si="15"/>
        <v>8000</v>
      </c>
      <c r="J162" s="8">
        <v>25000</v>
      </c>
      <c r="K162" s="45">
        <f t="shared" si="16"/>
        <v>8000</v>
      </c>
      <c r="L162" s="8">
        <v>25000</v>
      </c>
      <c r="M162" s="9">
        <v>9</v>
      </c>
      <c r="N162" s="9">
        <v>16.100000000000001</v>
      </c>
      <c r="O162" s="9">
        <v>14</v>
      </c>
      <c r="P162" s="9">
        <v>19.5</v>
      </c>
      <c r="Q162" s="9">
        <v>2.5</v>
      </c>
      <c r="R162">
        <v>10</v>
      </c>
      <c r="S162">
        <v>1000</v>
      </c>
      <c r="T162" s="4">
        <f t="shared" si="17"/>
        <v>604.40284226394715</v>
      </c>
      <c r="U162">
        <v>69</v>
      </c>
    </row>
    <row r="163" spans="1:21">
      <c r="A163" s="44">
        <f t="shared" si="12"/>
        <v>45845.666666666279</v>
      </c>
      <c r="B163" s="45">
        <f t="shared" si="13"/>
        <v>8000</v>
      </c>
      <c r="C163" s="8">
        <v>25000</v>
      </c>
      <c r="D163" s="8">
        <v>0</v>
      </c>
      <c r="E163" s="8">
        <v>700</v>
      </c>
      <c r="F163" s="8">
        <v>7500</v>
      </c>
      <c r="G163" s="45">
        <f t="shared" si="14"/>
        <v>2400</v>
      </c>
      <c r="H163" s="8">
        <v>25000</v>
      </c>
      <c r="I163" s="45">
        <f t="shared" si="15"/>
        <v>8000</v>
      </c>
      <c r="J163" s="8">
        <v>25000</v>
      </c>
      <c r="K163" s="45">
        <f t="shared" si="16"/>
        <v>8000</v>
      </c>
      <c r="L163" s="8">
        <v>25000</v>
      </c>
      <c r="M163" s="9">
        <v>9</v>
      </c>
      <c r="N163" s="9">
        <v>16.100000000000001</v>
      </c>
      <c r="O163" s="9">
        <v>14</v>
      </c>
      <c r="P163" s="9">
        <v>19.5</v>
      </c>
      <c r="Q163" s="9">
        <v>2.9</v>
      </c>
      <c r="R163">
        <v>10</v>
      </c>
      <c r="S163">
        <v>1000</v>
      </c>
      <c r="T163" s="4">
        <f t="shared" si="17"/>
        <v>875.91062255139741</v>
      </c>
      <c r="U163">
        <v>96</v>
      </c>
    </row>
    <row r="164" spans="1:21">
      <c r="A164" s="44">
        <f t="shared" si="12"/>
        <v>45845.708333332943</v>
      </c>
      <c r="B164" s="45">
        <f t="shared" si="13"/>
        <v>8000</v>
      </c>
      <c r="C164" s="8">
        <v>25000</v>
      </c>
      <c r="D164" s="8">
        <v>0</v>
      </c>
      <c r="E164" s="8">
        <v>700</v>
      </c>
      <c r="F164" s="8">
        <v>7500</v>
      </c>
      <c r="G164" s="45">
        <f t="shared" si="14"/>
        <v>2400</v>
      </c>
      <c r="H164" s="8">
        <v>25000</v>
      </c>
      <c r="I164" s="45">
        <f t="shared" si="15"/>
        <v>8000</v>
      </c>
      <c r="J164" s="8">
        <v>25000</v>
      </c>
      <c r="K164" s="45">
        <f t="shared" si="16"/>
        <v>8000</v>
      </c>
      <c r="L164" s="8">
        <v>25000</v>
      </c>
      <c r="M164" s="9">
        <v>9</v>
      </c>
      <c r="N164" s="9">
        <v>16.100000000000001</v>
      </c>
      <c r="O164" s="9">
        <v>14</v>
      </c>
      <c r="P164" s="9">
        <v>19.5</v>
      </c>
      <c r="Q164" s="9">
        <v>2.9</v>
      </c>
      <c r="R164">
        <v>10</v>
      </c>
      <c r="S164">
        <v>1000</v>
      </c>
      <c r="T164" s="4">
        <f t="shared" si="17"/>
        <v>1116.9022972813298</v>
      </c>
      <c r="U164">
        <v>91</v>
      </c>
    </row>
    <row r="165" spans="1:21">
      <c r="A165" s="44">
        <f t="shared" si="12"/>
        <v>45845.749999999607</v>
      </c>
      <c r="B165" s="45">
        <f t="shared" si="13"/>
        <v>5000</v>
      </c>
      <c r="C165" s="8">
        <v>25000</v>
      </c>
      <c r="D165" s="8">
        <v>0</v>
      </c>
      <c r="E165" s="8">
        <v>700</v>
      </c>
      <c r="F165" s="8">
        <v>7500</v>
      </c>
      <c r="G165" s="45">
        <f t="shared" si="14"/>
        <v>2400</v>
      </c>
      <c r="H165" s="8">
        <v>25000</v>
      </c>
      <c r="I165" s="45">
        <f t="shared" si="15"/>
        <v>5000</v>
      </c>
      <c r="J165" s="8">
        <v>25000</v>
      </c>
      <c r="K165" s="45">
        <f t="shared" si="16"/>
        <v>5000</v>
      </c>
      <c r="L165" s="8">
        <v>25000</v>
      </c>
      <c r="M165" s="9">
        <v>9</v>
      </c>
      <c r="N165" s="9">
        <v>16.100000000000001</v>
      </c>
      <c r="O165" s="9">
        <v>14</v>
      </c>
      <c r="P165" s="9">
        <v>19.5</v>
      </c>
      <c r="Q165" s="9">
        <v>3</v>
      </c>
      <c r="R165">
        <v>10</v>
      </c>
      <c r="S165">
        <v>1000</v>
      </c>
      <c r="T165" s="4">
        <f t="shared" si="17"/>
        <v>1156.8299120294841</v>
      </c>
      <c r="U165">
        <v>99</v>
      </c>
    </row>
    <row r="166" spans="1:21">
      <c r="A166" s="44">
        <f t="shared" si="12"/>
        <v>45845.791666666271</v>
      </c>
      <c r="B166" s="45">
        <f t="shared" si="13"/>
        <v>5000</v>
      </c>
      <c r="C166" s="8">
        <v>25000</v>
      </c>
      <c r="D166" s="8">
        <v>0</v>
      </c>
      <c r="E166" s="8">
        <v>700</v>
      </c>
      <c r="F166" s="8">
        <v>7500</v>
      </c>
      <c r="G166" s="45">
        <f t="shared" si="14"/>
        <v>2400</v>
      </c>
      <c r="H166" s="8">
        <v>25000</v>
      </c>
      <c r="I166" s="45">
        <f t="shared" si="15"/>
        <v>5000</v>
      </c>
      <c r="J166" s="8">
        <v>25000</v>
      </c>
      <c r="K166" s="45">
        <f t="shared" si="16"/>
        <v>5000</v>
      </c>
      <c r="L166" s="8">
        <v>25000</v>
      </c>
      <c r="M166" s="9">
        <v>9</v>
      </c>
      <c r="N166" s="9">
        <v>16.100000000000001</v>
      </c>
      <c r="O166" s="9">
        <v>14</v>
      </c>
      <c r="P166" s="9">
        <v>19.5</v>
      </c>
      <c r="Q166" s="9">
        <v>2.4</v>
      </c>
      <c r="R166">
        <v>10</v>
      </c>
      <c r="S166">
        <v>1000</v>
      </c>
      <c r="T166" s="4">
        <f t="shared" si="17"/>
        <v>1156.8299120294841</v>
      </c>
      <c r="U166">
        <v>70</v>
      </c>
    </row>
    <row r="167" spans="1:21">
      <c r="A167" s="44">
        <f t="shared" si="12"/>
        <v>45845.833333332936</v>
      </c>
      <c r="B167" s="45">
        <f t="shared" si="13"/>
        <v>5000</v>
      </c>
      <c r="C167" s="8">
        <v>25000</v>
      </c>
      <c r="D167" s="8">
        <v>0</v>
      </c>
      <c r="E167" s="8">
        <v>700</v>
      </c>
      <c r="F167" s="8">
        <v>7500</v>
      </c>
      <c r="G167" s="45">
        <f t="shared" si="14"/>
        <v>2400</v>
      </c>
      <c r="H167" s="8">
        <v>25000</v>
      </c>
      <c r="I167" s="45">
        <f t="shared" si="15"/>
        <v>5000</v>
      </c>
      <c r="J167" s="8">
        <v>25000</v>
      </c>
      <c r="K167" s="45">
        <f t="shared" si="16"/>
        <v>5000</v>
      </c>
      <c r="L167" s="8">
        <v>25000</v>
      </c>
      <c r="M167" s="9">
        <v>9</v>
      </c>
      <c r="N167" s="9">
        <v>16.100000000000001</v>
      </c>
      <c r="O167" s="9">
        <v>14</v>
      </c>
      <c r="P167" s="9">
        <v>19.5</v>
      </c>
      <c r="Q167" s="9">
        <v>3</v>
      </c>
      <c r="R167">
        <v>10</v>
      </c>
      <c r="S167">
        <v>1000</v>
      </c>
      <c r="T167" s="4">
        <f t="shared" si="17"/>
        <v>1114.0503247993186</v>
      </c>
      <c r="U167">
        <v>90</v>
      </c>
    </row>
    <row r="168" spans="1:21">
      <c r="A168" s="44">
        <f t="shared" si="12"/>
        <v>45845.8749999996</v>
      </c>
      <c r="B168" s="45">
        <f t="shared" si="13"/>
        <v>5000</v>
      </c>
      <c r="C168" s="8">
        <v>25000</v>
      </c>
      <c r="D168" s="8">
        <v>0</v>
      </c>
      <c r="E168" s="8">
        <v>700</v>
      </c>
      <c r="F168" s="8">
        <v>7500</v>
      </c>
      <c r="G168" s="45">
        <f t="shared" si="14"/>
        <v>2400</v>
      </c>
      <c r="H168" s="8">
        <v>25000</v>
      </c>
      <c r="I168" s="45">
        <f t="shared" si="15"/>
        <v>5000</v>
      </c>
      <c r="J168" s="8">
        <v>25000</v>
      </c>
      <c r="K168" s="45">
        <f t="shared" si="16"/>
        <v>5000</v>
      </c>
      <c r="L168" s="8">
        <v>25000</v>
      </c>
      <c r="M168" s="9">
        <v>9</v>
      </c>
      <c r="N168" s="9">
        <v>16.100000000000001</v>
      </c>
      <c r="O168" s="9">
        <v>14</v>
      </c>
      <c r="P168" s="9">
        <v>19.5</v>
      </c>
      <c r="Q168" s="9">
        <v>2.8</v>
      </c>
      <c r="R168">
        <v>10</v>
      </c>
      <c r="S168">
        <v>1000</v>
      </c>
      <c r="T168" s="4">
        <f t="shared" si="17"/>
        <v>1034.1950953030096</v>
      </c>
      <c r="U168">
        <v>36</v>
      </c>
    </row>
    <row r="169" spans="1:21">
      <c r="A169" s="44">
        <f t="shared" si="12"/>
        <v>45845.916666666264</v>
      </c>
      <c r="B169" s="45">
        <f t="shared" si="13"/>
        <v>5000</v>
      </c>
      <c r="C169" s="8">
        <v>25000</v>
      </c>
      <c r="D169" s="8">
        <v>0</v>
      </c>
      <c r="E169" s="8">
        <v>700</v>
      </c>
      <c r="F169" s="8">
        <v>7500</v>
      </c>
      <c r="G169" s="45">
        <f t="shared" si="14"/>
        <v>2400</v>
      </c>
      <c r="H169" s="8">
        <v>25000</v>
      </c>
      <c r="I169" s="45">
        <f t="shared" si="15"/>
        <v>5000</v>
      </c>
      <c r="J169" s="8">
        <v>25000</v>
      </c>
      <c r="K169" s="45">
        <f t="shared" si="16"/>
        <v>5000</v>
      </c>
      <c r="L169" s="8">
        <v>25000</v>
      </c>
      <c r="M169" s="9">
        <v>9</v>
      </c>
      <c r="N169" s="9">
        <v>16.100000000000001</v>
      </c>
      <c r="O169" s="9">
        <v>14</v>
      </c>
      <c r="P169" s="9">
        <v>19.5</v>
      </c>
      <c r="Q169" s="9">
        <v>2.8</v>
      </c>
      <c r="R169">
        <v>10</v>
      </c>
      <c r="S169">
        <v>1000</v>
      </c>
      <c r="T169" s="4">
        <f t="shared" si="17"/>
        <v>807.46328298313267</v>
      </c>
      <c r="U169">
        <v>10</v>
      </c>
    </row>
    <row r="170" spans="1:21">
      <c r="A170" s="44">
        <f t="shared" si="12"/>
        <v>45845.958333332928</v>
      </c>
      <c r="B170" s="45">
        <f t="shared" si="13"/>
        <v>5000</v>
      </c>
      <c r="C170" s="8">
        <v>25000</v>
      </c>
      <c r="D170" s="8">
        <v>0</v>
      </c>
      <c r="E170" s="8">
        <v>700</v>
      </c>
      <c r="F170" s="8">
        <v>7500</v>
      </c>
      <c r="G170" s="45">
        <f t="shared" si="14"/>
        <v>2400</v>
      </c>
      <c r="H170" s="8">
        <v>25000</v>
      </c>
      <c r="I170" s="45">
        <f t="shared" si="15"/>
        <v>5000</v>
      </c>
      <c r="J170" s="8">
        <v>25000</v>
      </c>
      <c r="K170" s="45">
        <f t="shared" si="16"/>
        <v>5000</v>
      </c>
      <c r="L170" s="8">
        <v>25000</v>
      </c>
      <c r="M170" s="9">
        <v>9</v>
      </c>
      <c r="N170" s="9">
        <v>16.100000000000001</v>
      </c>
      <c r="O170" s="9">
        <v>14</v>
      </c>
      <c r="P170" s="9">
        <v>19.5</v>
      </c>
      <c r="Q170" s="9">
        <v>2.7</v>
      </c>
      <c r="R170">
        <v>10</v>
      </c>
      <c r="S170">
        <v>1000</v>
      </c>
      <c r="T170" s="4">
        <f t="shared" si="17"/>
        <v>442.69657292841788</v>
      </c>
      <c r="U170">
        <v>37</v>
      </c>
    </row>
    <row r="171" spans="1:21">
      <c r="A171" s="44">
        <f t="shared" si="12"/>
        <v>45845.999999999593</v>
      </c>
      <c r="B171" s="45">
        <f t="shared" si="13"/>
        <v>5000</v>
      </c>
      <c r="C171" s="8">
        <v>25000</v>
      </c>
      <c r="D171" s="8">
        <v>0</v>
      </c>
      <c r="E171" s="8">
        <v>700</v>
      </c>
      <c r="F171" s="8">
        <v>7500</v>
      </c>
      <c r="G171" s="45">
        <f t="shared" si="14"/>
        <v>2400</v>
      </c>
      <c r="H171" s="8">
        <v>25000</v>
      </c>
      <c r="I171" s="45">
        <f t="shared" si="15"/>
        <v>5000</v>
      </c>
      <c r="J171" s="8">
        <v>25000</v>
      </c>
      <c r="K171" s="45">
        <f t="shared" si="16"/>
        <v>5000</v>
      </c>
      <c r="L171" s="8">
        <v>25000</v>
      </c>
      <c r="M171" s="9">
        <v>9</v>
      </c>
      <c r="N171" s="9">
        <v>16.100000000000001</v>
      </c>
      <c r="O171" s="9">
        <v>14</v>
      </c>
      <c r="P171" s="9">
        <v>19.5</v>
      </c>
      <c r="Q171" s="9">
        <v>2.8</v>
      </c>
      <c r="R171">
        <v>10</v>
      </c>
      <c r="S171">
        <v>1000</v>
      </c>
      <c r="T171" s="4">
        <f t="shared" si="17"/>
        <v>442.69657292841788</v>
      </c>
      <c r="U171">
        <v>77</v>
      </c>
    </row>
    <row r="172" spans="1:21">
      <c r="A172" s="44">
        <f t="shared" si="12"/>
        <v>45846.041666666257</v>
      </c>
      <c r="B172" s="45">
        <f t="shared" si="13"/>
        <v>5000</v>
      </c>
      <c r="C172" s="8">
        <v>25000</v>
      </c>
      <c r="D172" s="8">
        <v>0</v>
      </c>
      <c r="E172" s="8">
        <v>700</v>
      </c>
      <c r="F172" s="8">
        <v>7500</v>
      </c>
      <c r="G172" s="45">
        <f t="shared" si="14"/>
        <v>2400</v>
      </c>
      <c r="H172" s="8">
        <v>25000</v>
      </c>
      <c r="I172" s="45">
        <f t="shared" si="15"/>
        <v>5000</v>
      </c>
      <c r="J172" s="8">
        <v>25000</v>
      </c>
      <c r="K172" s="45">
        <f t="shared" si="16"/>
        <v>5000</v>
      </c>
      <c r="L172" s="8">
        <v>25000</v>
      </c>
      <c r="M172" s="9">
        <v>9</v>
      </c>
      <c r="N172" s="9">
        <v>16.100000000000001</v>
      </c>
      <c r="O172" s="9">
        <v>14</v>
      </c>
      <c r="P172" s="9">
        <v>19.5</v>
      </c>
      <c r="Q172" s="9">
        <v>2.7</v>
      </c>
      <c r="R172">
        <v>10</v>
      </c>
      <c r="S172">
        <v>1000</v>
      </c>
      <c r="T172" s="4">
        <f t="shared" si="17"/>
        <v>362.27094893570683</v>
      </c>
      <c r="U172">
        <v>74</v>
      </c>
    </row>
    <row r="173" spans="1:21">
      <c r="A173" s="44">
        <f t="shared" si="12"/>
        <v>45846.083333332921</v>
      </c>
      <c r="B173" s="45">
        <f t="shared" si="13"/>
        <v>5000</v>
      </c>
      <c r="C173" s="8">
        <v>25000</v>
      </c>
      <c r="D173" s="8">
        <v>0</v>
      </c>
      <c r="E173" s="8">
        <v>700</v>
      </c>
      <c r="F173" s="8">
        <v>7500</v>
      </c>
      <c r="G173" s="45">
        <f t="shared" si="14"/>
        <v>2400</v>
      </c>
      <c r="H173" s="8">
        <v>25000</v>
      </c>
      <c r="I173" s="45">
        <f t="shared" si="15"/>
        <v>5000</v>
      </c>
      <c r="J173" s="8">
        <v>25000</v>
      </c>
      <c r="K173" s="45">
        <f t="shared" si="16"/>
        <v>5000</v>
      </c>
      <c r="L173" s="8">
        <v>25000</v>
      </c>
      <c r="M173" s="9">
        <v>9</v>
      </c>
      <c r="N173" s="9">
        <v>16.100000000000001</v>
      </c>
      <c r="O173" s="9">
        <v>14</v>
      </c>
      <c r="P173" s="9">
        <v>19.5</v>
      </c>
      <c r="Q173" s="9">
        <v>2.8</v>
      </c>
      <c r="R173">
        <v>10</v>
      </c>
      <c r="S173">
        <v>1000</v>
      </c>
      <c r="T173" s="4">
        <f t="shared" si="17"/>
        <v>362.27094893570683</v>
      </c>
      <c r="U173">
        <v>52</v>
      </c>
    </row>
    <row r="174" spans="1:21">
      <c r="A174" s="44">
        <f t="shared" si="12"/>
        <v>45846.124999999585</v>
      </c>
      <c r="B174" s="45">
        <f t="shared" si="13"/>
        <v>5000</v>
      </c>
      <c r="C174" s="8">
        <v>25000</v>
      </c>
      <c r="D174" s="8">
        <v>0</v>
      </c>
      <c r="E174" s="8">
        <v>700</v>
      </c>
      <c r="F174" s="8">
        <v>7500</v>
      </c>
      <c r="G174" s="45">
        <f t="shared" si="14"/>
        <v>2400</v>
      </c>
      <c r="H174" s="8">
        <v>25000</v>
      </c>
      <c r="I174" s="45">
        <f t="shared" si="15"/>
        <v>5000</v>
      </c>
      <c r="J174" s="8">
        <v>25000</v>
      </c>
      <c r="K174" s="45">
        <f t="shared" si="16"/>
        <v>5000</v>
      </c>
      <c r="L174" s="8">
        <v>25000</v>
      </c>
      <c r="M174" s="9">
        <v>9</v>
      </c>
      <c r="N174" s="9">
        <v>16.100000000000001</v>
      </c>
      <c r="O174" s="9">
        <v>14</v>
      </c>
      <c r="P174" s="9">
        <v>19.5</v>
      </c>
      <c r="Q174" s="9">
        <v>2.7</v>
      </c>
      <c r="R174">
        <v>10</v>
      </c>
      <c r="S174">
        <v>1000</v>
      </c>
      <c r="T174" s="4">
        <f t="shared" si="17"/>
        <v>362.27094893570683</v>
      </c>
      <c r="U174">
        <v>53</v>
      </c>
    </row>
    <row r="175" spans="1:21">
      <c r="A175" s="44">
        <f t="shared" si="12"/>
        <v>45846.16666666625</v>
      </c>
      <c r="B175" s="45">
        <f t="shared" si="13"/>
        <v>5000</v>
      </c>
      <c r="C175" s="8">
        <v>25000</v>
      </c>
      <c r="D175" s="8">
        <v>0</v>
      </c>
      <c r="E175" s="8">
        <v>700</v>
      </c>
      <c r="F175" s="8">
        <v>7500</v>
      </c>
      <c r="G175" s="45">
        <f t="shared" si="14"/>
        <v>2400</v>
      </c>
      <c r="H175" s="8">
        <v>25000</v>
      </c>
      <c r="I175" s="45">
        <f t="shared" si="15"/>
        <v>5000</v>
      </c>
      <c r="J175" s="8">
        <v>25000</v>
      </c>
      <c r="K175" s="45">
        <f t="shared" si="16"/>
        <v>5000</v>
      </c>
      <c r="L175" s="8">
        <v>25000</v>
      </c>
      <c r="M175" s="9">
        <v>9</v>
      </c>
      <c r="N175" s="9">
        <v>16.100000000000001</v>
      </c>
      <c r="O175" s="9">
        <v>14</v>
      </c>
      <c r="P175" s="9">
        <v>19.5</v>
      </c>
      <c r="Q175" s="9">
        <v>2.6</v>
      </c>
      <c r="R175">
        <v>10</v>
      </c>
      <c r="S175">
        <v>1000</v>
      </c>
      <c r="T175" s="4">
        <f t="shared" si="17"/>
        <v>426.44032978095498</v>
      </c>
      <c r="U175">
        <v>62</v>
      </c>
    </row>
    <row r="176" spans="1:21">
      <c r="A176" s="44">
        <f t="shared" si="12"/>
        <v>45846.208333332914</v>
      </c>
      <c r="B176" s="45">
        <f t="shared" si="13"/>
        <v>5000</v>
      </c>
      <c r="C176" s="8">
        <v>25000</v>
      </c>
      <c r="D176" s="8">
        <v>0</v>
      </c>
      <c r="E176" s="8">
        <v>700</v>
      </c>
      <c r="F176" s="8">
        <v>7500</v>
      </c>
      <c r="G176" s="45">
        <f t="shared" si="14"/>
        <v>2400</v>
      </c>
      <c r="H176" s="8">
        <v>25000</v>
      </c>
      <c r="I176" s="45">
        <f t="shared" si="15"/>
        <v>5000</v>
      </c>
      <c r="J176" s="8">
        <v>25000</v>
      </c>
      <c r="K176" s="45">
        <f t="shared" si="16"/>
        <v>5000</v>
      </c>
      <c r="L176" s="8">
        <v>25000</v>
      </c>
      <c r="M176" s="9">
        <v>9</v>
      </c>
      <c r="N176" s="9">
        <v>16.100000000000001</v>
      </c>
      <c r="O176" s="9">
        <v>14</v>
      </c>
      <c r="P176" s="9">
        <v>19.5</v>
      </c>
      <c r="Q176" s="9">
        <v>2.4</v>
      </c>
      <c r="R176">
        <v>10</v>
      </c>
      <c r="S176">
        <v>1000</v>
      </c>
      <c r="T176" s="4">
        <f t="shared" si="17"/>
        <v>362.27094893570683</v>
      </c>
      <c r="U176">
        <v>50</v>
      </c>
    </row>
    <row r="177" spans="1:21">
      <c r="A177" s="44">
        <f t="shared" si="12"/>
        <v>45846.249999999578</v>
      </c>
      <c r="B177" s="45">
        <f t="shared" si="13"/>
        <v>8000</v>
      </c>
      <c r="C177" s="8">
        <v>25000</v>
      </c>
      <c r="D177" s="8">
        <v>0</v>
      </c>
      <c r="E177" s="8">
        <v>700</v>
      </c>
      <c r="F177" s="8">
        <v>7500</v>
      </c>
      <c r="G177" s="45">
        <f t="shared" si="14"/>
        <v>2400</v>
      </c>
      <c r="H177" s="8">
        <v>25000</v>
      </c>
      <c r="I177" s="45">
        <f t="shared" si="15"/>
        <v>8000</v>
      </c>
      <c r="J177" s="8">
        <v>25000</v>
      </c>
      <c r="K177" s="45">
        <f t="shared" si="16"/>
        <v>8000</v>
      </c>
      <c r="L177" s="8">
        <v>25000</v>
      </c>
      <c r="M177" s="9">
        <v>9</v>
      </c>
      <c r="N177" s="9">
        <v>16.100000000000001</v>
      </c>
      <c r="O177" s="9">
        <v>14</v>
      </c>
      <c r="P177" s="9">
        <v>19.5</v>
      </c>
      <c r="Q177" s="9">
        <v>2.4</v>
      </c>
      <c r="R177">
        <v>10</v>
      </c>
      <c r="S177">
        <v>1000</v>
      </c>
      <c r="T177" s="4">
        <f t="shared" si="17"/>
        <v>304.3759075508828</v>
      </c>
      <c r="U177">
        <v>38</v>
      </c>
    </row>
    <row r="178" spans="1:21">
      <c r="A178" s="44">
        <f t="shared" si="12"/>
        <v>45846.291666666242</v>
      </c>
      <c r="B178" s="45">
        <f t="shared" si="13"/>
        <v>8000</v>
      </c>
      <c r="C178" s="8">
        <v>25000</v>
      </c>
      <c r="D178" s="8">
        <v>0</v>
      </c>
      <c r="E178" s="8">
        <v>700</v>
      </c>
      <c r="F178" s="8">
        <v>7500</v>
      </c>
      <c r="G178" s="45">
        <f t="shared" si="14"/>
        <v>2400</v>
      </c>
      <c r="H178" s="8">
        <v>25000</v>
      </c>
      <c r="I178" s="45">
        <f t="shared" si="15"/>
        <v>8000</v>
      </c>
      <c r="J178" s="8">
        <v>25000</v>
      </c>
      <c r="K178" s="45">
        <f t="shared" si="16"/>
        <v>8000</v>
      </c>
      <c r="L178" s="8">
        <v>25000</v>
      </c>
      <c r="M178" s="9">
        <v>9</v>
      </c>
      <c r="N178" s="9">
        <v>16.100000000000001</v>
      </c>
      <c r="O178" s="9">
        <v>14</v>
      </c>
      <c r="P178" s="9">
        <v>19.5</v>
      </c>
      <c r="Q178" s="9">
        <v>2.4</v>
      </c>
      <c r="R178">
        <v>10</v>
      </c>
      <c r="S178">
        <v>1000</v>
      </c>
      <c r="T178" s="4">
        <f t="shared" si="17"/>
        <v>280.13414145378908</v>
      </c>
      <c r="U178">
        <v>57</v>
      </c>
    </row>
    <row r="179" spans="1:21">
      <c r="A179" s="44">
        <f t="shared" si="12"/>
        <v>45846.333333332906</v>
      </c>
      <c r="B179" s="45">
        <f t="shared" si="13"/>
        <v>8000</v>
      </c>
      <c r="C179" s="8">
        <v>25000</v>
      </c>
      <c r="D179" s="8">
        <v>0</v>
      </c>
      <c r="E179" s="8">
        <v>700</v>
      </c>
      <c r="F179" s="8">
        <v>7500</v>
      </c>
      <c r="G179" s="45">
        <f t="shared" si="14"/>
        <v>2400</v>
      </c>
      <c r="H179" s="8">
        <v>25000</v>
      </c>
      <c r="I179" s="45">
        <f t="shared" si="15"/>
        <v>8000</v>
      </c>
      <c r="J179" s="8">
        <v>25000</v>
      </c>
      <c r="K179" s="45">
        <f t="shared" si="16"/>
        <v>8000</v>
      </c>
      <c r="L179" s="8">
        <v>25000</v>
      </c>
      <c r="M179" s="9">
        <v>9</v>
      </c>
      <c r="N179" s="9">
        <v>16.100000000000001</v>
      </c>
      <c r="O179" s="9">
        <v>14</v>
      </c>
      <c r="P179" s="9">
        <v>19.5</v>
      </c>
      <c r="Q179" s="9">
        <v>2.4</v>
      </c>
      <c r="R179">
        <v>10</v>
      </c>
      <c r="S179">
        <v>1000</v>
      </c>
      <c r="T179" s="4">
        <f t="shared" si="17"/>
        <v>294.39400386384426</v>
      </c>
      <c r="U179">
        <v>27</v>
      </c>
    </row>
    <row r="180" spans="1:21">
      <c r="A180" s="44">
        <f t="shared" si="12"/>
        <v>45846.374999999571</v>
      </c>
      <c r="B180" s="45">
        <f t="shared" si="13"/>
        <v>8000</v>
      </c>
      <c r="C180" s="8">
        <v>25000</v>
      </c>
      <c r="D180" s="8">
        <v>0</v>
      </c>
      <c r="E180" s="8">
        <v>700</v>
      </c>
      <c r="F180" s="8">
        <v>7500</v>
      </c>
      <c r="G180" s="45">
        <f t="shared" si="14"/>
        <v>2400</v>
      </c>
      <c r="H180" s="8">
        <v>25000</v>
      </c>
      <c r="I180" s="45">
        <f t="shared" si="15"/>
        <v>8000</v>
      </c>
      <c r="J180" s="8">
        <v>25000</v>
      </c>
      <c r="K180" s="45">
        <f t="shared" si="16"/>
        <v>8000</v>
      </c>
      <c r="L180" s="8">
        <v>25000</v>
      </c>
      <c r="M180" s="9">
        <v>9</v>
      </c>
      <c r="N180" s="9">
        <v>16.100000000000001</v>
      </c>
      <c r="O180" s="9">
        <v>14</v>
      </c>
      <c r="P180" s="9">
        <v>19.5</v>
      </c>
      <c r="Q180" s="9">
        <v>3</v>
      </c>
      <c r="R180">
        <v>10</v>
      </c>
      <c r="S180">
        <v>1000</v>
      </c>
      <c r="T180" s="4">
        <f t="shared" si="17"/>
        <v>317.20978371993255</v>
      </c>
      <c r="U180">
        <v>72</v>
      </c>
    </row>
    <row r="181" spans="1:21">
      <c r="A181" s="44">
        <f t="shared" si="12"/>
        <v>45846.416666666235</v>
      </c>
      <c r="B181" s="45">
        <f t="shared" si="13"/>
        <v>8000</v>
      </c>
      <c r="C181" s="8">
        <v>25000</v>
      </c>
      <c r="D181" s="8">
        <v>0</v>
      </c>
      <c r="E181" s="8">
        <v>700</v>
      </c>
      <c r="F181" s="8">
        <v>7500</v>
      </c>
      <c r="G181" s="45">
        <f t="shared" si="14"/>
        <v>2400</v>
      </c>
      <c r="H181" s="8">
        <v>25000</v>
      </c>
      <c r="I181" s="45">
        <f t="shared" si="15"/>
        <v>8000</v>
      </c>
      <c r="J181" s="8">
        <v>25000</v>
      </c>
      <c r="K181" s="45">
        <f t="shared" si="16"/>
        <v>8000</v>
      </c>
      <c r="L181" s="8">
        <v>25000</v>
      </c>
      <c r="M181" s="9">
        <v>9</v>
      </c>
      <c r="N181" s="9">
        <v>16.100000000000001</v>
      </c>
      <c r="O181" s="9">
        <v>14</v>
      </c>
      <c r="P181" s="9">
        <v>19.5</v>
      </c>
      <c r="Q181" s="9">
        <v>3</v>
      </c>
      <c r="R181">
        <v>10</v>
      </c>
      <c r="S181">
        <v>1000</v>
      </c>
      <c r="T181" s="4">
        <f t="shared" si="17"/>
        <v>308.08347177749721</v>
      </c>
      <c r="U181">
        <v>19</v>
      </c>
    </row>
    <row r="182" spans="1:21">
      <c r="A182" s="44">
        <f t="shared" si="12"/>
        <v>45846.458333332899</v>
      </c>
      <c r="B182" s="45">
        <f t="shared" si="13"/>
        <v>8000</v>
      </c>
      <c r="C182" s="8">
        <v>25000</v>
      </c>
      <c r="D182" s="8">
        <v>0</v>
      </c>
      <c r="E182" s="8">
        <v>700</v>
      </c>
      <c r="F182" s="8">
        <v>7500</v>
      </c>
      <c r="G182" s="45">
        <f t="shared" si="14"/>
        <v>2400</v>
      </c>
      <c r="H182" s="8">
        <v>25000</v>
      </c>
      <c r="I182" s="45">
        <f t="shared" si="15"/>
        <v>8000</v>
      </c>
      <c r="J182" s="8">
        <v>25000</v>
      </c>
      <c r="K182" s="45">
        <f t="shared" si="16"/>
        <v>8000</v>
      </c>
      <c r="L182" s="8">
        <v>25000</v>
      </c>
      <c r="M182" s="9">
        <v>9</v>
      </c>
      <c r="N182" s="9">
        <v>16.100000000000001</v>
      </c>
      <c r="O182" s="9">
        <v>14</v>
      </c>
      <c r="P182" s="9">
        <v>19.5</v>
      </c>
      <c r="Q182" s="9">
        <v>2.7</v>
      </c>
      <c r="R182">
        <v>10</v>
      </c>
      <c r="S182">
        <v>1000</v>
      </c>
      <c r="T182" s="4">
        <f t="shared" si="17"/>
        <v>303.80551305448063</v>
      </c>
      <c r="U182">
        <v>16</v>
      </c>
    </row>
    <row r="183" spans="1:21">
      <c r="A183" s="44">
        <f t="shared" si="12"/>
        <v>45846.499999999563</v>
      </c>
      <c r="B183" s="45">
        <f t="shared" si="13"/>
        <v>8000</v>
      </c>
      <c r="C183" s="8">
        <v>25000</v>
      </c>
      <c r="D183" s="8">
        <v>0</v>
      </c>
      <c r="E183" s="8">
        <v>700</v>
      </c>
      <c r="F183" s="8">
        <v>7500</v>
      </c>
      <c r="G183" s="45">
        <f t="shared" si="14"/>
        <v>2400</v>
      </c>
      <c r="H183" s="8">
        <v>25000</v>
      </c>
      <c r="I183" s="45">
        <f t="shared" si="15"/>
        <v>8000</v>
      </c>
      <c r="J183" s="8">
        <v>25000</v>
      </c>
      <c r="K183" s="45">
        <f t="shared" si="16"/>
        <v>8000</v>
      </c>
      <c r="L183" s="8">
        <v>25000</v>
      </c>
      <c r="M183" s="9">
        <v>9</v>
      </c>
      <c r="N183" s="9">
        <v>16.100000000000001</v>
      </c>
      <c r="O183" s="9">
        <v>14</v>
      </c>
      <c r="P183" s="9">
        <v>19.5</v>
      </c>
      <c r="Q183" s="9">
        <v>3</v>
      </c>
      <c r="R183">
        <v>10</v>
      </c>
      <c r="S183">
        <v>1000</v>
      </c>
      <c r="T183" s="4">
        <f t="shared" si="17"/>
        <v>303.80551305448063</v>
      </c>
      <c r="U183">
        <v>77</v>
      </c>
    </row>
    <row r="184" spans="1:21">
      <c r="A184" s="44">
        <f t="shared" si="12"/>
        <v>45846.541666666228</v>
      </c>
      <c r="B184" s="45">
        <f t="shared" si="13"/>
        <v>8000</v>
      </c>
      <c r="C184" s="8">
        <v>25000</v>
      </c>
      <c r="D184" s="8">
        <v>0</v>
      </c>
      <c r="E184" s="8">
        <v>700</v>
      </c>
      <c r="F184" s="8">
        <v>7500</v>
      </c>
      <c r="G184" s="45">
        <f t="shared" si="14"/>
        <v>2400</v>
      </c>
      <c r="H184" s="8">
        <v>25000</v>
      </c>
      <c r="I184" s="45">
        <f t="shared" si="15"/>
        <v>8000</v>
      </c>
      <c r="J184" s="8">
        <v>25000</v>
      </c>
      <c r="K184" s="45">
        <f t="shared" si="16"/>
        <v>8000</v>
      </c>
      <c r="L184" s="8">
        <v>25000</v>
      </c>
      <c r="M184" s="9">
        <v>9</v>
      </c>
      <c r="N184" s="9">
        <v>16.100000000000001</v>
      </c>
      <c r="O184" s="9">
        <v>14</v>
      </c>
      <c r="P184" s="9">
        <v>19.5</v>
      </c>
      <c r="Q184" s="9">
        <v>3</v>
      </c>
      <c r="R184">
        <v>10</v>
      </c>
      <c r="S184">
        <v>1000</v>
      </c>
      <c r="T184" s="4">
        <f t="shared" si="17"/>
        <v>353.43040463596901</v>
      </c>
      <c r="U184">
        <v>78</v>
      </c>
    </row>
    <row r="185" spans="1:21">
      <c r="A185" s="44">
        <f t="shared" si="12"/>
        <v>45846.583333332892</v>
      </c>
      <c r="B185" s="45">
        <f t="shared" si="13"/>
        <v>8000</v>
      </c>
      <c r="C185" s="8">
        <v>25000</v>
      </c>
      <c r="D185" s="8">
        <v>0</v>
      </c>
      <c r="E185" s="8">
        <v>700</v>
      </c>
      <c r="F185" s="8">
        <v>7500</v>
      </c>
      <c r="G185" s="45">
        <f t="shared" si="14"/>
        <v>2400</v>
      </c>
      <c r="H185" s="8">
        <v>25000</v>
      </c>
      <c r="I185" s="45">
        <f t="shared" si="15"/>
        <v>8000</v>
      </c>
      <c r="J185" s="8">
        <v>25000</v>
      </c>
      <c r="K185" s="45">
        <f t="shared" si="16"/>
        <v>8000</v>
      </c>
      <c r="L185" s="8">
        <v>25000</v>
      </c>
      <c r="M185" s="9">
        <v>9</v>
      </c>
      <c r="N185" s="9">
        <v>16.100000000000001</v>
      </c>
      <c r="O185" s="9">
        <v>14</v>
      </c>
      <c r="P185" s="9">
        <v>19.5</v>
      </c>
      <c r="Q185" s="9">
        <v>3</v>
      </c>
      <c r="R185">
        <v>10</v>
      </c>
      <c r="S185">
        <v>1000</v>
      </c>
      <c r="T185" s="4">
        <f t="shared" si="17"/>
        <v>587.29100737188094</v>
      </c>
      <c r="U185">
        <v>66</v>
      </c>
    </row>
    <row r="186" spans="1:21">
      <c r="A186" s="44">
        <f t="shared" si="12"/>
        <v>45846.624999999556</v>
      </c>
      <c r="B186" s="45">
        <f t="shared" si="13"/>
        <v>8000</v>
      </c>
      <c r="C186" s="8">
        <v>25000</v>
      </c>
      <c r="D186" s="8">
        <v>0</v>
      </c>
      <c r="E186" s="8">
        <v>700</v>
      </c>
      <c r="F186" s="8">
        <v>7500</v>
      </c>
      <c r="G186" s="45">
        <f t="shared" si="14"/>
        <v>2400</v>
      </c>
      <c r="H186" s="8">
        <v>25000</v>
      </c>
      <c r="I186" s="45">
        <f t="shared" si="15"/>
        <v>8000</v>
      </c>
      <c r="J186" s="8">
        <v>25000</v>
      </c>
      <c r="K186" s="45">
        <f t="shared" si="16"/>
        <v>8000</v>
      </c>
      <c r="L186" s="8">
        <v>25000</v>
      </c>
      <c r="M186" s="9">
        <v>9</v>
      </c>
      <c r="N186" s="9">
        <v>16.100000000000001</v>
      </c>
      <c r="O186" s="9">
        <v>14</v>
      </c>
      <c r="P186" s="9">
        <v>19.5</v>
      </c>
      <c r="Q186" s="9">
        <v>2.8</v>
      </c>
      <c r="R186">
        <v>10</v>
      </c>
      <c r="S186">
        <v>1000</v>
      </c>
      <c r="T186" s="4">
        <f t="shared" si="17"/>
        <v>604.40284226394715</v>
      </c>
      <c r="U186">
        <v>85</v>
      </c>
    </row>
    <row r="187" spans="1:21">
      <c r="A187" s="44">
        <f t="shared" si="12"/>
        <v>45846.66666666622</v>
      </c>
      <c r="B187" s="45">
        <f t="shared" si="13"/>
        <v>8000</v>
      </c>
      <c r="C187" s="8">
        <v>25000</v>
      </c>
      <c r="D187" s="8">
        <v>0</v>
      </c>
      <c r="E187" s="8">
        <v>700</v>
      </c>
      <c r="F187" s="8">
        <v>7500</v>
      </c>
      <c r="G187" s="45">
        <f t="shared" si="14"/>
        <v>2400</v>
      </c>
      <c r="H187" s="8">
        <v>25000</v>
      </c>
      <c r="I187" s="45">
        <f t="shared" si="15"/>
        <v>8000</v>
      </c>
      <c r="J187" s="8">
        <v>25000</v>
      </c>
      <c r="K187" s="45">
        <f t="shared" si="16"/>
        <v>8000</v>
      </c>
      <c r="L187" s="8">
        <v>25000</v>
      </c>
      <c r="M187" s="9">
        <v>9</v>
      </c>
      <c r="N187" s="9">
        <v>16.100000000000001</v>
      </c>
      <c r="O187" s="9">
        <v>14</v>
      </c>
      <c r="P187" s="9">
        <v>19.5</v>
      </c>
      <c r="Q187" s="9">
        <v>2.8</v>
      </c>
      <c r="R187">
        <v>10</v>
      </c>
      <c r="S187">
        <v>1000</v>
      </c>
      <c r="T187" s="4">
        <f t="shared" si="17"/>
        <v>875.91062255139741</v>
      </c>
      <c r="U187">
        <v>100</v>
      </c>
    </row>
    <row r="188" spans="1:21">
      <c r="A188" s="44">
        <f t="shared" si="12"/>
        <v>45846.708333332885</v>
      </c>
      <c r="B188" s="45">
        <f t="shared" si="13"/>
        <v>8000</v>
      </c>
      <c r="C188" s="8">
        <v>25000</v>
      </c>
      <c r="D188" s="8">
        <v>0</v>
      </c>
      <c r="E188" s="8">
        <v>700</v>
      </c>
      <c r="F188" s="8">
        <v>7500</v>
      </c>
      <c r="G188" s="45">
        <f t="shared" si="14"/>
        <v>2400</v>
      </c>
      <c r="H188" s="8">
        <v>25000</v>
      </c>
      <c r="I188" s="45">
        <f t="shared" si="15"/>
        <v>8000</v>
      </c>
      <c r="J188" s="8">
        <v>25000</v>
      </c>
      <c r="K188" s="45">
        <f t="shared" si="16"/>
        <v>8000</v>
      </c>
      <c r="L188" s="8">
        <v>25000</v>
      </c>
      <c r="M188" s="9">
        <v>9</v>
      </c>
      <c r="N188" s="9">
        <v>16.100000000000001</v>
      </c>
      <c r="O188" s="9">
        <v>14</v>
      </c>
      <c r="P188" s="9">
        <v>19.5</v>
      </c>
      <c r="Q188" s="9">
        <v>2.9</v>
      </c>
      <c r="R188">
        <v>10</v>
      </c>
      <c r="S188">
        <v>1000</v>
      </c>
      <c r="T188" s="4">
        <f t="shared" si="17"/>
        <v>1116.9022972813298</v>
      </c>
      <c r="U188">
        <v>29</v>
      </c>
    </row>
    <row r="189" spans="1:21">
      <c r="A189" s="44">
        <f t="shared" si="12"/>
        <v>45846.749999999549</v>
      </c>
      <c r="B189" s="45">
        <f t="shared" si="13"/>
        <v>5000</v>
      </c>
      <c r="C189" s="8">
        <v>25000</v>
      </c>
      <c r="D189" s="8">
        <v>0</v>
      </c>
      <c r="E189" s="8">
        <v>700</v>
      </c>
      <c r="F189" s="8">
        <v>7500</v>
      </c>
      <c r="G189" s="45">
        <f t="shared" si="14"/>
        <v>2400</v>
      </c>
      <c r="H189" s="8">
        <v>25000</v>
      </c>
      <c r="I189" s="45">
        <f t="shared" si="15"/>
        <v>5000</v>
      </c>
      <c r="J189" s="8">
        <v>25000</v>
      </c>
      <c r="K189" s="45">
        <f t="shared" si="16"/>
        <v>5000</v>
      </c>
      <c r="L189" s="8">
        <v>25000</v>
      </c>
      <c r="M189" s="9">
        <v>9</v>
      </c>
      <c r="N189" s="9">
        <v>16.100000000000001</v>
      </c>
      <c r="O189" s="9">
        <v>14</v>
      </c>
      <c r="P189" s="9">
        <v>19.5</v>
      </c>
      <c r="Q189" s="9">
        <v>2.7</v>
      </c>
      <c r="R189">
        <v>10</v>
      </c>
      <c r="S189">
        <v>1000</v>
      </c>
      <c r="T189" s="4">
        <f t="shared" si="17"/>
        <v>1156.8299120294841</v>
      </c>
      <c r="U189">
        <v>26</v>
      </c>
    </row>
    <row r="190" spans="1:21">
      <c r="A190" s="44">
        <f t="shared" si="12"/>
        <v>45846.791666666213</v>
      </c>
      <c r="B190" s="45">
        <f t="shared" si="13"/>
        <v>5000</v>
      </c>
      <c r="C190" s="8">
        <v>25000</v>
      </c>
      <c r="D190" s="8">
        <v>0</v>
      </c>
      <c r="E190" s="8">
        <v>700</v>
      </c>
      <c r="F190" s="8">
        <v>7500</v>
      </c>
      <c r="G190" s="45">
        <f t="shared" si="14"/>
        <v>2400</v>
      </c>
      <c r="H190" s="8">
        <v>25000</v>
      </c>
      <c r="I190" s="45">
        <f t="shared" si="15"/>
        <v>5000</v>
      </c>
      <c r="J190" s="8">
        <v>25000</v>
      </c>
      <c r="K190" s="45">
        <f t="shared" si="16"/>
        <v>5000</v>
      </c>
      <c r="L190" s="8">
        <v>25000</v>
      </c>
      <c r="M190" s="9">
        <v>9</v>
      </c>
      <c r="N190" s="9">
        <v>16.100000000000001</v>
      </c>
      <c r="O190" s="9">
        <v>14</v>
      </c>
      <c r="P190" s="9">
        <v>19.5</v>
      </c>
      <c r="Q190" s="9">
        <v>2.9</v>
      </c>
      <c r="R190">
        <v>10</v>
      </c>
      <c r="S190">
        <v>1000</v>
      </c>
      <c r="T190" s="4">
        <f t="shared" si="17"/>
        <v>1156.8299120294841</v>
      </c>
      <c r="U190">
        <v>41</v>
      </c>
    </row>
    <row r="191" spans="1:21">
      <c r="A191" s="44">
        <f t="shared" si="12"/>
        <v>45846.833333332877</v>
      </c>
      <c r="B191" s="45">
        <f t="shared" si="13"/>
        <v>5000</v>
      </c>
      <c r="C191" s="8">
        <v>25000</v>
      </c>
      <c r="D191" s="8">
        <v>0</v>
      </c>
      <c r="E191" s="8">
        <v>700</v>
      </c>
      <c r="F191" s="8">
        <v>7500</v>
      </c>
      <c r="G191" s="45">
        <f t="shared" si="14"/>
        <v>2400</v>
      </c>
      <c r="H191" s="8">
        <v>25000</v>
      </c>
      <c r="I191" s="45">
        <f t="shared" si="15"/>
        <v>5000</v>
      </c>
      <c r="J191" s="8">
        <v>25000</v>
      </c>
      <c r="K191" s="45">
        <f t="shared" si="16"/>
        <v>5000</v>
      </c>
      <c r="L191" s="8">
        <v>25000</v>
      </c>
      <c r="M191" s="9">
        <v>9</v>
      </c>
      <c r="N191" s="9">
        <v>16.100000000000001</v>
      </c>
      <c r="O191" s="9">
        <v>14</v>
      </c>
      <c r="P191" s="9">
        <v>19.5</v>
      </c>
      <c r="Q191" s="9">
        <v>2.7</v>
      </c>
      <c r="R191">
        <v>10</v>
      </c>
      <c r="S191">
        <v>1000</v>
      </c>
      <c r="T191" s="4">
        <f t="shared" si="17"/>
        <v>1114.0503247993186</v>
      </c>
      <c r="U191">
        <v>24</v>
      </c>
    </row>
    <row r="192" spans="1:21">
      <c r="A192" s="44">
        <f t="shared" si="12"/>
        <v>45846.874999999542</v>
      </c>
      <c r="B192" s="45">
        <f t="shared" si="13"/>
        <v>5000</v>
      </c>
      <c r="C192" s="8">
        <v>25000</v>
      </c>
      <c r="D192" s="8">
        <v>0</v>
      </c>
      <c r="E192" s="8">
        <v>700</v>
      </c>
      <c r="F192" s="8">
        <v>7500</v>
      </c>
      <c r="G192" s="45">
        <f t="shared" si="14"/>
        <v>2400</v>
      </c>
      <c r="H192" s="8">
        <v>25000</v>
      </c>
      <c r="I192" s="45">
        <f t="shared" si="15"/>
        <v>5000</v>
      </c>
      <c r="J192" s="8">
        <v>25000</v>
      </c>
      <c r="K192" s="45">
        <f t="shared" si="16"/>
        <v>5000</v>
      </c>
      <c r="L192" s="8">
        <v>25000</v>
      </c>
      <c r="M192" s="9">
        <v>9</v>
      </c>
      <c r="N192" s="9">
        <v>16.100000000000001</v>
      </c>
      <c r="O192" s="9">
        <v>14</v>
      </c>
      <c r="P192" s="9">
        <v>19.5</v>
      </c>
      <c r="Q192" s="9">
        <v>2.7</v>
      </c>
      <c r="R192">
        <v>10</v>
      </c>
      <c r="S192">
        <v>1000</v>
      </c>
      <c r="T192" s="4">
        <f t="shared" si="17"/>
        <v>1034.1950953030096</v>
      </c>
      <c r="U192">
        <v>46</v>
      </c>
    </row>
    <row r="193" spans="1:21">
      <c r="A193" s="44">
        <f t="shared" si="12"/>
        <v>45846.916666666206</v>
      </c>
      <c r="B193" s="45">
        <f t="shared" si="13"/>
        <v>5000</v>
      </c>
      <c r="C193" s="8">
        <v>25000</v>
      </c>
      <c r="D193" s="8">
        <v>0</v>
      </c>
      <c r="E193" s="8">
        <v>700</v>
      </c>
      <c r="F193" s="8">
        <v>7500</v>
      </c>
      <c r="G193" s="45">
        <f t="shared" si="14"/>
        <v>2400</v>
      </c>
      <c r="H193" s="8">
        <v>25000</v>
      </c>
      <c r="I193" s="45">
        <f t="shared" si="15"/>
        <v>5000</v>
      </c>
      <c r="J193" s="8">
        <v>25000</v>
      </c>
      <c r="K193" s="45">
        <f t="shared" si="16"/>
        <v>5000</v>
      </c>
      <c r="L193" s="8">
        <v>25000</v>
      </c>
      <c r="M193" s="9">
        <v>9</v>
      </c>
      <c r="N193" s="9">
        <v>16.100000000000001</v>
      </c>
      <c r="O193" s="9">
        <v>14</v>
      </c>
      <c r="P193" s="9">
        <v>19.5</v>
      </c>
      <c r="Q193" s="9">
        <v>2.4</v>
      </c>
      <c r="R193">
        <v>10</v>
      </c>
      <c r="S193">
        <v>1000</v>
      </c>
      <c r="T193" s="4">
        <f t="shared" si="17"/>
        <v>807.46328298313267</v>
      </c>
      <c r="U193">
        <v>75</v>
      </c>
    </row>
    <row r="194" spans="1:21">
      <c r="A194" s="44">
        <f t="shared" si="12"/>
        <v>45846.95833333287</v>
      </c>
      <c r="B194" s="45">
        <f t="shared" si="13"/>
        <v>5000</v>
      </c>
      <c r="C194" s="8">
        <v>25000</v>
      </c>
      <c r="D194" s="8">
        <v>0</v>
      </c>
      <c r="E194" s="8">
        <v>700</v>
      </c>
      <c r="F194" s="8">
        <v>7500</v>
      </c>
      <c r="G194" s="45">
        <f t="shared" si="14"/>
        <v>2400</v>
      </c>
      <c r="H194" s="8">
        <v>25000</v>
      </c>
      <c r="I194" s="45">
        <f t="shared" si="15"/>
        <v>5000</v>
      </c>
      <c r="J194" s="8">
        <v>25000</v>
      </c>
      <c r="K194" s="45">
        <f t="shared" si="16"/>
        <v>5000</v>
      </c>
      <c r="L194" s="8">
        <v>25000</v>
      </c>
      <c r="M194" s="9">
        <v>9</v>
      </c>
      <c r="N194" s="9">
        <v>16.100000000000001</v>
      </c>
      <c r="O194" s="9">
        <v>14</v>
      </c>
      <c r="P194" s="9">
        <v>19.5</v>
      </c>
      <c r="Q194" s="9">
        <v>2.9</v>
      </c>
      <c r="R194">
        <v>10</v>
      </c>
      <c r="S194">
        <v>1000</v>
      </c>
      <c r="T194" s="4">
        <f t="shared" si="17"/>
        <v>442.69657292841788</v>
      </c>
      <c r="U194">
        <v>16</v>
      </c>
    </row>
    <row r="195" spans="1:21">
      <c r="A195" s="44">
        <f t="shared" si="12"/>
        <v>45846.999999999534</v>
      </c>
      <c r="B195" s="45">
        <f t="shared" si="13"/>
        <v>5000</v>
      </c>
      <c r="C195" s="8">
        <v>25000</v>
      </c>
      <c r="D195" s="8">
        <v>0</v>
      </c>
      <c r="E195" s="8">
        <v>700</v>
      </c>
      <c r="F195" s="8">
        <v>7500</v>
      </c>
      <c r="G195" s="45">
        <f t="shared" si="14"/>
        <v>2400</v>
      </c>
      <c r="H195" s="8">
        <v>25000</v>
      </c>
      <c r="I195" s="45">
        <f t="shared" si="15"/>
        <v>5000</v>
      </c>
      <c r="J195" s="8">
        <v>25000</v>
      </c>
      <c r="K195" s="45">
        <f t="shared" si="16"/>
        <v>5000</v>
      </c>
      <c r="L195" s="8">
        <v>25000</v>
      </c>
      <c r="M195" s="9">
        <v>9</v>
      </c>
      <c r="N195" s="9">
        <v>16.100000000000001</v>
      </c>
      <c r="O195" s="9">
        <v>14</v>
      </c>
      <c r="P195" s="9">
        <v>19.5</v>
      </c>
      <c r="Q195" s="9">
        <v>2.6</v>
      </c>
      <c r="R195">
        <v>10</v>
      </c>
      <c r="S195">
        <v>1000</v>
      </c>
      <c r="T195" s="4">
        <f t="shared" si="17"/>
        <v>442.69657292841788</v>
      </c>
      <c r="U195">
        <v>73</v>
      </c>
    </row>
    <row r="196" spans="1:21">
      <c r="A196" s="44">
        <f t="shared" si="12"/>
        <v>45847.041666666199</v>
      </c>
      <c r="B196" s="45">
        <f t="shared" si="13"/>
        <v>5000</v>
      </c>
      <c r="C196" s="8">
        <v>25000</v>
      </c>
      <c r="D196" s="8">
        <v>0</v>
      </c>
      <c r="E196" s="8">
        <v>700</v>
      </c>
      <c r="F196" s="8">
        <v>7500</v>
      </c>
      <c r="G196" s="45">
        <f t="shared" si="14"/>
        <v>2400</v>
      </c>
      <c r="H196" s="8">
        <v>25000</v>
      </c>
      <c r="I196" s="45">
        <f t="shared" si="15"/>
        <v>5000</v>
      </c>
      <c r="J196" s="8">
        <v>25000</v>
      </c>
      <c r="K196" s="45">
        <f t="shared" si="16"/>
        <v>5000</v>
      </c>
      <c r="L196" s="8">
        <v>25000</v>
      </c>
      <c r="M196" s="9">
        <v>9</v>
      </c>
      <c r="N196" s="9">
        <v>16.100000000000001</v>
      </c>
      <c r="O196" s="9">
        <v>14</v>
      </c>
      <c r="P196" s="9">
        <v>19.5</v>
      </c>
      <c r="Q196" s="9">
        <v>3</v>
      </c>
      <c r="R196">
        <v>10</v>
      </c>
      <c r="S196">
        <v>1000</v>
      </c>
      <c r="T196" s="4">
        <f t="shared" si="17"/>
        <v>362.27094893570683</v>
      </c>
      <c r="U196">
        <v>67</v>
      </c>
    </row>
    <row r="197" spans="1:21">
      <c r="A197" s="44">
        <f t="shared" ref="A197:A260" si="18">A196+TIME(1,0,0)</f>
        <v>45847.083333332863</v>
      </c>
      <c r="B197" s="45">
        <f t="shared" si="13"/>
        <v>5000</v>
      </c>
      <c r="C197" s="8">
        <v>25000</v>
      </c>
      <c r="D197" s="8">
        <v>0</v>
      </c>
      <c r="E197" s="8">
        <v>700</v>
      </c>
      <c r="F197" s="8">
        <v>7500</v>
      </c>
      <c r="G197" s="45">
        <f t="shared" si="14"/>
        <v>2400</v>
      </c>
      <c r="H197" s="8">
        <v>25000</v>
      </c>
      <c r="I197" s="45">
        <f t="shared" si="15"/>
        <v>5000</v>
      </c>
      <c r="J197" s="8">
        <v>25000</v>
      </c>
      <c r="K197" s="45">
        <f t="shared" si="16"/>
        <v>5000</v>
      </c>
      <c r="L197" s="8">
        <v>25000</v>
      </c>
      <c r="M197" s="9">
        <v>9</v>
      </c>
      <c r="N197" s="9">
        <v>16.100000000000001</v>
      </c>
      <c r="O197" s="9">
        <v>14</v>
      </c>
      <c r="P197" s="9">
        <v>19.5</v>
      </c>
      <c r="Q197" s="9">
        <v>3</v>
      </c>
      <c r="R197">
        <v>10</v>
      </c>
      <c r="S197">
        <v>1000</v>
      </c>
      <c r="T197" s="4">
        <f t="shared" si="17"/>
        <v>362.27094893570683</v>
      </c>
      <c r="U197">
        <v>33</v>
      </c>
    </row>
    <row r="198" spans="1:21">
      <c r="A198" s="44">
        <f t="shared" si="18"/>
        <v>45847.124999999527</v>
      </c>
      <c r="B198" s="45">
        <f t="shared" si="13"/>
        <v>5000</v>
      </c>
      <c r="C198" s="8">
        <v>25000</v>
      </c>
      <c r="D198" s="8">
        <v>0</v>
      </c>
      <c r="E198" s="8">
        <v>700</v>
      </c>
      <c r="F198" s="8">
        <v>7500</v>
      </c>
      <c r="G198" s="45">
        <f t="shared" si="14"/>
        <v>2400</v>
      </c>
      <c r="H198" s="8">
        <v>25000</v>
      </c>
      <c r="I198" s="45">
        <f t="shared" si="15"/>
        <v>5000</v>
      </c>
      <c r="J198" s="8">
        <v>25000</v>
      </c>
      <c r="K198" s="45">
        <f t="shared" si="16"/>
        <v>5000</v>
      </c>
      <c r="L198" s="8">
        <v>25000</v>
      </c>
      <c r="M198" s="9">
        <v>9</v>
      </c>
      <c r="N198" s="9">
        <v>16.100000000000001</v>
      </c>
      <c r="O198" s="9">
        <v>14</v>
      </c>
      <c r="P198" s="9">
        <v>19.5</v>
      </c>
      <c r="Q198" s="9">
        <v>2.8</v>
      </c>
      <c r="R198">
        <v>10</v>
      </c>
      <c r="S198">
        <v>1000</v>
      </c>
      <c r="T198" s="4">
        <f t="shared" si="17"/>
        <v>362.27094893570683</v>
      </c>
      <c r="U198">
        <v>32</v>
      </c>
    </row>
    <row r="199" spans="1:21">
      <c r="A199" s="44">
        <f t="shared" si="18"/>
        <v>45847.166666666191</v>
      </c>
      <c r="B199" s="45">
        <f t="shared" si="13"/>
        <v>5000</v>
      </c>
      <c r="C199" s="8">
        <v>25000</v>
      </c>
      <c r="D199" s="8">
        <v>0</v>
      </c>
      <c r="E199" s="8">
        <v>700</v>
      </c>
      <c r="F199" s="8">
        <v>7500</v>
      </c>
      <c r="G199" s="45">
        <f t="shared" si="14"/>
        <v>2400</v>
      </c>
      <c r="H199" s="8">
        <v>25000</v>
      </c>
      <c r="I199" s="45">
        <f t="shared" si="15"/>
        <v>5000</v>
      </c>
      <c r="J199" s="8">
        <v>25000</v>
      </c>
      <c r="K199" s="45">
        <f t="shared" si="16"/>
        <v>5000</v>
      </c>
      <c r="L199" s="8">
        <v>25000</v>
      </c>
      <c r="M199" s="9">
        <v>9</v>
      </c>
      <c r="N199" s="9">
        <v>16.100000000000001</v>
      </c>
      <c r="O199" s="9">
        <v>14</v>
      </c>
      <c r="P199" s="9">
        <v>19.5</v>
      </c>
      <c r="Q199" s="9">
        <v>2.7</v>
      </c>
      <c r="R199">
        <v>10</v>
      </c>
      <c r="S199">
        <v>1000</v>
      </c>
      <c r="T199" s="4">
        <f t="shared" si="17"/>
        <v>426.44032978095498</v>
      </c>
      <c r="U199">
        <v>84</v>
      </c>
    </row>
    <row r="200" spans="1:21">
      <c r="A200" s="44">
        <f t="shared" si="18"/>
        <v>45847.208333332856</v>
      </c>
      <c r="B200" s="45">
        <f t="shared" si="13"/>
        <v>5000</v>
      </c>
      <c r="C200" s="8">
        <v>25000</v>
      </c>
      <c r="D200" s="8">
        <v>0</v>
      </c>
      <c r="E200" s="8">
        <v>700</v>
      </c>
      <c r="F200" s="8">
        <v>7500</v>
      </c>
      <c r="G200" s="45">
        <f t="shared" si="14"/>
        <v>2400</v>
      </c>
      <c r="H200" s="8">
        <v>25000</v>
      </c>
      <c r="I200" s="45">
        <f t="shared" si="15"/>
        <v>5000</v>
      </c>
      <c r="J200" s="8">
        <v>25000</v>
      </c>
      <c r="K200" s="45">
        <f t="shared" si="16"/>
        <v>5000</v>
      </c>
      <c r="L200" s="8">
        <v>25000</v>
      </c>
      <c r="M200" s="9">
        <v>9</v>
      </c>
      <c r="N200" s="9">
        <v>16.100000000000001</v>
      </c>
      <c r="O200" s="9">
        <v>14</v>
      </c>
      <c r="P200" s="9">
        <v>19.5</v>
      </c>
      <c r="Q200" s="9">
        <v>2.7</v>
      </c>
      <c r="R200">
        <v>10</v>
      </c>
      <c r="S200">
        <v>1000</v>
      </c>
      <c r="T200" s="4">
        <f t="shared" si="17"/>
        <v>362.27094893570683</v>
      </c>
      <c r="U200">
        <v>20</v>
      </c>
    </row>
    <row r="201" spans="1:21">
      <c r="A201" s="44">
        <f t="shared" si="18"/>
        <v>45847.24999999952</v>
      </c>
      <c r="B201" s="45">
        <f t="shared" si="13"/>
        <v>8000</v>
      </c>
      <c r="C201" s="8">
        <v>25000</v>
      </c>
      <c r="D201" s="8">
        <v>0</v>
      </c>
      <c r="E201" s="8">
        <v>700</v>
      </c>
      <c r="F201" s="8">
        <v>7500</v>
      </c>
      <c r="G201" s="45">
        <f t="shared" si="14"/>
        <v>2400</v>
      </c>
      <c r="H201" s="8">
        <v>25000</v>
      </c>
      <c r="I201" s="45">
        <f t="shared" si="15"/>
        <v>8000</v>
      </c>
      <c r="J201" s="8">
        <v>25000</v>
      </c>
      <c r="K201" s="45">
        <f t="shared" si="16"/>
        <v>8000</v>
      </c>
      <c r="L201" s="8">
        <v>25000</v>
      </c>
      <c r="M201" s="9">
        <v>9</v>
      </c>
      <c r="N201" s="9">
        <v>16.100000000000001</v>
      </c>
      <c r="O201" s="9">
        <v>14</v>
      </c>
      <c r="P201" s="9">
        <v>19.5</v>
      </c>
      <c r="Q201" s="9">
        <v>2.8</v>
      </c>
      <c r="R201">
        <v>10</v>
      </c>
      <c r="S201">
        <v>1000</v>
      </c>
      <c r="T201" s="4">
        <f t="shared" si="17"/>
        <v>304.3759075508828</v>
      </c>
      <c r="U201">
        <v>89</v>
      </c>
    </row>
    <row r="202" spans="1:21">
      <c r="A202" s="44">
        <f t="shared" si="18"/>
        <v>45847.291666666184</v>
      </c>
      <c r="B202" s="45">
        <f t="shared" si="13"/>
        <v>8000</v>
      </c>
      <c r="C202" s="8">
        <v>25000</v>
      </c>
      <c r="D202" s="8">
        <v>0</v>
      </c>
      <c r="E202" s="8">
        <v>700</v>
      </c>
      <c r="F202" s="8">
        <v>7500</v>
      </c>
      <c r="G202" s="45">
        <f t="shared" si="14"/>
        <v>2400</v>
      </c>
      <c r="H202" s="8">
        <v>25000</v>
      </c>
      <c r="I202" s="45">
        <f t="shared" si="15"/>
        <v>8000</v>
      </c>
      <c r="J202" s="8">
        <v>25000</v>
      </c>
      <c r="K202" s="45">
        <f t="shared" si="16"/>
        <v>8000</v>
      </c>
      <c r="L202" s="8">
        <v>25000</v>
      </c>
      <c r="M202" s="9">
        <v>9</v>
      </c>
      <c r="N202" s="9">
        <v>16.100000000000001</v>
      </c>
      <c r="O202" s="9">
        <v>14</v>
      </c>
      <c r="P202" s="9">
        <v>19.5</v>
      </c>
      <c r="Q202" s="9">
        <v>2.9</v>
      </c>
      <c r="R202">
        <v>10</v>
      </c>
      <c r="S202">
        <v>1000</v>
      </c>
      <c r="T202" s="4">
        <f t="shared" si="17"/>
        <v>280.13414145378908</v>
      </c>
      <c r="U202">
        <v>43</v>
      </c>
    </row>
    <row r="203" spans="1:21">
      <c r="A203" s="44">
        <f t="shared" si="18"/>
        <v>45847.333333332848</v>
      </c>
      <c r="B203" s="45">
        <f t="shared" si="13"/>
        <v>8000</v>
      </c>
      <c r="C203" s="8">
        <v>25000</v>
      </c>
      <c r="D203" s="8">
        <v>0</v>
      </c>
      <c r="E203" s="8">
        <v>700</v>
      </c>
      <c r="F203" s="8">
        <v>7500</v>
      </c>
      <c r="G203" s="45">
        <f t="shared" si="14"/>
        <v>2400</v>
      </c>
      <c r="H203" s="8">
        <v>25000</v>
      </c>
      <c r="I203" s="45">
        <f t="shared" si="15"/>
        <v>8000</v>
      </c>
      <c r="J203" s="8">
        <v>25000</v>
      </c>
      <c r="K203" s="45">
        <f t="shared" si="16"/>
        <v>8000</v>
      </c>
      <c r="L203" s="8">
        <v>25000</v>
      </c>
      <c r="M203" s="9">
        <v>9</v>
      </c>
      <c r="N203" s="9">
        <v>16.100000000000001</v>
      </c>
      <c r="O203" s="9">
        <v>14</v>
      </c>
      <c r="P203" s="9">
        <v>19.5</v>
      </c>
      <c r="Q203" s="9">
        <v>2.5</v>
      </c>
      <c r="R203">
        <v>10</v>
      </c>
      <c r="S203">
        <v>1000</v>
      </c>
      <c r="T203" s="4">
        <f t="shared" si="17"/>
        <v>294.39400386384426</v>
      </c>
      <c r="U203">
        <v>77</v>
      </c>
    </row>
    <row r="204" spans="1:21">
      <c r="A204" s="44">
        <f t="shared" si="18"/>
        <v>45847.374999999513</v>
      </c>
      <c r="B204" s="45">
        <f t="shared" si="13"/>
        <v>8000</v>
      </c>
      <c r="C204" s="8">
        <v>25000</v>
      </c>
      <c r="D204" s="8">
        <v>0</v>
      </c>
      <c r="E204" s="8">
        <v>700</v>
      </c>
      <c r="F204" s="8">
        <v>7500</v>
      </c>
      <c r="G204" s="45">
        <f t="shared" si="14"/>
        <v>2400</v>
      </c>
      <c r="H204" s="8">
        <v>25000</v>
      </c>
      <c r="I204" s="45">
        <f t="shared" si="15"/>
        <v>8000</v>
      </c>
      <c r="J204" s="8">
        <v>25000</v>
      </c>
      <c r="K204" s="45">
        <f t="shared" si="16"/>
        <v>8000</v>
      </c>
      <c r="L204" s="8">
        <v>25000</v>
      </c>
      <c r="M204" s="9">
        <v>9</v>
      </c>
      <c r="N204" s="9">
        <v>16.100000000000001</v>
      </c>
      <c r="O204" s="9">
        <v>14</v>
      </c>
      <c r="P204" s="9">
        <v>19.5</v>
      </c>
      <c r="Q204" s="9">
        <v>2.6</v>
      </c>
      <c r="R204">
        <v>10</v>
      </c>
      <c r="S204">
        <v>1000</v>
      </c>
      <c r="T204" s="4">
        <f t="shared" si="17"/>
        <v>317.20978371993255</v>
      </c>
      <c r="U204">
        <v>56</v>
      </c>
    </row>
    <row r="205" spans="1:21">
      <c r="A205" s="44">
        <f t="shared" si="18"/>
        <v>45847.416666666177</v>
      </c>
      <c r="B205" s="45">
        <f t="shared" si="13"/>
        <v>8000</v>
      </c>
      <c r="C205" s="8">
        <v>25000</v>
      </c>
      <c r="D205" s="8">
        <v>0</v>
      </c>
      <c r="E205" s="8">
        <v>700</v>
      </c>
      <c r="F205" s="8">
        <v>7500</v>
      </c>
      <c r="G205" s="45">
        <f t="shared" si="14"/>
        <v>2400</v>
      </c>
      <c r="H205" s="8">
        <v>25000</v>
      </c>
      <c r="I205" s="45">
        <f t="shared" si="15"/>
        <v>8000</v>
      </c>
      <c r="J205" s="8">
        <v>25000</v>
      </c>
      <c r="K205" s="45">
        <f t="shared" si="16"/>
        <v>8000</v>
      </c>
      <c r="L205" s="8">
        <v>25000</v>
      </c>
      <c r="M205" s="9">
        <v>9</v>
      </c>
      <c r="N205" s="9">
        <v>16.100000000000001</v>
      </c>
      <c r="O205" s="9">
        <v>14</v>
      </c>
      <c r="P205" s="9">
        <v>19.5</v>
      </c>
      <c r="Q205" s="9">
        <v>2.7</v>
      </c>
      <c r="R205">
        <v>10</v>
      </c>
      <c r="S205">
        <v>1000</v>
      </c>
      <c r="T205" s="4">
        <f t="shared" si="17"/>
        <v>308.08347177749721</v>
      </c>
      <c r="U205">
        <v>80</v>
      </c>
    </row>
    <row r="206" spans="1:21">
      <c r="A206" s="44">
        <f t="shared" si="18"/>
        <v>45847.458333332841</v>
      </c>
      <c r="B206" s="45">
        <f t="shared" si="13"/>
        <v>8000</v>
      </c>
      <c r="C206" s="8">
        <v>25000</v>
      </c>
      <c r="D206" s="8">
        <v>0</v>
      </c>
      <c r="E206" s="8">
        <v>700</v>
      </c>
      <c r="F206" s="8">
        <v>7500</v>
      </c>
      <c r="G206" s="45">
        <f t="shared" si="14"/>
        <v>2400</v>
      </c>
      <c r="H206" s="8">
        <v>25000</v>
      </c>
      <c r="I206" s="45">
        <f t="shared" si="15"/>
        <v>8000</v>
      </c>
      <c r="J206" s="8">
        <v>25000</v>
      </c>
      <c r="K206" s="45">
        <f t="shared" si="16"/>
        <v>8000</v>
      </c>
      <c r="L206" s="8">
        <v>25000</v>
      </c>
      <c r="M206" s="9">
        <v>9</v>
      </c>
      <c r="N206" s="9">
        <v>16.100000000000001</v>
      </c>
      <c r="O206" s="9">
        <v>14</v>
      </c>
      <c r="P206" s="9">
        <v>19.5</v>
      </c>
      <c r="Q206" s="9">
        <v>2.4</v>
      </c>
      <c r="R206">
        <v>10</v>
      </c>
      <c r="S206">
        <v>1000</v>
      </c>
      <c r="T206" s="4">
        <f t="shared" si="17"/>
        <v>303.80551305448063</v>
      </c>
      <c r="U206">
        <v>23</v>
      </c>
    </row>
    <row r="207" spans="1:21">
      <c r="A207" s="44">
        <f t="shared" si="18"/>
        <v>45847.499999999505</v>
      </c>
      <c r="B207" s="45">
        <f t="shared" si="13"/>
        <v>8000</v>
      </c>
      <c r="C207" s="8">
        <v>25000</v>
      </c>
      <c r="D207" s="8">
        <v>0</v>
      </c>
      <c r="E207" s="8">
        <v>700</v>
      </c>
      <c r="F207" s="8">
        <v>7500</v>
      </c>
      <c r="G207" s="45">
        <f t="shared" si="14"/>
        <v>2400</v>
      </c>
      <c r="H207" s="8">
        <v>25000</v>
      </c>
      <c r="I207" s="45">
        <f t="shared" si="15"/>
        <v>8000</v>
      </c>
      <c r="J207" s="8">
        <v>25000</v>
      </c>
      <c r="K207" s="45">
        <f t="shared" si="16"/>
        <v>8000</v>
      </c>
      <c r="L207" s="8">
        <v>25000</v>
      </c>
      <c r="M207" s="9">
        <v>9</v>
      </c>
      <c r="N207" s="9">
        <v>16.100000000000001</v>
      </c>
      <c r="O207" s="9">
        <v>14</v>
      </c>
      <c r="P207" s="9">
        <v>19.5</v>
      </c>
      <c r="Q207" s="9">
        <v>2.6</v>
      </c>
      <c r="R207">
        <v>10</v>
      </c>
      <c r="S207">
        <v>1000</v>
      </c>
      <c r="T207" s="4">
        <f t="shared" si="17"/>
        <v>303.80551305448063</v>
      </c>
      <c r="U207">
        <v>76</v>
      </c>
    </row>
    <row r="208" spans="1:21">
      <c r="A208" s="44">
        <f t="shared" si="18"/>
        <v>45847.541666666169</v>
      </c>
      <c r="B208" s="45">
        <f t="shared" si="13"/>
        <v>8000</v>
      </c>
      <c r="C208" s="8">
        <v>25000</v>
      </c>
      <c r="D208" s="8">
        <v>0</v>
      </c>
      <c r="E208" s="8">
        <v>700</v>
      </c>
      <c r="F208" s="8">
        <v>7500</v>
      </c>
      <c r="G208" s="45">
        <f t="shared" si="14"/>
        <v>2400</v>
      </c>
      <c r="H208" s="8">
        <v>25000</v>
      </c>
      <c r="I208" s="45">
        <f t="shared" si="15"/>
        <v>8000</v>
      </c>
      <c r="J208" s="8">
        <v>25000</v>
      </c>
      <c r="K208" s="45">
        <f t="shared" si="16"/>
        <v>8000</v>
      </c>
      <c r="L208" s="8">
        <v>25000</v>
      </c>
      <c r="M208" s="9">
        <v>9</v>
      </c>
      <c r="N208" s="9">
        <v>16.100000000000001</v>
      </c>
      <c r="O208" s="9">
        <v>14</v>
      </c>
      <c r="P208" s="9">
        <v>19.5</v>
      </c>
      <c r="Q208" s="9">
        <v>2.9</v>
      </c>
      <c r="R208">
        <v>10</v>
      </c>
      <c r="S208">
        <v>1000</v>
      </c>
      <c r="T208" s="4">
        <f t="shared" si="17"/>
        <v>353.43040463596901</v>
      </c>
      <c r="U208">
        <v>74</v>
      </c>
    </row>
    <row r="209" spans="1:21">
      <c r="A209" s="44">
        <f t="shared" si="18"/>
        <v>45847.583333332834</v>
      </c>
      <c r="B209" s="45">
        <f t="shared" si="13"/>
        <v>8000</v>
      </c>
      <c r="C209" s="8">
        <v>25000</v>
      </c>
      <c r="D209" s="8">
        <v>0</v>
      </c>
      <c r="E209" s="8">
        <v>700</v>
      </c>
      <c r="F209" s="8">
        <v>7500</v>
      </c>
      <c r="G209" s="45">
        <f t="shared" si="14"/>
        <v>2400</v>
      </c>
      <c r="H209" s="8">
        <v>25000</v>
      </c>
      <c r="I209" s="45">
        <f t="shared" si="15"/>
        <v>8000</v>
      </c>
      <c r="J209" s="8">
        <v>25000</v>
      </c>
      <c r="K209" s="45">
        <f t="shared" si="16"/>
        <v>8000</v>
      </c>
      <c r="L209" s="8">
        <v>25000</v>
      </c>
      <c r="M209" s="9">
        <v>9</v>
      </c>
      <c r="N209" s="9">
        <v>16.100000000000001</v>
      </c>
      <c r="O209" s="9">
        <v>14</v>
      </c>
      <c r="P209" s="9">
        <v>19.5</v>
      </c>
      <c r="Q209" s="9">
        <v>3</v>
      </c>
      <c r="R209">
        <v>10</v>
      </c>
      <c r="S209">
        <v>1000</v>
      </c>
      <c r="T209" s="4">
        <f t="shared" si="17"/>
        <v>587.29100737188094</v>
      </c>
      <c r="U209">
        <v>93</v>
      </c>
    </row>
    <row r="210" spans="1:21">
      <c r="A210" s="44">
        <f t="shared" si="18"/>
        <v>45847.624999999498</v>
      </c>
      <c r="B210" s="45">
        <f t="shared" si="13"/>
        <v>8000</v>
      </c>
      <c r="C210" s="8">
        <v>25000</v>
      </c>
      <c r="D210" s="8">
        <v>0</v>
      </c>
      <c r="E210" s="8">
        <v>700</v>
      </c>
      <c r="F210" s="8">
        <v>7500</v>
      </c>
      <c r="G210" s="45">
        <f t="shared" si="14"/>
        <v>2400</v>
      </c>
      <c r="H210" s="8">
        <v>25000</v>
      </c>
      <c r="I210" s="45">
        <f t="shared" si="15"/>
        <v>8000</v>
      </c>
      <c r="J210" s="8">
        <v>25000</v>
      </c>
      <c r="K210" s="45">
        <f t="shared" si="16"/>
        <v>8000</v>
      </c>
      <c r="L210" s="8">
        <v>25000</v>
      </c>
      <c r="M210" s="9">
        <v>9</v>
      </c>
      <c r="N210" s="9">
        <v>16.100000000000001</v>
      </c>
      <c r="O210" s="9">
        <v>14</v>
      </c>
      <c r="P210" s="9">
        <v>19.5</v>
      </c>
      <c r="Q210" s="9">
        <v>2.5</v>
      </c>
      <c r="R210">
        <v>10</v>
      </c>
      <c r="S210">
        <v>1000</v>
      </c>
      <c r="T210" s="4">
        <f t="shared" si="17"/>
        <v>604.40284226394715</v>
      </c>
      <c r="U210">
        <v>48</v>
      </c>
    </row>
    <row r="211" spans="1:21">
      <c r="A211" s="44">
        <f t="shared" si="18"/>
        <v>45847.666666666162</v>
      </c>
      <c r="B211" s="45">
        <f t="shared" si="13"/>
        <v>8000</v>
      </c>
      <c r="C211" s="8">
        <v>25000</v>
      </c>
      <c r="D211" s="8">
        <v>0</v>
      </c>
      <c r="E211" s="8">
        <v>700</v>
      </c>
      <c r="F211" s="8">
        <v>7500</v>
      </c>
      <c r="G211" s="45">
        <f t="shared" si="14"/>
        <v>2400</v>
      </c>
      <c r="H211" s="8">
        <v>25000</v>
      </c>
      <c r="I211" s="45">
        <f t="shared" si="15"/>
        <v>8000</v>
      </c>
      <c r="J211" s="8">
        <v>25000</v>
      </c>
      <c r="K211" s="45">
        <f t="shared" si="16"/>
        <v>8000</v>
      </c>
      <c r="L211" s="8">
        <v>25000</v>
      </c>
      <c r="M211" s="9">
        <v>9</v>
      </c>
      <c r="N211" s="9">
        <v>16.100000000000001</v>
      </c>
      <c r="O211" s="9">
        <v>14</v>
      </c>
      <c r="P211" s="9">
        <v>19.5</v>
      </c>
      <c r="Q211" s="9">
        <v>2.7</v>
      </c>
      <c r="R211">
        <v>10</v>
      </c>
      <c r="S211">
        <v>1000</v>
      </c>
      <c r="T211" s="4">
        <f t="shared" si="17"/>
        <v>875.91062255139741</v>
      </c>
      <c r="U211">
        <v>72</v>
      </c>
    </row>
    <row r="212" spans="1:21">
      <c r="A212" s="44">
        <f t="shared" si="18"/>
        <v>45847.708333332826</v>
      </c>
      <c r="B212" s="45">
        <f t="shared" si="13"/>
        <v>8000</v>
      </c>
      <c r="C212" s="8">
        <v>25000</v>
      </c>
      <c r="D212" s="8">
        <v>0</v>
      </c>
      <c r="E212" s="8">
        <v>700</v>
      </c>
      <c r="F212" s="8">
        <v>7500</v>
      </c>
      <c r="G212" s="45">
        <f t="shared" si="14"/>
        <v>2400</v>
      </c>
      <c r="H212" s="8">
        <v>25000</v>
      </c>
      <c r="I212" s="45">
        <f t="shared" si="15"/>
        <v>8000</v>
      </c>
      <c r="J212" s="8">
        <v>25000</v>
      </c>
      <c r="K212" s="45">
        <f t="shared" si="16"/>
        <v>8000</v>
      </c>
      <c r="L212" s="8">
        <v>25000</v>
      </c>
      <c r="M212" s="9">
        <v>9</v>
      </c>
      <c r="N212" s="9">
        <v>16.100000000000001</v>
      </c>
      <c r="O212" s="9">
        <v>14</v>
      </c>
      <c r="P212" s="9">
        <v>19.5</v>
      </c>
      <c r="Q212" s="9">
        <v>3</v>
      </c>
      <c r="R212">
        <v>10</v>
      </c>
      <c r="S212">
        <v>1000</v>
      </c>
      <c r="T212" s="4">
        <f t="shared" si="17"/>
        <v>1116.9022972813298</v>
      </c>
      <c r="U212">
        <v>55</v>
      </c>
    </row>
    <row r="213" spans="1:21">
      <c r="A213" s="44">
        <f t="shared" si="18"/>
        <v>45847.749999999491</v>
      </c>
      <c r="B213" s="45">
        <f t="shared" si="13"/>
        <v>5000</v>
      </c>
      <c r="C213" s="8">
        <v>25000</v>
      </c>
      <c r="D213" s="8">
        <v>0</v>
      </c>
      <c r="E213" s="8">
        <v>700</v>
      </c>
      <c r="F213" s="8">
        <v>7500</v>
      </c>
      <c r="G213" s="45">
        <f t="shared" si="14"/>
        <v>2400</v>
      </c>
      <c r="H213" s="8">
        <v>25000</v>
      </c>
      <c r="I213" s="45">
        <f t="shared" si="15"/>
        <v>5000</v>
      </c>
      <c r="J213" s="8">
        <v>25000</v>
      </c>
      <c r="K213" s="45">
        <f t="shared" si="16"/>
        <v>5000</v>
      </c>
      <c r="L213" s="8">
        <v>25000</v>
      </c>
      <c r="M213" s="9">
        <v>9</v>
      </c>
      <c r="N213" s="9">
        <v>16.100000000000001</v>
      </c>
      <c r="O213" s="9">
        <v>14</v>
      </c>
      <c r="P213" s="9">
        <v>19.5</v>
      </c>
      <c r="Q213" s="9">
        <v>2.8</v>
      </c>
      <c r="R213">
        <v>10</v>
      </c>
      <c r="S213">
        <v>1000</v>
      </c>
      <c r="T213" s="4">
        <f t="shared" si="17"/>
        <v>1156.8299120294841</v>
      </c>
      <c r="U213">
        <v>70</v>
      </c>
    </row>
    <row r="214" spans="1:21">
      <c r="A214" s="44">
        <f t="shared" si="18"/>
        <v>45847.791666666155</v>
      </c>
      <c r="B214" s="45">
        <f t="shared" si="13"/>
        <v>5000</v>
      </c>
      <c r="C214" s="8">
        <v>25000</v>
      </c>
      <c r="D214" s="8">
        <v>0</v>
      </c>
      <c r="E214" s="8">
        <v>700</v>
      </c>
      <c r="F214" s="8">
        <v>7500</v>
      </c>
      <c r="G214" s="45">
        <f t="shared" si="14"/>
        <v>2400</v>
      </c>
      <c r="H214" s="8">
        <v>25000</v>
      </c>
      <c r="I214" s="45">
        <f t="shared" si="15"/>
        <v>5000</v>
      </c>
      <c r="J214" s="8">
        <v>25000</v>
      </c>
      <c r="K214" s="45">
        <f t="shared" si="16"/>
        <v>5000</v>
      </c>
      <c r="L214" s="8">
        <v>25000</v>
      </c>
      <c r="M214" s="9">
        <v>9</v>
      </c>
      <c r="N214" s="9">
        <v>16.100000000000001</v>
      </c>
      <c r="O214" s="9">
        <v>14</v>
      </c>
      <c r="P214" s="9">
        <v>19.5</v>
      </c>
      <c r="Q214" s="9">
        <v>2.5</v>
      </c>
      <c r="R214">
        <v>10</v>
      </c>
      <c r="S214">
        <v>1000</v>
      </c>
      <c r="T214" s="4">
        <f t="shared" si="17"/>
        <v>1156.8299120294841</v>
      </c>
      <c r="U214">
        <v>29</v>
      </c>
    </row>
    <row r="215" spans="1:21">
      <c r="A215" s="44">
        <f t="shared" si="18"/>
        <v>45847.833333332819</v>
      </c>
      <c r="B215" s="45">
        <f t="shared" si="13"/>
        <v>5000</v>
      </c>
      <c r="C215" s="8">
        <v>25000</v>
      </c>
      <c r="D215" s="8">
        <v>0</v>
      </c>
      <c r="E215" s="8">
        <v>700</v>
      </c>
      <c r="F215" s="8">
        <v>7500</v>
      </c>
      <c r="G215" s="45">
        <f t="shared" si="14"/>
        <v>2400</v>
      </c>
      <c r="H215" s="8">
        <v>25000</v>
      </c>
      <c r="I215" s="45">
        <f t="shared" si="15"/>
        <v>5000</v>
      </c>
      <c r="J215" s="8">
        <v>25000</v>
      </c>
      <c r="K215" s="45">
        <f t="shared" si="16"/>
        <v>5000</v>
      </c>
      <c r="L215" s="8">
        <v>25000</v>
      </c>
      <c r="M215" s="9">
        <v>9</v>
      </c>
      <c r="N215" s="9">
        <v>16.100000000000001</v>
      </c>
      <c r="O215" s="9">
        <v>14</v>
      </c>
      <c r="P215" s="9">
        <v>19.5</v>
      </c>
      <c r="Q215" s="9">
        <v>2.6</v>
      </c>
      <c r="R215">
        <v>10</v>
      </c>
      <c r="S215">
        <v>1000</v>
      </c>
      <c r="T215" s="4">
        <f t="shared" si="17"/>
        <v>1114.0503247993186</v>
      </c>
      <c r="U215">
        <v>89</v>
      </c>
    </row>
    <row r="216" spans="1:21">
      <c r="A216" s="44">
        <f t="shared" si="18"/>
        <v>45847.874999999483</v>
      </c>
      <c r="B216" s="45">
        <f t="shared" si="13"/>
        <v>5000</v>
      </c>
      <c r="C216" s="8">
        <v>25000</v>
      </c>
      <c r="D216" s="8">
        <v>0</v>
      </c>
      <c r="E216" s="8">
        <v>700</v>
      </c>
      <c r="F216" s="8">
        <v>7500</v>
      </c>
      <c r="G216" s="45">
        <f t="shared" si="14"/>
        <v>2400</v>
      </c>
      <c r="H216" s="8">
        <v>25000</v>
      </c>
      <c r="I216" s="45">
        <f t="shared" si="15"/>
        <v>5000</v>
      </c>
      <c r="J216" s="8">
        <v>25000</v>
      </c>
      <c r="K216" s="45">
        <f t="shared" si="16"/>
        <v>5000</v>
      </c>
      <c r="L216" s="8">
        <v>25000</v>
      </c>
      <c r="M216" s="9">
        <v>9</v>
      </c>
      <c r="N216" s="9">
        <v>16.100000000000001</v>
      </c>
      <c r="O216" s="9">
        <v>14</v>
      </c>
      <c r="P216" s="9">
        <v>19.5</v>
      </c>
      <c r="Q216" s="9">
        <v>2.7</v>
      </c>
      <c r="R216">
        <v>10</v>
      </c>
      <c r="S216">
        <v>1000</v>
      </c>
      <c r="T216" s="4">
        <f t="shared" si="17"/>
        <v>1034.1950953030096</v>
      </c>
      <c r="U216">
        <v>68</v>
      </c>
    </row>
    <row r="217" spans="1:21">
      <c r="A217" s="44">
        <f t="shared" si="18"/>
        <v>45847.916666666148</v>
      </c>
      <c r="B217" s="45">
        <f t="shared" si="13"/>
        <v>5000</v>
      </c>
      <c r="C217" s="8">
        <v>25000</v>
      </c>
      <c r="D217" s="8">
        <v>0</v>
      </c>
      <c r="E217" s="8">
        <v>700</v>
      </c>
      <c r="F217" s="8">
        <v>7500</v>
      </c>
      <c r="G217" s="45">
        <f t="shared" si="14"/>
        <v>2400</v>
      </c>
      <c r="H217" s="8">
        <v>25000</v>
      </c>
      <c r="I217" s="45">
        <f t="shared" si="15"/>
        <v>5000</v>
      </c>
      <c r="J217" s="8">
        <v>25000</v>
      </c>
      <c r="K217" s="45">
        <f t="shared" si="16"/>
        <v>5000</v>
      </c>
      <c r="L217" s="8">
        <v>25000</v>
      </c>
      <c r="M217" s="9">
        <v>9</v>
      </c>
      <c r="N217" s="9">
        <v>16.100000000000001</v>
      </c>
      <c r="O217" s="9">
        <v>14</v>
      </c>
      <c r="P217" s="9">
        <v>19.5</v>
      </c>
      <c r="Q217" s="9">
        <v>2.8</v>
      </c>
      <c r="R217">
        <v>10</v>
      </c>
      <c r="S217">
        <v>1000</v>
      </c>
      <c r="T217" s="4">
        <f t="shared" si="17"/>
        <v>807.46328298313267</v>
      </c>
      <c r="U217">
        <v>47</v>
      </c>
    </row>
    <row r="218" spans="1:21">
      <c r="A218" s="44">
        <f t="shared" si="18"/>
        <v>45847.958333332812</v>
      </c>
      <c r="B218" s="45">
        <f t="shared" si="13"/>
        <v>5000</v>
      </c>
      <c r="C218" s="8">
        <v>25000</v>
      </c>
      <c r="D218" s="8">
        <v>0</v>
      </c>
      <c r="E218" s="8">
        <v>700</v>
      </c>
      <c r="F218" s="8">
        <v>7500</v>
      </c>
      <c r="G218" s="45">
        <f t="shared" si="14"/>
        <v>2400</v>
      </c>
      <c r="H218" s="8">
        <v>25000</v>
      </c>
      <c r="I218" s="45">
        <f t="shared" si="15"/>
        <v>5000</v>
      </c>
      <c r="J218" s="8">
        <v>25000</v>
      </c>
      <c r="K218" s="45">
        <f t="shared" si="16"/>
        <v>5000</v>
      </c>
      <c r="L218" s="8">
        <v>25000</v>
      </c>
      <c r="M218" s="9">
        <v>9</v>
      </c>
      <c r="N218" s="9">
        <v>16.100000000000001</v>
      </c>
      <c r="O218" s="9">
        <v>14</v>
      </c>
      <c r="P218" s="9">
        <v>19.5</v>
      </c>
      <c r="Q218" s="9">
        <v>2.7</v>
      </c>
      <c r="R218">
        <v>10</v>
      </c>
      <c r="S218">
        <v>1000</v>
      </c>
      <c r="T218" s="4">
        <f t="shared" si="17"/>
        <v>442.69657292841788</v>
      </c>
      <c r="U218">
        <v>73</v>
      </c>
    </row>
    <row r="219" spans="1:21">
      <c r="A219" s="44">
        <f t="shared" si="18"/>
        <v>45847.999999999476</v>
      </c>
      <c r="B219" s="45">
        <f t="shared" si="13"/>
        <v>5000</v>
      </c>
      <c r="C219" s="8">
        <v>25000</v>
      </c>
      <c r="D219" s="8">
        <v>0</v>
      </c>
      <c r="E219" s="8">
        <v>700</v>
      </c>
      <c r="F219" s="8">
        <v>7500</v>
      </c>
      <c r="G219" s="45">
        <f t="shared" si="14"/>
        <v>2400</v>
      </c>
      <c r="H219" s="8">
        <v>25000</v>
      </c>
      <c r="I219" s="45">
        <f t="shared" si="15"/>
        <v>5000</v>
      </c>
      <c r="J219" s="8">
        <v>25000</v>
      </c>
      <c r="K219" s="45">
        <f t="shared" si="16"/>
        <v>5000</v>
      </c>
      <c r="L219" s="8">
        <v>25000</v>
      </c>
      <c r="M219" s="9">
        <v>9</v>
      </c>
      <c r="N219" s="9">
        <v>16.100000000000001</v>
      </c>
      <c r="O219" s="9">
        <v>14</v>
      </c>
      <c r="P219" s="9">
        <v>19.5</v>
      </c>
      <c r="Q219" s="9">
        <v>3</v>
      </c>
      <c r="R219">
        <v>10</v>
      </c>
      <c r="S219">
        <v>1000</v>
      </c>
      <c r="T219" s="4">
        <f t="shared" si="17"/>
        <v>442.69657292841788</v>
      </c>
      <c r="U219">
        <v>81</v>
      </c>
    </row>
    <row r="220" spans="1:21">
      <c r="A220" s="44">
        <f t="shared" si="18"/>
        <v>45848.04166666614</v>
      </c>
      <c r="B220" s="45">
        <f t="shared" ref="B220:B283" si="19">B196</f>
        <v>5000</v>
      </c>
      <c r="C220" s="8">
        <v>25000</v>
      </c>
      <c r="D220" s="8">
        <v>0</v>
      </c>
      <c r="E220" s="8">
        <v>700</v>
      </c>
      <c r="F220" s="8">
        <v>7500</v>
      </c>
      <c r="G220" s="45">
        <f t="shared" ref="G220:G283" si="20">G196</f>
        <v>2400</v>
      </c>
      <c r="H220" s="8">
        <v>25000</v>
      </c>
      <c r="I220" s="45">
        <f t="shared" ref="I220:I283" si="21">I196</f>
        <v>5000</v>
      </c>
      <c r="J220" s="8">
        <v>25000</v>
      </c>
      <c r="K220" s="45">
        <f t="shared" ref="K220:K283" si="22">K196</f>
        <v>5000</v>
      </c>
      <c r="L220" s="8">
        <v>25000</v>
      </c>
      <c r="M220" s="9">
        <v>9</v>
      </c>
      <c r="N220" s="9">
        <v>16.100000000000001</v>
      </c>
      <c r="O220" s="9">
        <v>14</v>
      </c>
      <c r="P220" s="9">
        <v>19.5</v>
      </c>
      <c r="Q220" s="9">
        <v>2.9</v>
      </c>
      <c r="R220">
        <v>10</v>
      </c>
      <c r="S220">
        <v>1000</v>
      </c>
      <c r="T220" s="4">
        <f t="shared" ref="T220:T283" si="23">T196</f>
        <v>362.27094893570683</v>
      </c>
      <c r="U220">
        <v>56</v>
      </c>
    </row>
    <row r="221" spans="1:21">
      <c r="A221" s="44">
        <f t="shared" si="18"/>
        <v>45848.083333332805</v>
      </c>
      <c r="B221" s="45">
        <f t="shared" si="19"/>
        <v>5000</v>
      </c>
      <c r="C221" s="8">
        <v>25000</v>
      </c>
      <c r="D221" s="8">
        <v>0</v>
      </c>
      <c r="E221" s="8">
        <v>700</v>
      </c>
      <c r="F221" s="8">
        <v>7500</v>
      </c>
      <c r="G221" s="45">
        <f t="shared" si="20"/>
        <v>2400</v>
      </c>
      <c r="H221" s="8">
        <v>25000</v>
      </c>
      <c r="I221" s="45">
        <f t="shared" si="21"/>
        <v>5000</v>
      </c>
      <c r="J221" s="8">
        <v>25000</v>
      </c>
      <c r="K221" s="45">
        <f t="shared" si="22"/>
        <v>5000</v>
      </c>
      <c r="L221" s="8">
        <v>25000</v>
      </c>
      <c r="M221" s="9">
        <v>9</v>
      </c>
      <c r="N221" s="9">
        <v>16.100000000000001</v>
      </c>
      <c r="O221" s="9">
        <v>14</v>
      </c>
      <c r="P221" s="9">
        <v>19.5</v>
      </c>
      <c r="Q221" s="9">
        <v>2.7</v>
      </c>
      <c r="R221">
        <v>10</v>
      </c>
      <c r="S221">
        <v>1000</v>
      </c>
      <c r="T221" s="4">
        <f t="shared" si="23"/>
        <v>362.27094893570683</v>
      </c>
      <c r="U221">
        <v>61</v>
      </c>
    </row>
    <row r="222" spans="1:21">
      <c r="A222" s="44">
        <f t="shared" si="18"/>
        <v>45848.124999999469</v>
      </c>
      <c r="B222" s="45">
        <f t="shared" si="19"/>
        <v>5000</v>
      </c>
      <c r="C222" s="8">
        <v>25000</v>
      </c>
      <c r="D222" s="8">
        <v>0</v>
      </c>
      <c r="E222" s="8">
        <v>700</v>
      </c>
      <c r="F222" s="8">
        <v>7500</v>
      </c>
      <c r="G222" s="45">
        <f t="shared" si="20"/>
        <v>2400</v>
      </c>
      <c r="H222" s="8">
        <v>25000</v>
      </c>
      <c r="I222" s="45">
        <f t="shared" si="21"/>
        <v>5000</v>
      </c>
      <c r="J222" s="8">
        <v>25000</v>
      </c>
      <c r="K222" s="45">
        <f t="shared" si="22"/>
        <v>5000</v>
      </c>
      <c r="L222" s="8">
        <v>25000</v>
      </c>
      <c r="M222" s="9">
        <v>9</v>
      </c>
      <c r="N222" s="9">
        <v>16.100000000000001</v>
      </c>
      <c r="O222" s="9">
        <v>14</v>
      </c>
      <c r="P222" s="9">
        <v>19.5</v>
      </c>
      <c r="Q222" s="9">
        <v>2.8</v>
      </c>
      <c r="R222">
        <v>10</v>
      </c>
      <c r="S222">
        <v>1000</v>
      </c>
      <c r="T222" s="4">
        <f t="shared" si="23"/>
        <v>362.27094893570683</v>
      </c>
      <c r="U222">
        <v>28</v>
      </c>
    </row>
    <row r="223" spans="1:21">
      <c r="A223" s="44">
        <f t="shared" si="18"/>
        <v>45848.166666666133</v>
      </c>
      <c r="B223" s="45">
        <f t="shared" si="19"/>
        <v>5000</v>
      </c>
      <c r="C223" s="8">
        <v>25000</v>
      </c>
      <c r="D223" s="8">
        <v>0</v>
      </c>
      <c r="E223" s="8">
        <v>700</v>
      </c>
      <c r="F223" s="8">
        <v>7500</v>
      </c>
      <c r="G223" s="45">
        <f t="shared" si="20"/>
        <v>2400</v>
      </c>
      <c r="H223" s="8">
        <v>25000</v>
      </c>
      <c r="I223" s="45">
        <f t="shared" si="21"/>
        <v>5000</v>
      </c>
      <c r="J223" s="8">
        <v>25000</v>
      </c>
      <c r="K223" s="45">
        <f t="shared" si="22"/>
        <v>5000</v>
      </c>
      <c r="L223" s="8">
        <v>25000</v>
      </c>
      <c r="M223" s="9">
        <v>9</v>
      </c>
      <c r="N223" s="9">
        <v>16.100000000000001</v>
      </c>
      <c r="O223" s="9">
        <v>14</v>
      </c>
      <c r="P223" s="9">
        <v>19.5</v>
      </c>
      <c r="Q223" s="9">
        <v>2.6</v>
      </c>
      <c r="R223">
        <v>10</v>
      </c>
      <c r="S223">
        <v>1000</v>
      </c>
      <c r="T223" s="4">
        <f t="shared" si="23"/>
        <v>426.44032978095498</v>
      </c>
      <c r="U223">
        <v>38</v>
      </c>
    </row>
    <row r="224" spans="1:21">
      <c r="A224" s="44">
        <f t="shared" si="18"/>
        <v>45848.208333332797</v>
      </c>
      <c r="B224" s="45">
        <f t="shared" si="19"/>
        <v>5000</v>
      </c>
      <c r="C224" s="8">
        <v>25000</v>
      </c>
      <c r="D224" s="8">
        <v>0</v>
      </c>
      <c r="E224" s="8">
        <v>700</v>
      </c>
      <c r="F224" s="8">
        <v>7500</v>
      </c>
      <c r="G224" s="45">
        <f t="shared" si="20"/>
        <v>2400</v>
      </c>
      <c r="H224" s="8">
        <v>25000</v>
      </c>
      <c r="I224" s="45">
        <f t="shared" si="21"/>
        <v>5000</v>
      </c>
      <c r="J224" s="8">
        <v>25000</v>
      </c>
      <c r="K224" s="45">
        <f t="shared" si="22"/>
        <v>5000</v>
      </c>
      <c r="L224" s="8">
        <v>25000</v>
      </c>
      <c r="M224" s="9">
        <v>9</v>
      </c>
      <c r="N224" s="9">
        <v>16.100000000000001</v>
      </c>
      <c r="O224" s="9">
        <v>14</v>
      </c>
      <c r="P224" s="9">
        <v>19.5</v>
      </c>
      <c r="Q224" s="9">
        <v>2.8</v>
      </c>
      <c r="R224">
        <v>10</v>
      </c>
      <c r="S224">
        <v>1000</v>
      </c>
      <c r="T224" s="4">
        <f t="shared" si="23"/>
        <v>362.27094893570683</v>
      </c>
      <c r="U224">
        <v>65</v>
      </c>
    </row>
    <row r="225" spans="1:21">
      <c r="A225" s="44">
        <f t="shared" si="18"/>
        <v>45848.249999999462</v>
      </c>
      <c r="B225" s="45">
        <f t="shared" si="19"/>
        <v>8000</v>
      </c>
      <c r="C225" s="8">
        <v>25000</v>
      </c>
      <c r="D225" s="8">
        <v>0</v>
      </c>
      <c r="E225" s="8">
        <v>700</v>
      </c>
      <c r="F225" s="8">
        <v>7500</v>
      </c>
      <c r="G225" s="45">
        <f t="shared" si="20"/>
        <v>2400</v>
      </c>
      <c r="H225" s="8">
        <v>25000</v>
      </c>
      <c r="I225" s="45">
        <f t="shared" si="21"/>
        <v>8000</v>
      </c>
      <c r="J225" s="8">
        <v>25000</v>
      </c>
      <c r="K225" s="45">
        <f t="shared" si="22"/>
        <v>8000</v>
      </c>
      <c r="L225" s="8">
        <v>25000</v>
      </c>
      <c r="M225" s="9">
        <v>9</v>
      </c>
      <c r="N225" s="9">
        <v>16.100000000000001</v>
      </c>
      <c r="O225" s="9">
        <v>14</v>
      </c>
      <c r="P225" s="9">
        <v>19.5</v>
      </c>
      <c r="Q225" s="9">
        <v>2.6</v>
      </c>
      <c r="R225">
        <v>10</v>
      </c>
      <c r="S225">
        <v>1000</v>
      </c>
      <c r="T225" s="4">
        <f t="shared" si="23"/>
        <v>304.3759075508828</v>
      </c>
      <c r="U225">
        <v>50</v>
      </c>
    </row>
    <row r="226" spans="1:21">
      <c r="A226" s="44">
        <f t="shared" si="18"/>
        <v>45848.291666666126</v>
      </c>
      <c r="B226" s="45">
        <f t="shared" si="19"/>
        <v>8000</v>
      </c>
      <c r="C226" s="8">
        <v>25000</v>
      </c>
      <c r="D226" s="8">
        <v>0</v>
      </c>
      <c r="E226" s="8">
        <v>700</v>
      </c>
      <c r="F226" s="8">
        <v>7500</v>
      </c>
      <c r="G226" s="45">
        <f t="shared" si="20"/>
        <v>2400</v>
      </c>
      <c r="H226" s="8">
        <v>25000</v>
      </c>
      <c r="I226" s="45">
        <f t="shared" si="21"/>
        <v>8000</v>
      </c>
      <c r="J226" s="8">
        <v>25000</v>
      </c>
      <c r="K226" s="45">
        <f t="shared" si="22"/>
        <v>8000</v>
      </c>
      <c r="L226" s="8">
        <v>25000</v>
      </c>
      <c r="M226" s="9">
        <v>9</v>
      </c>
      <c r="N226" s="9">
        <v>16.100000000000001</v>
      </c>
      <c r="O226" s="9">
        <v>14</v>
      </c>
      <c r="P226" s="9">
        <v>19.5</v>
      </c>
      <c r="Q226" s="9">
        <v>2.9</v>
      </c>
      <c r="R226">
        <v>10</v>
      </c>
      <c r="S226">
        <v>1000</v>
      </c>
      <c r="T226" s="4">
        <f t="shared" si="23"/>
        <v>280.13414145378908</v>
      </c>
      <c r="U226">
        <v>44</v>
      </c>
    </row>
    <row r="227" spans="1:21">
      <c r="A227" s="44">
        <f t="shared" si="18"/>
        <v>45848.33333333279</v>
      </c>
      <c r="B227" s="45">
        <f t="shared" si="19"/>
        <v>8000</v>
      </c>
      <c r="C227" s="8">
        <v>25000</v>
      </c>
      <c r="D227" s="8">
        <v>0</v>
      </c>
      <c r="E227" s="8">
        <v>700</v>
      </c>
      <c r="F227" s="8">
        <v>7500</v>
      </c>
      <c r="G227" s="45">
        <f t="shared" si="20"/>
        <v>2400</v>
      </c>
      <c r="H227" s="8">
        <v>25000</v>
      </c>
      <c r="I227" s="45">
        <f t="shared" si="21"/>
        <v>8000</v>
      </c>
      <c r="J227" s="8">
        <v>25000</v>
      </c>
      <c r="K227" s="45">
        <f t="shared" si="22"/>
        <v>8000</v>
      </c>
      <c r="L227" s="8">
        <v>25000</v>
      </c>
      <c r="M227" s="9">
        <v>9</v>
      </c>
      <c r="N227" s="9">
        <v>16.100000000000001</v>
      </c>
      <c r="O227" s="9">
        <v>14</v>
      </c>
      <c r="P227" s="9">
        <v>19.5</v>
      </c>
      <c r="Q227" s="9">
        <v>3</v>
      </c>
      <c r="R227">
        <v>10</v>
      </c>
      <c r="S227">
        <v>1000</v>
      </c>
      <c r="T227" s="4">
        <f t="shared" si="23"/>
        <v>294.39400386384426</v>
      </c>
      <c r="U227">
        <v>10</v>
      </c>
    </row>
    <row r="228" spans="1:21">
      <c r="A228" s="44">
        <f t="shared" si="18"/>
        <v>45848.374999999454</v>
      </c>
      <c r="B228" s="45">
        <f t="shared" si="19"/>
        <v>8000</v>
      </c>
      <c r="C228" s="8">
        <v>25000</v>
      </c>
      <c r="D228" s="8">
        <v>0</v>
      </c>
      <c r="E228" s="8">
        <v>700</v>
      </c>
      <c r="F228" s="8">
        <v>7500</v>
      </c>
      <c r="G228" s="45">
        <f t="shared" si="20"/>
        <v>2400</v>
      </c>
      <c r="H228" s="8">
        <v>25000</v>
      </c>
      <c r="I228" s="45">
        <f t="shared" si="21"/>
        <v>8000</v>
      </c>
      <c r="J228" s="8">
        <v>25000</v>
      </c>
      <c r="K228" s="45">
        <f t="shared" si="22"/>
        <v>8000</v>
      </c>
      <c r="L228" s="8">
        <v>25000</v>
      </c>
      <c r="M228" s="9">
        <v>9</v>
      </c>
      <c r="N228" s="9">
        <v>16.100000000000001</v>
      </c>
      <c r="O228" s="9">
        <v>14</v>
      </c>
      <c r="P228" s="9">
        <v>19.5</v>
      </c>
      <c r="Q228" s="9">
        <v>2.5</v>
      </c>
      <c r="R228">
        <v>10</v>
      </c>
      <c r="S228">
        <v>1000</v>
      </c>
      <c r="T228" s="4">
        <f t="shared" si="23"/>
        <v>317.20978371993255</v>
      </c>
      <c r="U228">
        <v>43</v>
      </c>
    </row>
    <row r="229" spans="1:21">
      <c r="A229" s="44">
        <f t="shared" si="18"/>
        <v>45848.416666666119</v>
      </c>
      <c r="B229" s="45">
        <f t="shared" si="19"/>
        <v>8000</v>
      </c>
      <c r="C229" s="8">
        <v>25000</v>
      </c>
      <c r="D229" s="8">
        <v>0</v>
      </c>
      <c r="E229" s="8">
        <v>700</v>
      </c>
      <c r="F229" s="8">
        <v>7500</v>
      </c>
      <c r="G229" s="45">
        <f t="shared" si="20"/>
        <v>2400</v>
      </c>
      <c r="H229" s="8">
        <v>25000</v>
      </c>
      <c r="I229" s="45">
        <f t="shared" si="21"/>
        <v>8000</v>
      </c>
      <c r="J229" s="8">
        <v>25000</v>
      </c>
      <c r="K229" s="45">
        <f t="shared" si="22"/>
        <v>8000</v>
      </c>
      <c r="L229" s="8">
        <v>25000</v>
      </c>
      <c r="M229" s="9">
        <v>9</v>
      </c>
      <c r="N229" s="9">
        <v>16.100000000000001</v>
      </c>
      <c r="O229" s="9">
        <v>14</v>
      </c>
      <c r="P229" s="9">
        <v>19.5</v>
      </c>
      <c r="Q229" s="9">
        <v>3</v>
      </c>
      <c r="R229">
        <v>10</v>
      </c>
      <c r="S229">
        <v>1000</v>
      </c>
      <c r="T229" s="4">
        <f t="shared" si="23"/>
        <v>308.08347177749721</v>
      </c>
      <c r="U229">
        <v>27</v>
      </c>
    </row>
    <row r="230" spans="1:21">
      <c r="A230" s="44">
        <f t="shared" si="18"/>
        <v>45848.458333332783</v>
      </c>
      <c r="B230" s="45">
        <f t="shared" si="19"/>
        <v>8000</v>
      </c>
      <c r="C230" s="8">
        <v>25000</v>
      </c>
      <c r="D230" s="8">
        <v>0</v>
      </c>
      <c r="E230" s="8">
        <v>700</v>
      </c>
      <c r="F230" s="8">
        <v>7500</v>
      </c>
      <c r="G230" s="45">
        <f t="shared" si="20"/>
        <v>2400</v>
      </c>
      <c r="H230" s="8">
        <v>25000</v>
      </c>
      <c r="I230" s="45">
        <f t="shared" si="21"/>
        <v>8000</v>
      </c>
      <c r="J230" s="8">
        <v>25000</v>
      </c>
      <c r="K230" s="45">
        <f t="shared" si="22"/>
        <v>8000</v>
      </c>
      <c r="L230" s="8">
        <v>25000</v>
      </c>
      <c r="M230" s="9">
        <v>9</v>
      </c>
      <c r="N230" s="9">
        <v>16.100000000000001</v>
      </c>
      <c r="O230" s="9">
        <v>14</v>
      </c>
      <c r="P230" s="9">
        <v>19.5</v>
      </c>
      <c r="Q230" s="9">
        <v>3</v>
      </c>
      <c r="R230">
        <v>10</v>
      </c>
      <c r="S230">
        <v>1000</v>
      </c>
      <c r="T230" s="4">
        <f t="shared" si="23"/>
        <v>303.80551305448063</v>
      </c>
      <c r="U230">
        <v>94</v>
      </c>
    </row>
    <row r="231" spans="1:21">
      <c r="A231" s="44">
        <f t="shared" si="18"/>
        <v>45848.499999999447</v>
      </c>
      <c r="B231" s="45">
        <f t="shared" si="19"/>
        <v>8000</v>
      </c>
      <c r="C231" s="8">
        <v>25000</v>
      </c>
      <c r="D231" s="8">
        <v>0</v>
      </c>
      <c r="E231" s="8">
        <v>700</v>
      </c>
      <c r="F231" s="8">
        <v>7500</v>
      </c>
      <c r="G231" s="45">
        <f t="shared" si="20"/>
        <v>2400</v>
      </c>
      <c r="H231" s="8">
        <v>25000</v>
      </c>
      <c r="I231" s="45">
        <f t="shared" si="21"/>
        <v>8000</v>
      </c>
      <c r="J231" s="8">
        <v>25000</v>
      </c>
      <c r="K231" s="45">
        <f t="shared" si="22"/>
        <v>8000</v>
      </c>
      <c r="L231" s="8">
        <v>25000</v>
      </c>
      <c r="M231" s="9">
        <v>9</v>
      </c>
      <c r="N231" s="9">
        <v>16.100000000000001</v>
      </c>
      <c r="O231" s="9">
        <v>14</v>
      </c>
      <c r="P231" s="9">
        <v>19.5</v>
      </c>
      <c r="Q231" s="9">
        <v>2.9</v>
      </c>
      <c r="R231">
        <v>10</v>
      </c>
      <c r="S231">
        <v>1000</v>
      </c>
      <c r="T231" s="4">
        <f t="shared" si="23"/>
        <v>303.80551305448063</v>
      </c>
      <c r="U231">
        <v>23</v>
      </c>
    </row>
    <row r="232" spans="1:21">
      <c r="A232" s="44">
        <f t="shared" si="18"/>
        <v>45848.541666666111</v>
      </c>
      <c r="B232" s="45">
        <f t="shared" si="19"/>
        <v>8000</v>
      </c>
      <c r="C232" s="8">
        <v>25000</v>
      </c>
      <c r="D232" s="8">
        <v>0</v>
      </c>
      <c r="E232" s="8">
        <v>700</v>
      </c>
      <c r="F232" s="8">
        <v>7500</v>
      </c>
      <c r="G232" s="45">
        <f t="shared" si="20"/>
        <v>2400</v>
      </c>
      <c r="H232" s="8">
        <v>25000</v>
      </c>
      <c r="I232" s="45">
        <f t="shared" si="21"/>
        <v>8000</v>
      </c>
      <c r="J232" s="8">
        <v>25000</v>
      </c>
      <c r="K232" s="45">
        <f t="shared" si="22"/>
        <v>8000</v>
      </c>
      <c r="L232" s="8">
        <v>25000</v>
      </c>
      <c r="M232" s="9">
        <v>9</v>
      </c>
      <c r="N232" s="9">
        <v>16.100000000000001</v>
      </c>
      <c r="O232" s="9">
        <v>14</v>
      </c>
      <c r="P232" s="9">
        <v>19.5</v>
      </c>
      <c r="Q232" s="9">
        <v>2.4</v>
      </c>
      <c r="R232">
        <v>10</v>
      </c>
      <c r="S232">
        <v>1000</v>
      </c>
      <c r="T232" s="4">
        <f t="shared" si="23"/>
        <v>353.43040463596901</v>
      </c>
      <c r="U232">
        <v>64</v>
      </c>
    </row>
    <row r="233" spans="1:21">
      <c r="A233" s="44">
        <f t="shared" si="18"/>
        <v>45848.583333332776</v>
      </c>
      <c r="B233" s="45">
        <f t="shared" si="19"/>
        <v>8000</v>
      </c>
      <c r="C233" s="8">
        <v>25000</v>
      </c>
      <c r="D233" s="8">
        <v>0</v>
      </c>
      <c r="E233" s="8">
        <v>700</v>
      </c>
      <c r="F233" s="8">
        <v>7500</v>
      </c>
      <c r="G233" s="45">
        <f t="shared" si="20"/>
        <v>2400</v>
      </c>
      <c r="H233" s="8">
        <v>25000</v>
      </c>
      <c r="I233" s="45">
        <f t="shared" si="21"/>
        <v>8000</v>
      </c>
      <c r="J233" s="8">
        <v>25000</v>
      </c>
      <c r="K233" s="45">
        <f t="shared" si="22"/>
        <v>8000</v>
      </c>
      <c r="L233" s="8">
        <v>25000</v>
      </c>
      <c r="M233" s="9">
        <v>9</v>
      </c>
      <c r="N233" s="9">
        <v>16.100000000000001</v>
      </c>
      <c r="O233" s="9">
        <v>14</v>
      </c>
      <c r="P233" s="9">
        <v>19.5</v>
      </c>
      <c r="Q233" s="9">
        <v>2.5</v>
      </c>
      <c r="R233">
        <v>10</v>
      </c>
      <c r="S233">
        <v>1000</v>
      </c>
      <c r="T233" s="4">
        <f t="shared" si="23"/>
        <v>587.29100737188094</v>
      </c>
      <c r="U233">
        <v>30</v>
      </c>
    </row>
    <row r="234" spans="1:21">
      <c r="A234" s="44">
        <f t="shared" si="18"/>
        <v>45848.62499999944</v>
      </c>
      <c r="B234" s="45">
        <f t="shared" si="19"/>
        <v>8000</v>
      </c>
      <c r="C234" s="8">
        <v>25000</v>
      </c>
      <c r="D234" s="8">
        <v>0</v>
      </c>
      <c r="E234" s="8">
        <v>700</v>
      </c>
      <c r="F234" s="8">
        <v>7500</v>
      </c>
      <c r="G234" s="45">
        <f t="shared" si="20"/>
        <v>2400</v>
      </c>
      <c r="H234" s="8">
        <v>25000</v>
      </c>
      <c r="I234" s="45">
        <f t="shared" si="21"/>
        <v>8000</v>
      </c>
      <c r="J234" s="8">
        <v>25000</v>
      </c>
      <c r="K234" s="45">
        <f t="shared" si="22"/>
        <v>8000</v>
      </c>
      <c r="L234" s="8">
        <v>25000</v>
      </c>
      <c r="M234" s="9">
        <v>9</v>
      </c>
      <c r="N234" s="9">
        <v>16.100000000000001</v>
      </c>
      <c r="O234" s="9">
        <v>14</v>
      </c>
      <c r="P234" s="9">
        <v>19.5</v>
      </c>
      <c r="Q234" s="9">
        <v>2.9</v>
      </c>
      <c r="R234">
        <v>10</v>
      </c>
      <c r="S234">
        <v>1000</v>
      </c>
      <c r="T234" s="4">
        <f t="shared" si="23"/>
        <v>604.40284226394715</v>
      </c>
      <c r="U234">
        <v>67</v>
      </c>
    </row>
    <row r="235" spans="1:21">
      <c r="A235" s="44">
        <f t="shared" si="18"/>
        <v>45848.666666666104</v>
      </c>
      <c r="B235" s="45">
        <f t="shared" si="19"/>
        <v>8000</v>
      </c>
      <c r="C235" s="8">
        <v>25000</v>
      </c>
      <c r="D235" s="8">
        <v>0</v>
      </c>
      <c r="E235" s="8">
        <v>700</v>
      </c>
      <c r="F235" s="8">
        <v>7500</v>
      </c>
      <c r="G235" s="45">
        <f t="shared" si="20"/>
        <v>2400</v>
      </c>
      <c r="H235" s="8">
        <v>25000</v>
      </c>
      <c r="I235" s="45">
        <f t="shared" si="21"/>
        <v>8000</v>
      </c>
      <c r="J235" s="8">
        <v>25000</v>
      </c>
      <c r="K235" s="45">
        <f t="shared" si="22"/>
        <v>8000</v>
      </c>
      <c r="L235" s="8">
        <v>25000</v>
      </c>
      <c r="M235" s="9">
        <v>9</v>
      </c>
      <c r="N235" s="9">
        <v>16.100000000000001</v>
      </c>
      <c r="O235" s="9">
        <v>14</v>
      </c>
      <c r="P235" s="9">
        <v>19.5</v>
      </c>
      <c r="Q235" s="9">
        <v>2.5</v>
      </c>
      <c r="R235">
        <v>10</v>
      </c>
      <c r="S235">
        <v>1000</v>
      </c>
      <c r="T235" s="4">
        <f t="shared" si="23"/>
        <v>875.91062255139741</v>
      </c>
      <c r="U235">
        <v>28</v>
      </c>
    </row>
    <row r="236" spans="1:21">
      <c r="A236" s="44">
        <f t="shared" si="18"/>
        <v>45848.708333332768</v>
      </c>
      <c r="B236" s="45">
        <f t="shared" si="19"/>
        <v>8000</v>
      </c>
      <c r="C236" s="8">
        <v>25000</v>
      </c>
      <c r="D236" s="8">
        <v>0</v>
      </c>
      <c r="E236" s="8">
        <v>700</v>
      </c>
      <c r="F236" s="8">
        <v>7500</v>
      </c>
      <c r="G236" s="45">
        <f t="shared" si="20"/>
        <v>2400</v>
      </c>
      <c r="H236" s="8">
        <v>25000</v>
      </c>
      <c r="I236" s="45">
        <f t="shared" si="21"/>
        <v>8000</v>
      </c>
      <c r="J236" s="8">
        <v>25000</v>
      </c>
      <c r="K236" s="45">
        <f t="shared" si="22"/>
        <v>8000</v>
      </c>
      <c r="L236" s="8">
        <v>25000</v>
      </c>
      <c r="M236" s="9">
        <v>9</v>
      </c>
      <c r="N236" s="9">
        <v>16.100000000000001</v>
      </c>
      <c r="O236" s="9">
        <v>14</v>
      </c>
      <c r="P236" s="9">
        <v>19.5</v>
      </c>
      <c r="Q236" s="9">
        <v>2.8</v>
      </c>
      <c r="R236">
        <v>10</v>
      </c>
      <c r="S236">
        <v>1000</v>
      </c>
      <c r="T236" s="4">
        <f t="shared" si="23"/>
        <v>1116.9022972813298</v>
      </c>
      <c r="U236">
        <v>42</v>
      </c>
    </row>
    <row r="237" spans="1:21">
      <c r="A237" s="44">
        <f t="shared" si="18"/>
        <v>45848.749999999432</v>
      </c>
      <c r="B237" s="45">
        <f t="shared" si="19"/>
        <v>5000</v>
      </c>
      <c r="C237" s="8">
        <v>25000</v>
      </c>
      <c r="D237" s="8">
        <v>0</v>
      </c>
      <c r="E237" s="8">
        <v>700</v>
      </c>
      <c r="F237" s="8">
        <v>7500</v>
      </c>
      <c r="G237" s="45">
        <f t="shared" si="20"/>
        <v>2400</v>
      </c>
      <c r="H237" s="8">
        <v>25000</v>
      </c>
      <c r="I237" s="45">
        <f t="shared" si="21"/>
        <v>5000</v>
      </c>
      <c r="J237" s="8">
        <v>25000</v>
      </c>
      <c r="K237" s="45">
        <f t="shared" si="22"/>
        <v>5000</v>
      </c>
      <c r="L237" s="8">
        <v>25000</v>
      </c>
      <c r="M237" s="9">
        <v>9</v>
      </c>
      <c r="N237" s="9">
        <v>16.100000000000001</v>
      </c>
      <c r="O237" s="9">
        <v>14</v>
      </c>
      <c r="P237" s="9">
        <v>19.5</v>
      </c>
      <c r="Q237" s="9">
        <v>2.5</v>
      </c>
      <c r="R237">
        <v>10</v>
      </c>
      <c r="S237">
        <v>1000</v>
      </c>
      <c r="T237" s="4">
        <f t="shared" si="23"/>
        <v>1156.8299120294841</v>
      </c>
      <c r="U237">
        <v>77</v>
      </c>
    </row>
    <row r="238" spans="1:21">
      <c r="A238" s="44">
        <f t="shared" si="18"/>
        <v>45848.791666666097</v>
      </c>
      <c r="B238" s="45">
        <f t="shared" si="19"/>
        <v>5000</v>
      </c>
      <c r="C238" s="8">
        <v>25000</v>
      </c>
      <c r="D238" s="8">
        <v>0</v>
      </c>
      <c r="E238" s="8">
        <v>700</v>
      </c>
      <c r="F238" s="8">
        <v>7500</v>
      </c>
      <c r="G238" s="45">
        <f t="shared" si="20"/>
        <v>2400</v>
      </c>
      <c r="H238" s="8">
        <v>25000</v>
      </c>
      <c r="I238" s="45">
        <f t="shared" si="21"/>
        <v>5000</v>
      </c>
      <c r="J238" s="8">
        <v>25000</v>
      </c>
      <c r="K238" s="45">
        <f t="shared" si="22"/>
        <v>5000</v>
      </c>
      <c r="L238" s="8">
        <v>25000</v>
      </c>
      <c r="M238" s="9">
        <v>9</v>
      </c>
      <c r="N238" s="9">
        <v>16.100000000000001</v>
      </c>
      <c r="O238" s="9">
        <v>14</v>
      </c>
      <c r="P238" s="9">
        <v>19.5</v>
      </c>
      <c r="Q238" s="9">
        <v>3</v>
      </c>
      <c r="R238">
        <v>10</v>
      </c>
      <c r="S238">
        <v>1000</v>
      </c>
      <c r="T238" s="4">
        <f t="shared" si="23"/>
        <v>1156.8299120294841</v>
      </c>
      <c r="U238">
        <v>96</v>
      </c>
    </row>
    <row r="239" spans="1:21">
      <c r="A239" s="44">
        <f t="shared" si="18"/>
        <v>45848.833333332761</v>
      </c>
      <c r="B239" s="45">
        <f t="shared" si="19"/>
        <v>5000</v>
      </c>
      <c r="C239" s="8">
        <v>25000</v>
      </c>
      <c r="D239" s="8">
        <v>0</v>
      </c>
      <c r="E239" s="8">
        <v>700</v>
      </c>
      <c r="F239" s="8">
        <v>7500</v>
      </c>
      <c r="G239" s="45">
        <f t="shared" si="20"/>
        <v>2400</v>
      </c>
      <c r="H239" s="8">
        <v>25000</v>
      </c>
      <c r="I239" s="45">
        <f t="shared" si="21"/>
        <v>5000</v>
      </c>
      <c r="J239" s="8">
        <v>25000</v>
      </c>
      <c r="K239" s="45">
        <f t="shared" si="22"/>
        <v>5000</v>
      </c>
      <c r="L239" s="8">
        <v>25000</v>
      </c>
      <c r="M239" s="9">
        <v>9</v>
      </c>
      <c r="N239" s="9">
        <v>16.100000000000001</v>
      </c>
      <c r="O239" s="9">
        <v>14</v>
      </c>
      <c r="P239" s="9">
        <v>19.5</v>
      </c>
      <c r="Q239" s="9">
        <v>2.4</v>
      </c>
      <c r="R239">
        <v>10</v>
      </c>
      <c r="S239">
        <v>1000</v>
      </c>
      <c r="T239" s="4">
        <f t="shared" si="23"/>
        <v>1114.0503247993186</v>
      </c>
      <c r="U239">
        <v>90</v>
      </c>
    </row>
    <row r="240" spans="1:21">
      <c r="A240" s="44">
        <f t="shared" si="18"/>
        <v>45848.874999999425</v>
      </c>
      <c r="B240" s="45">
        <f t="shared" si="19"/>
        <v>5000</v>
      </c>
      <c r="C240" s="8">
        <v>25000</v>
      </c>
      <c r="D240" s="8">
        <v>0</v>
      </c>
      <c r="E240" s="8">
        <v>700</v>
      </c>
      <c r="F240" s="8">
        <v>7500</v>
      </c>
      <c r="G240" s="45">
        <f t="shared" si="20"/>
        <v>2400</v>
      </c>
      <c r="H240" s="8">
        <v>25000</v>
      </c>
      <c r="I240" s="45">
        <f t="shared" si="21"/>
        <v>5000</v>
      </c>
      <c r="J240" s="8">
        <v>25000</v>
      </c>
      <c r="K240" s="45">
        <f t="shared" si="22"/>
        <v>5000</v>
      </c>
      <c r="L240" s="8">
        <v>25000</v>
      </c>
      <c r="M240" s="9">
        <v>9</v>
      </c>
      <c r="N240" s="9">
        <v>16.100000000000001</v>
      </c>
      <c r="O240" s="9">
        <v>14</v>
      </c>
      <c r="P240" s="9">
        <v>19.5</v>
      </c>
      <c r="Q240" s="9">
        <v>2.5</v>
      </c>
      <c r="R240">
        <v>10</v>
      </c>
      <c r="S240">
        <v>1000</v>
      </c>
      <c r="T240" s="4">
        <f t="shared" si="23"/>
        <v>1034.1950953030096</v>
      </c>
      <c r="U240">
        <v>67</v>
      </c>
    </row>
    <row r="241" spans="1:21">
      <c r="A241" s="44">
        <f t="shared" si="18"/>
        <v>45848.916666666089</v>
      </c>
      <c r="B241" s="45">
        <f t="shared" si="19"/>
        <v>5000</v>
      </c>
      <c r="C241" s="8">
        <v>25000</v>
      </c>
      <c r="D241" s="8">
        <v>0</v>
      </c>
      <c r="E241" s="8">
        <v>700</v>
      </c>
      <c r="F241" s="8">
        <v>7500</v>
      </c>
      <c r="G241" s="45">
        <f t="shared" si="20"/>
        <v>2400</v>
      </c>
      <c r="H241" s="8">
        <v>25000</v>
      </c>
      <c r="I241" s="45">
        <f t="shared" si="21"/>
        <v>5000</v>
      </c>
      <c r="J241" s="8">
        <v>25000</v>
      </c>
      <c r="K241" s="45">
        <f t="shared" si="22"/>
        <v>5000</v>
      </c>
      <c r="L241" s="8">
        <v>25000</v>
      </c>
      <c r="M241" s="9">
        <v>9</v>
      </c>
      <c r="N241" s="9">
        <v>16.100000000000001</v>
      </c>
      <c r="O241" s="9">
        <v>14</v>
      </c>
      <c r="P241" s="9">
        <v>19.5</v>
      </c>
      <c r="Q241" s="9">
        <v>2.9</v>
      </c>
      <c r="R241">
        <v>10</v>
      </c>
      <c r="S241">
        <v>1000</v>
      </c>
      <c r="T241" s="4">
        <f t="shared" si="23"/>
        <v>807.46328298313267</v>
      </c>
      <c r="U241">
        <v>81</v>
      </c>
    </row>
    <row r="242" spans="1:21">
      <c r="A242" s="44">
        <f t="shared" si="18"/>
        <v>45848.958333332754</v>
      </c>
      <c r="B242" s="45">
        <f t="shared" si="19"/>
        <v>5000</v>
      </c>
      <c r="C242" s="8">
        <v>25000</v>
      </c>
      <c r="D242" s="8">
        <v>0</v>
      </c>
      <c r="E242" s="8">
        <v>700</v>
      </c>
      <c r="F242" s="8">
        <v>7500</v>
      </c>
      <c r="G242" s="45">
        <f t="shared" si="20"/>
        <v>2400</v>
      </c>
      <c r="H242" s="8">
        <v>25000</v>
      </c>
      <c r="I242" s="45">
        <f t="shared" si="21"/>
        <v>5000</v>
      </c>
      <c r="J242" s="8">
        <v>25000</v>
      </c>
      <c r="K242" s="45">
        <f t="shared" si="22"/>
        <v>5000</v>
      </c>
      <c r="L242" s="8">
        <v>25000</v>
      </c>
      <c r="M242" s="9">
        <v>9</v>
      </c>
      <c r="N242" s="9">
        <v>16.100000000000001</v>
      </c>
      <c r="O242" s="9">
        <v>14</v>
      </c>
      <c r="P242" s="9">
        <v>19.5</v>
      </c>
      <c r="Q242" s="9">
        <v>2.6</v>
      </c>
      <c r="R242">
        <v>10</v>
      </c>
      <c r="S242">
        <v>1000</v>
      </c>
      <c r="T242" s="4">
        <f t="shared" si="23"/>
        <v>442.69657292841788</v>
      </c>
      <c r="U242">
        <v>13</v>
      </c>
    </row>
    <row r="243" spans="1:21">
      <c r="A243" s="44">
        <f t="shared" si="18"/>
        <v>45848.999999999418</v>
      </c>
      <c r="B243" s="45">
        <f t="shared" si="19"/>
        <v>5000</v>
      </c>
      <c r="C243" s="8">
        <v>25000</v>
      </c>
      <c r="D243" s="8">
        <v>0</v>
      </c>
      <c r="E243" s="8">
        <v>700</v>
      </c>
      <c r="F243" s="8">
        <v>7500</v>
      </c>
      <c r="G243" s="45">
        <f t="shared" si="20"/>
        <v>2400</v>
      </c>
      <c r="H243" s="8">
        <v>25000</v>
      </c>
      <c r="I243" s="45">
        <f t="shared" si="21"/>
        <v>5000</v>
      </c>
      <c r="J243" s="8">
        <v>25000</v>
      </c>
      <c r="K243" s="45">
        <f t="shared" si="22"/>
        <v>5000</v>
      </c>
      <c r="L243" s="8">
        <v>25000</v>
      </c>
      <c r="M243" s="9">
        <v>9</v>
      </c>
      <c r="N243" s="9">
        <v>16.100000000000001</v>
      </c>
      <c r="O243" s="9">
        <v>14</v>
      </c>
      <c r="P243" s="9">
        <v>19.5</v>
      </c>
      <c r="Q243" s="9">
        <v>2.4</v>
      </c>
      <c r="R243">
        <v>10</v>
      </c>
      <c r="S243">
        <v>1000</v>
      </c>
      <c r="T243" s="4">
        <f t="shared" si="23"/>
        <v>442.69657292841788</v>
      </c>
      <c r="U243">
        <v>37</v>
      </c>
    </row>
    <row r="244" spans="1:21">
      <c r="A244" s="44">
        <f t="shared" si="18"/>
        <v>45849.041666666082</v>
      </c>
      <c r="B244" s="45">
        <f t="shared" si="19"/>
        <v>5000</v>
      </c>
      <c r="C244" s="8">
        <v>25000</v>
      </c>
      <c r="D244" s="8">
        <v>0</v>
      </c>
      <c r="E244" s="8">
        <v>700</v>
      </c>
      <c r="F244" s="8">
        <v>7500</v>
      </c>
      <c r="G244" s="45">
        <f t="shared" si="20"/>
        <v>2400</v>
      </c>
      <c r="H244" s="8">
        <v>25000</v>
      </c>
      <c r="I244" s="45">
        <f t="shared" si="21"/>
        <v>5000</v>
      </c>
      <c r="J244" s="8">
        <v>25000</v>
      </c>
      <c r="K244" s="45">
        <f t="shared" si="22"/>
        <v>5000</v>
      </c>
      <c r="L244" s="8">
        <v>25000</v>
      </c>
      <c r="M244" s="9">
        <v>9</v>
      </c>
      <c r="N244" s="9">
        <v>16.100000000000001</v>
      </c>
      <c r="O244" s="9">
        <v>14</v>
      </c>
      <c r="P244" s="9">
        <v>19.5</v>
      </c>
      <c r="Q244" s="9">
        <v>2.5</v>
      </c>
      <c r="R244">
        <v>10</v>
      </c>
      <c r="S244">
        <v>1000</v>
      </c>
      <c r="T244" s="4">
        <f t="shared" si="23"/>
        <v>362.27094893570683</v>
      </c>
      <c r="U244">
        <v>53</v>
      </c>
    </row>
    <row r="245" spans="1:21">
      <c r="A245" s="44">
        <f t="shared" si="18"/>
        <v>45849.083333332746</v>
      </c>
      <c r="B245" s="45">
        <f t="shared" si="19"/>
        <v>5000</v>
      </c>
      <c r="C245" s="8">
        <v>25000</v>
      </c>
      <c r="D245" s="8">
        <v>0</v>
      </c>
      <c r="E245" s="8">
        <v>700</v>
      </c>
      <c r="F245" s="8">
        <v>7500</v>
      </c>
      <c r="G245" s="45">
        <f t="shared" si="20"/>
        <v>2400</v>
      </c>
      <c r="H245" s="8">
        <v>25000</v>
      </c>
      <c r="I245" s="45">
        <f t="shared" si="21"/>
        <v>5000</v>
      </c>
      <c r="J245" s="8">
        <v>25000</v>
      </c>
      <c r="K245" s="45">
        <f t="shared" si="22"/>
        <v>5000</v>
      </c>
      <c r="L245" s="8">
        <v>25000</v>
      </c>
      <c r="M245" s="9">
        <v>9</v>
      </c>
      <c r="N245" s="9">
        <v>16.100000000000001</v>
      </c>
      <c r="O245" s="9">
        <v>14</v>
      </c>
      <c r="P245" s="9">
        <v>19.5</v>
      </c>
      <c r="Q245" s="9">
        <v>2.7</v>
      </c>
      <c r="R245">
        <v>10</v>
      </c>
      <c r="S245">
        <v>1000</v>
      </c>
      <c r="T245" s="4">
        <f t="shared" si="23"/>
        <v>362.27094893570683</v>
      </c>
      <c r="U245">
        <v>40</v>
      </c>
    </row>
    <row r="246" spans="1:21">
      <c r="A246" s="44">
        <f t="shared" si="18"/>
        <v>45849.124999999411</v>
      </c>
      <c r="B246" s="45">
        <f t="shared" si="19"/>
        <v>5000</v>
      </c>
      <c r="C246" s="8">
        <v>25000</v>
      </c>
      <c r="D246" s="8">
        <v>0</v>
      </c>
      <c r="E246" s="8">
        <v>700</v>
      </c>
      <c r="F246" s="8">
        <v>7500</v>
      </c>
      <c r="G246" s="45">
        <f t="shared" si="20"/>
        <v>2400</v>
      </c>
      <c r="H246" s="8">
        <v>25000</v>
      </c>
      <c r="I246" s="45">
        <f t="shared" si="21"/>
        <v>5000</v>
      </c>
      <c r="J246" s="8">
        <v>25000</v>
      </c>
      <c r="K246" s="45">
        <f t="shared" si="22"/>
        <v>5000</v>
      </c>
      <c r="L246" s="8">
        <v>25000</v>
      </c>
      <c r="M246" s="9">
        <v>9</v>
      </c>
      <c r="N246" s="9">
        <v>16.100000000000001</v>
      </c>
      <c r="O246" s="9">
        <v>14</v>
      </c>
      <c r="P246" s="9">
        <v>19.5</v>
      </c>
      <c r="Q246" s="9">
        <v>2.4</v>
      </c>
      <c r="R246">
        <v>10</v>
      </c>
      <c r="S246">
        <v>1000</v>
      </c>
      <c r="T246" s="4">
        <f t="shared" si="23"/>
        <v>362.27094893570683</v>
      </c>
      <c r="U246">
        <v>83</v>
      </c>
    </row>
    <row r="247" spans="1:21">
      <c r="A247" s="44">
        <f t="shared" si="18"/>
        <v>45849.166666666075</v>
      </c>
      <c r="B247" s="45">
        <f t="shared" si="19"/>
        <v>5000</v>
      </c>
      <c r="C247" s="8">
        <v>25000</v>
      </c>
      <c r="D247" s="8">
        <v>0</v>
      </c>
      <c r="E247" s="8">
        <v>700</v>
      </c>
      <c r="F247" s="8">
        <v>7500</v>
      </c>
      <c r="G247" s="45">
        <f t="shared" si="20"/>
        <v>2400</v>
      </c>
      <c r="H247" s="8">
        <v>25000</v>
      </c>
      <c r="I247" s="45">
        <f t="shared" si="21"/>
        <v>5000</v>
      </c>
      <c r="J247" s="8">
        <v>25000</v>
      </c>
      <c r="K247" s="45">
        <f t="shared" si="22"/>
        <v>5000</v>
      </c>
      <c r="L247" s="8">
        <v>25000</v>
      </c>
      <c r="M247" s="9">
        <v>9</v>
      </c>
      <c r="N247" s="9">
        <v>16.100000000000001</v>
      </c>
      <c r="O247" s="9">
        <v>14</v>
      </c>
      <c r="P247" s="9">
        <v>19.5</v>
      </c>
      <c r="Q247" s="9">
        <v>2.4</v>
      </c>
      <c r="R247">
        <v>10</v>
      </c>
      <c r="S247">
        <v>1000</v>
      </c>
      <c r="T247" s="4">
        <f t="shared" si="23"/>
        <v>426.44032978095498</v>
      </c>
      <c r="U247">
        <v>97</v>
      </c>
    </row>
    <row r="248" spans="1:21">
      <c r="A248" s="44">
        <f t="shared" si="18"/>
        <v>45849.208333332739</v>
      </c>
      <c r="B248" s="45">
        <f t="shared" si="19"/>
        <v>5000</v>
      </c>
      <c r="C248" s="8">
        <v>25000</v>
      </c>
      <c r="D248" s="8">
        <v>0</v>
      </c>
      <c r="E248" s="8">
        <v>700</v>
      </c>
      <c r="F248" s="8">
        <v>7500</v>
      </c>
      <c r="G248" s="45">
        <f t="shared" si="20"/>
        <v>2400</v>
      </c>
      <c r="H248" s="8">
        <v>25000</v>
      </c>
      <c r="I248" s="45">
        <f t="shared" si="21"/>
        <v>5000</v>
      </c>
      <c r="J248" s="8">
        <v>25000</v>
      </c>
      <c r="K248" s="45">
        <f t="shared" si="22"/>
        <v>5000</v>
      </c>
      <c r="L248" s="8">
        <v>25000</v>
      </c>
      <c r="M248" s="9">
        <v>9</v>
      </c>
      <c r="N248" s="9">
        <v>16.100000000000001</v>
      </c>
      <c r="O248" s="9">
        <v>14</v>
      </c>
      <c r="P248" s="9">
        <v>19.5</v>
      </c>
      <c r="Q248" s="9">
        <v>2.5</v>
      </c>
      <c r="R248">
        <v>10</v>
      </c>
      <c r="S248">
        <v>1000</v>
      </c>
      <c r="T248" s="4">
        <f t="shared" si="23"/>
        <v>362.27094893570683</v>
      </c>
      <c r="U248">
        <v>76</v>
      </c>
    </row>
    <row r="249" spans="1:21">
      <c r="A249" s="44">
        <f t="shared" si="18"/>
        <v>45849.249999999403</v>
      </c>
      <c r="B249" s="45">
        <f t="shared" si="19"/>
        <v>8000</v>
      </c>
      <c r="C249" s="8">
        <v>25000</v>
      </c>
      <c r="D249" s="8">
        <v>0</v>
      </c>
      <c r="E249" s="8">
        <v>700</v>
      </c>
      <c r="F249" s="8">
        <v>7500</v>
      </c>
      <c r="G249" s="45">
        <f t="shared" si="20"/>
        <v>2400</v>
      </c>
      <c r="H249" s="8">
        <v>25000</v>
      </c>
      <c r="I249" s="45">
        <f t="shared" si="21"/>
        <v>8000</v>
      </c>
      <c r="J249" s="8">
        <v>25000</v>
      </c>
      <c r="K249" s="45">
        <f t="shared" si="22"/>
        <v>8000</v>
      </c>
      <c r="L249" s="8">
        <v>25000</v>
      </c>
      <c r="M249" s="9">
        <v>9</v>
      </c>
      <c r="N249" s="9">
        <v>16.100000000000001</v>
      </c>
      <c r="O249" s="9">
        <v>14</v>
      </c>
      <c r="P249" s="9">
        <v>19.5</v>
      </c>
      <c r="Q249" s="9">
        <v>2.7</v>
      </c>
      <c r="R249">
        <v>10</v>
      </c>
      <c r="S249">
        <v>1000</v>
      </c>
      <c r="T249" s="4">
        <f t="shared" si="23"/>
        <v>304.3759075508828</v>
      </c>
      <c r="U249">
        <v>54</v>
      </c>
    </row>
    <row r="250" spans="1:21">
      <c r="A250" s="44">
        <f t="shared" si="18"/>
        <v>45849.291666666068</v>
      </c>
      <c r="B250" s="45">
        <f t="shared" si="19"/>
        <v>8000</v>
      </c>
      <c r="C250" s="8">
        <v>25000</v>
      </c>
      <c r="D250" s="8">
        <v>0</v>
      </c>
      <c r="E250" s="8">
        <v>700</v>
      </c>
      <c r="F250" s="8">
        <v>7500</v>
      </c>
      <c r="G250" s="45">
        <f t="shared" si="20"/>
        <v>2400</v>
      </c>
      <c r="H250" s="8">
        <v>25000</v>
      </c>
      <c r="I250" s="45">
        <f t="shared" si="21"/>
        <v>8000</v>
      </c>
      <c r="J250" s="8">
        <v>25000</v>
      </c>
      <c r="K250" s="45">
        <f t="shared" si="22"/>
        <v>8000</v>
      </c>
      <c r="L250" s="8">
        <v>25000</v>
      </c>
      <c r="M250" s="9">
        <v>9</v>
      </c>
      <c r="N250" s="9">
        <v>16.100000000000001</v>
      </c>
      <c r="O250" s="9">
        <v>14</v>
      </c>
      <c r="P250" s="9">
        <v>19.5</v>
      </c>
      <c r="Q250" s="9">
        <v>3</v>
      </c>
      <c r="R250">
        <v>10</v>
      </c>
      <c r="S250">
        <v>1000</v>
      </c>
      <c r="T250" s="4">
        <f t="shared" si="23"/>
        <v>280.13414145378908</v>
      </c>
      <c r="U250">
        <v>50</v>
      </c>
    </row>
    <row r="251" spans="1:21">
      <c r="A251" s="44">
        <f t="shared" si="18"/>
        <v>45849.333333332732</v>
      </c>
      <c r="B251" s="45">
        <f t="shared" si="19"/>
        <v>8000</v>
      </c>
      <c r="C251" s="8">
        <v>25000</v>
      </c>
      <c r="D251" s="8">
        <v>0</v>
      </c>
      <c r="E251" s="8">
        <v>700</v>
      </c>
      <c r="F251" s="8">
        <v>7500</v>
      </c>
      <c r="G251" s="45">
        <f t="shared" si="20"/>
        <v>2400</v>
      </c>
      <c r="H251" s="8">
        <v>25000</v>
      </c>
      <c r="I251" s="45">
        <f t="shared" si="21"/>
        <v>8000</v>
      </c>
      <c r="J251" s="8">
        <v>25000</v>
      </c>
      <c r="K251" s="45">
        <f t="shared" si="22"/>
        <v>8000</v>
      </c>
      <c r="L251" s="8">
        <v>25000</v>
      </c>
      <c r="M251" s="9">
        <v>9</v>
      </c>
      <c r="N251" s="9">
        <v>16.100000000000001</v>
      </c>
      <c r="O251" s="9">
        <v>14</v>
      </c>
      <c r="P251" s="9">
        <v>19.5</v>
      </c>
      <c r="Q251" s="9">
        <v>2.4</v>
      </c>
      <c r="R251">
        <v>10</v>
      </c>
      <c r="S251">
        <v>1000</v>
      </c>
      <c r="T251" s="4">
        <f t="shared" si="23"/>
        <v>294.39400386384426</v>
      </c>
      <c r="U251">
        <v>78</v>
      </c>
    </row>
    <row r="252" spans="1:21">
      <c r="A252" s="44">
        <f t="shared" si="18"/>
        <v>45849.374999999396</v>
      </c>
      <c r="B252" s="45">
        <f t="shared" si="19"/>
        <v>8000</v>
      </c>
      <c r="C252" s="8">
        <v>25000</v>
      </c>
      <c r="D252" s="8">
        <v>0</v>
      </c>
      <c r="E252" s="8">
        <v>700</v>
      </c>
      <c r="F252" s="8">
        <v>7500</v>
      </c>
      <c r="G252" s="45">
        <f t="shared" si="20"/>
        <v>2400</v>
      </c>
      <c r="H252" s="8">
        <v>25000</v>
      </c>
      <c r="I252" s="45">
        <f t="shared" si="21"/>
        <v>8000</v>
      </c>
      <c r="J252" s="8">
        <v>25000</v>
      </c>
      <c r="K252" s="45">
        <f t="shared" si="22"/>
        <v>8000</v>
      </c>
      <c r="L252" s="8">
        <v>25000</v>
      </c>
      <c r="M252" s="9">
        <v>9</v>
      </c>
      <c r="N252" s="9">
        <v>16.100000000000001</v>
      </c>
      <c r="O252" s="9">
        <v>14</v>
      </c>
      <c r="P252" s="9">
        <v>19.5</v>
      </c>
      <c r="Q252" s="9">
        <v>2.5</v>
      </c>
      <c r="R252">
        <v>10</v>
      </c>
      <c r="S252">
        <v>1000</v>
      </c>
      <c r="T252" s="4">
        <f t="shared" si="23"/>
        <v>317.20978371993255</v>
      </c>
      <c r="U252">
        <v>88</v>
      </c>
    </row>
    <row r="253" spans="1:21">
      <c r="A253" s="44">
        <f t="shared" si="18"/>
        <v>45849.41666666606</v>
      </c>
      <c r="B253" s="45">
        <f t="shared" si="19"/>
        <v>8000</v>
      </c>
      <c r="C253" s="8">
        <v>25000</v>
      </c>
      <c r="D253" s="8">
        <v>0</v>
      </c>
      <c r="E253" s="8">
        <v>700</v>
      </c>
      <c r="F253" s="8">
        <v>7500</v>
      </c>
      <c r="G253" s="45">
        <f t="shared" si="20"/>
        <v>2400</v>
      </c>
      <c r="H253" s="8">
        <v>25000</v>
      </c>
      <c r="I253" s="45">
        <f t="shared" si="21"/>
        <v>8000</v>
      </c>
      <c r="J253" s="8">
        <v>25000</v>
      </c>
      <c r="K253" s="45">
        <f t="shared" si="22"/>
        <v>8000</v>
      </c>
      <c r="L253" s="8">
        <v>25000</v>
      </c>
      <c r="M253" s="9">
        <v>9</v>
      </c>
      <c r="N253" s="9">
        <v>16.100000000000001</v>
      </c>
      <c r="O253" s="9">
        <v>14</v>
      </c>
      <c r="P253" s="9">
        <v>19.5</v>
      </c>
      <c r="Q253" s="9">
        <v>2.6</v>
      </c>
      <c r="R253">
        <v>10</v>
      </c>
      <c r="S253">
        <v>1000</v>
      </c>
      <c r="T253" s="4">
        <f t="shared" si="23"/>
        <v>308.08347177749721</v>
      </c>
      <c r="U253">
        <v>44</v>
      </c>
    </row>
    <row r="254" spans="1:21">
      <c r="A254" s="44">
        <f t="shared" si="18"/>
        <v>45849.458333332725</v>
      </c>
      <c r="B254" s="45">
        <f t="shared" si="19"/>
        <v>8000</v>
      </c>
      <c r="C254" s="8">
        <v>25000</v>
      </c>
      <c r="D254" s="8">
        <v>0</v>
      </c>
      <c r="E254" s="8">
        <v>700</v>
      </c>
      <c r="F254" s="8">
        <v>7500</v>
      </c>
      <c r="G254" s="45">
        <f t="shared" si="20"/>
        <v>2400</v>
      </c>
      <c r="H254" s="8">
        <v>25000</v>
      </c>
      <c r="I254" s="45">
        <f t="shared" si="21"/>
        <v>8000</v>
      </c>
      <c r="J254" s="8">
        <v>25000</v>
      </c>
      <c r="K254" s="45">
        <f t="shared" si="22"/>
        <v>8000</v>
      </c>
      <c r="L254" s="8">
        <v>25000</v>
      </c>
      <c r="M254" s="9">
        <v>9</v>
      </c>
      <c r="N254" s="9">
        <v>16.100000000000001</v>
      </c>
      <c r="O254" s="9">
        <v>14</v>
      </c>
      <c r="P254" s="9">
        <v>19.5</v>
      </c>
      <c r="Q254" s="9">
        <v>2.5</v>
      </c>
      <c r="R254">
        <v>10</v>
      </c>
      <c r="S254">
        <v>1000</v>
      </c>
      <c r="T254" s="4">
        <f t="shared" si="23"/>
        <v>303.80551305448063</v>
      </c>
      <c r="U254">
        <v>12</v>
      </c>
    </row>
    <row r="255" spans="1:21">
      <c r="A255" s="44">
        <f t="shared" si="18"/>
        <v>45849.499999999389</v>
      </c>
      <c r="B255" s="45">
        <f t="shared" si="19"/>
        <v>8000</v>
      </c>
      <c r="C255" s="8">
        <v>25000</v>
      </c>
      <c r="D255" s="8">
        <v>0</v>
      </c>
      <c r="E255" s="8">
        <v>700</v>
      </c>
      <c r="F255" s="8">
        <v>7500</v>
      </c>
      <c r="G255" s="45">
        <f t="shared" si="20"/>
        <v>2400</v>
      </c>
      <c r="H255" s="8">
        <v>25000</v>
      </c>
      <c r="I255" s="45">
        <f t="shared" si="21"/>
        <v>8000</v>
      </c>
      <c r="J255" s="8">
        <v>25000</v>
      </c>
      <c r="K255" s="45">
        <f t="shared" si="22"/>
        <v>8000</v>
      </c>
      <c r="L255" s="8">
        <v>25000</v>
      </c>
      <c r="M255" s="9">
        <v>9</v>
      </c>
      <c r="N255" s="9">
        <v>16.100000000000001</v>
      </c>
      <c r="O255" s="9">
        <v>14</v>
      </c>
      <c r="P255" s="9">
        <v>19.5</v>
      </c>
      <c r="Q255" s="9">
        <v>2.7</v>
      </c>
      <c r="R255">
        <v>10</v>
      </c>
      <c r="S255">
        <v>1000</v>
      </c>
      <c r="T255" s="4">
        <f t="shared" si="23"/>
        <v>303.80551305448063</v>
      </c>
      <c r="U255">
        <v>25</v>
      </c>
    </row>
    <row r="256" spans="1:21">
      <c r="A256" s="44">
        <f t="shared" si="18"/>
        <v>45849.541666666053</v>
      </c>
      <c r="B256" s="45">
        <f t="shared" si="19"/>
        <v>8000</v>
      </c>
      <c r="C256" s="8">
        <v>25000</v>
      </c>
      <c r="D256" s="8">
        <v>0</v>
      </c>
      <c r="E256" s="8">
        <v>700</v>
      </c>
      <c r="F256" s="8">
        <v>7500</v>
      </c>
      <c r="G256" s="45">
        <f t="shared" si="20"/>
        <v>2400</v>
      </c>
      <c r="H256" s="8">
        <v>25000</v>
      </c>
      <c r="I256" s="45">
        <f t="shared" si="21"/>
        <v>8000</v>
      </c>
      <c r="J256" s="8">
        <v>25000</v>
      </c>
      <c r="K256" s="45">
        <f t="shared" si="22"/>
        <v>8000</v>
      </c>
      <c r="L256" s="8">
        <v>25000</v>
      </c>
      <c r="M256" s="9">
        <v>9</v>
      </c>
      <c r="N256" s="9">
        <v>16.100000000000001</v>
      </c>
      <c r="O256" s="9">
        <v>14</v>
      </c>
      <c r="P256" s="9">
        <v>19.5</v>
      </c>
      <c r="Q256" s="9">
        <v>3</v>
      </c>
      <c r="R256">
        <v>10</v>
      </c>
      <c r="S256">
        <v>1000</v>
      </c>
      <c r="T256" s="4">
        <f t="shared" si="23"/>
        <v>353.43040463596901</v>
      </c>
      <c r="U256">
        <v>96</v>
      </c>
    </row>
    <row r="257" spans="1:21">
      <c r="A257" s="44">
        <f t="shared" si="18"/>
        <v>45849.583333332717</v>
      </c>
      <c r="B257" s="45">
        <f t="shared" si="19"/>
        <v>8000</v>
      </c>
      <c r="C257" s="8">
        <v>25000</v>
      </c>
      <c r="D257" s="8">
        <v>0</v>
      </c>
      <c r="E257" s="8">
        <v>700</v>
      </c>
      <c r="F257" s="8">
        <v>7500</v>
      </c>
      <c r="G257" s="45">
        <f t="shared" si="20"/>
        <v>2400</v>
      </c>
      <c r="H257" s="8">
        <v>25000</v>
      </c>
      <c r="I257" s="45">
        <f t="shared" si="21"/>
        <v>8000</v>
      </c>
      <c r="J257" s="8">
        <v>25000</v>
      </c>
      <c r="K257" s="45">
        <f t="shared" si="22"/>
        <v>8000</v>
      </c>
      <c r="L257" s="8">
        <v>25000</v>
      </c>
      <c r="M257" s="9">
        <v>9</v>
      </c>
      <c r="N257" s="9">
        <v>16.100000000000001</v>
      </c>
      <c r="O257" s="9">
        <v>14</v>
      </c>
      <c r="P257" s="9">
        <v>19.5</v>
      </c>
      <c r="Q257" s="9">
        <v>2.6</v>
      </c>
      <c r="R257">
        <v>10</v>
      </c>
      <c r="S257">
        <v>1000</v>
      </c>
      <c r="T257" s="4">
        <f t="shared" si="23"/>
        <v>587.29100737188094</v>
      </c>
      <c r="U257">
        <v>18</v>
      </c>
    </row>
    <row r="258" spans="1:21">
      <c r="A258" s="44">
        <f t="shared" si="18"/>
        <v>45849.624999999382</v>
      </c>
      <c r="B258" s="45">
        <f t="shared" si="19"/>
        <v>8000</v>
      </c>
      <c r="C258" s="8">
        <v>25000</v>
      </c>
      <c r="D258" s="8">
        <v>0</v>
      </c>
      <c r="E258" s="8">
        <v>700</v>
      </c>
      <c r="F258" s="8">
        <v>7500</v>
      </c>
      <c r="G258" s="45">
        <f t="shared" si="20"/>
        <v>2400</v>
      </c>
      <c r="H258" s="8">
        <v>25000</v>
      </c>
      <c r="I258" s="45">
        <f t="shared" si="21"/>
        <v>8000</v>
      </c>
      <c r="J258" s="8">
        <v>25000</v>
      </c>
      <c r="K258" s="45">
        <f t="shared" si="22"/>
        <v>8000</v>
      </c>
      <c r="L258" s="8">
        <v>25000</v>
      </c>
      <c r="M258" s="9">
        <v>9</v>
      </c>
      <c r="N258" s="9">
        <v>16.100000000000001</v>
      </c>
      <c r="O258" s="9">
        <v>14</v>
      </c>
      <c r="P258" s="9">
        <v>19.5</v>
      </c>
      <c r="Q258" s="9">
        <v>3</v>
      </c>
      <c r="R258">
        <v>10</v>
      </c>
      <c r="S258">
        <v>1000</v>
      </c>
      <c r="T258" s="4">
        <f t="shared" si="23"/>
        <v>604.40284226394715</v>
      </c>
      <c r="U258">
        <v>72</v>
      </c>
    </row>
    <row r="259" spans="1:21">
      <c r="A259" s="44">
        <f t="shared" si="18"/>
        <v>45849.666666666046</v>
      </c>
      <c r="B259" s="45">
        <f t="shared" si="19"/>
        <v>8000</v>
      </c>
      <c r="C259" s="8">
        <v>25000</v>
      </c>
      <c r="D259" s="8">
        <v>0</v>
      </c>
      <c r="E259" s="8">
        <v>700</v>
      </c>
      <c r="F259" s="8">
        <v>7500</v>
      </c>
      <c r="G259" s="45">
        <f t="shared" si="20"/>
        <v>2400</v>
      </c>
      <c r="H259" s="8">
        <v>25000</v>
      </c>
      <c r="I259" s="45">
        <f t="shared" si="21"/>
        <v>8000</v>
      </c>
      <c r="J259" s="8">
        <v>25000</v>
      </c>
      <c r="K259" s="45">
        <f t="shared" si="22"/>
        <v>8000</v>
      </c>
      <c r="L259" s="8">
        <v>25000</v>
      </c>
      <c r="M259" s="9">
        <v>9</v>
      </c>
      <c r="N259" s="9">
        <v>16.100000000000001</v>
      </c>
      <c r="O259" s="9">
        <v>14</v>
      </c>
      <c r="P259" s="9">
        <v>19.5</v>
      </c>
      <c r="Q259" s="9">
        <v>2.6</v>
      </c>
      <c r="R259">
        <v>10</v>
      </c>
      <c r="S259">
        <v>1000</v>
      </c>
      <c r="T259" s="4">
        <f t="shared" si="23"/>
        <v>875.91062255139741</v>
      </c>
      <c r="U259">
        <v>90</v>
      </c>
    </row>
    <row r="260" spans="1:21">
      <c r="A260" s="44">
        <f t="shared" si="18"/>
        <v>45849.70833333271</v>
      </c>
      <c r="B260" s="45">
        <f t="shared" si="19"/>
        <v>8000</v>
      </c>
      <c r="C260" s="8">
        <v>25000</v>
      </c>
      <c r="D260" s="8">
        <v>0</v>
      </c>
      <c r="E260" s="8">
        <v>700</v>
      </c>
      <c r="F260" s="8">
        <v>7500</v>
      </c>
      <c r="G260" s="45">
        <f t="shared" si="20"/>
        <v>2400</v>
      </c>
      <c r="H260" s="8">
        <v>25000</v>
      </c>
      <c r="I260" s="45">
        <f t="shared" si="21"/>
        <v>8000</v>
      </c>
      <c r="J260" s="8">
        <v>25000</v>
      </c>
      <c r="K260" s="45">
        <f t="shared" si="22"/>
        <v>8000</v>
      </c>
      <c r="L260" s="8">
        <v>25000</v>
      </c>
      <c r="M260" s="9">
        <v>9</v>
      </c>
      <c r="N260" s="9">
        <v>16.100000000000001</v>
      </c>
      <c r="O260" s="9">
        <v>14</v>
      </c>
      <c r="P260" s="9">
        <v>19.5</v>
      </c>
      <c r="Q260" s="9">
        <v>2.7</v>
      </c>
      <c r="R260">
        <v>10</v>
      </c>
      <c r="S260">
        <v>1000</v>
      </c>
      <c r="T260" s="4">
        <f t="shared" si="23"/>
        <v>1116.9022972813298</v>
      </c>
      <c r="U260">
        <v>44</v>
      </c>
    </row>
    <row r="261" spans="1:21">
      <c r="A261" s="44">
        <f t="shared" ref="A261:A324" si="24">A260+TIME(1,0,0)</f>
        <v>45849.749999999374</v>
      </c>
      <c r="B261" s="45">
        <f t="shared" si="19"/>
        <v>5000</v>
      </c>
      <c r="C261" s="8">
        <v>25000</v>
      </c>
      <c r="D261" s="8">
        <v>0</v>
      </c>
      <c r="E261" s="8">
        <v>700</v>
      </c>
      <c r="F261" s="8">
        <v>7500</v>
      </c>
      <c r="G261" s="45">
        <f t="shared" si="20"/>
        <v>2400</v>
      </c>
      <c r="H261" s="8">
        <v>25000</v>
      </c>
      <c r="I261" s="45">
        <f t="shared" si="21"/>
        <v>5000</v>
      </c>
      <c r="J261" s="8">
        <v>25000</v>
      </c>
      <c r="K261" s="45">
        <f t="shared" si="22"/>
        <v>5000</v>
      </c>
      <c r="L261" s="8">
        <v>25000</v>
      </c>
      <c r="M261" s="9">
        <v>9</v>
      </c>
      <c r="N261" s="9">
        <v>16.100000000000001</v>
      </c>
      <c r="O261" s="9">
        <v>14</v>
      </c>
      <c r="P261" s="9">
        <v>19.5</v>
      </c>
      <c r="Q261" s="9">
        <v>2.9</v>
      </c>
      <c r="R261">
        <v>10</v>
      </c>
      <c r="S261">
        <v>1000</v>
      </c>
      <c r="T261" s="4">
        <f t="shared" si="23"/>
        <v>1156.8299120294841</v>
      </c>
      <c r="U261">
        <v>22</v>
      </c>
    </row>
    <row r="262" spans="1:21">
      <c r="A262" s="44">
        <f t="shared" si="24"/>
        <v>45849.791666666039</v>
      </c>
      <c r="B262" s="45">
        <f t="shared" si="19"/>
        <v>5000</v>
      </c>
      <c r="C262" s="8">
        <v>25000</v>
      </c>
      <c r="D262" s="8">
        <v>0</v>
      </c>
      <c r="E262" s="8">
        <v>700</v>
      </c>
      <c r="F262" s="8">
        <v>7500</v>
      </c>
      <c r="G262" s="45">
        <f t="shared" si="20"/>
        <v>2400</v>
      </c>
      <c r="H262" s="8">
        <v>25000</v>
      </c>
      <c r="I262" s="45">
        <f t="shared" si="21"/>
        <v>5000</v>
      </c>
      <c r="J262" s="8">
        <v>25000</v>
      </c>
      <c r="K262" s="45">
        <f t="shared" si="22"/>
        <v>5000</v>
      </c>
      <c r="L262" s="8">
        <v>25000</v>
      </c>
      <c r="M262" s="9">
        <v>9</v>
      </c>
      <c r="N262" s="9">
        <v>16.100000000000001</v>
      </c>
      <c r="O262" s="9">
        <v>14</v>
      </c>
      <c r="P262" s="9">
        <v>19.5</v>
      </c>
      <c r="Q262" s="9">
        <v>2.5</v>
      </c>
      <c r="R262">
        <v>10</v>
      </c>
      <c r="S262">
        <v>1000</v>
      </c>
      <c r="T262" s="4">
        <f t="shared" si="23"/>
        <v>1156.8299120294841</v>
      </c>
      <c r="U262">
        <v>11</v>
      </c>
    </row>
    <row r="263" spans="1:21">
      <c r="A263" s="44">
        <f t="shared" si="24"/>
        <v>45849.833333332703</v>
      </c>
      <c r="B263" s="45">
        <f t="shared" si="19"/>
        <v>5000</v>
      </c>
      <c r="C263" s="8">
        <v>25000</v>
      </c>
      <c r="D263" s="8">
        <v>0</v>
      </c>
      <c r="E263" s="8">
        <v>700</v>
      </c>
      <c r="F263" s="8">
        <v>7500</v>
      </c>
      <c r="G263" s="45">
        <f t="shared" si="20"/>
        <v>2400</v>
      </c>
      <c r="H263" s="8">
        <v>25000</v>
      </c>
      <c r="I263" s="45">
        <f t="shared" si="21"/>
        <v>5000</v>
      </c>
      <c r="J263" s="8">
        <v>25000</v>
      </c>
      <c r="K263" s="45">
        <f t="shared" si="22"/>
        <v>5000</v>
      </c>
      <c r="L263" s="8">
        <v>25000</v>
      </c>
      <c r="M263" s="9">
        <v>9</v>
      </c>
      <c r="N263" s="9">
        <v>16.100000000000001</v>
      </c>
      <c r="O263" s="9">
        <v>14</v>
      </c>
      <c r="P263" s="9">
        <v>19.5</v>
      </c>
      <c r="Q263" s="9">
        <v>2.8</v>
      </c>
      <c r="R263">
        <v>10</v>
      </c>
      <c r="S263">
        <v>1000</v>
      </c>
      <c r="T263" s="4">
        <f t="shared" si="23"/>
        <v>1114.0503247993186</v>
      </c>
      <c r="U263">
        <v>90</v>
      </c>
    </row>
    <row r="264" spans="1:21">
      <c r="A264" s="44">
        <f t="shared" si="24"/>
        <v>45849.874999999367</v>
      </c>
      <c r="B264" s="45">
        <f t="shared" si="19"/>
        <v>5000</v>
      </c>
      <c r="C264" s="8">
        <v>25000</v>
      </c>
      <c r="D264" s="8">
        <v>0</v>
      </c>
      <c r="E264" s="8">
        <v>700</v>
      </c>
      <c r="F264" s="8">
        <v>7500</v>
      </c>
      <c r="G264" s="45">
        <f t="shared" si="20"/>
        <v>2400</v>
      </c>
      <c r="H264" s="8">
        <v>25000</v>
      </c>
      <c r="I264" s="45">
        <f t="shared" si="21"/>
        <v>5000</v>
      </c>
      <c r="J264" s="8">
        <v>25000</v>
      </c>
      <c r="K264" s="45">
        <f t="shared" si="22"/>
        <v>5000</v>
      </c>
      <c r="L264" s="8">
        <v>25000</v>
      </c>
      <c r="M264" s="9">
        <v>9</v>
      </c>
      <c r="N264" s="9">
        <v>16.100000000000001</v>
      </c>
      <c r="O264" s="9">
        <v>14</v>
      </c>
      <c r="P264" s="9">
        <v>19.5</v>
      </c>
      <c r="Q264" s="9">
        <v>2.9</v>
      </c>
      <c r="R264">
        <v>10</v>
      </c>
      <c r="S264">
        <v>1000</v>
      </c>
      <c r="T264" s="4">
        <f t="shared" si="23"/>
        <v>1034.1950953030096</v>
      </c>
      <c r="U264">
        <v>71</v>
      </c>
    </row>
    <row r="265" spans="1:21">
      <c r="A265" s="44">
        <f t="shared" si="24"/>
        <v>45849.916666666031</v>
      </c>
      <c r="B265" s="45">
        <f t="shared" si="19"/>
        <v>5000</v>
      </c>
      <c r="C265" s="8">
        <v>25000</v>
      </c>
      <c r="D265" s="8">
        <v>0</v>
      </c>
      <c r="E265" s="8">
        <v>700</v>
      </c>
      <c r="F265" s="8">
        <v>7500</v>
      </c>
      <c r="G265" s="45">
        <f t="shared" si="20"/>
        <v>2400</v>
      </c>
      <c r="H265" s="8">
        <v>25000</v>
      </c>
      <c r="I265" s="45">
        <f t="shared" si="21"/>
        <v>5000</v>
      </c>
      <c r="J265" s="8">
        <v>25000</v>
      </c>
      <c r="K265" s="45">
        <f t="shared" si="22"/>
        <v>5000</v>
      </c>
      <c r="L265" s="8">
        <v>25000</v>
      </c>
      <c r="M265" s="9">
        <v>9</v>
      </c>
      <c r="N265" s="9">
        <v>16.100000000000001</v>
      </c>
      <c r="O265" s="9">
        <v>14</v>
      </c>
      <c r="P265" s="9">
        <v>19.5</v>
      </c>
      <c r="Q265" s="9">
        <v>3</v>
      </c>
      <c r="R265">
        <v>10</v>
      </c>
      <c r="S265">
        <v>1000</v>
      </c>
      <c r="T265" s="4">
        <f t="shared" si="23"/>
        <v>807.46328298313267</v>
      </c>
      <c r="U265">
        <v>31</v>
      </c>
    </row>
    <row r="266" spans="1:21">
      <c r="A266" s="44">
        <f t="shared" si="24"/>
        <v>45849.958333332695</v>
      </c>
      <c r="B266" s="45">
        <f t="shared" si="19"/>
        <v>5000</v>
      </c>
      <c r="C266" s="8">
        <v>25000</v>
      </c>
      <c r="D266" s="8">
        <v>0</v>
      </c>
      <c r="E266" s="8">
        <v>700</v>
      </c>
      <c r="F266" s="8">
        <v>7500</v>
      </c>
      <c r="G266" s="45">
        <f t="shared" si="20"/>
        <v>2400</v>
      </c>
      <c r="H266" s="8">
        <v>25000</v>
      </c>
      <c r="I266" s="45">
        <f t="shared" si="21"/>
        <v>5000</v>
      </c>
      <c r="J266" s="8">
        <v>25000</v>
      </c>
      <c r="K266" s="45">
        <f t="shared" si="22"/>
        <v>5000</v>
      </c>
      <c r="L266" s="8">
        <v>25000</v>
      </c>
      <c r="M266" s="9">
        <v>9</v>
      </c>
      <c r="N266" s="9">
        <v>16.100000000000001</v>
      </c>
      <c r="O266" s="9">
        <v>14</v>
      </c>
      <c r="P266" s="9">
        <v>19.5</v>
      </c>
      <c r="Q266" s="9">
        <v>2.6</v>
      </c>
      <c r="R266">
        <v>10</v>
      </c>
      <c r="S266">
        <v>1000</v>
      </c>
      <c r="T266" s="4">
        <f t="shared" si="23"/>
        <v>442.69657292841788</v>
      </c>
      <c r="U266">
        <v>83</v>
      </c>
    </row>
    <row r="267" spans="1:21">
      <c r="A267" s="44">
        <f t="shared" si="24"/>
        <v>45849.99999999936</v>
      </c>
      <c r="B267" s="45">
        <f t="shared" si="19"/>
        <v>5000</v>
      </c>
      <c r="C267" s="8">
        <v>25000</v>
      </c>
      <c r="D267" s="8">
        <v>0</v>
      </c>
      <c r="E267" s="8">
        <v>700</v>
      </c>
      <c r="F267" s="8">
        <v>7500</v>
      </c>
      <c r="G267" s="45">
        <f t="shared" si="20"/>
        <v>2400</v>
      </c>
      <c r="H267" s="8">
        <v>25000</v>
      </c>
      <c r="I267" s="45">
        <f t="shared" si="21"/>
        <v>5000</v>
      </c>
      <c r="J267" s="8">
        <v>25000</v>
      </c>
      <c r="K267" s="45">
        <f t="shared" si="22"/>
        <v>5000</v>
      </c>
      <c r="L267" s="8">
        <v>25000</v>
      </c>
      <c r="M267" s="9">
        <v>9</v>
      </c>
      <c r="N267" s="9">
        <v>16.100000000000001</v>
      </c>
      <c r="O267" s="9">
        <v>14</v>
      </c>
      <c r="P267" s="9">
        <v>19.5</v>
      </c>
      <c r="Q267" s="9">
        <v>2.9</v>
      </c>
      <c r="R267">
        <v>10</v>
      </c>
      <c r="S267">
        <v>1000</v>
      </c>
      <c r="T267" s="4">
        <f t="shared" si="23"/>
        <v>442.69657292841788</v>
      </c>
      <c r="U267">
        <v>10</v>
      </c>
    </row>
    <row r="268" spans="1:21">
      <c r="A268" s="44">
        <f t="shared" si="24"/>
        <v>45850.041666666024</v>
      </c>
      <c r="B268" s="45">
        <f t="shared" si="19"/>
        <v>5000</v>
      </c>
      <c r="C268" s="8">
        <v>25000</v>
      </c>
      <c r="D268" s="8">
        <v>0</v>
      </c>
      <c r="E268" s="8">
        <v>700</v>
      </c>
      <c r="F268" s="8">
        <v>7500</v>
      </c>
      <c r="G268" s="45">
        <f t="shared" si="20"/>
        <v>2400</v>
      </c>
      <c r="H268" s="8">
        <v>25000</v>
      </c>
      <c r="I268" s="45">
        <f t="shared" si="21"/>
        <v>5000</v>
      </c>
      <c r="J268" s="8">
        <v>25000</v>
      </c>
      <c r="K268" s="45">
        <f t="shared" si="22"/>
        <v>5000</v>
      </c>
      <c r="L268" s="8">
        <v>25000</v>
      </c>
      <c r="M268" s="9">
        <v>9</v>
      </c>
      <c r="N268" s="9">
        <v>16.100000000000001</v>
      </c>
      <c r="O268" s="9">
        <v>14</v>
      </c>
      <c r="P268" s="9">
        <v>19.5</v>
      </c>
      <c r="Q268" s="9">
        <v>2.6</v>
      </c>
      <c r="R268">
        <v>10</v>
      </c>
      <c r="S268">
        <v>1000</v>
      </c>
      <c r="T268" s="4">
        <f t="shared" si="23"/>
        <v>362.27094893570683</v>
      </c>
      <c r="U268">
        <v>74</v>
      </c>
    </row>
    <row r="269" spans="1:21">
      <c r="A269" s="44">
        <f t="shared" si="24"/>
        <v>45850.083333332688</v>
      </c>
      <c r="B269" s="45">
        <f t="shared" si="19"/>
        <v>5000</v>
      </c>
      <c r="C269" s="8">
        <v>25000</v>
      </c>
      <c r="D269" s="8">
        <v>0</v>
      </c>
      <c r="E269" s="8">
        <v>700</v>
      </c>
      <c r="F269" s="8">
        <v>7500</v>
      </c>
      <c r="G269" s="45">
        <f t="shared" si="20"/>
        <v>2400</v>
      </c>
      <c r="H269" s="8">
        <v>25000</v>
      </c>
      <c r="I269" s="45">
        <f t="shared" si="21"/>
        <v>5000</v>
      </c>
      <c r="J269" s="8">
        <v>25000</v>
      </c>
      <c r="K269" s="45">
        <f t="shared" si="22"/>
        <v>5000</v>
      </c>
      <c r="L269" s="8">
        <v>25000</v>
      </c>
      <c r="M269" s="9">
        <v>9</v>
      </c>
      <c r="N269" s="9">
        <v>16.100000000000001</v>
      </c>
      <c r="O269" s="9">
        <v>14</v>
      </c>
      <c r="P269" s="9">
        <v>19.5</v>
      </c>
      <c r="Q269" s="9">
        <v>3</v>
      </c>
      <c r="R269">
        <v>10</v>
      </c>
      <c r="S269">
        <v>1000</v>
      </c>
      <c r="T269" s="4">
        <f t="shared" si="23"/>
        <v>362.27094893570683</v>
      </c>
      <c r="U269">
        <v>95</v>
      </c>
    </row>
    <row r="270" spans="1:21">
      <c r="A270" s="44">
        <f t="shared" si="24"/>
        <v>45850.124999999352</v>
      </c>
      <c r="B270" s="45">
        <f t="shared" si="19"/>
        <v>5000</v>
      </c>
      <c r="C270" s="8">
        <v>25000</v>
      </c>
      <c r="D270" s="8">
        <v>0</v>
      </c>
      <c r="E270" s="8">
        <v>700</v>
      </c>
      <c r="F270" s="8">
        <v>7500</v>
      </c>
      <c r="G270" s="45">
        <f t="shared" si="20"/>
        <v>2400</v>
      </c>
      <c r="H270" s="8">
        <v>25000</v>
      </c>
      <c r="I270" s="45">
        <f t="shared" si="21"/>
        <v>5000</v>
      </c>
      <c r="J270" s="8">
        <v>25000</v>
      </c>
      <c r="K270" s="45">
        <f t="shared" si="22"/>
        <v>5000</v>
      </c>
      <c r="L270" s="8">
        <v>25000</v>
      </c>
      <c r="M270" s="9">
        <v>9</v>
      </c>
      <c r="N270" s="9">
        <v>16.100000000000001</v>
      </c>
      <c r="O270" s="9">
        <v>14</v>
      </c>
      <c r="P270" s="9">
        <v>19.5</v>
      </c>
      <c r="Q270" s="9">
        <v>2.7</v>
      </c>
      <c r="R270">
        <v>10</v>
      </c>
      <c r="S270">
        <v>1000</v>
      </c>
      <c r="T270" s="4">
        <f t="shared" si="23"/>
        <v>362.27094893570683</v>
      </c>
      <c r="U270">
        <v>81</v>
      </c>
    </row>
    <row r="271" spans="1:21">
      <c r="A271" s="44">
        <f t="shared" si="24"/>
        <v>45850.166666666017</v>
      </c>
      <c r="B271" s="45">
        <f t="shared" si="19"/>
        <v>5000</v>
      </c>
      <c r="C271" s="8">
        <v>25000</v>
      </c>
      <c r="D271" s="8">
        <v>0</v>
      </c>
      <c r="E271" s="8">
        <v>700</v>
      </c>
      <c r="F271" s="8">
        <v>7500</v>
      </c>
      <c r="G271" s="45">
        <f t="shared" si="20"/>
        <v>2400</v>
      </c>
      <c r="H271" s="8">
        <v>25000</v>
      </c>
      <c r="I271" s="45">
        <f t="shared" si="21"/>
        <v>5000</v>
      </c>
      <c r="J271" s="8">
        <v>25000</v>
      </c>
      <c r="K271" s="45">
        <f t="shared" si="22"/>
        <v>5000</v>
      </c>
      <c r="L271" s="8">
        <v>25000</v>
      </c>
      <c r="M271" s="9">
        <v>9</v>
      </c>
      <c r="N271" s="9">
        <v>16.100000000000001</v>
      </c>
      <c r="O271" s="9">
        <v>14</v>
      </c>
      <c r="P271" s="9">
        <v>19.5</v>
      </c>
      <c r="Q271" s="9">
        <v>2.9</v>
      </c>
      <c r="R271">
        <v>10</v>
      </c>
      <c r="S271">
        <v>1000</v>
      </c>
      <c r="T271" s="4">
        <f t="shared" si="23"/>
        <v>426.44032978095498</v>
      </c>
      <c r="U271">
        <v>56</v>
      </c>
    </row>
    <row r="272" spans="1:21">
      <c r="A272" s="44">
        <f t="shared" si="24"/>
        <v>45850.208333332681</v>
      </c>
      <c r="B272" s="45">
        <f t="shared" si="19"/>
        <v>5000</v>
      </c>
      <c r="C272" s="8">
        <v>25000</v>
      </c>
      <c r="D272" s="8">
        <v>0</v>
      </c>
      <c r="E272" s="8">
        <v>700</v>
      </c>
      <c r="F272" s="8">
        <v>7500</v>
      </c>
      <c r="G272" s="45">
        <f t="shared" si="20"/>
        <v>2400</v>
      </c>
      <c r="H272" s="8">
        <v>25000</v>
      </c>
      <c r="I272" s="45">
        <f t="shared" si="21"/>
        <v>5000</v>
      </c>
      <c r="J272" s="8">
        <v>25000</v>
      </c>
      <c r="K272" s="45">
        <f t="shared" si="22"/>
        <v>5000</v>
      </c>
      <c r="L272" s="8">
        <v>25000</v>
      </c>
      <c r="M272" s="9">
        <v>9</v>
      </c>
      <c r="N272" s="9">
        <v>16.100000000000001</v>
      </c>
      <c r="O272" s="9">
        <v>14</v>
      </c>
      <c r="P272" s="9">
        <v>19.5</v>
      </c>
      <c r="Q272" s="9">
        <v>2.4</v>
      </c>
      <c r="R272">
        <v>10</v>
      </c>
      <c r="S272">
        <v>1000</v>
      </c>
      <c r="T272" s="4">
        <f t="shared" si="23"/>
        <v>362.27094893570683</v>
      </c>
      <c r="U272">
        <v>94</v>
      </c>
    </row>
    <row r="273" spans="1:21">
      <c r="A273" s="44">
        <f t="shared" si="24"/>
        <v>45850.249999999345</v>
      </c>
      <c r="B273" s="45">
        <f t="shared" si="19"/>
        <v>8000</v>
      </c>
      <c r="C273" s="8">
        <v>25000</v>
      </c>
      <c r="D273" s="8">
        <v>0</v>
      </c>
      <c r="E273" s="8">
        <v>700</v>
      </c>
      <c r="F273" s="8">
        <v>7500</v>
      </c>
      <c r="G273" s="45">
        <f t="shared" si="20"/>
        <v>2400</v>
      </c>
      <c r="H273" s="8">
        <v>25000</v>
      </c>
      <c r="I273" s="45">
        <f t="shared" si="21"/>
        <v>8000</v>
      </c>
      <c r="J273" s="8">
        <v>25000</v>
      </c>
      <c r="K273" s="45">
        <f t="shared" si="22"/>
        <v>8000</v>
      </c>
      <c r="L273" s="8">
        <v>25000</v>
      </c>
      <c r="M273" s="9">
        <v>9</v>
      </c>
      <c r="N273" s="9">
        <v>16.100000000000001</v>
      </c>
      <c r="O273" s="9">
        <v>14</v>
      </c>
      <c r="P273" s="9">
        <v>19.5</v>
      </c>
      <c r="Q273" s="9">
        <v>2.7</v>
      </c>
      <c r="R273">
        <v>10</v>
      </c>
      <c r="S273">
        <v>1000</v>
      </c>
      <c r="T273" s="4">
        <f t="shared" si="23"/>
        <v>304.3759075508828</v>
      </c>
      <c r="U273">
        <v>14</v>
      </c>
    </row>
    <row r="274" spans="1:21">
      <c r="A274" s="44">
        <f t="shared" si="24"/>
        <v>45850.291666666009</v>
      </c>
      <c r="B274" s="45">
        <f t="shared" si="19"/>
        <v>8000</v>
      </c>
      <c r="C274" s="8">
        <v>25000</v>
      </c>
      <c r="D274" s="8">
        <v>0</v>
      </c>
      <c r="E274" s="8">
        <v>700</v>
      </c>
      <c r="F274" s="8">
        <v>7500</v>
      </c>
      <c r="G274" s="45">
        <f t="shared" si="20"/>
        <v>2400</v>
      </c>
      <c r="H274" s="8">
        <v>25000</v>
      </c>
      <c r="I274" s="45">
        <f t="shared" si="21"/>
        <v>8000</v>
      </c>
      <c r="J274" s="8">
        <v>25000</v>
      </c>
      <c r="K274" s="45">
        <f t="shared" si="22"/>
        <v>8000</v>
      </c>
      <c r="L274" s="8">
        <v>25000</v>
      </c>
      <c r="M274" s="9">
        <v>9</v>
      </c>
      <c r="N274" s="9">
        <v>16.100000000000001</v>
      </c>
      <c r="O274" s="9">
        <v>14</v>
      </c>
      <c r="P274" s="9">
        <v>19.5</v>
      </c>
      <c r="Q274" s="9">
        <v>2.7</v>
      </c>
      <c r="R274">
        <v>10</v>
      </c>
      <c r="S274">
        <v>1000</v>
      </c>
      <c r="T274" s="4">
        <f t="shared" si="23"/>
        <v>280.13414145378908</v>
      </c>
      <c r="U274">
        <v>48</v>
      </c>
    </row>
    <row r="275" spans="1:21">
      <c r="A275" s="44">
        <f t="shared" si="24"/>
        <v>45850.333333332674</v>
      </c>
      <c r="B275" s="45">
        <f t="shared" si="19"/>
        <v>8000</v>
      </c>
      <c r="C275" s="8">
        <v>25000</v>
      </c>
      <c r="D275" s="8">
        <v>0</v>
      </c>
      <c r="E275" s="8">
        <v>700</v>
      </c>
      <c r="F275" s="8">
        <v>7500</v>
      </c>
      <c r="G275" s="45">
        <f t="shared" si="20"/>
        <v>2400</v>
      </c>
      <c r="H275" s="8">
        <v>25000</v>
      </c>
      <c r="I275" s="45">
        <f t="shared" si="21"/>
        <v>8000</v>
      </c>
      <c r="J275" s="8">
        <v>25000</v>
      </c>
      <c r="K275" s="45">
        <f t="shared" si="22"/>
        <v>8000</v>
      </c>
      <c r="L275" s="8">
        <v>25000</v>
      </c>
      <c r="M275" s="9">
        <v>9</v>
      </c>
      <c r="N275" s="9">
        <v>16.100000000000001</v>
      </c>
      <c r="O275" s="9">
        <v>14</v>
      </c>
      <c r="P275" s="9">
        <v>19.5</v>
      </c>
      <c r="Q275" s="9">
        <v>2.8</v>
      </c>
      <c r="R275">
        <v>10</v>
      </c>
      <c r="S275">
        <v>1000</v>
      </c>
      <c r="T275" s="4">
        <f t="shared" si="23"/>
        <v>294.39400386384426</v>
      </c>
      <c r="U275">
        <v>59</v>
      </c>
    </row>
    <row r="276" spans="1:21">
      <c r="A276" s="44">
        <f t="shared" si="24"/>
        <v>45850.374999999338</v>
      </c>
      <c r="B276" s="45">
        <f t="shared" si="19"/>
        <v>8000</v>
      </c>
      <c r="C276" s="8">
        <v>25000</v>
      </c>
      <c r="D276" s="8">
        <v>0</v>
      </c>
      <c r="E276" s="8">
        <v>700</v>
      </c>
      <c r="F276" s="8">
        <v>7500</v>
      </c>
      <c r="G276" s="45">
        <f t="shared" si="20"/>
        <v>2400</v>
      </c>
      <c r="H276" s="8">
        <v>25000</v>
      </c>
      <c r="I276" s="45">
        <f t="shared" si="21"/>
        <v>8000</v>
      </c>
      <c r="J276" s="8">
        <v>25000</v>
      </c>
      <c r="K276" s="45">
        <f t="shared" si="22"/>
        <v>8000</v>
      </c>
      <c r="L276" s="8">
        <v>25000</v>
      </c>
      <c r="M276" s="9">
        <v>9</v>
      </c>
      <c r="N276" s="9">
        <v>16.100000000000001</v>
      </c>
      <c r="O276" s="9">
        <v>14</v>
      </c>
      <c r="P276" s="9">
        <v>19.5</v>
      </c>
      <c r="Q276" s="9">
        <v>2.6</v>
      </c>
      <c r="R276">
        <v>10</v>
      </c>
      <c r="S276">
        <v>1000</v>
      </c>
      <c r="T276" s="4">
        <f t="shared" si="23"/>
        <v>317.20978371993255</v>
      </c>
      <c r="U276">
        <v>79</v>
      </c>
    </row>
    <row r="277" spans="1:21">
      <c r="A277" s="44">
        <f t="shared" si="24"/>
        <v>45850.416666666002</v>
      </c>
      <c r="B277" s="45">
        <f t="shared" si="19"/>
        <v>8000</v>
      </c>
      <c r="C277" s="8">
        <v>25000</v>
      </c>
      <c r="D277" s="8">
        <v>0</v>
      </c>
      <c r="E277" s="8">
        <v>700</v>
      </c>
      <c r="F277" s="8">
        <v>7500</v>
      </c>
      <c r="G277" s="45">
        <f t="shared" si="20"/>
        <v>2400</v>
      </c>
      <c r="H277" s="8">
        <v>25000</v>
      </c>
      <c r="I277" s="45">
        <f t="shared" si="21"/>
        <v>8000</v>
      </c>
      <c r="J277" s="8">
        <v>25000</v>
      </c>
      <c r="K277" s="45">
        <f t="shared" si="22"/>
        <v>8000</v>
      </c>
      <c r="L277" s="8">
        <v>25000</v>
      </c>
      <c r="M277" s="9">
        <v>9</v>
      </c>
      <c r="N277" s="9">
        <v>16.100000000000001</v>
      </c>
      <c r="O277" s="9">
        <v>14</v>
      </c>
      <c r="P277" s="9">
        <v>19.5</v>
      </c>
      <c r="Q277" s="9">
        <v>2.6</v>
      </c>
      <c r="R277">
        <v>10</v>
      </c>
      <c r="S277">
        <v>1000</v>
      </c>
      <c r="T277" s="4">
        <f t="shared" si="23"/>
        <v>308.08347177749721</v>
      </c>
      <c r="U277">
        <v>64</v>
      </c>
    </row>
    <row r="278" spans="1:21">
      <c r="A278" s="44">
        <f t="shared" si="24"/>
        <v>45850.458333332666</v>
      </c>
      <c r="B278" s="45">
        <f t="shared" si="19"/>
        <v>8000</v>
      </c>
      <c r="C278" s="8">
        <v>25000</v>
      </c>
      <c r="D278" s="8">
        <v>0</v>
      </c>
      <c r="E278" s="8">
        <v>700</v>
      </c>
      <c r="F278" s="8">
        <v>7500</v>
      </c>
      <c r="G278" s="45">
        <f t="shared" si="20"/>
        <v>2400</v>
      </c>
      <c r="H278" s="8">
        <v>25000</v>
      </c>
      <c r="I278" s="45">
        <f t="shared" si="21"/>
        <v>8000</v>
      </c>
      <c r="J278" s="8">
        <v>25000</v>
      </c>
      <c r="K278" s="45">
        <f t="shared" si="22"/>
        <v>8000</v>
      </c>
      <c r="L278" s="8">
        <v>25000</v>
      </c>
      <c r="M278" s="9">
        <v>9</v>
      </c>
      <c r="N278" s="9">
        <v>16.100000000000001</v>
      </c>
      <c r="O278" s="9">
        <v>14</v>
      </c>
      <c r="P278" s="9">
        <v>19.5</v>
      </c>
      <c r="Q278" s="9">
        <v>3</v>
      </c>
      <c r="R278">
        <v>10</v>
      </c>
      <c r="S278">
        <v>1000</v>
      </c>
      <c r="T278" s="4">
        <f t="shared" si="23"/>
        <v>303.80551305448063</v>
      </c>
      <c r="U278">
        <v>52</v>
      </c>
    </row>
    <row r="279" spans="1:21">
      <c r="A279" s="44">
        <f t="shared" si="24"/>
        <v>45850.499999999331</v>
      </c>
      <c r="B279" s="45">
        <f t="shared" si="19"/>
        <v>8000</v>
      </c>
      <c r="C279" s="8">
        <v>25000</v>
      </c>
      <c r="D279" s="8">
        <v>0</v>
      </c>
      <c r="E279" s="8">
        <v>700</v>
      </c>
      <c r="F279" s="8">
        <v>7500</v>
      </c>
      <c r="G279" s="45">
        <f t="shared" si="20"/>
        <v>2400</v>
      </c>
      <c r="H279" s="8">
        <v>25000</v>
      </c>
      <c r="I279" s="45">
        <f t="shared" si="21"/>
        <v>8000</v>
      </c>
      <c r="J279" s="8">
        <v>25000</v>
      </c>
      <c r="K279" s="45">
        <f t="shared" si="22"/>
        <v>8000</v>
      </c>
      <c r="L279" s="8">
        <v>25000</v>
      </c>
      <c r="M279" s="9">
        <v>9</v>
      </c>
      <c r="N279" s="9">
        <v>16.100000000000001</v>
      </c>
      <c r="O279" s="9">
        <v>14</v>
      </c>
      <c r="P279" s="9">
        <v>19.5</v>
      </c>
      <c r="Q279" s="9">
        <v>2.5</v>
      </c>
      <c r="R279">
        <v>10</v>
      </c>
      <c r="S279">
        <v>1000</v>
      </c>
      <c r="T279" s="4">
        <f t="shared" si="23"/>
        <v>303.80551305448063</v>
      </c>
      <c r="U279">
        <v>96</v>
      </c>
    </row>
    <row r="280" spans="1:21">
      <c r="A280" s="44">
        <f t="shared" si="24"/>
        <v>45850.541666665995</v>
      </c>
      <c r="B280" s="45">
        <f t="shared" si="19"/>
        <v>8000</v>
      </c>
      <c r="C280" s="8">
        <v>25000</v>
      </c>
      <c r="D280" s="8">
        <v>0</v>
      </c>
      <c r="E280" s="8">
        <v>700</v>
      </c>
      <c r="F280" s="8">
        <v>7500</v>
      </c>
      <c r="G280" s="45">
        <f t="shared" si="20"/>
        <v>2400</v>
      </c>
      <c r="H280" s="8">
        <v>25000</v>
      </c>
      <c r="I280" s="45">
        <f t="shared" si="21"/>
        <v>8000</v>
      </c>
      <c r="J280" s="8">
        <v>25000</v>
      </c>
      <c r="K280" s="45">
        <f t="shared" si="22"/>
        <v>8000</v>
      </c>
      <c r="L280" s="8">
        <v>25000</v>
      </c>
      <c r="M280" s="9">
        <v>9</v>
      </c>
      <c r="N280" s="9">
        <v>16.100000000000001</v>
      </c>
      <c r="O280" s="9">
        <v>14</v>
      </c>
      <c r="P280" s="9">
        <v>19.5</v>
      </c>
      <c r="Q280" s="9">
        <v>2.7</v>
      </c>
      <c r="R280">
        <v>10</v>
      </c>
      <c r="S280">
        <v>1000</v>
      </c>
      <c r="T280" s="4">
        <f t="shared" si="23"/>
        <v>353.43040463596901</v>
      </c>
      <c r="U280">
        <v>36</v>
      </c>
    </row>
    <row r="281" spans="1:21">
      <c r="A281" s="44">
        <f t="shared" si="24"/>
        <v>45850.583333332659</v>
      </c>
      <c r="B281" s="45">
        <f t="shared" si="19"/>
        <v>8000</v>
      </c>
      <c r="C281" s="8">
        <v>25000</v>
      </c>
      <c r="D281" s="8">
        <v>0</v>
      </c>
      <c r="E281" s="8">
        <v>700</v>
      </c>
      <c r="F281" s="8">
        <v>7500</v>
      </c>
      <c r="G281" s="45">
        <f t="shared" si="20"/>
        <v>2400</v>
      </c>
      <c r="H281" s="8">
        <v>25000</v>
      </c>
      <c r="I281" s="45">
        <f t="shared" si="21"/>
        <v>8000</v>
      </c>
      <c r="J281" s="8">
        <v>25000</v>
      </c>
      <c r="K281" s="45">
        <f t="shared" si="22"/>
        <v>8000</v>
      </c>
      <c r="L281" s="8">
        <v>25000</v>
      </c>
      <c r="M281" s="9">
        <v>9</v>
      </c>
      <c r="N281" s="9">
        <v>16.100000000000001</v>
      </c>
      <c r="O281" s="9">
        <v>14</v>
      </c>
      <c r="P281" s="9">
        <v>19.5</v>
      </c>
      <c r="Q281" s="9">
        <v>2.7</v>
      </c>
      <c r="R281">
        <v>10</v>
      </c>
      <c r="S281">
        <v>1000</v>
      </c>
      <c r="T281" s="4">
        <f t="shared" si="23"/>
        <v>587.29100737188094</v>
      </c>
      <c r="U281">
        <v>62</v>
      </c>
    </row>
    <row r="282" spans="1:21">
      <c r="A282" s="44">
        <f t="shared" si="24"/>
        <v>45850.624999999323</v>
      </c>
      <c r="B282" s="45">
        <f t="shared" si="19"/>
        <v>8000</v>
      </c>
      <c r="C282" s="8">
        <v>25000</v>
      </c>
      <c r="D282" s="8">
        <v>0</v>
      </c>
      <c r="E282" s="8">
        <v>700</v>
      </c>
      <c r="F282" s="8">
        <v>7500</v>
      </c>
      <c r="G282" s="45">
        <f t="shared" si="20"/>
        <v>2400</v>
      </c>
      <c r="H282" s="8">
        <v>25000</v>
      </c>
      <c r="I282" s="45">
        <f t="shared" si="21"/>
        <v>8000</v>
      </c>
      <c r="J282" s="8">
        <v>25000</v>
      </c>
      <c r="K282" s="45">
        <f t="shared" si="22"/>
        <v>8000</v>
      </c>
      <c r="L282" s="8">
        <v>25000</v>
      </c>
      <c r="M282" s="9">
        <v>9</v>
      </c>
      <c r="N282" s="9">
        <v>16.100000000000001</v>
      </c>
      <c r="O282" s="9">
        <v>14</v>
      </c>
      <c r="P282" s="9">
        <v>19.5</v>
      </c>
      <c r="Q282" s="9">
        <v>2.7</v>
      </c>
      <c r="R282">
        <v>10</v>
      </c>
      <c r="S282">
        <v>1000</v>
      </c>
      <c r="T282" s="4">
        <f t="shared" si="23"/>
        <v>604.40284226394715</v>
      </c>
      <c r="U282">
        <v>33</v>
      </c>
    </row>
    <row r="283" spans="1:21">
      <c r="A283" s="44">
        <f t="shared" si="24"/>
        <v>45850.666666665988</v>
      </c>
      <c r="B283" s="45">
        <f t="shared" si="19"/>
        <v>8000</v>
      </c>
      <c r="C283" s="8">
        <v>25000</v>
      </c>
      <c r="D283" s="8">
        <v>0</v>
      </c>
      <c r="E283" s="8">
        <v>700</v>
      </c>
      <c r="F283" s="8">
        <v>7500</v>
      </c>
      <c r="G283" s="45">
        <f t="shared" si="20"/>
        <v>2400</v>
      </c>
      <c r="H283" s="8">
        <v>25000</v>
      </c>
      <c r="I283" s="45">
        <f t="shared" si="21"/>
        <v>8000</v>
      </c>
      <c r="J283" s="8">
        <v>25000</v>
      </c>
      <c r="K283" s="45">
        <f t="shared" si="22"/>
        <v>8000</v>
      </c>
      <c r="L283" s="8">
        <v>25000</v>
      </c>
      <c r="M283" s="9">
        <v>9</v>
      </c>
      <c r="N283" s="9">
        <v>16.100000000000001</v>
      </c>
      <c r="O283" s="9">
        <v>14</v>
      </c>
      <c r="P283" s="9">
        <v>19.5</v>
      </c>
      <c r="Q283" s="9">
        <v>2.8</v>
      </c>
      <c r="R283">
        <v>10</v>
      </c>
      <c r="S283">
        <v>1000</v>
      </c>
      <c r="T283" s="4">
        <f t="shared" si="23"/>
        <v>875.91062255139741</v>
      </c>
      <c r="U283">
        <v>82</v>
      </c>
    </row>
    <row r="284" spans="1:21">
      <c r="A284" s="44">
        <f t="shared" si="24"/>
        <v>45850.708333332652</v>
      </c>
      <c r="B284" s="45">
        <f t="shared" ref="B284:B347" si="25">B260</f>
        <v>8000</v>
      </c>
      <c r="C284" s="8">
        <v>25000</v>
      </c>
      <c r="D284" s="8">
        <v>0</v>
      </c>
      <c r="E284" s="8">
        <v>700</v>
      </c>
      <c r="F284" s="8">
        <v>7500</v>
      </c>
      <c r="G284" s="45">
        <f t="shared" ref="G284:G347" si="26">G260</f>
        <v>2400</v>
      </c>
      <c r="H284" s="8">
        <v>25000</v>
      </c>
      <c r="I284" s="45">
        <f t="shared" ref="I284:I347" si="27">I260</f>
        <v>8000</v>
      </c>
      <c r="J284" s="8">
        <v>25000</v>
      </c>
      <c r="K284" s="45">
        <f t="shared" ref="K284:K347" si="28">K260</f>
        <v>8000</v>
      </c>
      <c r="L284" s="8">
        <v>25000</v>
      </c>
      <c r="M284" s="9">
        <v>9</v>
      </c>
      <c r="N284" s="9">
        <v>16.100000000000001</v>
      </c>
      <c r="O284" s="9">
        <v>14</v>
      </c>
      <c r="P284" s="9">
        <v>19.5</v>
      </c>
      <c r="Q284" s="9">
        <v>2.5</v>
      </c>
      <c r="R284">
        <v>10</v>
      </c>
      <c r="S284">
        <v>1000</v>
      </c>
      <c r="T284" s="4">
        <f t="shared" ref="T284:T347" si="29">T260</f>
        <v>1116.9022972813298</v>
      </c>
      <c r="U284">
        <v>39</v>
      </c>
    </row>
    <row r="285" spans="1:21">
      <c r="A285" s="44">
        <f t="shared" si="24"/>
        <v>45850.749999999316</v>
      </c>
      <c r="B285" s="45">
        <f t="shared" si="25"/>
        <v>5000</v>
      </c>
      <c r="C285" s="8">
        <v>25000</v>
      </c>
      <c r="D285" s="8">
        <v>0</v>
      </c>
      <c r="E285" s="8">
        <v>700</v>
      </c>
      <c r="F285" s="8">
        <v>7500</v>
      </c>
      <c r="G285" s="45">
        <f t="shared" si="26"/>
        <v>2400</v>
      </c>
      <c r="H285" s="8">
        <v>25000</v>
      </c>
      <c r="I285" s="45">
        <f t="shared" si="27"/>
        <v>5000</v>
      </c>
      <c r="J285" s="8">
        <v>25000</v>
      </c>
      <c r="K285" s="45">
        <f t="shared" si="28"/>
        <v>5000</v>
      </c>
      <c r="L285" s="8">
        <v>25000</v>
      </c>
      <c r="M285" s="9">
        <v>9</v>
      </c>
      <c r="N285" s="9">
        <v>16.100000000000001</v>
      </c>
      <c r="O285" s="9">
        <v>14</v>
      </c>
      <c r="P285" s="9">
        <v>19.5</v>
      </c>
      <c r="Q285" s="9">
        <v>2.8</v>
      </c>
      <c r="R285">
        <v>10</v>
      </c>
      <c r="S285">
        <v>1000</v>
      </c>
      <c r="T285" s="4">
        <f t="shared" si="29"/>
        <v>1156.8299120294841</v>
      </c>
      <c r="U285">
        <v>87</v>
      </c>
    </row>
    <row r="286" spans="1:21">
      <c r="A286" s="44">
        <f t="shared" si="24"/>
        <v>45850.79166666598</v>
      </c>
      <c r="B286" s="45">
        <f t="shared" si="25"/>
        <v>5000</v>
      </c>
      <c r="C286" s="8">
        <v>25000</v>
      </c>
      <c r="D286" s="8">
        <v>0</v>
      </c>
      <c r="E286" s="8">
        <v>700</v>
      </c>
      <c r="F286" s="8">
        <v>7500</v>
      </c>
      <c r="G286" s="45">
        <f t="shared" si="26"/>
        <v>2400</v>
      </c>
      <c r="H286" s="8">
        <v>25000</v>
      </c>
      <c r="I286" s="45">
        <f t="shared" si="27"/>
        <v>5000</v>
      </c>
      <c r="J286" s="8">
        <v>25000</v>
      </c>
      <c r="K286" s="45">
        <f t="shared" si="28"/>
        <v>5000</v>
      </c>
      <c r="L286" s="8">
        <v>25000</v>
      </c>
      <c r="M286" s="9">
        <v>9</v>
      </c>
      <c r="N286" s="9">
        <v>16.100000000000001</v>
      </c>
      <c r="O286" s="9">
        <v>14</v>
      </c>
      <c r="P286" s="9">
        <v>19.5</v>
      </c>
      <c r="Q286" s="9">
        <v>2.8</v>
      </c>
      <c r="R286">
        <v>10</v>
      </c>
      <c r="S286">
        <v>1000</v>
      </c>
      <c r="T286" s="4">
        <f t="shared" si="29"/>
        <v>1156.8299120294841</v>
      </c>
      <c r="U286">
        <v>19</v>
      </c>
    </row>
    <row r="287" spans="1:21">
      <c r="A287" s="44">
        <f t="shared" si="24"/>
        <v>45850.833333332645</v>
      </c>
      <c r="B287" s="45">
        <f t="shared" si="25"/>
        <v>5000</v>
      </c>
      <c r="C287" s="8">
        <v>25000</v>
      </c>
      <c r="D287" s="8">
        <v>0</v>
      </c>
      <c r="E287" s="8">
        <v>700</v>
      </c>
      <c r="F287" s="8">
        <v>7500</v>
      </c>
      <c r="G287" s="45">
        <f t="shared" si="26"/>
        <v>2400</v>
      </c>
      <c r="H287" s="8">
        <v>25000</v>
      </c>
      <c r="I287" s="45">
        <f t="shared" si="27"/>
        <v>5000</v>
      </c>
      <c r="J287" s="8">
        <v>25000</v>
      </c>
      <c r="K287" s="45">
        <f t="shared" si="28"/>
        <v>5000</v>
      </c>
      <c r="L287" s="8">
        <v>25000</v>
      </c>
      <c r="M287" s="9">
        <v>9</v>
      </c>
      <c r="N287" s="9">
        <v>16.100000000000001</v>
      </c>
      <c r="O287" s="9">
        <v>14</v>
      </c>
      <c r="P287" s="9">
        <v>19.5</v>
      </c>
      <c r="Q287" s="9">
        <v>2.9</v>
      </c>
      <c r="R287">
        <v>10</v>
      </c>
      <c r="S287">
        <v>1000</v>
      </c>
      <c r="T287" s="4">
        <f t="shared" si="29"/>
        <v>1114.0503247993186</v>
      </c>
      <c r="U287">
        <v>98</v>
      </c>
    </row>
    <row r="288" spans="1:21">
      <c r="A288" s="44">
        <f t="shared" si="24"/>
        <v>45850.874999999309</v>
      </c>
      <c r="B288" s="45">
        <f t="shared" si="25"/>
        <v>5000</v>
      </c>
      <c r="C288" s="8">
        <v>25000</v>
      </c>
      <c r="D288" s="8">
        <v>0</v>
      </c>
      <c r="E288" s="8">
        <v>700</v>
      </c>
      <c r="F288" s="8">
        <v>7500</v>
      </c>
      <c r="G288" s="45">
        <f t="shared" si="26"/>
        <v>2400</v>
      </c>
      <c r="H288" s="8">
        <v>25000</v>
      </c>
      <c r="I288" s="45">
        <f t="shared" si="27"/>
        <v>5000</v>
      </c>
      <c r="J288" s="8">
        <v>25000</v>
      </c>
      <c r="K288" s="45">
        <f t="shared" si="28"/>
        <v>5000</v>
      </c>
      <c r="L288" s="8">
        <v>25000</v>
      </c>
      <c r="M288" s="9">
        <v>9</v>
      </c>
      <c r="N288" s="9">
        <v>16.100000000000001</v>
      </c>
      <c r="O288" s="9">
        <v>14</v>
      </c>
      <c r="P288" s="9">
        <v>19.5</v>
      </c>
      <c r="Q288" s="9">
        <v>2.4</v>
      </c>
      <c r="R288">
        <v>10</v>
      </c>
      <c r="S288">
        <v>1000</v>
      </c>
      <c r="T288" s="4">
        <f t="shared" si="29"/>
        <v>1034.1950953030096</v>
      </c>
      <c r="U288">
        <v>38</v>
      </c>
    </row>
    <row r="289" spans="1:21">
      <c r="A289" s="44">
        <f t="shared" si="24"/>
        <v>45850.916666665973</v>
      </c>
      <c r="B289" s="45">
        <f t="shared" si="25"/>
        <v>5000</v>
      </c>
      <c r="C289" s="8">
        <v>25000</v>
      </c>
      <c r="D289" s="8">
        <v>0</v>
      </c>
      <c r="E289" s="8">
        <v>700</v>
      </c>
      <c r="F289" s="8">
        <v>7500</v>
      </c>
      <c r="G289" s="45">
        <f t="shared" si="26"/>
        <v>2400</v>
      </c>
      <c r="H289" s="8">
        <v>25000</v>
      </c>
      <c r="I289" s="45">
        <f t="shared" si="27"/>
        <v>5000</v>
      </c>
      <c r="J289" s="8">
        <v>25000</v>
      </c>
      <c r="K289" s="45">
        <f t="shared" si="28"/>
        <v>5000</v>
      </c>
      <c r="L289" s="8">
        <v>25000</v>
      </c>
      <c r="M289" s="9">
        <v>9</v>
      </c>
      <c r="N289" s="9">
        <v>16.100000000000001</v>
      </c>
      <c r="O289" s="9">
        <v>14</v>
      </c>
      <c r="P289" s="9">
        <v>19.5</v>
      </c>
      <c r="Q289" s="9">
        <v>3</v>
      </c>
      <c r="R289">
        <v>10</v>
      </c>
      <c r="S289">
        <v>1000</v>
      </c>
      <c r="T289" s="4">
        <f t="shared" si="29"/>
        <v>807.46328298313267</v>
      </c>
      <c r="U289">
        <v>74</v>
      </c>
    </row>
    <row r="290" spans="1:21">
      <c r="A290" s="44">
        <f t="shared" si="24"/>
        <v>45850.958333332637</v>
      </c>
      <c r="B290" s="45">
        <f t="shared" si="25"/>
        <v>5000</v>
      </c>
      <c r="C290" s="8">
        <v>25000</v>
      </c>
      <c r="D290" s="8">
        <v>0</v>
      </c>
      <c r="E290" s="8">
        <v>700</v>
      </c>
      <c r="F290" s="8">
        <v>7500</v>
      </c>
      <c r="G290" s="45">
        <f t="shared" si="26"/>
        <v>2400</v>
      </c>
      <c r="H290" s="8">
        <v>25000</v>
      </c>
      <c r="I290" s="45">
        <f t="shared" si="27"/>
        <v>5000</v>
      </c>
      <c r="J290" s="8">
        <v>25000</v>
      </c>
      <c r="K290" s="45">
        <f t="shared" si="28"/>
        <v>5000</v>
      </c>
      <c r="L290" s="8">
        <v>25000</v>
      </c>
      <c r="M290" s="9">
        <v>9</v>
      </c>
      <c r="N290" s="9">
        <v>16.100000000000001</v>
      </c>
      <c r="O290" s="9">
        <v>14</v>
      </c>
      <c r="P290" s="9">
        <v>19.5</v>
      </c>
      <c r="Q290" s="9">
        <v>2.8</v>
      </c>
      <c r="R290">
        <v>10</v>
      </c>
      <c r="S290">
        <v>1000</v>
      </c>
      <c r="T290" s="4">
        <f t="shared" si="29"/>
        <v>442.69657292841788</v>
      </c>
      <c r="U290">
        <v>40</v>
      </c>
    </row>
    <row r="291" spans="1:21">
      <c r="A291" s="44">
        <f t="shared" si="24"/>
        <v>45850.999999999302</v>
      </c>
      <c r="B291" s="45">
        <f t="shared" si="25"/>
        <v>5000</v>
      </c>
      <c r="C291" s="8">
        <v>25000</v>
      </c>
      <c r="D291" s="8">
        <v>0</v>
      </c>
      <c r="E291" s="8">
        <v>700</v>
      </c>
      <c r="F291" s="8">
        <v>7500</v>
      </c>
      <c r="G291" s="45">
        <f t="shared" si="26"/>
        <v>2400</v>
      </c>
      <c r="H291" s="8">
        <v>25000</v>
      </c>
      <c r="I291" s="45">
        <f t="shared" si="27"/>
        <v>5000</v>
      </c>
      <c r="J291" s="8">
        <v>25000</v>
      </c>
      <c r="K291" s="45">
        <f t="shared" si="28"/>
        <v>5000</v>
      </c>
      <c r="L291" s="8">
        <v>25000</v>
      </c>
      <c r="M291" s="9">
        <v>9</v>
      </c>
      <c r="N291" s="9">
        <v>16.100000000000001</v>
      </c>
      <c r="O291" s="9">
        <v>14</v>
      </c>
      <c r="P291" s="9">
        <v>19.5</v>
      </c>
      <c r="Q291" s="9">
        <v>2.4</v>
      </c>
      <c r="R291">
        <v>10</v>
      </c>
      <c r="S291">
        <v>1000</v>
      </c>
      <c r="T291" s="4">
        <f t="shared" si="29"/>
        <v>442.69657292841788</v>
      </c>
      <c r="U291">
        <v>64</v>
      </c>
    </row>
    <row r="292" spans="1:21">
      <c r="A292" s="44">
        <f t="shared" si="24"/>
        <v>45851.041666665966</v>
      </c>
      <c r="B292" s="45">
        <f t="shared" si="25"/>
        <v>5000</v>
      </c>
      <c r="C292" s="8">
        <v>25000</v>
      </c>
      <c r="D292" s="8">
        <v>0</v>
      </c>
      <c r="E292" s="8">
        <v>700</v>
      </c>
      <c r="F292" s="8">
        <v>7500</v>
      </c>
      <c r="G292" s="45">
        <f t="shared" si="26"/>
        <v>2400</v>
      </c>
      <c r="H292" s="8">
        <v>25000</v>
      </c>
      <c r="I292" s="45">
        <f t="shared" si="27"/>
        <v>5000</v>
      </c>
      <c r="J292" s="8">
        <v>25000</v>
      </c>
      <c r="K292" s="45">
        <f t="shared" si="28"/>
        <v>5000</v>
      </c>
      <c r="L292" s="8">
        <v>25000</v>
      </c>
      <c r="M292" s="9">
        <v>9</v>
      </c>
      <c r="N292" s="9">
        <v>16.100000000000001</v>
      </c>
      <c r="O292" s="9">
        <v>14</v>
      </c>
      <c r="P292" s="9">
        <v>19.5</v>
      </c>
      <c r="Q292" s="9">
        <v>2.5</v>
      </c>
      <c r="R292">
        <v>10</v>
      </c>
      <c r="S292">
        <v>1000</v>
      </c>
      <c r="T292" s="4">
        <f t="shared" si="29"/>
        <v>362.27094893570683</v>
      </c>
      <c r="U292">
        <v>59</v>
      </c>
    </row>
    <row r="293" spans="1:21">
      <c r="A293" s="44">
        <f t="shared" si="24"/>
        <v>45851.08333333263</v>
      </c>
      <c r="B293" s="45">
        <f t="shared" si="25"/>
        <v>5000</v>
      </c>
      <c r="C293" s="8">
        <v>25000</v>
      </c>
      <c r="D293" s="8">
        <v>0</v>
      </c>
      <c r="E293" s="8">
        <v>700</v>
      </c>
      <c r="F293" s="8">
        <v>7500</v>
      </c>
      <c r="G293" s="45">
        <f t="shared" si="26"/>
        <v>2400</v>
      </c>
      <c r="H293" s="8">
        <v>25000</v>
      </c>
      <c r="I293" s="45">
        <f t="shared" si="27"/>
        <v>5000</v>
      </c>
      <c r="J293" s="8">
        <v>25000</v>
      </c>
      <c r="K293" s="45">
        <f t="shared" si="28"/>
        <v>5000</v>
      </c>
      <c r="L293" s="8">
        <v>25000</v>
      </c>
      <c r="M293" s="9">
        <v>9</v>
      </c>
      <c r="N293" s="9">
        <v>16.100000000000001</v>
      </c>
      <c r="O293" s="9">
        <v>14</v>
      </c>
      <c r="P293" s="9">
        <v>19.5</v>
      </c>
      <c r="Q293" s="9">
        <v>2.8</v>
      </c>
      <c r="R293">
        <v>10</v>
      </c>
      <c r="S293">
        <v>1000</v>
      </c>
      <c r="T293" s="4">
        <f t="shared" si="29"/>
        <v>362.27094893570683</v>
      </c>
      <c r="U293">
        <v>54</v>
      </c>
    </row>
    <row r="294" spans="1:21">
      <c r="A294" s="44">
        <f t="shared" si="24"/>
        <v>45851.124999999294</v>
      </c>
      <c r="B294" s="45">
        <f t="shared" si="25"/>
        <v>5000</v>
      </c>
      <c r="C294" s="8">
        <v>25000</v>
      </c>
      <c r="D294" s="8">
        <v>0</v>
      </c>
      <c r="E294" s="8">
        <v>700</v>
      </c>
      <c r="F294" s="8">
        <v>7500</v>
      </c>
      <c r="G294" s="45">
        <f t="shared" si="26"/>
        <v>2400</v>
      </c>
      <c r="H294" s="8">
        <v>25000</v>
      </c>
      <c r="I294" s="45">
        <f t="shared" si="27"/>
        <v>5000</v>
      </c>
      <c r="J294" s="8">
        <v>25000</v>
      </c>
      <c r="K294" s="45">
        <f t="shared" si="28"/>
        <v>5000</v>
      </c>
      <c r="L294" s="8">
        <v>25000</v>
      </c>
      <c r="M294" s="9">
        <v>9</v>
      </c>
      <c r="N294" s="9">
        <v>16.100000000000001</v>
      </c>
      <c r="O294" s="9">
        <v>14</v>
      </c>
      <c r="P294" s="9">
        <v>19.5</v>
      </c>
      <c r="Q294" s="9">
        <v>2.6</v>
      </c>
      <c r="R294">
        <v>10</v>
      </c>
      <c r="S294">
        <v>1000</v>
      </c>
      <c r="T294" s="4">
        <f t="shared" si="29"/>
        <v>362.27094893570683</v>
      </c>
      <c r="U294">
        <v>88</v>
      </c>
    </row>
    <row r="295" spans="1:21">
      <c r="A295" s="44">
        <f t="shared" si="24"/>
        <v>45851.166666665958</v>
      </c>
      <c r="B295" s="45">
        <f t="shared" si="25"/>
        <v>5000</v>
      </c>
      <c r="C295" s="8">
        <v>25000</v>
      </c>
      <c r="D295" s="8">
        <v>0</v>
      </c>
      <c r="E295" s="8">
        <v>700</v>
      </c>
      <c r="F295" s="8">
        <v>7500</v>
      </c>
      <c r="G295" s="45">
        <f t="shared" si="26"/>
        <v>2400</v>
      </c>
      <c r="H295" s="8">
        <v>25000</v>
      </c>
      <c r="I295" s="45">
        <f t="shared" si="27"/>
        <v>5000</v>
      </c>
      <c r="J295" s="8">
        <v>25000</v>
      </c>
      <c r="K295" s="45">
        <f t="shared" si="28"/>
        <v>5000</v>
      </c>
      <c r="L295" s="8">
        <v>25000</v>
      </c>
      <c r="M295" s="9">
        <v>9</v>
      </c>
      <c r="N295" s="9">
        <v>16.100000000000001</v>
      </c>
      <c r="O295" s="9">
        <v>14</v>
      </c>
      <c r="P295" s="9">
        <v>19.5</v>
      </c>
      <c r="Q295" s="9">
        <v>3</v>
      </c>
      <c r="R295">
        <v>10</v>
      </c>
      <c r="S295">
        <v>1000</v>
      </c>
      <c r="T295" s="4">
        <f t="shared" si="29"/>
        <v>426.44032978095498</v>
      </c>
      <c r="U295">
        <v>51</v>
      </c>
    </row>
    <row r="296" spans="1:21">
      <c r="A296" s="44">
        <f t="shared" si="24"/>
        <v>45851.208333332623</v>
      </c>
      <c r="B296" s="45">
        <f t="shared" si="25"/>
        <v>5000</v>
      </c>
      <c r="C296" s="8">
        <v>25000</v>
      </c>
      <c r="D296" s="8">
        <v>0</v>
      </c>
      <c r="E296" s="8">
        <v>700</v>
      </c>
      <c r="F296" s="8">
        <v>7500</v>
      </c>
      <c r="G296" s="45">
        <f t="shared" si="26"/>
        <v>2400</v>
      </c>
      <c r="H296" s="8">
        <v>25000</v>
      </c>
      <c r="I296" s="45">
        <f t="shared" si="27"/>
        <v>5000</v>
      </c>
      <c r="J296" s="8">
        <v>25000</v>
      </c>
      <c r="K296" s="45">
        <f t="shared" si="28"/>
        <v>5000</v>
      </c>
      <c r="L296" s="8">
        <v>25000</v>
      </c>
      <c r="M296" s="9">
        <v>9</v>
      </c>
      <c r="N296" s="9">
        <v>16.100000000000001</v>
      </c>
      <c r="O296" s="9">
        <v>14</v>
      </c>
      <c r="P296" s="9">
        <v>19.5</v>
      </c>
      <c r="Q296" s="9">
        <v>2.4</v>
      </c>
      <c r="R296">
        <v>10</v>
      </c>
      <c r="S296">
        <v>1000</v>
      </c>
      <c r="T296" s="4">
        <f t="shared" si="29"/>
        <v>362.27094893570683</v>
      </c>
      <c r="U296">
        <v>97</v>
      </c>
    </row>
    <row r="297" spans="1:21">
      <c r="A297" s="44">
        <f t="shared" si="24"/>
        <v>45851.249999999287</v>
      </c>
      <c r="B297" s="45">
        <f t="shared" si="25"/>
        <v>8000</v>
      </c>
      <c r="C297" s="8">
        <v>25000</v>
      </c>
      <c r="D297" s="8">
        <v>0</v>
      </c>
      <c r="E297" s="8">
        <v>700</v>
      </c>
      <c r="F297" s="8">
        <v>7500</v>
      </c>
      <c r="G297" s="45">
        <f t="shared" si="26"/>
        <v>2400</v>
      </c>
      <c r="H297" s="8">
        <v>25000</v>
      </c>
      <c r="I297" s="45">
        <f t="shared" si="27"/>
        <v>8000</v>
      </c>
      <c r="J297" s="8">
        <v>25000</v>
      </c>
      <c r="K297" s="45">
        <f t="shared" si="28"/>
        <v>8000</v>
      </c>
      <c r="L297" s="8">
        <v>25000</v>
      </c>
      <c r="M297" s="9">
        <v>9</v>
      </c>
      <c r="N297" s="9">
        <v>16.100000000000001</v>
      </c>
      <c r="O297" s="9">
        <v>14</v>
      </c>
      <c r="P297" s="9">
        <v>19.5</v>
      </c>
      <c r="Q297" s="9">
        <v>2.6</v>
      </c>
      <c r="R297">
        <v>10</v>
      </c>
      <c r="S297">
        <v>1000</v>
      </c>
      <c r="T297" s="4">
        <f t="shared" si="29"/>
        <v>304.3759075508828</v>
      </c>
      <c r="U297">
        <v>40</v>
      </c>
    </row>
    <row r="298" spans="1:21">
      <c r="A298" s="44">
        <f t="shared" si="24"/>
        <v>45851.291666665951</v>
      </c>
      <c r="B298" s="45">
        <f t="shared" si="25"/>
        <v>8000</v>
      </c>
      <c r="C298" s="8">
        <v>25000</v>
      </c>
      <c r="D298" s="8">
        <v>0</v>
      </c>
      <c r="E298" s="8">
        <v>700</v>
      </c>
      <c r="F298" s="8">
        <v>7500</v>
      </c>
      <c r="G298" s="45">
        <f t="shared" si="26"/>
        <v>2400</v>
      </c>
      <c r="H298" s="8">
        <v>25000</v>
      </c>
      <c r="I298" s="45">
        <f t="shared" si="27"/>
        <v>8000</v>
      </c>
      <c r="J298" s="8">
        <v>25000</v>
      </c>
      <c r="K298" s="45">
        <f t="shared" si="28"/>
        <v>8000</v>
      </c>
      <c r="L298" s="8">
        <v>25000</v>
      </c>
      <c r="M298" s="9">
        <v>9</v>
      </c>
      <c r="N298" s="9">
        <v>16.100000000000001</v>
      </c>
      <c r="O298" s="9">
        <v>14</v>
      </c>
      <c r="P298" s="9">
        <v>19.5</v>
      </c>
      <c r="Q298" s="9">
        <v>2.5</v>
      </c>
      <c r="R298">
        <v>10</v>
      </c>
      <c r="S298">
        <v>1000</v>
      </c>
      <c r="T298" s="4">
        <f t="shared" si="29"/>
        <v>280.13414145378908</v>
      </c>
      <c r="U298">
        <v>33</v>
      </c>
    </row>
    <row r="299" spans="1:21">
      <c r="A299" s="44">
        <f t="shared" si="24"/>
        <v>45851.333333332615</v>
      </c>
      <c r="B299" s="45">
        <f t="shared" si="25"/>
        <v>8000</v>
      </c>
      <c r="C299" s="8">
        <v>25000</v>
      </c>
      <c r="D299" s="8">
        <v>0</v>
      </c>
      <c r="E299" s="8">
        <v>700</v>
      </c>
      <c r="F299" s="8">
        <v>7500</v>
      </c>
      <c r="G299" s="45">
        <f t="shared" si="26"/>
        <v>2400</v>
      </c>
      <c r="H299" s="8">
        <v>25000</v>
      </c>
      <c r="I299" s="45">
        <f t="shared" si="27"/>
        <v>8000</v>
      </c>
      <c r="J299" s="8">
        <v>25000</v>
      </c>
      <c r="K299" s="45">
        <f t="shared" si="28"/>
        <v>8000</v>
      </c>
      <c r="L299" s="8">
        <v>25000</v>
      </c>
      <c r="M299" s="9">
        <v>9</v>
      </c>
      <c r="N299" s="9">
        <v>16.100000000000001</v>
      </c>
      <c r="O299" s="9">
        <v>14</v>
      </c>
      <c r="P299" s="9">
        <v>19.5</v>
      </c>
      <c r="Q299" s="9">
        <v>2.6</v>
      </c>
      <c r="R299">
        <v>10</v>
      </c>
      <c r="S299">
        <v>1000</v>
      </c>
      <c r="T299" s="4">
        <f t="shared" si="29"/>
        <v>294.39400386384426</v>
      </c>
      <c r="U299">
        <v>41</v>
      </c>
    </row>
    <row r="300" spans="1:21">
      <c r="A300" s="44">
        <f t="shared" si="24"/>
        <v>45851.37499999928</v>
      </c>
      <c r="B300" s="45">
        <f t="shared" si="25"/>
        <v>8000</v>
      </c>
      <c r="C300" s="8">
        <v>25000</v>
      </c>
      <c r="D300" s="8">
        <v>0</v>
      </c>
      <c r="E300" s="8">
        <v>700</v>
      </c>
      <c r="F300" s="8">
        <v>7500</v>
      </c>
      <c r="G300" s="45">
        <f t="shared" si="26"/>
        <v>2400</v>
      </c>
      <c r="H300" s="8">
        <v>25000</v>
      </c>
      <c r="I300" s="45">
        <f t="shared" si="27"/>
        <v>8000</v>
      </c>
      <c r="J300" s="8">
        <v>25000</v>
      </c>
      <c r="K300" s="45">
        <f t="shared" si="28"/>
        <v>8000</v>
      </c>
      <c r="L300" s="8">
        <v>25000</v>
      </c>
      <c r="M300" s="9">
        <v>9</v>
      </c>
      <c r="N300" s="9">
        <v>16.100000000000001</v>
      </c>
      <c r="O300" s="9">
        <v>14</v>
      </c>
      <c r="P300" s="9">
        <v>19.5</v>
      </c>
      <c r="Q300" s="9">
        <v>2.8</v>
      </c>
      <c r="R300">
        <v>10</v>
      </c>
      <c r="S300">
        <v>1000</v>
      </c>
      <c r="T300" s="4">
        <f t="shared" si="29"/>
        <v>317.20978371993255</v>
      </c>
      <c r="U300">
        <v>83</v>
      </c>
    </row>
    <row r="301" spans="1:21">
      <c r="A301" s="44">
        <f t="shared" si="24"/>
        <v>45851.416666665944</v>
      </c>
      <c r="B301" s="45">
        <f t="shared" si="25"/>
        <v>8000</v>
      </c>
      <c r="C301" s="8">
        <v>25000</v>
      </c>
      <c r="D301" s="8">
        <v>0</v>
      </c>
      <c r="E301" s="8">
        <v>700</v>
      </c>
      <c r="F301" s="8">
        <v>7500</v>
      </c>
      <c r="G301" s="45">
        <f t="shared" si="26"/>
        <v>2400</v>
      </c>
      <c r="H301" s="8">
        <v>25000</v>
      </c>
      <c r="I301" s="45">
        <f t="shared" si="27"/>
        <v>8000</v>
      </c>
      <c r="J301" s="8">
        <v>25000</v>
      </c>
      <c r="K301" s="45">
        <f t="shared" si="28"/>
        <v>8000</v>
      </c>
      <c r="L301" s="8">
        <v>25000</v>
      </c>
      <c r="M301" s="9">
        <v>9</v>
      </c>
      <c r="N301" s="9">
        <v>16.100000000000001</v>
      </c>
      <c r="O301" s="9">
        <v>14</v>
      </c>
      <c r="P301" s="9">
        <v>19.5</v>
      </c>
      <c r="Q301" s="9">
        <v>3</v>
      </c>
      <c r="R301">
        <v>10</v>
      </c>
      <c r="S301">
        <v>1000</v>
      </c>
      <c r="T301" s="4">
        <f t="shared" si="29"/>
        <v>308.08347177749721</v>
      </c>
      <c r="U301">
        <v>50</v>
      </c>
    </row>
    <row r="302" spans="1:21">
      <c r="A302" s="44">
        <f t="shared" si="24"/>
        <v>45851.458333332608</v>
      </c>
      <c r="B302" s="45">
        <f t="shared" si="25"/>
        <v>8000</v>
      </c>
      <c r="C302" s="8">
        <v>25000</v>
      </c>
      <c r="D302" s="8">
        <v>0</v>
      </c>
      <c r="E302" s="8">
        <v>700</v>
      </c>
      <c r="F302" s="8">
        <v>7500</v>
      </c>
      <c r="G302" s="45">
        <f t="shared" si="26"/>
        <v>2400</v>
      </c>
      <c r="H302" s="8">
        <v>25000</v>
      </c>
      <c r="I302" s="45">
        <f t="shared" si="27"/>
        <v>8000</v>
      </c>
      <c r="J302" s="8">
        <v>25000</v>
      </c>
      <c r="K302" s="45">
        <f t="shared" si="28"/>
        <v>8000</v>
      </c>
      <c r="L302" s="8">
        <v>25000</v>
      </c>
      <c r="M302" s="9">
        <v>9</v>
      </c>
      <c r="N302" s="9">
        <v>16.100000000000001</v>
      </c>
      <c r="O302" s="9">
        <v>14</v>
      </c>
      <c r="P302" s="9">
        <v>19.5</v>
      </c>
      <c r="Q302" s="9">
        <v>2.9</v>
      </c>
      <c r="R302">
        <v>10</v>
      </c>
      <c r="S302">
        <v>1000</v>
      </c>
      <c r="T302" s="4">
        <f t="shared" si="29"/>
        <v>303.80551305448063</v>
      </c>
      <c r="U302">
        <v>27</v>
      </c>
    </row>
    <row r="303" spans="1:21">
      <c r="A303" s="44">
        <f t="shared" si="24"/>
        <v>45851.499999999272</v>
      </c>
      <c r="B303" s="45">
        <f t="shared" si="25"/>
        <v>8000</v>
      </c>
      <c r="C303" s="8">
        <v>25000</v>
      </c>
      <c r="D303" s="8">
        <v>0</v>
      </c>
      <c r="E303" s="8">
        <v>700</v>
      </c>
      <c r="F303" s="8">
        <v>7500</v>
      </c>
      <c r="G303" s="45">
        <f t="shared" si="26"/>
        <v>2400</v>
      </c>
      <c r="H303" s="8">
        <v>25000</v>
      </c>
      <c r="I303" s="45">
        <f t="shared" si="27"/>
        <v>8000</v>
      </c>
      <c r="J303" s="8">
        <v>25000</v>
      </c>
      <c r="K303" s="45">
        <f t="shared" si="28"/>
        <v>8000</v>
      </c>
      <c r="L303" s="8">
        <v>25000</v>
      </c>
      <c r="M303" s="9">
        <v>9</v>
      </c>
      <c r="N303" s="9">
        <v>16.100000000000001</v>
      </c>
      <c r="O303" s="9">
        <v>14</v>
      </c>
      <c r="P303" s="9">
        <v>19.5</v>
      </c>
      <c r="Q303" s="9">
        <v>2.7</v>
      </c>
      <c r="R303">
        <v>10</v>
      </c>
      <c r="S303">
        <v>1000</v>
      </c>
      <c r="T303" s="4">
        <f t="shared" si="29"/>
        <v>303.80551305448063</v>
      </c>
      <c r="U303">
        <v>31</v>
      </c>
    </row>
    <row r="304" spans="1:21">
      <c r="A304" s="44">
        <f t="shared" si="24"/>
        <v>45851.541666665937</v>
      </c>
      <c r="B304" s="45">
        <f t="shared" si="25"/>
        <v>8000</v>
      </c>
      <c r="C304" s="8">
        <v>25000</v>
      </c>
      <c r="D304" s="8">
        <v>0</v>
      </c>
      <c r="E304" s="8">
        <v>700</v>
      </c>
      <c r="F304" s="8">
        <v>7500</v>
      </c>
      <c r="G304" s="45">
        <f t="shared" si="26"/>
        <v>2400</v>
      </c>
      <c r="H304" s="8">
        <v>25000</v>
      </c>
      <c r="I304" s="45">
        <f t="shared" si="27"/>
        <v>8000</v>
      </c>
      <c r="J304" s="8">
        <v>25000</v>
      </c>
      <c r="K304" s="45">
        <f t="shared" si="28"/>
        <v>8000</v>
      </c>
      <c r="L304" s="8">
        <v>25000</v>
      </c>
      <c r="M304" s="9">
        <v>9</v>
      </c>
      <c r="N304" s="9">
        <v>16.100000000000001</v>
      </c>
      <c r="O304" s="9">
        <v>14</v>
      </c>
      <c r="P304" s="9">
        <v>19.5</v>
      </c>
      <c r="Q304" s="9">
        <v>2.9</v>
      </c>
      <c r="R304">
        <v>10</v>
      </c>
      <c r="S304">
        <v>1000</v>
      </c>
      <c r="T304" s="4">
        <f t="shared" si="29"/>
        <v>353.43040463596901</v>
      </c>
      <c r="U304">
        <v>59</v>
      </c>
    </row>
    <row r="305" spans="1:21">
      <c r="A305" s="44">
        <f t="shared" si="24"/>
        <v>45851.583333332601</v>
      </c>
      <c r="B305" s="45">
        <f t="shared" si="25"/>
        <v>8000</v>
      </c>
      <c r="C305" s="8">
        <v>25000</v>
      </c>
      <c r="D305" s="8">
        <v>0</v>
      </c>
      <c r="E305" s="8">
        <v>700</v>
      </c>
      <c r="F305" s="8">
        <v>7500</v>
      </c>
      <c r="G305" s="45">
        <f t="shared" si="26"/>
        <v>2400</v>
      </c>
      <c r="H305" s="8">
        <v>25000</v>
      </c>
      <c r="I305" s="45">
        <f t="shared" si="27"/>
        <v>8000</v>
      </c>
      <c r="J305" s="8">
        <v>25000</v>
      </c>
      <c r="K305" s="45">
        <f t="shared" si="28"/>
        <v>8000</v>
      </c>
      <c r="L305" s="8">
        <v>25000</v>
      </c>
      <c r="M305" s="9">
        <v>9</v>
      </c>
      <c r="N305" s="9">
        <v>16.100000000000001</v>
      </c>
      <c r="O305" s="9">
        <v>14</v>
      </c>
      <c r="P305" s="9">
        <v>19.5</v>
      </c>
      <c r="Q305" s="9">
        <v>3</v>
      </c>
      <c r="R305">
        <v>10</v>
      </c>
      <c r="S305">
        <v>1000</v>
      </c>
      <c r="T305" s="4">
        <f t="shared" si="29"/>
        <v>587.29100737188094</v>
      </c>
      <c r="U305">
        <v>79</v>
      </c>
    </row>
    <row r="306" spans="1:21">
      <c r="A306" s="44">
        <f t="shared" si="24"/>
        <v>45851.624999999265</v>
      </c>
      <c r="B306" s="45">
        <f t="shared" si="25"/>
        <v>8000</v>
      </c>
      <c r="C306" s="8">
        <v>25000</v>
      </c>
      <c r="D306" s="8">
        <v>0</v>
      </c>
      <c r="E306" s="8">
        <v>700</v>
      </c>
      <c r="F306" s="8">
        <v>7500</v>
      </c>
      <c r="G306" s="45">
        <f t="shared" si="26"/>
        <v>2400</v>
      </c>
      <c r="H306" s="8">
        <v>25000</v>
      </c>
      <c r="I306" s="45">
        <f t="shared" si="27"/>
        <v>8000</v>
      </c>
      <c r="J306" s="8">
        <v>25000</v>
      </c>
      <c r="K306" s="45">
        <f t="shared" si="28"/>
        <v>8000</v>
      </c>
      <c r="L306" s="8">
        <v>25000</v>
      </c>
      <c r="M306" s="9">
        <v>9</v>
      </c>
      <c r="N306" s="9">
        <v>16.100000000000001</v>
      </c>
      <c r="O306" s="9">
        <v>14</v>
      </c>
      <c r="P306" s="9">
        <v>19.5</v>
      </c>
      <c r="Q306" s="9">
        <v>3</v>
      </c>
      <c r="R306">
        <v>10</v>
      </c>
      <c r="S306">
        <v>1000</v>
      </c>
      <c r="T306" s="4">
        <f t="shared" si="29"/>
        <v>604.40284226394715</v>
      </c>
      <c r="U306">
        <v>62</v>
      </c>
    </row>
    <row r="307" spans="1:21">
      <c r="A307" s="44">
        <f t="shared" si="24"/>
        <v>45851.666666665929</v>
      </c>
      <c r="B307" s="45">
        <f t="shared" si="25"/>
        <v>8000</v>
      </c>
      <c r="C307" s="8">
        <v>25000</v>
      </c>
      <c r="D307" s="8">
        <v>0</v>
      </c>
      <c r="E307" s="8">
        <v>700</v>
      </c>
      <c r="F307" s="8">
        <v>7500</v>
      </c>
      <c r="G307" s="45">
        <f t="shared" si="26"/>
        <v>2400</v>
      </c>
      <c r="H307" s="8">
        <v>25000</v>
      </c>
      <c r="I307" s="45">
        <f t="shared" si="27"/>
        <v>8000</v>
      </c>
      <c r="J307" s="8">
        <v>25000</v>
      </c>
      <c r="K307" s="45">
        <f t="shared" si="28"/>
        <v>8000</v>
      </c>
      <c r="L307" s="8">
        <v>25000</v>
      </c>
      <c r="M307" s="9">
        <v>9</v>
      </c>
      <c r="N307" s="9">
        <v>16.100000000000001</v>
      </c>
      <c r="O307" s="9">
        <v>14</v>
      </c>
      <c r="P307" s="9">
        <v>19.5</v>
      </c>
      <c r="Q307" s="9">
        <v>2.9</v>
      </c>
      <c r="R307">
        <v>10</v>
      </c>
      <c r="S307">
        <v>1000</v>
      </c>
      <c r="T307" s="4">
        <f t="shared" si="29"/>
        <v>875.91062255139741</v>
      </c>
      <c r="U307">
        <v>83</v>
      </c>
    </row>
    <row r="308" spans="1:21">
      <c r="A308" s="44">
        <f t="shared" si="24"/>
        <v>45851.708333332594</v>
      </c>
      <c r="B308" s="45">
        <f t="shared" si="25"/>
        <v>8000</v>
      </c>
      <c r="C308" s="8">
        <v>25000</v>
      </c>
      <c r="D308" s="8">
        <v>0</v>
      </c>
      <c r="E308" s="8">
        <v>700</v>
      </c>
      <c r="F308" s="8">
        <v>7500</v>
      </c>
      <c r="G308" s="45">
        <f t="shared" si="26"/>
        <v>2400</v>
      </c>
      <c r="H308" s="8">
        <v>25000</v>
      </c>
      <c r="I308" s="45">
        <f t="shared" si="27"/>
        <v>8000</v>
      </c>
      <c r="J308" s="8">
        <v>25000</v>
      </c>
      <c r="K308" s="45">
        <f t="shared" si="28"/>
        <v>8000</v>
      </c>
      <c r="L308" s="8">
        <v>25000</v>
      </c>
      <c r="M308" s="9">
        <v>9</v>
      </c>
      <c r="N308" s="9">
        <v>16.100000000000001</v>
      </c>
      <c r="O308" s="9">
        <v>14</v>
      </c>
      <c r="P308" s="9">
        <v>19.5</v>
      </c>
      <c r="Q308" s="9">
        <v>3</v>
      </c>
      <c r="R308">
        <v>10</v>
      </c>
      <c r="S308">
        <v>1000</v>
      </c>
      <c r="T308" s="4">
        <f t="shared" si="29"/>
        <v>1116.9022972813298</v>
      </c>
      <c r="U308">
        <v>41</v>
      </c>
    </row>
    <row r="309" spans="1:21">
      <c r="A309" s="44">
        <f t="shared" si="24"/>
        <v>45851.749999999258</v>
      </c>
      <c r="B309" s="45">
        <f t="shared" si="25"/>
        <v>5000</v>
      </c>
      <c r="C309" s="8">
        <v>25000</v>
      </c>
      <c r="D309" s="8">
        <v>0</v>
      </c>
      <c r="E309" s="8">
        <v>700</v>
      </c>
      <c r="F309" s="8">
        <v>7500</v>
      </c>
      <c r="G309" s="45">
        <f t="shared" si="26"/>
        <v>2400</v>
      </c>
      <c r="H309" s="8">
        <v>25000</v>
      </c>
      <c r="I309" s="45">
        <f t="shared" si="27"/>
        <v>5000</v>
      </c>
      <c r="J309" s="8">
        <v>25000</v>
      </c>
      <c r="K309" s="45">
        <f t="shared" si="28"/>
        <v>5000</v>
      </c>
      <c r="L309" s="8">
        <v>25000</v>
      </c>
      <c r="M309" s="9">
        <v>9</v>
      </c>
      <c r="N309" s="9">
        <v>16.100000000000001</v>
      </c>
      <c r="O309" s="9">
        <v>14</v>
      </c>
      <c r="P309" s="9">
        <v>19.5</v>
      </c>
      <c r="Q309" s="9">
        <v>2.5</v>
      </c>
      <c r="R309">
        <v>10</v>
      </c>
      <c r="S309">
        <v>1000</v>
      </c>
      <c r="T309" s="4">
        <f t="shared" si="29"/>
        <v>1156.8299120294841</v>
      </c>
      <c r="U309">
        <v>27</v>
      </c>
    </row>
    <row r="310" spans="1:21">
      <c r="A310" s="44">
        <f t="shared" si="24"/>
        <v>45851.791666665922</v>
      </c>
      <c r="B310" s="45">
        <f t="shared" si="25"/>
        <v>5000</v>
      </c>
      <c r="C310" s="8">
        <v>25000</v>
      </c>
      <c r="D310" s="8">
        <v>0</v>
      </c>
      <c r="E310" s="8">
        <v>700</v>
      </c>
      <c r="F310" s="8">
        <v>7500</v>
      </c>
      <c r="G310" s="45">
        <f t="shared" si="26"/>
        <v>2400</v>
      </c>
      <c r="H310" s="8">
        <v>25000</v>
      </c>
      <c r="I310" s="45">
        <f t="shared" si="27"/>
        <v>5000</v>
      </c>
      <c r="J310" s="8">
        <v>25000</v>
      </c>
      <c r="K310" s="45">
        <f t="shared" si="28"/>
        <v>5000</v>
      </c>
      <c r="L310" s="8">
        <v>25000</v>
      </c>
      <c r="M310" s="9">
        <v>9</v>
      </c>
      <c r="N310" s="9">
        <v>16.100000000000001</v>
      </c>
      <c r="O310" s="9">
        <v>14</v>
      </c>
      <c r="P310" s="9">
        <v>19.5</v>
      </c>
      <c r="Q310" s="9">
        <v>2.8</v>
      </c>
      <c r="R310">
        <v>10</v>
      </c>
      <c r="S310">
        <v>1000</v>
      </c>
      <c r="T310" s="4">
        <f t="shared" si="29"/>
        <v>1156.8299120294841</v>
      </c>
      <c r="U310">
        <v>62</v>
      </c>
    </row>
    <row r="311" spans="1:21">
      <c r="A311" s="44">
        <f t="shared" si="24"/>
        <v>45851.833333332586</v>
      </c>
      <c r="B311" s="45">
        <f t="shared" si="25"/>
        <v>5000</v>
      </c>
      <c r="C311" s="8">
        <v>25000</v>
      </c>
      <c r="D311" s="8">
        <v>0</v>
      </c>
      <c r="E311" s="8">
        <v>700</v>
      </c>
      <c r="F311" s="8">
        <v>7500</v>
      </c>
      <c r="G311" s="45">
        <f t="shared" si="26"/>
        <v>2400</v>
      </c>
      <c r="H311" s="8">
        <v>25000</v>
      </c>
      <c r="I311" s="45">
        <f t="shared" si="27"/>
        <v>5000</v>
      </c>
      <c r="J311" s="8">
        <v>25000</v>
      </c>
      <c r="K311" s="45">
        <f t="shared" si="28"/>
        <v>5000</v>
      </c>
      <c r="L311" s="8">
        <v>25000</v>
      </c>
      <c r="M311" s="9">
        <v>9</v>
      </c>
      <c r="N311" s="9">
        <v>16.100000000000001</v>
      </c>
      <c r="O311" s="9">
        <v>14</v>
      </c>
      <c r="P311" s="9">
        <v>19.5</v>
      </c>
      <c r="Q311" s="9">
        <v>2.7</v>
      </c>
      <c r="R311">
        <v>10</v>
      </c>
      <c r="S311">
        <v>1000</v>
      </c>
      <c r="T311" s="4">
        <f t="shared" si="29"/>
        <v>1114.0503247993186</v>
      </c>
      <c r="U311">
        <v>17</v>
      </c>
    </row>
    <row r="312" spans="1:21">
      <c r="A312" s="44">
        <f t="shared" si="24"/>
        <v>45851.874999999251</v>
      </c>
      <c r="B312" s="45">
        <f t="shared" si="25"/>
        <v>5000</v>
      </c>
      <c r="C312" s="8">
        <v>25000</v>
      </c>
      <c r="D312" s="8">
        <v>0</v>
      </c>
      <c r="E312" s="8">
        <v>700</v>
      </c>
      <c r="F312" s="8">
        <v>7500</v>
      </c>
      <c r="G312" s="45">
        <f t="shared" si="26"/>
        <v>2400</v>
      </c>
      <c r="H312" s="8">
        <v>25000</v>
      </c>
      <c r="I312" s="45">
        <f t="shared" si="27"/>
        <v>5000</v>
      </c>
      <c r="J312" s="8">
        <v>25000</v>
      </c>
      <c r="K312" s="45">
        <f t="shared" si="28"/>
        <v>5000</v>
      </c>
      <c r="L312" s="8">
        <v>25000</v>
      </c>
      <c r="M312" s="9">
        <v>9</v>
      </c>
      <c r="N312" s="9">
        <v>16.100000000000001</v>
      </c>
      <c r="O312" s="9">
        <v>14</v>
      </c>
      <c r="P312" s="9">
        <v>19.5</v>
      </c>
      <c r="Q312" s="9">
        <v>2.8</v>
      </c>
      <c r="R312">
        <v>10</v>
      </c>
      <c r="S312">
        <v>1000</v>
      </c>
      <c r="T312" s="4">
        <f t="shared" si="29"/>
        <v>1034.1950953030096</v>
      </c>
      <c r="U312">
        <v>19</v>
      </c>
    </row>
    <row r="313" spans="1:21">
      <c r="A313" s="44">
        <f t="shared" si="24"/>
        <v>45851.916666665915</v>
      </c>
      <c r="B313" s="45">
        <f t="shared" si="25"/>
        <v>5000</v>
      </c>
      <c r="C313" s="8">
        <v>25000</v>
      </c>
      <c r="D313" s="8">
        <v>0</v>
      </c>
      <c r="E313" s="8">
        <v>700</v>
      </c>
      <c r="F313" s="8">
        <v>7500</v>
      </c>
      <c r="G313" s="45">
        <f t="shared" si="26"/>
        <v>2400</v>
      </c>
      <c r="H313" s="8">
        <v>25000</v>
      </c>
      <c r="I313" s="45">
        <f t="shared" si="27"/>
        <v>5000</v>
      </c>
      <c r="J313" s="8">
        <v>25000</v>
      </c>
      <c r="K313" s="45">
        <f t="shared" si="28"/>
        <v>5000</v>
      </c>
      <c r="L313" s="8">
        <v>25000</v>
      </c>
      <c r="M313" s="9">
        <v>9</v>
      </c>
      <c r="N313" s="9">
        <v>16.100000000000001</v>
      </c>
      <c r="O313" s="9">
        <v>14</v>
      </c>
      <c r="P313" s="9">
        <v>19.5</v>
      </c>
      <c r="Q313" s="9">
        <v>2.5</v>
      </c>
      <c r="R313">
        <v>10</v>
      </c>
      <c r="S313">
        <v>1000</v>
      </c>
      <c r="T313" s="4">
        <f t="shared" si="29"/>
        <v>807.46328298313267</v>
      </c>
      <c r="U313">
        <v>84</v>
      </c>
    </row>
    <row r="314" spans="1:21">
      <c r="A314" s="44">
        <f t="shared" si="24"/>
        <v>45851.958333332579</v>
      </c>
      <c r="B314" s="45">
        <f t="shared" si="25"/>
        <v>5000</v>
      </c>
      <c r="C314" s="8">
        <v>25000</v>
      </c>
      <c r="D314" s="8">
        <v>0</v>
      </c>
      <c r="E314" s="8">
        <v>700</v>
      </c>
      <c r="F314" s="8">
        <v>7500</v>
      </c>
      <c r="G314" s="45">
        <f t="shared" si="26"/>
        <v>2400</v>
      </c>
      <c r="H314" s="8">
        <v>25000</v>
      </c>
      <c r="I314" s="45">
        <f t="shared" si="27"/>
        <v>5000</v>
      </c>
      <c r="J314" s="8">
        <v>25000</v>
      </c>
      <c r="K314" s="45">
        <f t="shared" si="28"/>
        <v>5000</v>
      </c>
      <c r="L314" s="8">
        <v>25000</v>
      </c>
      <c r="M314" s="9">
        <v>9</v>
      </c>
      <c r="N314" s="9">
        <v>16.100000000000001</v>
      </c>
      <c r="O314" s="9">
        <v>14</v>
      </c>
      <c r="P314" s="9">
        <v>19.5</v>
      </c>
      <c r="Q314" s="9">
        <v>2.8</v>
      </c>
      <c r="R314">
        <v>10</v>
      </c>
      <c r="S314">
        <v>1000</v>
      </c>
      <c r="T314" s="4">
        <f t="shared" si="29"/>
        <v>442.69657292841788</v>
      </c>
      <c r="U314">
        <v>58</v>
      </c>
    </row>
    <row r="315" spans="1:21">
      <c r="A315" s="44">
        <f t="shared" si="24"/>
        <v>45851.999999999243</v>
      </c>
      <c r="B315" s="45">
        <f t="shared" si="25"/>
        <v>5000</v>
      </c>
      <c r="C315" s="8">
        <v>25000</v>
      </c>
      <c r="D315" s="8">
        <v>0</v>
      </c>
      <c r="E315" s="8">
        <v>700</v>
      </c>
      <c r="F315" s="8">
        <v>7500</v>
      </c>
      <c r="G315" s="45">
        <f t="shared" si="26"/>
        <v>2400</v>
      </c>
      <c r="H315" s="8">
        <v>25000</v>
      </c>
      <c r="I315" s="45">
        <f t="shared" si="27"/>
        <v>5000</v>
      </c>
      <c r="J315" s="8">
        <v>25000</v>
      </c>
      <c r="K315" s="45">
        <f t="shared" si="28"/>
        <v>5000</v>
      </c>
      <c r="L315" s="8">
        <v>25000</v>
      </c>
      <c r="M315" s="9">
        <v>9</v>
      </c>
      <c r="N315" s="9">
        <v>16.100000000000001</v>
      </c>
      <c r="O315" s="9">
        <v>14</v>
      </c>
      <c r="P315" s="9">
        <v>19.5</v>
      </c>
      <c r="Q315" s="9">
        <v>2.4</v>
      </c>
      <c r="R315">
        <v>10</v>
      </c>
      <c r="S315">
        <v>1000</v>
      </c>
      <c r="T315" s="4">
        <f t="shared" si="29"/>
        <v>442.69657292841788</v>
      </c>
      <c r="U315">
        <v>45</v>
      </c>
    </row>
    <row r="316" spans="1:21">
      <c r="A316" s="44">
        <f t="shared" si="24"/>
        <v>45852.041666665908</v>
      </c>
      <c r="B316" s="45">
        <f t="shared" si="25"/>
        <v>5000</v>
      </c>
      <c r="C316" s="8">
        <v>25000</v>
      </c>
      <c r="D316" s="8">
        <v>0</v>
      </c>
      <c r="E316" s="8">
        <v>700</v>
      </c>
      <c r="F316" s="8">
        <v>7500</v>
      </c>
      <c r="G316" s="45">
        <f t="shared" si="26"/>
        <v>2400</v>
      </c>
      <c r="H316" s="8">
        <v>25000</v>
      </c>
      <c r="I316" s="45">
        <f t="shared" si="27"/>
        <v>5000</v>
      </c>
      <c r="J316" s="8">
        <v>25000</v>
      </c>
      <c r="K316" s="45">
        <f t="shared" si="28"/>
        <v>5000</v>
      </c>
      <c r="L316" s="8">
        <v>25000</v>
      </c>
      <c r="M316" s="9">
        <v>9</v>
      </c>
      <c r="N316" s="9">
        <v>16.100000000000001</v>
      </c>
      <c r="O316" s="9">
        <v>14</v>
      </c>
      <c r="P316" s="9">
        <v>19.5</v>
      </c>
      <c r="Q316" s="9">
        <v>2.4</v>
      </c>
      <c r="R316">
        <v>10</v>
      </c>
      <c r="S316">
        <v>1000</v>
      </c>
      <c r="T316" s="4">
        <f t="shared" si="29"/>
        <v>362.27094893570683</v>
      </c>
      <c r="U316">
        <v>75</v>
      </c>
    </row>
    <row r="317" spans="1:21">
      <c r="A317" s="44">
        <f t="shared" si="24"/>
        <v>45852.083333332572</v>
      </c>
      <c r="B317" s="45">
        <f t="shared" si="25"/>
        <v>5000</v>
      </c>
      <c r="C317" s="8">
        <v>25000</v>
      </c>
      <c r="D317" s="8">
        <v>0</v>
      </c>
      <c r="E317" s="8">
        <v>700</v>
      </c>
      <c r="F317" s="8">
        <v>7500</v>
      </c>
      <c r="G317" s="45">
        <f t="shared" si="26"/>
        <v>2400</v>
      </c>
      <c r="H317" s="8">
        <v>25000</v>
      </c>
      <c r="I317" s="45">
        <f t="shared" si="27"/>
        <v>5000</v>
      </c>
      <c r="J317" s="8">
        <v>25000</v>
      </c>
      <c r="K317" s="45">
        <f t="shared" si="28"/>
        <v>5000</v>
      </c>
      <c r="L317" s="8">
        <v>25000</v>
      </c>
      <c r="M317" s="9">
        <v>9</v>
      </c>
      <c r="N317" s="9">
        <v>16.100000000000001</v>
      </c>
      <c r="O317" s="9">
        <v>14</v>
      </c>
      <c r="P317" s="9">
        <v>19.5</v>
      </c>
      <c r="Q317" s="9">
        <v>2.9</v>
      </c>
      <c r="R317">
        <v>10</v>
      </c>
      <c r="S317">
        <v>1000</v>
      </c>
      <c r="T317" s="4">
        <f t="shared" si="29"/>
        <v>362.27094893570683</v>
      </c>
      <c r="U317">
        <v>88</v>
      </c>
    </row>
    <row r="318" spans="1:21">
      <c r="A318" s="44">
        <f t="shared" si="24"/>
        <v>45852.124999999236</v>
      </c>
      <c r="B318" s="45">
        <f t="shared" si="25"/>
        <v>5000</v>
      </c>
      <c r="C318" s="8">
        <v>25000</v>
      </c>
      <c r="D318" s="8">
        <v>0</v>
      </c>
      <c r="E318" s="8">
        <v>700</v>
      </c>
      <c r="F318" s="8">
        <v>7500</v>
      </c>
      <c r="G318" s="45">
        <f t="shared" si="26"/>
        <v>2400</v>
      </c>
      <c r="H318" s="8">
        <v>25000</v>
      </c>
      <c r="I318" s="45">
        <f t="shared" si="27"/>
        <v>5000</v>
      </c>
      <c r="J318" s="8">
        <v>25000</v>
      </c>
      <c r="K318" s="45">
        <f t="shared" si="28"/>
        <v>5000</v>
      </c>
      <c r="L318" s="8">
        <v>25000</v>
      </c>
      <c r="M318" s="9">
        <v>9</v>
      </c>
      <c r="N318" s="9">
        <v>16.100000000000001</v>
      </c>
      <c r="O318" s="9">
        <v>14</v>
      </c>
      <c r="P318" s="9">
        <v>19.5</v>
      </c>
      <c r="Q318" s="9">
        <v>2.9</v>
      </c>
      <c r="R318">
        <v>10</v>
      </c>
      <c r="S318">
        <v>1000</v>
      </c>
      <c r="T318" s="4">
        <f t="shared" si="29"/>
        <v>362.27094893570683</v>
      </c>
      <c r="U318">
        <v>45</v>
      </c>
    </row>
    <row r="319" spans="1:21">
      <c r="A319" s="44">
        <f t="shared" si="24"/>
        <v>45852.1666666659</v>
      </c>
      <c r="B319" s="45">
        <f t="shared" si="25"/>
        <v>5000</v>
      </c>
      <c r="C319" s="8">
        <v>25000</v>
      </c>
      <c r="D319" s="8">
        <v>0</v>
      </c>
      <c r="E319" s="8">
        <v>700</v>
      </c>
      <c r="F319" s="8">
        <v>7500</v>
      </c>
      <c r="G319" s="45">
        <f t="shared" si="26"/>
        <v>2400</v>
      </c>
      <c r="H319" s="8">
        <v>25000</v>
      </c>
      <c r="I319" s="45">
        <f t="shared" si="27"/>
        <v>5000</v>
      </c>
      <c r="J319" s="8">
        <v>25000</v>
      </c>
      <c r="K319" s="45">
        <f t="shared" si="28"/>
        <v>5000</v>
      </c>
      <c r="L319" s="8">
        <v>25000</v>
      </c>
      <c r="M319" s="9">
        <v>9</v>
      </c>
      <c r="N319" s="9">
        <v>16.100000000000001</v>
      </c>
      <c r="O319" s="9">
        <v>14</v>
      </c>
      <c r="P319" s="9">
        <v>19.5</v>
      </c>
      <c r="Q319" s="9">
        <v>2.5</v>
      </c>
      <c r="R319">
        <v>10</v>
      </c>
      <c r="S319">
        <v>1000</v>
      </c>
      <c r="T319" s="4">
        <f t="shared" si="29"/>
        <v>426.44032978095498</v>
      </c>
      <c r="U319">
        <v>85</v>
      </c>
    </row>
    <row r="320" spans="1:21">
      <c r="A320" s="44">
        <f t="shared" si="24"/>
        <v>45852.208333332565</v>
      </c>
      <c r="B320" s="45">
        <f t="shared" si="25"/>
        <v>5000</v>
      </c>
      <c r="C320" s="8">
        <v>25000</v>
      </c>
      <c r="D320" s="8">
        <v>0</v>
      </c>
      <c r="E320" s="8">
        <v>700</v>
      </c>
      <c r="F320" s="8">
        <v>7500</v>
      </c>
      <c r="G320" s="45">
        <f t="shared" si="26"/>
        <v>2400</v>
      </c>
      <c r="H320" s="8">
        <v>25000</v>
      </c>
      <c r="I320" s="45">
        <f t="shared" si="27"/>
        <v>5000</v>
      </c>
      <c r="J320" s="8">
        <v>25000</v>
      </c>
      <c r="K320" s="45">
        <f t="shared" si="28"/>
        <v>5000</v>
      </c>
      <c r="L320" s="8">
        <v>25000</v>
      </c>
      <c r="M320" s="9">
        <v>9</v>
      </c>
      <c r="N320" s="9">
        <v>16.100000000000001</v>
      </c>
      <c r="O320" s="9">
        <v>14</v>
      </c>
      <c r="P320" s="9">
        <v>19.5</v>
      </c>
      <c r="Q320" s="9">
        <v>2.5</v>
      </c>
      <c r="R320">
        <v>10</v>
      </c>
      <c r="S320">
        <v>1000</v>
      </c>
      <c r="T320" s="4">
        <f t="shared" si="29"/>
        <v>362.27094893570683</v>
      </c>
      <c r="U320">
        <v>77</v>
      </c>
    </row>
    <row r="321" spans="1:21">
      <c r="A321" s="44">
        <f t="shared" si="24"/>
        <v>45852.249999999229</v>
      </c>
      <c r="B321" s="45">
        <f t="shared" si="25"/>
        <v>8000</v>
      </c>
      <c r="C321" s="8">
        <v>25000</v>
      </c>
      <c r="D321" s="8">
        <v>0</v>
      </c>
      <c r="E321" s="8">
        <v>700</v>
      </c>
      <c r="F321" s="8">
        <v>7500</v>
      </c>
      <c r="G321" s="45">
        <f t="shared" si="26"/>
        <v>2400</v>
      </c>
      <c r="H321" s="8">
        <v>25000</v>
      </c>
      <c r="I321" s="45">
        <f t="shared" si="27"/>
        <v>8000</v>
      </c>
      <c r="J321" s="8">
        <v>25000</v>
      </c>
      <c r="K321" s="45">
        <f t="shared" si="28"/>
        <v>8000</v>
      </c>
      <c r="L321" s="8">
        <v>25000</v>
      </c>
      <c r="M321" s="9">
        <v>9</v>
      </c>
      <c r="N321" s="9">
        <v>16.100000000000001</v>
      </c>
      <c r="O321" s="9">
        <v>14</v>
      </c>
      <c r="P321" s="9">
        <v>19.5</v>
      </c>
      <c r="Q321" s="9">
        <v>2.4</v>
      </c>
      <c r="R321">
        <v>10</v>
      </c>
      <c r="S321">
        <v>1000</v>
      </c>
      <c r="T321" s="4">
        <f t="shared" si="29"/>
        <v>304.3759075508828</v>
      </c>
      <c r="U321">
        <v>88</v>
      </c>
    </row>
    <row r="322" spans="1:21">
      <c r="A322" s="44">
        <f t="shared" si="24"/>
        <v>45852.291666665893</v>
      </c>
      <c r="B322" s="45">
        <f t="shared" si="25"/>
        <v>8000</v>
      </c>
      <c r="C322" s="8">
        <v>25000</v>
      </c>
      <c r="D322" s="8">
        <v>0</v>
      </c>
      <c r="E322" s="8">
        <v>700</v>
      </c>
      <c r="F322" s="8">
        <v>7500</v>
      </c>
      <c r="G322" s="45">
        <f t="shared" si="26"/>
        <v>2400</v>
      </c>
      <c r="H322" s="8">
        <v>25000</v>
      </c>
      <c r="I322" s="45">
        <f t="shared" si="27"/>
        <v>8000</v>
      </c>
      <c r="J322" s="8">
        <v>25000</v>
      </c>
      <c r="K322" s="45">
        <f t="shared" si="28"/>
        <v>8000</v>
      </c>
      <c r="L322" s="8">
        <v>25000</v>
      </c>
      <c r="M322" s="9">
        <v>9</v>
      </c>
      <c r="N322" s="9">
        <v>16.100000000000001</v>
      </c>
      <c r="O322" s="9">
        <v>14</v>
      </c>
      <c r="P322" s="9">
        <v>19.5</v>
      </c>
      <c r="Q322" s="9">
        <v>2.7</v>
      </c>
      <c r="R322">
        <v>10</v>
      </c>
      <c r="S322">
        <v>1000</v>
      </c>
      <c r="T322" s="4">
        <f t="shared" si="29"/>
        <v>280.13414145378908</v>
      </c>
      <c r="U322">
        <v>19</v>
      </c>
    </row>
    <row r="323" spans="1:21">
      <c r="A323" s="44">
        <f t="shared" si="24"/>
        <v>45852.333333332557</v>
      </c>
      <c r="B323" s="45">
        <f t="shared" si="25"/>
        <v>8000</v>
      </c>
      <c r="C323" s="8">
        <v>25000</v>
      </c>
      <c r="D323" s="8">
        <v>0</v>
      </c>
      <c r="E323" s="8">
        <v>700</v>
      </c>
      <c r="F323" s="8">
        <v>7500</v>
      </c>
      <c r="G323" s="45">
        <f t="shared" si="26"/>
        <v>2400</v>
      </c>
      <c r="H323" s="8">
        <v>25000</v>
      </c>
      <c r="I323" s="45">
        <f t="shared" si="27"/>
        <v>8000</v>
      </c>
      <c r="J323" s="8">
        <v>25000</v>
      </c>
      <c r="K323" s="45">
        <f t="shared" si="28"/>
        <v>8000</v>
      </c>
      <c r="L323" s="8">
        <v>25000</v>
      </c>
      <c r="M323" s="9">
        <v>9</v>
      </c>
      <c r="N323" s="9">
        <v>16.100000000000001</v>
      </c>
      <c r="O323" s="9">
        <v>14</v>
      </c>
      <c r="P323" s="9">
        <v>19.5</v>
      </c>
      <c r="Q323" s="9">
        <v>2.9</v>
      </c>
      <c r="R323">
        <v>10</v>
      </c>
      <c r="S323">
        <v>1000</v>
      </c>
      <c r="T323" s="4">
        <f t="shared" si="29"/>
        <v>294.39400386384426</v>
      </c>
      <c r="U323">
        <v>39</v>
      </c>
    </row>
    <row r="324" spans="1:21">
      <c r="A324" s="44">
        <f t="shared" si="24"/>
        <v>45852.374999999221</v>
      </c>
      <c r="B324" s="45">
        <f t="shared" si="25"/>
        <v>8000</v>
      </c>
      <c r="C324" s="8">
        <v>25000</v>
      </c>
      <c r="D324" s="8">
        <v>0</v>
      </c>
      <c r="E324" s="8">
        <v>700</v>
      </c>
      <c r="F324" s="8">
        <v>7500</v>
      </c>
      <c r="G324" s="45">
        <f t="shared" si="26"/>
        <v>2400</v>
      </c>
      <c r="H324" s="8">
        <v>25000</v>
      </c>
      <c r="I324" s="45">
        <f t="shared" si="27"/>
        <v>8000</v>
      </c>
      <c r="J324" s="8">
        <v>25000</v>
      </c>
      <c r="K324" s="45">
        <f t="shared" si="28"/>
        <v>8000</v>
      </c>
      <c r="L324" s="8">
        <v>25000</v>
      </c>
      <c r="M324" s="9">
        <v>9</v>
      </c>
      <c r="N324" s="9">
        <v>16.100000000000001</v>
      </c>
      <c r="O324" s="9">
        <v>14</v>
      </c>
      <c r="P324" s="9">
        <v>19.5</v>
      </c>
      <c r="Q324" s="9">
        <v>2.6</v>
      </c>
      <c r="R324">
        <v>10</v>
      </c>
      <c r="S324">
        <v>1000</v>
      </c>
      <c r="T324" s="4">
        <f t="shared" si="29"/>
        <v>317.20978371993255</v>
      </c>
      <c r="U324">
        <v>22</v>
      </c>
    </row>
    <row r="325" spans="1:21">
      <c r="A325" s="44">
        <f t="shared" ref="A325:A388" si="30">A324+TIME(1,0,0)</f>
        <v>45852.416666665886</v>
      </c>
      <c r="B325" s="45">
        <f t="shared" si="25"/>
        <v>8000</v>
      </c>
      <c r="C325" s="8">
        <v>25000</v>
      </c>
      <c r="D325" s="8">
        <v>0</v>
      </c>
      <c r="E325" s="8">
        <v>700</v>
      </c>
      <c r="F325" s="8">
        <v>7500</v>
      </c>
      <c r="G325" s="45">
        <f t="shared" si="26"/>
        <v>2400</v>
      </c>
      <c r="H325" s="8">
        <v>25000</v>
      </c>
      <c r="I325" s="45">
        <f t="shared" si="27"/>
        <v>8000</v>
      </c>
      <c r="J325" s="8">
        <v>25000</v>
      </c>
      <c r="K325" s="45">
        <f t="shared" si="28"/>
        <v>8000</v>
      </c>
      <c r="L325" s="8">
        <v>25000</v>
      </c>
      <c r="M325" s="9">
        <v>9</v>
      </c>
      <c r="N325" s="9">
        <v>16.100000000000001</v>
      </c>
      <c r="O325" s="9">
        <v>14</v>
      </c>
      <c r="P325" s="9">
        <v>19.5</v>
      </c>
      <c r="Q325" s="9">
        <v>2.6</v>
      </c>
      <c r="R325">
        <v>10</v>
      </c>
      <c r="S325">
        <v>1000</v>
      </c>
      <c r="T325" s="4">
        <f t="shared" si="29"/>
        <v>308.08347177749721</v>
      </c>
      <c r="U325">
        <v>80</v>
      </c>
    </row>
    <row r="326" spans="1:21">
      <c r="A326" s="44">
        <f t="shared" si="30"/>
        <v>45852.45833333255</v>
      </c>
      <c r="B326" s="45">
        <f t="shared" si="25"/>
        <v>8000</v>
      </c>
      <c r="C326" s="8">
        <v>25000</v>
      </c>
      <c r="D326" s="8">
        <v>0</v>
      </c>
      <c r="E326" s="8">
        <v>700</v>
      </c>
      <c r="F326" s="8">
        <v>7500</v>
      </c>
      <c r="G326" s="45">
        <f t="shared" si="26"/>
        <v>2400</v>
      </c>
      <c r="H326" s="8">
        <v>25000</v>
      </c>
      <c r="I326" s="45">
        <f t="shared" si="27"/>
        <v>8000</v>
      </c>
      <c r="J326" s="8">
        <v>25000</v>
      </c>
      <c r="K326" s="45">
        <f t="shared" si="28"/>
        <v>8000</v>
      </c>
      <c r="L326" s="8">
        <v>25000</v>
      </c>
      <c r="M326" s="9">
        <v>9</v>
      </c>
      <c r="N326" s="9">
        <v>16.100000000000001</v>
      </c>
      <c r="O326" s="9">
        <v>14</v>
      </c>
      <c r="P326" s="9">
        <v>19.5</v>
      </c>
      <c r="Q326" s="9">
        <v>3</v>
      </c>
      <c r="R326">
        <v>10</v>
      </c>
      <c r="S326">
        <v>1000</v>
      </c>
      <c r="T326" s="4">
        <f t="shared" si="29"/>
        <v>303.80551305448063</v>
      </c>
      <c r="U326">
        <v>76</v>
      </c>
    </row>
    <row r="327" spans="1:21">
      <c r="A327" s="44">
        <f t="shared" si="30"/>
        <v>45852.499999999214</v>
      </c>
      <c r="B327" s="45">
        <f t="shared" si="25"/>
        <v>8000</v>
      </c>
      <c r="C327" s="8">
        <v>25000</v>
      </c>
      <c r="D327" s="8">
        <v>0</v>
      </c>
      <c r="E327" s="8">
        <v>700</v>
      </c>
      <c r="F327" s="8">
        <v>7500</v>
      </c>
      <c r="G327" s="45">
        <f t="shared" si="26"/>
        <v>2400</v>
      </c>
      <c r="H327" s="8">
        <v>25000</v>
      </c>
      <c r="I327" s="45">
        <f t="shared" si="27"/>
        <v>8000</v>
      </c>
      <c r="J327" s="8">
        <v>25000</v>
      </c>
      <c r="K327" s="45">
        <f t="shared" si="28"/>
        <v>8000</v>
      </c>
      <c r="L327" s="8">
        <v>25000</v>
      </c>
      <c r="M327" s="9">
        <v>9</v>
      </c>
      <c r="N327" s="9">
        <v>16.100000000000001</v>
      </c>
      <c r="O327" s="9">
        <v>14</v>
      </c>
      <c r="P327" s="9">
        <v>19.5</v>
      </c>
      <c r="Q327" s="9">
        <v>2.8</v>
      </c>
      <c r="R327">
        <v>10</v>
      </c>
      <c r="S327">
        <v>1000</v>
      </c>
      <c r="T327" s="4">
        <f t="shared" si="29"/>
        <v>303.80551305448063</v>
      </c>
      <c r="U327">
        <v>27</v>
      </c>
    </row>
    <row r="328" spans="1:21">
      <c r="A328" s="44">
        <f t="shared" si="30"/>
        <v>45852.541666665878</v>
      </c>
      <c r="B328" s="45">
        <f t="shared" si="25"/>
        <v>8000</v>
      </c>
      <c r="C328" s="8">
        <v>25000</v>
      </c>
      <c r="D328" s="8">
        <v>0</v>
      </c>
      <c r="E328" s="8">
        <v>700</v>
      </c>
      <c r="F328" s="8">
        <v>7500</v>
      </c>
      <c r="G328" s="45">
        <f t="shared" si="26"/>
        <v>2400</v>
      </c>
      <c r="H328" s="8">
        <v>25000</v>
      </c>
      <c r="I328" s="45">
        <f t="shared" si="27"/>
        <v>8000</v>
      </c>
      <c r="J328" s="8">
        <v>25000</v>
      </c>
      <c r="K328" s="45">
        <f t="shared" si="28"/>
        <v>8000</v>
      </c>
      <c r="L328" s="8">
        <v>25000</v>
      </c>
      <c r="M328" s="9">
        <v>9</v>
      </c>
      <c r="N328" s="9">
        <v>16.100000000000001</v>
      </c>
      <c r="O328" s="9">
        <v>14</v>
      </c>
      <c r="P328" s="9">
        <v>19.5</v>
      </c>
      <c r="Q328" s="9">
        <v>2.6</v>
      </c>
      <c r="R328">
        <v>10</v>
      </c>
      <c r="S328">
        <v>1000</v>
      </c>
      <c r="T328" s="4">
        <f t="shared" si="29"/>
        <v>353.43040463596901</v>
      </c>
      <c r="U328">
        <v>19</v>
      </c>
    </row>
    <row r="329" spans="1:21">
      <c r="A329" s="44">
        <f t="shared" si="30"/>
        <v>45852.583333332543</v>
      </c>
      <c r="B329" s="45">
        <f t="shared" si="25"/>
        <v>8000</v>
      </c>
      <c r="C329" s="8">
        <v>25000</v>
      </c>
      <c r="D329" s="8">
        <v>0</v>
      </c>
      <c r="E329" s="8">
        <v>700</v>
      </c>
      <c r="F329" s="8">
        <v>7500</v>
      </c>
      <c r="G329" s="45">
        <f t="shared" si="26"/>
        <v>2400</v>
      </c>
      <c r="H329" s="8">
        <v>25000</v>
      </c>
      <c r="I329" s="45">
        <f t="shared" si="27"/>
        <v>8000</v>
      </c>
      <c r="J329" s="8">
        <v>25000</v>
      </c>
      <c r="K329" s="45">
        <f t="shared" si="28"/>
        <v>8000</v>
      </c>
      <c r="L329" s="8">
        <v>25000</v>
      </c>
      <c r="M329" s="9">
        <v>9</v>
      </c>
      <c r="N329" s="9">
        <v>16.100000000000001</v>
      </c>
      <c r="O329" s="9">
        <v>14</v>
      </c>
      <c r="P329" s="9">
        <v>19.5</v>
      </c>
      <c r="Q329" s="9">
        <v>3</v>
      </c>
      <c r="R329">
        <v>10</v>
      </c>
      <c r="S329">
        <v>1000</v>
      </c>
      <c r="T329" s="4">
        <f t="shared" si="29"/>
        <v>587.29100737188094</v>
      </c>
      <c r="U329">
        <v>27</v>
      </c>
    </row>
    <row r="330" spans="1:21">
      <c r="A330" s="44">
        <f t="shared" si="30"/>
        <v>45852.624999999207</v>
      </c>
      <c r="B330" s="45">
        <f t="shared" si="25"/>
        <v>8000</v>
      </c>
      <c r="C330" s="8">
        <v>25000</v>
      </c>
      <c r="D330" s="8">
        <v>0</v>
      </c>
      <c r="E330" s="8">
        <v>700</v>
      </c>
      <c r="F330" s="8">
        <v>7500</v>
      </c>
      <c r="G330" s="45">
        <f t="shared" si="26"/>
        <v>2400</v>
      </c>
      <c r="H330" s="8">
        <v>25000</v>
      </c>
      <c r="I330" s="45">
        <f t="shared" si="27"/>
        <v>8000</v>
      </c>
      <c r="J330" s="8">
        <v>25000</v>
      </c>
      <c r="K330" s="45">
        <f t="shared" si="28"/>
        <v>8000</v>
      </c>
      <c r="L330" s="8">
        <v>25000</v>
      </c>
      <c r="M330" s="9">
        <v>9</v>
      </c>
      <c r="N330" s="9">
        <v>16.100000000000001</v>
      </c>
      <c r="O330" s="9">
        <v>14</v>
      </c>
      <c r="P330" s="9">
        <v>19.5</v>
      </c>
      <c r="Q330" s="9">
        <v>2.8</v>
      </c>
      <c r="R330">
        <v>10</v>
      </c>
      <c r="S330">
        <v>1000</v>
      </c>
      <c r="T330" s="4">
        <f t="shared" si="29"/>
        <v>604.40284226394715</v>
      </c>
      <c r="U330">
        <v>41</v>
      </c>
    </row>
    <row r="331" spans="1:21">
      <c r="A331" s="44">
        <f t="shared" si="30"/>
        <v>45852.666666665871</v>
      </c>
      <c r="B331" s="45">
        <f t="shared" si="25"/>
        <v>8000</v>
      </c>
      <c r="C331" s="8">
        <v>25000</v>
      </c>
      <c r="D331" s="8">
        <v>0</v>
      </c>
      <c r="E331" s="8">
        <v>700</v>
      </c>
      <c r="F331" s="8">
        <v>7500</v>
      </c>
      <c r="G331" s="45">
        <f t="shared" si="26"/>
        <v>2400</v>
      </c>
      <c r="H331" s="8">
        <v>25000</v>
      </c>
      <c r="I331" s="45">
        <f t="shared" si="27"/>
        <v>8000</v>
      </c>
      <c r="J331" s="8">
        <v>25000</v>
      </c>
      <c r="K331" s="45">
        <f t="shared" si="28"/>
        <v>8000</v>
      </c>
      <c r="L331" s="8">
        <v>25000</v>
      </c>
      <c r="M331" s="9">
        <v>9</v>
      </c>
      <c r="N331" s="9">
        <v>16.100000000000001</v>
      </c>
      <c r="O331" s="9">
        <v>14</v>
      </c>
      <c r="P331" s="9">
        <v>19.5</v>
      </c>
      <c r="Q331" s="9">
        <v>3</v>
      </c>
      <c r="R331">
        <v>10</v>
      </c>
      <c r="S331">
        <v>1000</v>
      </c>
      <c r="T331" s="4">
        <f t="shared" si="29"/>
        <v>875.91062255139741</v>
      </c>
      <c r="U331">
        <v>86</v>
      </c>
    </row>
    <row r="332" spans="1:21">
      <c r="A332" s="44">
        <f t="shared" si="30"/>
        <v>45852.708333332535</v>
      </c>
      <c r="B332" s="45">
        <f t="shared" si="25"/>
        <v>8000</v>
      </c>
      <c r="C332" s="8">
        <v>25000</v>
      </c>
      <c r="D332" s="8">
        <v>0</v>
      </c>
      <c r="E332" s="8">
        <v>700</v>
      </c>
      <c r="F332" s="8">
        <v>7500</v>
      </c>
      <c r="G332" s="45">
        <f t="shared" si="26"/>
        <v>2400</v>
      </c>
      <c r="H332" s="8">
        <v>25000</v>
      </c>
      <c r="I332" s="45">
        <f t="shared" si="27"/>
        <v>8000</v>
      </c>
      <c r="J332" s="8">
        <v>25000</v>
      </c>
      <c r="K332" s="45">
        <f t="shared" si="28"/>
        <v>8000</v>
      </c>
      <c r="L332" s="8">
        <v>25000</v>
      </c>
      <c r="M332" s="9">
        <v>9</v>
      </c>
      <c r="N332" s="9">
        <v>16.100000000000001</v>
      </c>
      <c r="O332" s="9">
        <v>14</v>
      </c>
      <c r="P332" s="9">
        <v>19.5</v>
      </c>
      <c r="Q332" s="9">
        <v>2.6</v>
      </c>
      <c r="R332">
        <v>10</v>
      </c>
      <c r="S332">
        <v>1000</v>
      </c>
      <c r="T332" s="4">
        <f t="shared" si="29"/>
        <v>1116.9022972813298</v>
      </c>
      <c r="U332">
        <v>80</v>
      </c>
    </row>
    <row r="333" spans="1:21">
      <c r="A333" s="44">
        <f t="shared" si="30"/>
        <v>45852.7499999992</v>
      </c>
      <c r="B333" s="45">
        <f t="shared" si="25"/>
        <v>5000</v>
      </c>
      <c r="C333" s="8">
        <v>25000</v>
      </c>
      <c r="D333" s="8">
        <v>0</v>
      </c>
      <c r="E333" s="8">
        <v>700</v>
      </c>
      <c r="F333" s="8">
        <v>7500</v>
      </c>
      <c r="G333" s="45">
        <f t="shared" si="26"/>
        <v>2400</v>
      </c>
      <c r="H333" s="8">
        <v>25000</v>
      </c>
      <c r="I333" s="45">
        <f t="shared" si="27"/>
        <v>5000</v>
      </c>
      <c r="J333" s="8">
        <v>25000</v>
      </c>
      <c r="K333" s="45">
        <f t="shared" si="28"/>
        <v>5000</v>
      </c>
      <c r="L333" s="8">
        <v>25000</v>
      </c>
      <c r="M333" s="9">
        <v>9</v>
      </c>
      <c r="N333" s="9">
        <v>16.100000000000001</v>
      </c>
      <c r="O333" s="9">
        <v>14</v>
      </c>
      <c r="P333" s="9">
        <v>19.5</v>
      </c>
      <c r="Q333" s="9">
        <v>2.8</v>
      </c>
      <c r="R333">
        <v>10</v>
      </c>
      <c r="S333">
        <v>1000</v>
      </c>
      <c r="T333" s="4">
        <f t="shared" si="29"/>
        <v>1156.8299120294841</v>
      </c>
      <c r="U333">
        <v>13</v>
      </c>
    </row>
    <row r="334" spans="1:21">
      <c r="A334" s="44">
        <f t="shared" si="30"/>
        <v>45852.791666665864</v>
      </c>
      <c r="B334" s="45">
        <f t="shared" si="25"/>
        <v>5000</v>
      </c>
      <c r="C334" s="8">
        <v>25000</v>
      </c>
      <c r="D334" s="8">
        <v>0</v>
      </c>
      <c r="E334" s="8">
        <v>700</v>
      </c>
      <c r="F334" s="8">
        <v>7500</v>
      </c>
      <c r="G334" s="45">
        <f t="shared" si="26"/>
        <v>2400</v>
      </c>
      <c r="H334" s="8">
        <v>25000</v>
      </c>
      <c r="I334" s="45">
        <f t="shared" si="27"/>
        <v>5000</v>
      </c>
      <c r="J334" s="8">
        <v>25000</v>
      </c>
      <c r="K334" s="45">
        <f t="shared" si="28"/>
        <v>5000</v>
      </c>
      <c r="L334" s="8">
        <v>25000</v>
      </c>
      <c r="M334" s="9">
        <v>9</v>
      </c>
      <c r="N334" s="9">
        <v>16.100000000000001</v>
      </c>
      <c r="O334" s="9">
        <v>14</v>
      </c>
      <c r="P334" s="9">
        <v>19.5</v>
      </c>
      <c r="Q334" s="9">
        <v>2.8</v>
      </c>
      <c r="R334">
        <v>10</v>
      </c>
      <c r="S334">
        <v>1000</v>
      </c>
      <c r="T334" s="4">
        <f t="shared" si="29"/>
        <v>1156.8299120294841</v>
      </c>
      <c r="U334">
        <v>29</v>
      </c>
    </row>
    <row r="335" spans="1:21">
      <c r="A335" s="44">
        <f t="shared" si="30"/>
        <v>45852.833333332528</v>
      </c>
      <c r="B335" s="45">
        <f t="shared" si="25"/>
        <v>5000</v>
      </c>
      <c r="C335" s="8">
        <v>25000</v>
      </c>
      <c r="D335" s="8">
        <v>0</v>
      </c>
      <c r="E335" s="8">
        <v>700</v>
      </c>
      <c r="F335" s="8">
        <v>7500</v>
      </c>
      <c r="G335" s="45">
        <f t="shared" si="26"/>
        <v>2400</v>
      </c>
      <c r="H335" s="8">
        <v>25000</v>
      </c>
      <c r="I335" s="45">
        <f t="shared" si="27"/>
        <v>5000</v>
      </c>
      <c r="J335" s="8">
        <v>25000</v>
      </c>
      <c r="K335" s="45">
        <f t="shared" si="28"/>
        <v>5000</v>
      </c>
      <c r="L335" s="8">
        <v>25000</v>
      </c>
      <c r="M335" s="9">
        <v>9</v>
      </c>
      <c r="N335" s="9">
        <v>16.100000000000001</v>
      </c>
      <c r="O335" s="9">
        <v>14</v>
      </c>
      <c r="P335" s="9">
        <v>19.5</v>
      </c>
      <c r="Q335" s="9">
        <v>2.6</v>
      </c>
      <c r="R335">
        <v>10</v>
      </c>
      <c r="S335">
        <v>1000</v>
      </c>
      <c r="T335" s="4">
        <f t="shared" si="29"/>
        <v>1114.0503247993186</v>
      </c>
      <c r="U335">
        <v>39</v>
      </c>
    </row>
    <row r="336" spans="1:21">
      <c r="A336" s="44">
        <f t="shared" si="30"/>
        <v>45852.874999999192</v>
      </c>
      <c r="B336" s="45">
        <f t="shared" si="25"/>
        <v>5000</v>
      </c>
      <c r="C336" s="8">
        <v>25000</v>
      </c>
      <c r="D336" s="8">
        <v>0</v>
      </c>
      <c r="E336" s="8">
        <v>700</v>
      </c>
      <c r="F336" s="8">
        <v>7500</v>
      </c>
      <c r="G336" s="45">
        <f t="shared" si="26"/>
        <v>2400</v>
      </c>
      <c r="H336" s="8">
        <v>25000</v>
      </c>
      <c r="I336" s="45">
        <f t="shared" si="27"/>
        <v>5000</v>
      </c>
      <c r="J336" s="8">
        <v>25000</v>
      </c>
      <c r="K336" s="45">
        <f t="shared" si="28"/>
        <v>5000</v>
      </c>
      <c r="L336" s="8">
        <v>25000</v>
      </c>
      <c r="M336" s="9">
        <v>9</v>
      </c>
      <c r="N336" s="9">
        <v>16.100000000000001</v>
      </c>
      <c r="O336" s="9">
        <v>14</v>
      </c>
      <c r="P336" s="9">
        <v>19.5</v>
      </c>
      <c r="Q336" s="9">
        <v>2.5</v>
      </c>
      <c r="R336">
        <v>10</v>
      </c>
      <c r="S336">
        <v>1000</v>
      </c>
      <c r="T336" s="4">
        <f t="shared" si="29"/>
        <v>1034.1950953030096</v>
      </c>
      <c r="U336">
        <v>84</v>
      </c>
    </row>
    <row r="337" spans="1:21">
      <c r="A337" s="44">
        <f t="shared" si="30"/>
        <v>45852.916666665857</v>
      </c>
      <c r="B337" s="45">
        <f t="shared" si="25"/>
        <v>5000</v>
      </c>
      <c r="C337" s="8">
        <v>25000</v>
      </c>
      <c r="D337" s="8">
        <v>0</v>
      </c>
      <c r="E337" s="8">
        <v>700</v>
      </c>
      <c r="F337" s="8">
        <v>7500</v>
      </c>
      <c r="G337" s="45">
        <f t="shared" si="26"/>
        <v>2400</v>
      </c>
      <c r="H337" s="8">
        <v>25000</v>
      </c>
      <c r="I337" s="45">
        <f t="shared" si="27"/>
        <v>5000</v>
      </c>
      <c r="J337" s="8">
        <v>25000</v>
      </c>
      <c r="K337" s="45">
        <f t="shared" si="28"/>
        <v>5000</v>
      </c>
      <c r="L337" s="8">
        <v>25000</v>
      </c>
      <c r="M337" s="9">
        <v>9</v>
      </c>
      <c r="N337" s="9">
        <v>16.100000000000001</v>
      </c>
      <c r="O337" s="9">
        <v>14</v>
      </c>
      <c r="P337" s="9">
        <v>19.5</v>
      </c>
      <c r="Q337" s="9">
        <v>2.8</v>
      </c>
      <c r="R337">
        <v>10</v>
      </c>
      <c r="S337">
        <v>1000</v>
      </c>
      <c r="T337" s="4">
        <f t="shared" si="29"/>
        <v>807.46328298313267</v>
      </c>
      <c r="U337">
        <v>44</v>
      </c>
    </row>
    <row r="338" spans="1:21">
      <c r="A338" s="44">
        <f t="shared" si="30"/>
        <v>45852.958333332521</v>
      </c>
      <c r="B338" s="45">
        <f t="shared" si="25"/>
        <v>5000</v>
      </c>
      <c r="C338" s="8">
        <v>25000</v>
      </c>
      <c r="D338" s="8">
        <v>0</v>
      </c>
      <c r="E338" s="8">
        <v>700</v>
      </c>
      <c r="F338" s="8">
        <v>7500</v>
      </c>
      <c r="G338" s="45">
        <f t="shared" si="26"/>
        <v>2400</v>
      </c>
      <c r="H338" s="8">
        <v>25000</v>
      </c>
      <c r="I338" s="45">
        <f t="shared" si="27"/>
        <v>5000</v>
      </c>
      <c r="J338" s="8">
        <v>25000</v>
      </c>
      <c r="K338" s="45">
        <f t="shared" si="28"/>
        <v>5000</v>
      </c>
      <c r="L338" s="8">
        <v>25000</v>
      </c>
      <c r="M338" s="9">
        <v>9</v>
      </c>
      <c r="N338" s="9">
        <v>16.100000000000001</v>
      </c>
      <c r="O338" s="9">
        <v>14</v>
      </c>
      <c r="P338" s="9">
        <v>19.5</v>
      </c>
      <c r="Q338" s="9">
        <v>2.5</v>
      </c>
      <c r="R338">
        <v>10</v>
      </c>
      <c r="S338">
        <v>1000</v>
      </c>
      <c r="T338" s="4">
        <f t="shared" si="29"/>
        <v>442.69657292841788</v>
      </c>
      <c r="U338">
        <v>43</v>
      </c>
    </row>
    <row r="339" spans="1:21">
      <c r="A339" s="44">
        <f t="shared" si="30"/>
        <v>45852.999999999185</v>
      </c>
      <c r="B339" s="45">
        <f t="shared" si="25"/>
        <v>5000</v>
      </c>
      <c r="C339" s="8">
        <v>25000</v>
      </c>
      <c r="D339" s="8">
        <v>0</v>
      </c>
      <c r="E339" s="8">
        <v>700</v>
      </c>
      <c r="F339" s="8">
        <v>7500</v>
      </c>
      <c r="G339" s="45">
        <f t="shared" si="26"/>
        <v>2400</v>
      </c>
      <c r="H339" s="8">
        <v>25000</v>
      </c>
      <c r="I339" s="45">
        <f t="shared" si="27"/>
        <v>5000</v>
      </c>
      <c r="J339" s="8">
        <v>25000</v>
      </c>
      <c r="K339" s="45">
        <f t="shared" si="28"/>
        <v>5000</v>
      </c>
      <c r="L339" s="8">
        <v>25000</v>
      </c>
      <c r="M339" s="9">
        <v>9</v>
      </c>
      <c r="N339" s="9">
        <v>16.100000000000001</v>
      </c>
      <c r="O339" s="9">
        <v>14</v>
      </c>
      <c r="P339" s="9">
        <v>19.5</v>
      </c>
      <c r="Q339" s="9">
        <v>3</v>
      </c>
      <c r="R339">
        <v>10</v>
      </c>
      <c r="S339">
        <v>1000</v>
      </c>
      <c r="T339" s="4">
        <f t="shared" si="29"/>
        <v>442.69657292841788</v>
      </c>
      <c r="U339">
        <v>46</v>
      </c>
    </row>
    <row r="340" spans="1:21">
      <c r="A340" s="44">
        <f t="shared" si="30"/>
        <v>45853.041666665849</v>
      </c>
      <c r="B340" s="45">
        <f t="shared" si="25"/>
        <v>5000</v>
      </c>
      <c r="C340" s="8">
        <v>25000</v>
      </c>
      <c r="D340" s="8">
        <v>0</v>
      </c>
      <c r="E340" s="8">
        <v>700</v>
      </c>
      <c r="F340" s="8">
        <v>7500</v>
      </c>
      <c r="G340" s="45">
        <f t="shared" si="26"/>
        <v>2400</v>
      </c>
      <c r="H340" s="8">
        <v>25000</v>
      </c>
      <c r="I340" s="45">
        <f t="shared" si="27"/>
        <v>5000</v>
      </c>
      <c r="J340" s="8">
        <v>25000</v>
      </c>
      <c r="K340" s="45">
        <f t="shared" si="28"/>
        <v>5000</v>
      </c>
      <c r="L340" s="8">
        <v>25000</v>
      </c>
      <c r="M340" s="9">
        <v>9</v>
      </c>
      <c r="N340" s="9">
        <v>16.100000000000001</v>
      </c>
      <c r="O340" s="9">
        <v>14</v>
      </c>
      <c r="P340" s="9">
        <v>19.5</v>
      </c>
      <c r="Q340" s="9">
        <v>2.5</v>
      </c>
      <c r="R340">
        <v>10</v>
      </c>
      <c r="S340">
        <v>1000</v>
      </c>
      <c r="T340" s="4">
        <f t="shared" si="29"/>
        <v>362.27094893570683</v>
      </c>
      <c r="U340">
        <v>63</v>
      </c>
    </row>
    <row r="341" spans="1:21">
      <c r="A341" s="44">
        <f t="shared" si="30"/>
        <v>45853.083333332514</v>
      </c>
      <c r="B341" s="45">
        <f t="shared" si="25"/>
        <v>5000</v>
      </c>
      <c r="C341" s="8">
        <v>25000</v>
      </c>
      <c r="D341" s="8">
        <v>0</v>
      </c>
      <c r="E341" s="8">
        <v>700</v>
      </c>
      <c r="F341" s="8">
        <v>7500</v>
      </c>
      <c r="G341" s="45">
        <f t="shared" si="26"/>
        <v>2400</v>
      </c>
      <c r="H341" s="8">
        <v>25000</v>
      </c>
      <c r="I341" s="45">
        <f t="shared" si="27"/>
        <v>5000</v>
      </c>
      <c r="J341" s="8">
        <v>25000</v>
      </c>
      <c r="K341" s="45">
        <f t="shared" si="28"/>
        <v>5000</v>
      </c>
      <c r="L341" s="8">
        <v>25000</v>
      </c>
      <c r="M341" s="9">
        <v>9</v>
      </c>
      <c r="N341" s="9">
        <v>16.100000000000001</v>
      </c>
      <c r="O341" s="9">
        <v>14</v>
      </c>
      <c r="P341" s="9">
        <v>19.5</v>
      </c>
      <c r="Q341" s="9">
        <v>2.8</v>
      </c>
      <c r="R341">
        <v>10</v>
      </c>
      <c r="S341">
        <v>1000</v>
      </c>
      <c r="T341" s="4">
        <f t="shared" si="29"/>
        <v>362.27094893570683</v>
      </c>
      <c r="U341">
        <v>98</v>
      </c>
    </row>
    <row r="342" spans="1:21">
      <c r="A342" s="44">
        <f t="shared" si="30"/>
        <v>45853.124999999178</v>
      </c>
      <c r="B342" s="45">
        <f t="shared" si="25"/>
        <v>5000</v>
      </c>
      <c r="C342" s="8">
        <v>25000</v>
      </c>
      <c r="D342" s="8">
        <v>0</v>
      </c>
      <c r="E342" s="8">
        <v>700</v>
      </c>
      <c r="F342" s="8">
        <v>7500</v>
      </c>
      <c r="G342" s="45">
        <f t="shared" si="26"/>
        <v>2400</v>
      </c>
      <c r="H342" s="8">
        <v>25000</v>
      </c>
      <c r="I342" s="45">
        <f t="shared" si="27"/>
        <v>5000</v>
      </c>
      <c r="J342" s="8">
        <v>25000</v>
      </c>
      <c r="K342" s="45">
        <f t="shared" si="28"/>
        <v>5000</v>
      </c>
      <c r="L342" s="8">
        <v>25000</v>
      </c>
      <c r="M342" s="9">
        <v>9</v>
      </c>
      <c r="N342" s="9">
        <v>16.100000000000001</v>
      </c>
      <c r="O342" s="9">
        <v>14</v>
      </c>
      <c r="P342" s="9">
        <v>19.5</v>
      </c>
      <c r="Q342" s="9">
        <v>2.9</v>
      </c>
      <c r="R342">
        <v>10</v>
      </c>
      <c r="S342">
        <v>1000</v>
      </c>
      <c r="T342" s="4">
        <f t="shared" si="29"/>
        <v>362.27094893570683</v>
      </c>
      <c r="U342">
        <v>72</v>
      </c>
    </row>
    <row r="343" spans="1:21">
      <c r="A343" s="44">
        <f t="shared" si="30"/>
        <v>45853.166666665842</v>
      </c>
      <c r="B343" s="45">
        <f t="shared" si="25"/>
        <v>5000</v>
      </c>
      <c r="C343" s="8">
        <v>25000</v>
      </c>
      <c r="D343" s="8">
        <v>0</v>
      </c>
      <c r="E343" s="8">
        <v>700</v>
      </c>
      <c r="F343" s="8">
        <v>7500</v>
      </c>
      <c r="G343" s="45">
        <f t="shared" si="26"/>
        <v>2400</v>
      </c>
      <c r="H343" s="8">
        <v>25000</v>
      </c>
      <c r="I343" s="45">
        <f t="shared" si="27"/>
        <v>5000</v>
      </c>
      <c r="J343" s="8">
        <v>25000</v>
      </c>
      <c r="K343" s="45">
        <f t="shared" si="28"/>
        <v>5000</v>
      </c>
      <c r="L343" s="8">
        <v>25000</v>
      </c>
      <c r="M343" s="9">
        <v>9</v>
      </c>
      <c r="N343" s="9">
        <v>16.100000000000001</v>
      </c>
      <c r="O343" s="9">
        <v>14</v>
      </c>
      <c r="P343" s="9">
        <v>19.5</v>
      </c>
      <c r="Q343" s="9">
        <v>2.6</v>
      </c>
      <c r="R343">
        <v>10</v>
      </c>
      <c r="S343">
        <v>1000</v>
      </c>
      <c r="T343" s="4">
        <f t="shared" si="29"/>
        <v>426.44032978095498</v>
      </c>
      <c r="U343">
        <v>63</v>
      </c>
    </row>
    <row r="344" spans="1:21">
      <c r="A344" s="44">
        <f t="shared" si="30"/>
        <v>45853.208333332506</v>
      </c>
      <c r="B344" s="45">
        <f t="shared" si="25"/>
        <v>5000</v>
      </c>
      <c r="C344" s="8">
        <v>25000</v>
      </c>
      <c r="D344" s="8">
        <v>0</v>
      </c>
      <c r="E344" s="8">
        <v>700</v>
      </c>
      <c r="F344" s="8">
        <v>7500</v>
      </c>
      <c r="G344" s="45">
        <f t="shared" si="26"/>
        <v>2400</v>
      </c>
      <c r="H344" s="8">
        <v>25000</v>
      </c>
      <c r="I344" s="45">
        <f t="shared" si="27"/>
        <v>5000</v>
      </c>
      <c r="J344" s="8">
        <v>25000</v>
      </c>
      <c r="K344" s="45">
        <f t="shared" si="28"/>
        <v>5000</v>
      </c>
      <c r="L344" s="8">
        <v>25000</v>
      </c>
      <c r="M344" s="9">
        <v>9</v>
      </c>
      <c r="N344" s="9">
        <v>16.100000000000001</v>
      </c>
      <c r="O344" s="9">
        <v>14</v>
      </c>
      <c r="P344" s="9">
        <v>19.5</v>
      </c>
      <c r="Q344" s="9">
        <v>2.6</v>
      </c>
      <c r="R344">
        <v>10</v>
      </c>
      <c r="S344">
        <v>1000</v>
      </c>
      <c r="T344" s="4">
        <f t="shared" si="29"/>
        <v>362.27094893570683</v>
      </c>
      <c r="U344">
        <v>20</v>
      </c>
    </row>
    <row r="345" spans="1:21">
      <c r="A345" s="44">
        <f t="shared" si="30"/>
        <v>45853.249999999171</v>
      </c>
      <c r="B345" s="45">
        <f t="shared" si="25"/>
        <v>8000</v>
      </c>
      <c r="C345" s="8">
        <v>25000</v>
      </c>
      <c r="D345" s="8">
        <v>0</v>
      </c>
      <c r="E345" s="8">
        <v>700</v>
      </c>
      <c r="F345" s="8">
        <v>7500</v>
      </c>
      <c r="G345" s="45">
        <f t="shared" si="26"/>
        <v>2400</v>
      </c>
      <c r="H345" s="8">
        <v>25000</v>
      </c>
      <c r="I345" s="45">
        <f t="shared" si="27"/>
        <v>8000</v>
      </c>
      <c r="J345" s="8">
        <v>25000</v>
      </c>
      <c r="K345" s="45">
        <f t="shared" si="28"/>
        <v>8000</v>
      </c>
      <c r="L345" s="8">
        <v>25000</v>
      </c>
      <c r="M345" s="9">
        <v>9</v>
      </c>
      <c r="N345" s="9">
        <v>16.100000000000001</v>
      </c>
      <c r="O345" s="9">
        <v>14</v>
      </c>
      <c r="P345" s="9">
        <v>19.5</v>
      </c>
      <c r="Q345" s="9">
        <v>2.6</v>
      </c>
      <c r="R345">
        <v>10</v>
      </c>
      <c r="S345">
        <v>1000</v>
      </c>
      <c r="T345" s="4">
        <f t="shared" si="29"/>
        <v>304.3759075508828</v>
      </c>
      <c r="U345">
        <v>23</v>
      </c>
    </row>
    <row r="346" spans="1:21">
      <c r="A346" s="44">
        <f t="shared" si="30"/>
        <v>45853.291666665835</v>
      </c>
      <c r="B346" s="45">
        <f t="shared" si="25"/>
        <v>8000</v>
      </c>
      <c r="C346" s="8">
        <v>25000</v>
      </c>
      <c r="D346" s="8">
        <v>0</v>
      </c>
      <c r="E346" s="8">
        <v>700</v>
      </c>
      <c r="F346" s="8">
        <v>7500</v>
      </c>
      <c r="G346" s="45">
        <f t="shared" si="26"/>
        <v>2400</v>
      </c>
      <c r="H346" s="8">
        <v>25000</v>
      </c>
      <c r="I346" s="45">
        <f t="shared" si="27"/>
        <v>8000</v>
      </c>
      <c r="J346" s="8">
        <v>25000</v>
      </c>
      <c r="K346" s="45">
        <f t="shared" si="28"/>
        <v>8000</v>
      </c>
      <c r="L346" s="8">
        <v>25000</v>
      </c>
      <c r="M346" s="9">
        <v>9</v>
      </c>
      <c r="N346" s="9">
        <v>16.100000000000001</v>
      </c>
      <c r="O346" s="9">
        <v>14</v>
      </c>
      <c r="P346" s="9">
        <v>19.5</v>
      </c>
      <c r="Q346" s="9">
        <v>2.9</v>
      </c>
      <c r="R346">
        <v>10</v>
      </c>
      <c r="S346">
        <v>1000</v>
      </c>
      <c r="T346" s="4">
        <f t="shared" si="29"/>
        <v>280.13414145378908</v>
      </c>
      <c r="U346">
        <v>17</v>
      </c>
    </row>
    <row r="347" spans="1:21">
      <c r="A347" s="44">
        <f t="shared" si="30"/>
        <v>45853.333333332499</v>
      </c>
      <c r="B347" s="45">
        <f t="shared" si="25"/>
        <v>8000</v>
      </c>
      <c r="C347" s="8">
        <v>25000</v>
      </c>
      <c r="D347" s="8">
        <v>0</v>
      </c>
      <c r="E347" s="8">
        <v>700</v>
      </c>
      <c r="F347" s="8">
        <v>7500</v>
      </c>
      <c r="G347" s="45">
        <f t="shared" si="26"/>
        <v>2400</v>
      </c>
      <c r="H347" s="8">
        <v>25000</v>
      </c>
      <c r="I347" s="45">
        <f t="shared" si="27"/>
        <v>8000</v>
      </c>
      <c r="J347" s="8">
        <v>25000</v>
      </c>
      <c r="K347" s="45">
        <f t="shared" si="28"/>
        <v>8000</v>
      </c>
      <c r="L347" s="8">
        <v>25000</v>
      </c>
      <c r="M347" s="9">
        <v>9</v>
      </c>
      <c r="N347" s="9">
        <v>16.100000000000001</v>
      </c>
      <c r="O347" s="9">
        <v>14</v>
      </c>
      <c r="P347" s="9">
        <v>19.5</v>
      </c>
      <c r="Q347" s="9">
        <v>2.6</v>
      </c>
      <c r="R347">
        <v>10</v>
      </c>
      <c r="S347">
        <v>1000</v>
      </c>
      <c r="T347" s="4">
        <f t="shared" si="29"/>
        <v>294.39400386384426</v>
      </c>
      <c r="U347">
        <v>35</v>
      </c>
    </row>
    <row r="348" spans="1:21">
      <c r="A348" s="44">
        <f t="shared" si="30"/>
        <v>45853.374999999163</v>
      </c>
      <c r="B348" s="45">
        <f t="shared" ref="B348:B411" si="31">B324</f>
        <v>8000</v>
      </c>
      <c r="C348" s="8">
        <v>25000</v>
      </c>
      <c r="D348" s="8">
        <v>0</v>
      </c>
      <c r="E348" s="8">
        <v>700</v>
      </c>
      <c r="F348" s="8">
        <v>7500</v>
      </c>
      <c r="G348" s="45">
        <f t="shared" ref="G348:G411" si="32">G324</f>
        <v>2400</v>
      </c>
      <c r="H348" s="8">
        <v>25000</v>
      </c>
      <c r="I348" s="45">
        <f t="shared" ref="I348:I411" si="33">I324</f>
        <v>8000</v>
      </c>
      <c r="J348" s="8">
        <v>25000</v>
      </c>
      <c r="K348" s="45">
        <f t="shared" ref="K348:K411" si="34">K324</f>
        <v>8000</v>
      </c>
      <c r="L348" s="8">
        <v>25000</v>
      </c>
      <c r="M348" s="9">
        <v>9</v>
      </c>
      <c r="N348" s="9">
        <v>16.100000000000001</v>
      </c>
      <c r="O348" s="9">
        <v>14</v>
      </c>
      <c r="P348" s="9">
        <v>19.5</v>
      </c>
      <c r="Q348" s="9">
        <v>3</v>
      </c>
      <c r="R348">
        <v>10</v>
      </c>
      <c r="S348">
        <v>1000</v>
      </c>
      <c r="T348" s="4">
        <f t="shared" ref="T348:T411" si="35">T324</f>
        <v>317.20978371993255</v>
      </c>
      <c r="U348">
        <v>14</v>
      </c>
    </row>
    <row r="349" spans="1:21">
      <c r="A349" s="44">
        <f t="shared" si="30"/>
        <v>45853.416666665828</v>
      </c>
      <c r="B349" s="45">
        <f t="shared" si="31"/>
        <v>8000</v>
      </c>
      <c r="C349" s="8">
        <v>25000</v>
      </c>
      <c r="D349" s="8">
        <v>0</v>
      </c>
      <c r="E349" s="8">
        <v>700</v>
      </c>
      <c r="F349" s="8">
        <v>7500</v>
      </c>
      <c r="G349" s="45">
        <f t="shared" si="32"/>
        <v>2400</v>
      </c>
      <c r="H349" s="8">
        <v>25000</v>
      </c>
      <c r="I349" s="45">
        <f t="shared" si="33"/>
        <v>8000</v>
      </c>
      <c r="J349" s="8">
        <v>25000</v>
      </c>
      <c r="K349" s="45">
        <f t="shared" si="34"/>
        <v>8000</v>
      </c>
      <c r="L349" s="8">
        <v>25000</v>
      </c>
      <c r="M349" s="9">
        <v>9</v>
      </c>
      <c r="N349" s="9">
        <v>16.100000000000001</v>
      </c>
      <c r="O349" s="9">
        <v>14</v>
      </c>
      <c r="P349" s="9">
        <v>19.5</v>
      </c>
      <c r="Q349" s="9">
        <v>2.6</v>
      </c>
      <c r="R349">
        <v>10</v>
      </c>
      <c r="S349">
        <v>1000</v>
      </c>
      <c r="T349" s="4">
        <f t="shared" si="35"/>
        <v>308.08347177749721</v>
      </c>
      <c r="U349">
        <v>87</v>
      </c>
    </row>
    <row r="350" spans="1:21">
      <c r="A350" s="44">
        <f t="shared" si="30"/>
        <v>45853.458333332492</v>
      </c>
      <c r="B350" s="45">
        <f t="shared" si="31"/>
        <v>8000</v>
      </c>
      <c r="C350" s="8">
        <v>25000</v>
      </c>
      <c r="D350" s="8">
        <v>0</v>
      </c>
      <c r="E350" s="8">
        <v>700</v>
      </c>
      <c r="F350" s="8">
        <v>7500</v>
      </c>
      <c r="G350" s="45">
        <f t="shared" si="32"/>
        <v>2400</v>
      </c>
      <c r="H350" s="8">
        <v>25000</v>
      </c>
      <c r="I350" s="45">
        <f t="shared" si="33"/>
        <v>8000</v>
      </c>
      <c r="J350" s="8">
        <v>25000</v>
      </c>
      <c r="K350" s="45">
        <f t="shared" si="34"/>
        <v>8000</v>
      </c>
      <c r="L350" s="8">
        <v>25000</v>
      </c>
      <c r="M350" s="9">
        <v>9</v>
      </c>
      <c r="N350" s="9">
        <v>16.100000000000001</v>
      </c>
      <c r="O350" s="9">
        <v>14</v>
      </c>
      <c r="P350" s="9">
        <v>19.5</v>
      </c>
      <c r="Q350" s="9">
        <v>2.4</v>
      </c>
      <c r="R350">
        <v>10</v>
      </c>
      <c r="S350">
        <v>1000</v>
      </c>
      <c r="T350" s="4">
        <f t="shared" si="35"/>
        <v>303.80551305448063</v>
      </c>
      <c r="U350">
        <v>71</v>
      </c>
    </row>
    <row r="351" spans="1:21">
      <c r="A351" s="44">
        <f t="shared" si="30"/>
        <v>45853.499999999156</v>
      </c>
      <c r="B351" s="45">
        <f t="shared" si="31"/>
        <v>8000</v>
      </c>
      <c r="C351" s="8">
        <v>25000</v>
      </c>
      <c r="D351" s="8">
        <v>0</v>
      </c>
      <c r="E351" s="8">
        <v>700</v>
      </c>
      <c r="F351" s="8">
        <v>7500</v>
      </c>
      <c r="G351" s="45">
        <f t="shared" si="32"/>
        <v>2400</v>
      </c>
      <c r="H351" s="8">
        <v>25000</v>
      </c>
      <c r="I351" s="45">
        <f t="shared" si="33"/>
        <v>8000</v>
      </c>
      <c r="J351" s="8">
        <v>25000</v>
      </c>
      <c r="K351" s="45">
        <f t="shared" si="34"/>
        <v>8000</v>
      </c>
      <c r="L351" s="8">
        <v>25000</v>
      </c>
      <c r="M351" s="9">
        <v>9</v>
      </c>
      <c r="N351" s="9">
        <v>16.100000000000001</v>
      </c>
      <c r="O351" s="9">
        <v>14</v>
      </c>
      <c r="P351" s="9">
        <v>19.5</v>
      </c>
      <c r="Q351" s="9">
        <v>2.7</v>
      </c>
      <c r="R351">
        <v>10</v>
      </c>
      <c r="S351">
        <v>1000</v>
      </c>
      <c r="T351" s="4">
        <f t="shared" si="35"/>
        <v>303.80551305448063</v>
      </c>
      <c r="U351">
        <v>11</v>
      </c>
    </row>
    <row r="352" spans="1:21">
      <c r="A352" s="44">
        <f t="shared" si="30"/>
        <v>45853.54166666582</v>
      </c>
      <c r="B352" s="45">
        <f t="shared" si="31"/>
        <v>8000</v>
      </c>
      <c r="C352" s="8">
        <v>25000</v>
      </c>
      <c r="D352" s="8">
        <v>0</v>
      </c>
      <c r="E352" s="8">
        <v>700</v>
      </c>
      <c r="F352" s="8">
        <v>7500</v>
      </c>
      <c r="G352" s="45">
        <f t="shared" si="32"/>
        <v>2400</v>
      </c>
      <c r="H352" s="8">
        <v>25000</v>
      </c>
      <c r="I352" s="45">
        <f t="shared" si="33"/>
        <v>8000</v>
      </c>
      <c r="J352" s="8">
        <v>25000</v>
      </c>
      <c r="K352" s="45">
        <f t="shared" si="34"/>
        <v>8000</v>
      </c>
      <c r="L352" s="8">
        <v>25000</v>
      </c>
      <c r="M352" s="9">
        <v>9</v>
      </c>
      <c r="N352" s="9">
        <v>16.100000000000001</v>
      </c>
      <c r="O352" s="9">
        <v>14</v>
      </c>
      <c r="P352" s="9">
        <v>19.5</v>
      </c>
      <c r="Q352" s="9">
        <v>2.6</v>
      </c>
      <c r="R352">
        <v>10</v>
      </c>
      <c r="S352">
        <v>1000</v>
      </c>
      <c r="T352" s="4">
        <f t="shared" si="35"/>
        <v>353.43040463596901</v>
      </c>
      <c r="U352">
        <v>65</v>
      </c>
    </row>
    <row r="353" spans="1:21">
      <c r="A353" s="44">
        <f t="shared" si="30"/>
        <v>45853.583333332484</v>
      </c>
      <c r="B353" s="45">
        <f t="shared" si="31"/>
        <v>8000</v>
      </c>
      <c r="C353" s="8">
        <v>25000</v>
      </c>
      <c r="D353" s="8">
        <v>0</v>
      </c>
      <c r="E353" s="8">
        <v>700</v>
      </c>
      <c r="F353" s="8">
        <v>7500</v>
      </c>
      <c r="G353" s="45">
        <f t="shared" si="32"/>
        <v>2400</v>
      </c>
      <c r="H353" s="8">
        <v>25000</v>
      </c>
      <c r="I353" s="45">
        <f t="shared" si="33"/>
        <v>8000</v>
      </c>
      <c r="J353" s="8">
        <v>25000</v>
      </c>
      <c r="K353" s="45">
        <f t="shared" si="34"/>
        <v>8000</v>
      </c>
      <c r="L353" s="8">
        <v>25000</v>
      </c>
      <c r="M353" s="9">
        <v>9</v>
      </c>
      <c r="N353" s="9">
        <v>16.100000000000001</v>
      </c>
      <c r="O353" s="9">
        <v>14</v>
      </c>
      <c r="P353" s="9">
        <v>19.5</v>
      </c>
      <c r="Q353" s="9">
        <v>2.9</v>
      </c>
      <c r="R353">
        <v>10</v>
      </c>
      <c r="S353">
        <v>1000</v>
      </c>
      <c r="T353" s="4">
        <f t="shared" si="35"/>
        <v>587.29100737188094</v>
      </c>
      <c r="U353">
        <v>66</v>
      </c>
    </row>
    <row r="354" spans="1:21">
      <c r="A354" s="44">
        <f t="shared" si="30"/>
        <v>45853.624999999149</v>
      </c>
      <c r="B354" s="45">
        <f t="shared" si="31"/>
        <v>8000</v>
      </c>
      <c r="C354" s="8">
        <v>25000</v>
      </c>
      <c r="D354" s="8">
        <v>0</v>
      </c>
      <c r="E354" s="8">
        <v>700</v>
      </c>
      <c r="F354" s="8">
        <v>7500</v>
      </c>
      <c r="G354" s="45">
        <f t="shared" si="32"/>
        <v>2400</v>
      </c>
      <c r="H354" s="8">
        <v>25000</v>
      </c>
      <c r="I354" s="45">
        <f t="shared" si="33"/>
        <v>8000</v>
      </c>
      <c r="J354" s="8">
        <v>25000</v>
      </c>
      <c r="K354" s="45">
        <f t="shared" si="34"/>
        <v>8000</v>
      </c>
      <c r="L354" s="8">
        <v>25000</v>
      </c>
      <c r="M354" s="9">
        <v>9</v>
      </c>
      <c r="N354" s="9">
        <v>16.100000000000001</v>
      </c>
      <c r="O354" s="9">
        <v>14</v>
      </c>
      <c r="P354" s="9">
        <v>19.5</v>
      </c>
      <c r="Q354" s="9">
        <v>2.7</v>
      </c>
      <c r="R354">
        <v>10</v>
      </c>
      <c r="S354">
        <v>1000</v>
      </c>
      <c r="T354" s="4">
        <f t="shared" si="35"/>
        <v>604.40284226394715</v>
      </c>
      <c r="U354">
        <v>43</v>
      </c>
    </row>
    <row r="355" spans="1:21">
      <c r="A355" s="44">
        <f t="shared" si="30"/>
        <v>45853.666666665813</v>
      </c>
      <c r="B355" s="45">
        <f t="shared" si="31"/>
        <v>8000</v>
      </c>
      <c r="C355" s="8">
        <v>25000</v>
      </c>
      <c r="D355" s="8">
        <v>0</v>
      </c>
      <c r="E355" s="8">
        <v>700</v>
      </c>
      <c r="F355" s="8">
        <v>7500</v>
      </c>
      <c r="G355" s="45">
        <f t="shared" si="32"/>
        <v>2400</v>
      </c>
      <c r="H355" s="8">
        <v>25000</v>
      </c>
      <c r="I355" s="45">
        <f t="shared" si="33"/>
        <v>8000</v>
      </c>
      <c r="J355" s="8">
        <v>25000</v>
      </c>
      <c r="K355" s="45">
        <f t="shared" si="34"/>
        <v>8000</v>
      </c>
      <c r="L355" s="8">
        <v>25000</v>
      </c>
      <c r="M355" s="9">
        <v>9</v>
      </c>
      <c r="N355" s="9">
        <v>16.100000000000001</v>
      </c>
      <c r="O355" s="9">
        <v>14</v>
      </c>
      <c r="P355" s="9">
        <v>19.5</v>
      </c>
      <c r="Q355" s="9">
        <v>3</v>
      </c>
      <c r="R355">
        <v>10</v>
      </c>
      <c r="S355">
        <v>1000</v>
      </c>
      <c r="T355" s="4">
        <f t="shared" si="35"/>
        <v>875.91062255139741</v>
      </c>
      <c r="U355">
        <v>81</v>
      </c>
    </row>
    <row r="356" spans="1:21">
      <c r="A356" s="44">
        <f t="shared" si="30"/>
        <v>45853.708333332477</v>
      </c>
      <c r="B356" s="45">
        <f t="shared" si="31"/>
        <v>8000</v>
      </c>
      <c r="C356" s="8">
        <v>25000</v>
      </c>
      <c r="D356" s="8">
        <v>0</v>
      </c>
      <c r="E356" s="8">
        <v>700</v>
      </c>
      <c r="F356" s="8">
        <v>7500</v>
      </c>
      <c r="G356" s="45">
        <f t="shared" si="32"/>
        <v>2400</v>
      </c>
      <c r="H356" s="8">
        <v>25000</v>
      </c>
      <c r="I356" s="45">
        <f t="shared" si="33"/>
        <v>8000</v>
      </c>
      <c r="J356" s="8">
        <v>25000</v>
      </c>
      <c r="K356" s="45">
        <f t="shared" si="34"/>
        <v>8000</v>
      </c>
      <c r="L356" s="8">
        <v>25000</v>
      </c>
      <c r="M356" s="9">
        <v>9</v>
      </c>
      <c r="N356" s="9">
        <v>16.100000000000001</v>
      </c>
      <c r="O356" s="9">
        <v>14</v>
      </c>
      <c r="P356" s="9">
        <v>19.5</v>
      </c>
      <c r="Q356" s="9">
        <v>2.9</v>
      </c>
      <c r="R356">
        <v>10</v>
      </c>
      <c r="S356">
        <v>1000</v>
      </c>
      <c r="T356" s="4">
        <f t="shared" si="35"/>
        <v>1116.9022972813298</v>
      </c>
      <c r="U356">
        <v>48</v>
      </c>
    </row>
    <row r="357" spans="1:21">
      <c r="A357" s="44">
        <f t="shared" si="30"/>
        <v>45853.749999999141</v>
      </c>
      <c r="B357" s="45">
        <f t="shared" si="31"/>
        <v>5000</v>
      </c>
      <c r="C357" s="8">
        <v>25000</v>
      </c>
      <c r="D357" s="8">
        <v>0</v>
      </c>
      <c r="E357" s="8">
        <v>700</v>
      </c>
      <c r="F357" s="8">
        <v>7500</v>
      </c>
      <c r="G357" s="45">
        <f t="shared" si="32"/>
        <v>2400</v>
      </c>
      <c r="H357" s="8">
        <v>25000</v>
      </c>
      <c r="I357" s="45">
        <f t="shared" si="33"/>
        <v>5000</v>
      </c>
      <c r="J357" s="8">
        <v>25000</v>
      </c>
      <c r="K357" s="45">
        <f t="shared" si="34"/>
        <v>5000</v>
      </c>
      <c r="L357" s="8">
        <v>25000</v>
      </c>
      <c r="M357" s="9">
        <v>9</v>
      </c>
      <c r="N357" s="9">
        <v>16.100000000000001</v>
      </c>
      <c r="O357" s="9">
        <v>14</v>
      </c>
      <c r="P357" s="9">
        <v>19.5</v>
      </c>
      <c r="Q357" s="9">
        <v>2.7</v>
      </c>
      <c r="R357">
        <v>10</v>
      </c>
      <c r="S357">
        <v>1000</v>
      </c>
      <c r="T357" s="4">
        <f t="shared" si="35"/>
        <v>1156.8299120294841</v>
      </c>
      <c r="U357">
        <v>92</v>
      </c>
    </row>
    <row r="358" spans="1:21">
      <c r="A358" s="44">
        <f t="shared" si="30"/>
        <v>45853.791666665806</v>
      </c>
      <c r="B358" s="45">
        <f t="shared" si="31"/>
        <v>5000</v>
      </c>
      <c r="C358" s="8">
        <v>25000</v>
      </c>
      <c r="D358" s="8">
        <v>0</v>
      </c>
      <c r="E358" s="8">
        <v>700</v>
      </c>
      <c r="F358" s="8">
        <v>7500</v>
      </c>
      <c r="G358" s="45">
        <f t="shared" si="32"/>
        <v>2400</v>
      </c>
      <c r="H358" s="8">
        <v>25000</v>
      </c>
      <c r="I358" s="45">
        <f t="shared" si="33"/>
        <v>5000</v>
      </c>
      <c r="J358" s="8">
        <v>25000</v>
      </c>
      <c r="K358" s="45">
        <f t="shared" si="34"/>
        <v>5000</v>
      </c>
      <c r="L358" s="8">
        <v>25000</v>
      </c>
      <c r="M358" s="9">
        <v>9</v>
      </c>
      <c r="N358" s="9">
        <v>16.100000000000001</v>
      </c>
      <c r="O358" s="9">
        <v>14</v>
      </c>
      <c r="P358" s="9">
        <v>19.5</v>
      </c>
      <c r="Q358" s="9">
        <v>2.6</v>
      </c>
      <c r="R358">
        <v>10</v>
      </c>
      <c r="S358">
        <v>1000</v>
      </c>
      <c r="T358" s="4">
        <f t="shared" si="35"/>
        <v>1156.8299120294841</v>
      </c>
      <c r="U358">
        <v>91</v>
      </c>
    </row>
    <row r="359" spans="1:21">
      <c r="A359" s="44">
        <f t="shared" si="30"/>
        <v>45853.83333333247</v>
      </c>
      <c r="B359" s="45">
        <f t="shared" si="31"/>
        <v>5000</v>
      </c>
      <c r="C359" s="8">
        <v>25000</v>
      </c>
      <c r="D359" s="8">
        <v>0</v>
      </c>
      <c r="E359" s="8">
        <v>700</v>
      </c>
      <c r="F359" s="8">
        <v>7500</v>
      </c>
      <c r="G359" s="45">
        <f t="shared" si="32"/>
        <v>2400</v>
      </c>
      <c r="H359" s="8">
        <v>25000</v>
      </c>
      <c r="I359" s="45">
        <f t="shared" si="33"/>
        <v>5000</v>
      </c>
      <c r="J359" s="8">
        <v>25000</v>
      </c>
      <c r="K359" s="45">
        <f t="shared" si="34"/>
        <v>5000</v>
      </c>
      <c r="L359" s="8">
        <v>25000</v>
      </c>
      <c r="M359" s="9">
        <v>9</v>
      </c>
      <c r="N359" s="9">
        <v>16.100000000000001</v>
      </c>
      <c r="O359" s="9">
        <v>14</v>
      </c>
      <c r="P359" s="9">
        <v>19.5</v>
      </c>
      <c r="Q359" s="9">
        <v>2.7</v>
      </c>
      <c r="R359">
        <v>10</v>
      </c>
      <c r="S359">
        <v>1000</v>
      </c>
      <c r="T359" s="4">
        <f t="shared" si="35"/>
        <v>1114.0503247993186</v>
      </c>
      <c r="U359">
        <v>43</v>
      </c>
    </row>
    <row r="360" spans="1:21">
      <c r="A360" s="44">
        <f t="shared" si="30"/>
        <v>45853.874999999134</v>
      </c>
      <c r="B360" s="45">
        <f t="shared" si="31"/>
        <v>5000</v>
      </c>
      <c r="C360" s="8">
        <v>25000</v>
      </c>
      <c r="D360" s="8">
        <v>0</v>
      </c>
      <c r="E360" s="8">
        <v>700</v>
      </c>
      <c r="F360" s="8">
        <v>7500</v>
      </c>
      <c r="G360" s="45">
        <f t="shared" si="32"/>
        <v>2400</v>
      </c>
      <c r="H360" s="8">
        <v>25000</v>
      </c>
      <c r="I360" s="45">
        <f t="shared" si="33"/>
        <v>5000</v>
      </c>
      <c r="J360" s="8">
        <v>25000</v>
      </c>
      <c r="K360" s="45">
        <f t="shared" si="34"/>
        <v>5000</v>
      </c>
      <c r="L360" s="8">
        <v>25000</v>
      </c>
      <c r="M360" s="9">
        <v>9</v>
      </c>
      <c r="N360" s="9">
        <v>16.100000000000001</v>
      </c>
      <c r="O360" s="9">
        <v>14</v>
      </c>
      <c r="P360" s="9">
        <v>19.5</v>
      </c>
      <c r="Q360" s="9">
        <v>2.7</v>
      </c>
      <c r="R360">
        <v>10</v>
      </c>
      <c r="S360">
        <v>1000</v>
      </c>
      <c r="T360" s="4">
        <f t="shared" si="35"/>
        <v>1034.1950953030096</v>
      </c>
      <c r="U360">
        <v>92</v>
      </c>
    </row>
    <row r="361" spans="1:21">
      <c r="A361" s="44">
        <f t="shared" si="30"/>
        <v>45853.916666665798</v>
      </c>
      <c r="B361" s="45">
        <f t="shared" si="31"/>
        <v>5000</v>
      </c>
      <c r="C361" s="8">
        <v>25000</v>
      </c>
      <c r="D361" s="8">
        <v>0</v>
      </c>
      <c r="E361" s="8">
        <v>700</v>
      </c>
      <c r="F361" s="8">
        <v>7500</v>
      </c>
      <c r="G361" s="45">
        <f t="shared" si="32"/>
        <v>2400</v>
      </c>
      <c r="H361" s="8">
        <v>25000</v>
      </c>
      <c r="I361" s="45">
        <f t="shared" si="33"/>
        <v>5000</v>
      </c>
      <c r="J361" s="8">
        <v>25000</v>
      </c>
      <c r="K361" s="45">
        <f t="shared" si="34"/>
        <v>5000</v>
      </c>
      <c r="L361" s="8">
        <v>25000</v>
      </c>
      <c r="M361" s="9">
        <v>9</v>
      </c>
      <c r="N361" s="9">
        <v>16.100000000000001</v>
      </c>
      <c r="O361" s="9">
        <v>14</v>
      </c>
      <c r="P361" s="9">
        <v>19.5</v>
      </c>
      <c r="Q361" s="9">
        <v>2.8</v>
      </c>
      <c r="R361">
        <v>10</v>
      </c>
      <c r="S361">
        <v>1000</v>
      </c>
      <c r="T361" s="4">
        <f t="shared" si="35"/>
        <v>807.46328298313267</v>
      </c>
      <c r="U361">
        <v>99</v>
      </c>
    </row>
    <row r="362" spans="1:21">
      <c r="A362" s="44">
        <f t="shared" si="30"/>
        <v>45853.958333332463</v>
      </c>
      <c r="B362" s="45">
        <f t="shared" si="31"/>
        <v>5000</v>
      </c>
      <c r="C362" s="8">
        <v>25000</v>
      </c>
      <c r="D362" s="8">
        <v>0</v>
      </c>
      <c r="E362" s="8">
        <v>700</v>
      </c>
      <c r="F362" s="8">
        <v>7500</v>
      </c>
      <c r="G362" s="45">
        <f t="shared" si="32"/>
        <v>2400</v>
      </c>
      <c r="H362" s="8">
        <v>25000</v>
      </c>
      <c r="I362" s="45">
        <f t="shared" si="33"/>
        <v>5000</v>
      </c>
      <c r="J362" s="8">
        <v>25000</v>
      </c>
      <c r="K362" s="45">
        <f t="shared" si="34"/>
        <v>5000</v>
      </c>
      <c r="L362" s="8">
        <v>25000</v>
      </c>
      <c r="M362" s="9">
        <v>9</v>
      </c>
      <c r="N362" s="9">
        <v>16.100000000000001</v>
      </c>
      <c r="O362" s="9">
        <v>14</v>
      </c>
      <c r="P362" s="9">
        <v>19.5</v>
      </c>
      <c r="Q362" s="9">
        <v>2.7</v>
      </c>
      <c r="R362">
        <v>10</v>
      </c>
      <c r="S362">
        <v>1000</v>
      </c>
      <c r="T362" s="4">
        <f t="shared" si="35"/>
        <v>442.69657292841788</v>
      </c>
      <c r="U362">
        <v>64</v>
      </c>
    </row>
    <row r="363" spans="1:21">
      <c r="A363" s="44">
        <f t="shared" si="30"/>
        <v>45853.999999999127</v>
      </c>
      <c r="B363" s="45">
        <f t="shared" si="31"/>
        <v>5000</v>
      </c>
      <c r="C363" s="8">
        <v>25000</v>
      </c>
      <c r="D363" s="8">
        <v>0</v>
      </c>
      <c r="E363" s="8">
        <v>700</v>
      </c>
      <c r="F363" s="8">
        <v>7500</v>
      </c>
      <c r="G363" s="45">
        <f t="shared" si="32"/>
        <v>2400</v>
      </c>
      <c r="H363" s="8">
        <v>25000</v>
      </c>
      <c r="I363" s="45">
        <f t="shared" si="33"/>
        <v>5000</v>
      </c>
      <c r="J363" s="8">
        <v>25000</v>
      </c>
      <c r="K363" s="45">
        <f t="shared" si="34"/>
        <v>5000</v>
      </c>
      <c r="L363" s="8">
        <v>25000</v>
      </c>
      <c r="M363" s="9">
        <v>9</v>
      </c>
      <c r="N363" s="9">
        <v>16.100000000000001</v>
      </c>
      <c r="O363" s="9">
        <v>14</v>
      </c>
      <c r="P363" s="9">
        <v>19.5</v>
      </c>
      <c r="Q363" s="9">
        <v>2.9</v>
      </c>
      <c r="R363">
        <v>10</v>
      </c>
      <c r="S363">
        <v>1000</v>
      </c>
      <c r="T363" s="4">
        <f t="shared" si="35"/>
        <v>442.69657292841788</v>
      </c>
      <c r="U363">
        <v>87</v>
      </c>
    </row>
    <row r="364" spans="1:21">
      <c r="A364" s="44">
        <f t="shared" si="30"/>
        <v>45854.041666665791</v>
      </c>
      <c r="B364" s="45">
        <f t="shared" si="31"/>
        <v>5000</v>
      </c>
      <c r="C364" s="8">
        <v>25000</v>
      </c>
      <c r="D364" s="8">
        <v>0</v>
      </c>
      <c r="E364" s="8">
        <v>700</v>
      </c>
      <c r="F364" s="8">
        <v>7500</v>
      </c>
      <c r="G364" s="45">
        <f t="shared" si="32"/>
        <v>2400</v>
      </c>
      <c r="H364" s="8">
        <v>25000</v>
      </c>
      <c r="I364" s="45">
        <f t="shared" si="33"/>
        <v>5000</v>
      </c>
      <c r="J364" s="8">
        <v>25000</v>
      </c>
      <c r="K364" s="45">
        <f t="shared" si="34"/>
        <v>5000</v>
      </c>
      <c r="L364" s="8">
        <v>25000</v>
      </c>
      <c r="M364" s="9">
        <v>9</v>
      </c>
      <c r="N364" s="9">
        <v>16.100000000000001</v>
      </c>
      <c r="O364" s="9">
        <v>14</v>
      </c>
      <c r="P364" s="9">
        <v>19.5</v>
      </c>
      <c r="Q364" s="9">
        <v>2.7</v>
      </c>
      <c r="R364">
        <v>10</v>
      </c>
      <c r="S364">
        <v>1000</v>
      </c>
      <c r="T364" s="4">
        <f t="shared" si="35"/>
        <v>362.27094893570683</v>
      </c>
      <c r="U364">
        <v>93</v>
      </c>
    </row>
    <row r="365" spans="1:21">
      <c r="A365" s="44">
        <f t="shared" si="30"/>
        <v>45854.083333332455</v>
      </c>
      <c r="B365" s="45">
        <f t="shared" si="31"/>
        <v>5000</v>
      </c>
      <c r="C365" s="8">
        <v>25000</v>
      </c>
      <c r="D365" s="8">
        <v>0</v>
      </c>
      <c r="E365" s="8">
        <v>700</v>
      </c>
      <c r="F365" s="8">
        <v>7500</v>
      </c>
      <c r="G365" s="45">
        <f t="shared" si="32"/>
        <v>2400</v>
      </c>
      <c r="H365" s="8">
        <v>25000</v>
      </c>
      <c r="I365" s="45">
        <f t="shared" si="33"/>
        <v>5000</v>
      </c>
      <c r="J365" s="8">
        <v>25000</v>
      </c>
      <c r="K365" s="45">
        <f t="shared" si="34"/>
        <v>5000</v>
      </c>
      <c r="L365" s="8">
        <v>25000</v>
      </c>
      <c r="M365" s="9">
        <v>9</v>
      </c>
      <c r="N365" s="9">
        <v>16.100000000000001</v>
      </c>
      <c r="O365" s="9">
        <v>14</v>
      </c>
      <c r="P365" s="9">
        <v>19.5</v>
      </c>
      <c r="Q365" s="9">
        <v>2.9</v>
      </c>
      <c r="R365">
        <v>10</v>
      </c>
      <c r="S365">
        <v>1000</v>
      </c>
      <c r="T365" s="4">
        <f t="shared" si="35"/>
        <v>362.27094893570683</v>
      </c>
      <c r="U365">
        <v>65</v>
      </c>
    </row>
    <row r="366" spans="1:21">
      <c r="A366" s="44">
        <f t="shared" si="30"/>
        <v>45854.12499999912</v>
      </c>
      <c r="B366" s="45">
        <f t="shared" si="31"/>
        <v>5000</v>
      </c>
      <c r="C366" s="8">
        <v>25000</v>
      </c>
      <c r="D366" s="8">
        <v>0</v>
      </c>
      <c r="E366" s="8">
        <v>700</v>
      </c>
      <c r="F366" s="8">
        <v>7500</v>
      </c>
      <c r="G366" s="45">
        <f t="shared" si="32"/>
        <v>2400</v>
      </c>
      <c r="H366" s="8">
        <v>25000</v>
      </c>
      <c r="I366" s="45">
        <f t="shared" si="33"/>
        <v>5000</v>
      </c>
      <c r="J366" s="8">
        <v>25000</v>
      </c>
      <c r="K366" s="45">
        <f t="shared" si="34"/>
        <v>5000</v>
      </c>
      <c r="L366" s="8">
        <v>25000</v>
      </c>
      <c r="M366" s="9">
        <v>9</v>
      </c>
      <c r="N366" s="9">
        <v>16.100000000000001</v>
      </c>
      <c r="O366" s="9">
        <v>14</v>
      </c>
      <c r="P366" s="9">
        <v>19.5</v>
      </c>
      <c r="Q366" s="9">
        <v>2.4</v>
      </c>
      <c r="R366">
        <v>10</v>
      </c>
      <c r="S366">
        <v>1000</v>
      </c>
      <c r="T366" s="4">
        <f t="shared" si="35"/>
        <v>362.27094893570683</v>
      </c>
      <c r="U366">
        <v>79</v>
      </c>
    </row>
    <row r="367" spans="1:21">
      <c r="A367" s="44">
        <f t="shared" si="30"/>
        <v>45854.166666665784</v>
      </c>
      <c r="B367" s="45">
        <f t="shared" si="31"/>
        <v>5000</v>
      </c>
      <c r="C367" s="8">
        <v>25000</v>
      </c>
      <c r="D367" s="8">
        <v>0</v>
      </c>
      <c r="E367" s="8">
        <v>700</v>
      </c>
      <c r="F367" s="8">
        <v>7500</v>
      </c>
      <c r="G367" s="45">
        <f t="shared" si="32"/>
        <v>2400</v>
      </c>
      <c r="H367" s="8">
        <v>25000</v>
      </c>
      <c r="I367" s="45">
        <f t="shared" si="33"/>
        <v>5000</v>
      </c>
      <c r="J367" s="8">
        <v>25000</v>
      </c>
      <c r="K367" s="45">
        <f t="shared" si="34"/>
        <v>5000</v>
      </c>
      <c r="L367" s="8">
        <v>25000</v>
      </c>
      <c r="M367" s="9">
        <v>9</v>
      </c>
      <c r="N367" s="9">
        <v>16.100000000000001</v>
      </c>
      <c r="O367" s="9">
        <v>14</v>
      </c>
      <c r="P367" s="9">
        <v>19.5</v>
      </c>
      <c r="Q367" s="9">
        <v>3</v>
      </c>
      <c r="R367">
        <v>10</v>
      </c>
      <c r="S367">
        <v>1000</v>
      </c>
      <c r="T367" s="4">
        <f t="shared" si="35"/>
        <v>426.44032978095498</v>
      </c>
      <c r="U367">
        <v>56</v>
      </c>
    </row>
    <row r="368" spans="1:21">
      <c r="A368" s="44">
        <f t="shared" si="30"/>
        <v>45854.208333332448</v>
      </c>
      <c r="B368" s="45">
        <f t="shared" si="31"/>
        <v>5000</v>
      </c>
      <c r="C368" s="8">
        <v>25000</v>
      </c>
      <c r="D368" s="8">
        <v>0</v>
      </c>
      <c r="E368" s="8">
        <v>700</v>
      </c>
      <c r="F368" s="8">
        <v>7500</v>
      </c>
      <c r="G368" s="45">
        <f t="shared" si="32"/>
        <v>2400</v>
      </c>
      <c r="H368" s="8">
        <v>25000</v>
      </c>
      <c r="I368" s="45">
        <f t="shared" si="33"/>
        <v>5000</v>
      </c>
      <c r="J368" s="8">
        <v>25000</v>
      </c>
      <c r="K368" s="45">
        <f t="shared" si="34"/>
        <v>5000</v>
      </c>
      <c r="L368" s="8">
        <v>25000</v>
      </c>
      <c r="M368" s="9">
        <v>9</v>
      </c>
      <c r="N368" s="9">
        <v>16.100000000000001</v>
      </c>
      <c r="O368" s="9">
        <v>14</v>
      </c>
      <c r="P368" s="9">
        <v>19.5</v>
      </c>
      <c r="Q368" s="9">
        <v>2.8</v>
      </c>
      <c r="R368">
        <v>10</v>
      </c>
      <c r="S368">
        <v>1000</v>
      </c>
      <c r="T368" s="4">
        <f t="shared" si="35"/>
        <v>362.27094893570683</v>
      </c>
      <c r="U368">
        <v>53</v>
      </c>
    </row>
    <row r="369" spans="1:21">
      <c r="A369" s="44">
        <f t="shared" si="30"/>
        <v>45854.249999999112</v>
      </c>
      <c r="B369" s="45">
        <f t="shared" si="31"/>
        <v>8000</v>
      </c>
      <c r="C369" s="8">
        <v>25000</v>
      </c>
      <c r="D369" s="8">
        <v>0</v>
      </c>
      <c r="E369" s="8">
        <v>700</v>
      </c>
      <c r="F369" s="8">
        <v>7500</v>
      </c>
      <c r="G369" s="45">
        <f t="shared" si="32"/>
        <v>2400</v>
      </c>
      <c r="H369" s="8">
        <v>25000</v>
      </c>
      <c r="I369" s="45">
        <f t="shared" si="33"/>
        <v>8000</v>
      </c>
      <c r="J369" s="8">
        <v>25000</v>
      </c>
      <c r="K369" s="45">
        <f t="shared" si="34"/>
        <v>8000</v>
      </c>
      <c r="L369" s="8">
        <v>25000</v>
      </c>
      <c r="M369" s="9">
        <v>9</v>
      </c>
      <c r="N369" s="9">
        <v>16.100000000000001</v>
      </c>
      <c r="O369" s="9">
        <v>14</v>
      </c>
      <c r="P369" s="9">
        <v>19.5</v>
      </c>
      <c r="Q369" s="9">
        <v>2.4</v>
      </c>
      <c r="R369">
        <v>10</v>
      </c>
      <c r="S369">
        <v>1000</v>
      </c>
      <c r="T369" s="4">
        <f t="shared" si="35"/>
        <v>304.3759075508828</v>
      </c>
      <c r="U369">
        <v>99</v>
      </c>
    </row>
    <row r="370" spans="1:21">
      <c r="A370" s="44">
        <f t="shared" si="30"/>
        <v>45854.291666665777</v>
      </c>
      <c r="B370" s="45">
        <f t="shared" si="31"/>
        <v>8000</v>
      </c>
      <c r="C370" s="8">
        <v>25000</v>
      </c>
      <c r="D370" s="8">
        <v>0</v>
      </c>
      <c r="E370" s="8">
        <v>700</v>
      </c>
      <c r="F370" s="8">
        <v>7500</v>
      </c>
      <c r="G370" s="45">
        <f t="shared" si="32"/>
        <v>2400</v>
      </c>
      <c r="H370" s="8">
        <v>25000</v>
      </c>
      <c r="I370" s="45">
        <f t="shared" si="33"/>
        <v>8000</v>
      </c>
      <c r="J370" s="8">
        <v>25000</v>
      </c>
      <c r="K370" s="45">
        <f t="shared" si="34"/>
        <v>8000</v>
      </c>
      <c r="L370" s="8">
        <v>25000</v>
      </c>
      <c r="M370" s="9">
        <v>9</v>
      </c>
      <c r="N370" s="9">
        <v>16.100000000000001</v>
      </c>
      <c r="O370" s="9">
        <v>14</v>
      </c>
      <c r="P370" s="9">
        <v>19.5</v>
      </c>
      <c r="Q370" s="9">
        <v>2.9</v>
      </c>
      <c r="R370">
        <v>10</v>
      </c>
      <c r="S370">
        <v>1000</v>
      </c>
      <c r="T370" s="4">
        <f t="shared" si="35"/>
        <v>280.13414145378908</v>
      </c>
      <c r="U370">
        <v>81</v>
      </c>
    </row>
    <row r="371" spans="1:21">
      <c r="A371" s="44">
        <f t="shared" si="30"/>
        <v>45854.333333332441</v>
      </c>
      <c r="B371" s="45">
        <f t="shared" si="31"/>
        <v>8000</v>
      </c>
      <c r="C371" s="8">
        <v>25000</v>
      </c>
      <c r="D371" s="8">
        <v>0</v>
      </c>
      <c r="E371" s="8">
        <v>700</v>
      </c>
      <c r="F371" s="8">
        <v>7500</v>
      </c>
      <c r="G371" s="45">
        <f t="shared" si="32"/>
        <v>2400</v>
      </c>
      <c r="H371" s="8">
        <v>25000</v>
      </c>
      <c r="I371" s="45">
        <f t="shared" si="33"/>
        <v>8000</v>
      </c>
      <c r="J371" s="8">
        <v>25000</v>
      </c>
      <c r="K371" s="45">
        <f t="shared" si="34"/>
        <v>8000</v>
      </c>
      <c r="L371" s="8">
        <v>25000</v>
      </c>
      <c r="M371" s="9">
        <v>9</v>
      </c>
      <c r="N371" s="9">
        <v>16.100000000000001</v>
      </c>
      <c r="O371" s="9">
        <v>14</v>
      </c>
      <c r="P371" s="9">
        <v>19.5</v>
      </c>
      <c r="Q371" s="9">
        <v>3</v>
      </c>
      <c r="R371">
        <v>10</v>
      </c>
      <c r="S371">
        <v>1000</v>
      </c>
      <c r="T371" s="4">
        <f t="shared" si="35"/>
        <v>294.39400386384426</v>
      </c>
      <c r="U371">
        <v>47</v>
      </c>
    </row>
    <row r="372" spans="1:21">
      <c r="A372" s="44">
        <f t="shared" si="30"/>
        <v>45854.374999999105</v>
      </c>
      <c r="B372" s="45">
        <f t="shared" si="31"/>
        <v>8000</v>
      </c>
      <c r="C372" s="8">
        <v>25000</v>
      </c>
      <c r="D372" s="8">
        <v>0</v>
      </c>
      <c r="E372" s="8">
        <v>700</v>
      </c>
      <c r="F372" s="8">
        <v>7500</v>
      </c>
      <c r="G372" s="45">
        <f t="shared" si="32"/>
        <v>2400</v>
      </c>
      <c r="H372" s="8">
        <v>25000</v>
      </c>
      <c r="I372" s="45">
        <f t="shared" si="33"/>
        <v>8000</v>
      </c>
      <c r="J372" s="8">
        <v>25000</v>
      </c>
      <c r="K372" s="45">
        <f t="shared" si="34"/>
        <v>8000</v>
      </c>
      <c r="L372" s="8">
        <v>25000</v>
      </c>
      <c r="M372" s="9">
        <v>9</v>
      </c>
      <c r="N372" s="9">
        <v>16.100000000000001</v>
      </c>
      <c r="O372" s="9">
        <v>14</v>
      </c>
      <c r="P372" s="9">
        <v>19.5</v>
      </c>
      <c r="Q372" s="9">
        <v>3</v>
      </c>
      <c r="R372">
        <v>10</v>
      </c>
      <c r="S372">
        <v>1000</v>
      </c>
      <c r="T372" s="4">
        <f t="shared" si="35"/>
        <v>317.20978371993255</v>
      </c>
      <c r="U372">
        <v>41</v>
      </c>
    </row>
    <row r="373" spans="1:21">
      <c r="A373" s="44">
        <f t="shared" si="30"/>
        <v>45854.416666665769</v>
      </c>
      <c r="B373" s="45">
        <f t="shared" si="31"/>
        <v>8000</v>
      </c>
      <c r="C373" s="8">
        <v>25000</v>
      </c>
      <c r="D373" s="8">
        <v>0</v>
      </c>
      <c r="E373" s="8">
        <v>700</v>
      </c>
      <c r="F373" s="8">
        <v>7500</v>
      </c>
      <c r="G373" s="45">
        <f t="shared" si="32"/>
        <v>2400</v>
      </c>
      <c r="H373" s="8">
        <v>25000</v>
      </c>
      <c r="I373" s="45">
        <f t="shared" si="33"/>
        <v>8000</v>
      </c>
      <c r="J373" s="8">
        <v>25000</v>
      </c>
      <c r="K373" s="45">
        <f t="shared" si="34"/>
        <v>8000</v>
      </c>
      <c r="L373" s="8">
        <v>25000</v>
      </c>
      <c r="M373" s="9">
        <v>9</v>
      </c>
      <c r="N373" s="9">
        <v>16.100000000000001</v>
      </c>
      <c r="O373" s="9">
        <v>14</v>
      </c>
      <c r="P373" s="9">
        <v>19.5</v>
      </c>
      <c r="Q373" s="9">
        <v>2.5</v>
      </c>
      <c r="R373">
        <v>10</v>
      </c>
      <c r="S373">
        <v>1000</v>
      </c>
      <c r="T373" s="4">
        <f t="shared" si="35"/>
        <v>308.08347177749721</v>
      </c>
      <c r="U373">
        <v>79</v>
      </c>
    </row>
    <row r="374" spans="1:21">
      <c r="A374" s="44">
        <f t="shared" si="30"/>
        <v>45854.458333332434</v>
      </c>
      <c r="B374" s="45">
        <f t="shared" si="31"/>
        <v>8000</v>
      </c>
      <c r="C374" s="8">
        <v>25000</v>
      </c>
      <c r="D374" s="8">
        <v>0</v>
      </c>
      <c r="E374" s="8">
        <v>700</v>
      </c>
      <c r="F374" s="8">
        <v>7500</v>
      </c>
      <c r="G374" s="45">
        <f t="shared" si="32"/>
        <v>2400</v>
      </c>
      <c r="H374" s="8">
        <v>25000</v>
      </c>
      <c r="I374" s="45">
        <f t="shared" si="33"/>
        <v>8000</v>
      </c>
      <c r="J374" s="8">
        <v>25000</v>
      </c>
      <c r="K374" s="45">
        <f t="shared" si="34"/>
        <v>8000</v>
      </c>
      <c r="L374" s="8">
        <v>25000</v>
      </c>
      <c r="M374" s="9">
        <v>9</v>
      </c>
      <c r="N374" s="9">
        <v>16.100000000000001</v>
      </c>
      <c r="O374" s="9">
        <v>14</v>
      </c>
      <c r="P374" s="9">
        <v>19.5</v>
      </c>
      <c r="Q374" s="9">
        <v>2.5</v>
      </c>
      <c r="R374">
        <v>10</v>
      </c>
      <c r="S374">
        <v>1000</v>
      </c>
      <c r="T374" s="4">
        <f t="shared" si="35"/>
        <v>303.80551305448063</v>
      </c>
      <c r="U374">
        <v>68</v>
      </c>
    </row>
    <row r="375" spans="1:21">
      <c r="A375" s="44">
        <f t="shared" si="30"/>
        <v>45854.499999999098</v>
      </c>
      <c r="B375" s="45">
        <f t="shared" si="31"/>
        <v>8000</v>
      </c>
      <c r="C375" s="8">
        <v>25000</v>
      </c>
      <c r="D375" s="8">
        <v>0</v>
      </c>
      <c r="E375" s="8">
        <v>700</v>
      </c>
      <c r="F375" s="8">
        <v>7500</v>
      </c>
      <c r="G375" s="45">
        <f t="shared" si="32"/>
        <v>2400</v>
      </c>
      <c r="H375" s="8">
        <v>25000</v>
      </c>
      <c r="I375" s="45">
        <f t="shared" si="33"/>
        <v>8000</v>
      </c>
      <c r="J375" s="8">
        <v>25000</v>
      </c>
      <c r="K375" s="45">
        <f t="shared" si="34"/>
        <v>8000</v>
      </c>
      <c r="L375" s="8">
        <v>25000</v>
      </c>
      <c r="M375" s="9">
        <v>9</v>
      </c>
      <c r="N375" s="9">
        <v>16.100000000000001</v>
      </c>
      <c r="O375" s="9">
        <v>14</v>
      </c>
      <c r="P375" s="9">
        <v>19.5</v>
      </c>
      <c r="Q375" s="9">
        <v>2.5</v>
      </c>
      <c r="R375">
        <v>10</v>
      </c>
      <c r="S375">
        <v>1000</v>
      </c>
      <c r="T375" s="4">
        <f t="shared" si="35"/>
        <v>303.80551305448063</v>
      </c>
      <c r="U375">
        <v>34</v>
      </c>
    </row>
    <row r="376" spans="1:21">
      <c r="A376" s="44">
        <f t="shared" si="30"/>
        <v>45854.541666665762</v>
      </c>
      <c r="B376" s="45">
        <f t="shared" si="31"/>
        <v>8000</v>
      </c>
      <c r="C376" s="8">
        <v>25000</v>
      </c>
      <c r="D376" s="8">
        <v>0</v>
      </c>
      <c r="E376" s="8">
        <v>700</v>
      </c>
      <c r="F376" s="8">
        <v>7500</v>
      </c>
      <c r="G376" s="45">
        <f t="shared" si="32"/>
        <v>2400</v>
      </c>
      <c r="H376" s="8">
        <v>25000</v>
      </c>
      <c r="I376" s="45">
        <f t="shared" si="33"/>
        <v>8000</v>
      </c>
      <c r="J376" s="8">
        <v>25000</v>
      </c>
      <c r="K376" s="45">
        <f t="shared" si="34"/>
        <v>8000</v>
      </c>
      <c r="L376" s="8">
        <v>25000</v>
      </c>
      <c r="M376" s="9">
        <v>9</v>
      </c>
      <c r="N376" s="9">
        <v>16.100000000000001</v>
      </c>
      <c r="O376" s="9">
        <v>14</v>
      </c>
      <c r="P376" s="9">
        <v>19.5</v>
      </c>
      <c r="Q376" s="9">
        <v>2.9</v>
      </c>
      <c r="R376">
        <v>10</v>
      </c>
      <c r="S376">
        <v>1000</v>
      </c>
      <c r="T376" s="4">
        <f t="shared" si="35"/>
        <v>353.43040463596901</v>
      </c>
      <c r="U376">
        <v>41</v>
      </c>
    </row>
    <row r="377" spans="1:21">
      <c r="A377" s="44">
        <f t="shared" si="30"/>
        <v>45854.583333332426</v>
      </c>
      <c r="B377" s="45">
        <f t="shared" si="31"/>
        <v>8000</v>
      </c>
      <c r="C377" s="8">
        <v>25000</v>
      </c>
      <c r="D377" s="8">
        <v>0</v>
      </c>
      <c r="E377" s="8">
        <v>700</v>
      </c>
      <c r="F377" s="8">
        <v>7500</v>
      </c>
      <c r="G377" s="45">
        <f t="shared" si="32"/>
        <v>2400</v>
      </c>
      <c r="H377" s="8">
        <v>25000</v>
      </c>
      <c r="I377" s="45">
        <f t="shared" si="33"/>
        <v>8000</v>
      </c>
      <c r="J377" s="8">
        <v>25000</v>
      </c>
      <c r="K377" s="45">
        <f t="shared" si="34"/>
        <v>8000</v>
      </c>
      <c r="L377" s="8">
        <v>25000</v>
      </c>
      <c r="M377" s="9">
        <v>9</v>
      </c>
      <c r="N377" s="9">
        <v>16.100000000000001</v>
      </c>
      <c r="O377" s="9">
        <v>14</v>
      </c>
      <c r="P377" s="9">
        <v>19.5</v>
      </c>
      <c r="Q377" s="9">
        <v>2.5</v>
      </c>
      <c r="R377">
        <v>10</v>
      </c>
      <c r="S377">
        <v>1000</v>
      </c>
      <c r="T377" s="4">
        <f t="shared" si="35"/>
        <v>587.29100737188094</v>
      </c>
      <c r="U377">
        <v>46</v>
      </c>
    </row>
    <row r="378" spans="1:21">
      <c r="A378" s="44">
        <f t="shared" si="30"/>
        <v>45854.624999999091</v>
      </c>
      <c r="B378" s="45">
        <f t="shared" si="31"/>
        <v>8000</v>
      </c>
      <c r="C378" s="8">
        <v>25000</v>
      </c>
      <c r="D378" s="8">
        <v>0</v>
      </c>
      <c r="E378" s="8">
        <v>700</v>
      </c>
      <c r="F378" s="8">
        <v>7500</v>
      </c>
      <c r="G378" s="45">
        <f t="shared" si="32"/>
        <v>2400</v>
      </c>
      <c r="H378" s="8">
        <v>25000</v>
      </c>
      <c r="I378" s="45">
        <f t="shared" si="33"/>
        <v>8000</v>
      </c>
      <c r="J378" s="8">
        <v>25000</v>
      </c>
      <c r="K378" s="45">
        <f t="shared" si="34"/>
        <v>8000</v>
      </c>
      <c r="L378" s="8">
        <v>25000</v>
      </c>
      <c r="M378" s="9">
        <v>9</v>
      </c>
      <c r="N378" s="9">
        <v>16.100000000000001</v>
      </c>
      <c r="O378" s="9">
        <v>14</v>
      </c>
      <c r="P378" s="9">
        <v>19.5</v>
      </c>
      <c r="Q378" s="9">
        <v>2.7</v>
      </c>
      <c r="R378">
        <v>10</v>
      </c>
      <c r="S378">
        <v>1000</v>
      </c>
      <c r="T378" s="4">
        <f t="shared" si="35"/>
        <v>604.40284226394715</v>
      </c>
      <c r="U378">
        <v>18</v>
      </c>
    </row>
    <row r="379" spans="1:21">
      <c r="A379" s="44">
        <f t="shared" si="30"/>
        <v>45854.666666665755</v>
      </c>
      <c r="B379" s="45">
        <f t="shared" si="31"/>
        <v>8000</v>
      </c>
      <c r="C379" s="8">
        <v>25000</v>
      </c>
      <c r="D379" s="8">
        <v>0</v>
      </c>
      <c r="E379" s="8">
        <v>700</v>
      </c>
      <c r="F379" s="8">
        <v>7500</v>
      </c>
      <c r="G379" s="45">
        <f t="shared" si="32"/>
        <v>2400</v>
      </c>
      <c r="H379" s="8">
        <v>25000</v>
      </c>
      <c r="I379" s="45">
        <f t="shared" si="33"/>
        <v>8000</v>
      </c>
      <c r="J379" s="8">
        <v>25000</v>
      </c>
      <c r="K379" s="45">
        <f t="shared" si="34"/>
        <v>8000</v>
      </c>
      <c r="L379" s="8">
        <v>25000</v>
      </c>
      <c r="M379" s="9">
        <v>9</v>
      </c>
      <c r="N379" s="9">
        <v>16.100000000000001</v>
      </c>
      <c r="O379" s="9">
        <v>14</v>
      </c>
      <c r="P379" s="9">
        <v>19.5</v>
      </c>
      <c r="Q379" s="9">
        <v>2.4</v>
      </c>
      <c r="R379">
        <v>10</v>
      </c>
      <c r="S379">
        <v>1000</v>
      </c>
      <c r="T379" s="4">
        <f t="shared" si="35"/>
        <v>875.91062255139741</v>
      </c>
      <c r="U379">
        <v>27</v>
      </c>
    </row>
    <row r="380" spans="1:21">
      <c r="A380" s="44">
        <f t="shared" si="30"/>
        <v>45854.708333332419</v>
      </c>
      <c r="B380" s="45">
        <f t="shared" si="31"/>
        <v>8000</v>
      </c>
      <c r="C380" s="8">
        <v>25000</v>
      </c>
      <c r="D380" s="8">
        <v>0</v>
      </c>
      <c r="E380" s="8">
        <v>700</v>
      </c>
      <c r="F380" s="8">
        <v>7500</v>
      </c>
      <c r="G380" s="45">
        <f t="shared" si="32"/>
        <v>2400</v>
      </c>
      <c r="H380" s="8">
        <v>25000</v>
      </c>
      <c r="I380" s="45">
        <f t="shared" si="33"/>
        <v>8000</v>
      </c>
      <c r="J380" s="8">
        <v>25000</v>
      </c>
      <c r="K380" s="45">
        <f t="shared" si="34"/>
        <v>8000</v>
      </c>
      <c r="L380" s="8">
        <v>25000</v>
      </c>
      <c r="M380" s="9">
        <v>9</v>
      </c>
      <c r="N380" s="9">
        <v>16.100000000000001</v>
      </c>
      <c r="O380" s="9">
        <v>14</v>
      </c>
      <c r="P380" s="9">
        <v>19.5</v>
      </c>
      <c r="Q380" s="9">
        <v>2.4</v>
      </c>
      <c r="R380">
        <v>10</v>
      </c>
      <c r="S380">
        <v>1000</v>
      </c>
      <c r="T380" s="4">
        <f t="shared" si="35"/>
        <v>1116.9022972813298</v>
      </c>
      <c r="U380">
        <v>39</v>
      </c>
    </row>
    <row r="381" spans="1:21">
      <c r="A381" s="44">
        <f t="shared" si="30"/>
        <v>45854.749999999083</v>
      </c>
      <c r="B381" s="45">
        <f t="shared" si="31"/>
        <v>5000</v>
      </c>
      <c r="C381" s="8">
        <v>25000</v>
      </c>
      <c r="D381" s="8">
        <v>0</v>
      </c>
      <c r="E381" s="8">
        <v>700</v>
      </c>
      <c r="F381" s="8">
        <v>7500</v>
      </c>
      <c r="G381" s="45">
        <f t="shared" si="32"/>
        <v>2400</v>
      </c>
      <c r="H381" s="8">
        <v>25000</v>
      </c>
      <c r="I381" s="45">
        <f t="shared" si="33"/>
        <v>5000</v>
      </c>
      <c r="J381" s="8">
        <v>25000</v>
      </c>
      <c r="K381" s="45">
        <f t="shared" si="34"/>
        <v>5000</v>
      </c>
      <c r="L381" s="8">
        <v>25000</v>
      </c>
      <c r="M381" s="9">
        <v>9</v>
      </c>
      <c r="N381" s="9">
        <v>16.100000000000001</v>
      </c>
      <c r="O381" s="9">
        <v>14</v>
      </c>
      <c r="P381" s="9">
        <v>19.5</v>
      </c>
      <c r="Q381" s="9">
        <v>2.8</v>
      </c>
      <c r="R381">
        <v>10</v>
      </c>
      <c r="S381">
        <v>1000</v>
      </c>
      <c r="T381" s="4">
        <f t="shared" si="35"/>
        <v>1156.8299120294841</v>
      </c>
      <c r="U381">
        <v>73</v>
      </c>
    </row>
    <row r="382" spans="1:21">
      <c r="A382" s="44">
        <f t="shared" si="30"/>
        <v>45854.791666665747</v>
      </c>
      <c r="B382" s="45">
        <f t="shared" si="31"/>
        <v>5000</v>
      </c>
      <c r="C382" s="8">
        <v>25000</v>
      </c>
      <c r="D382" s="8">
        <v>0</v>
      </c>
      <c r="E382" s="8">
        <v>700</v>
      </c>
      <c r="F382" s="8">
        <v>7500</v>
      </c>
      <c r="G382" s="45">
        <f t="shared" si="32"/>
        <v>2400</v>
      </c>
      <c r="H382" s="8">
        <v>25000</v>
      </c>
      <c r="I382" s="45">
        <f t="shared" si="33"/>
        <v>5000</v>
      </c>
      <c r="J382" s="8">
        <v>25000</v>
      </c>
      <c r="K382" s="45">
        <f t="shared" si="34"/>
        <v>5000</v>
      </c>
      <c r="L382" s="8">
        <v>25000</v>
      </c>
      <c r="M382" s="9">
        <v>9</v>
      </c>
      <c r="N382" s="9">
        <v>16.100000000000001</v>
      </c>
      <c r="O382" s="9">
        <v>14</v>
      </c>
      <c r="P382" s="9">
        <v>19.5</v>
      </c>
      <c r="Q382" s="9">
        <v>2.6</v>
      </c>
      <c r="R382">
        <v>10</v>
      </c>
      <c r="S382">
        <v>1000</v>
      </c>
      <c r="T382" s="4">
        <f t="shared" si="35"/>
        <v>1156.8299120294841</v>
      </c>
      <c r="U382">
        <v>83</v>
      </c>
    </row>
    <row r="383" spans="1:21">
      <c r="A383" s="44">
        <f t="shared" si="30"/>
        <v>45854.833333332412</v>
      </c>
      <c r="B383" s="45">
        <f t="shared" si="31"/>
        <v>5000</v>
      </c>
      <c r="C383" s="8">
        <v>25000</v>
      </c>
      <c r="D383" s="8">
        <v>0</v>
      </c>
      <c r="E383" s="8">
        <v>700</v>
      </c>
      <c r="F383" s="8">
        <v>7500</v>
      </c>
      <c r="G383" s="45">
        <f t="shared" si="32"/>
        <v>2400</v>
      </c>
      <c r="H383" s="8">
        <v>25000</v>
      </c>
      <c r="I383" s="45">
        <f t="shared" si="33"/>
        <v>5000</v>
      </c>
      <c r="J383" s="8">
        <v>25000</v>
      </c>
      <c r="K383" s="45">
        <f t="shared" si="34"/>
        <v>5000</v>
      </c>
      <c r="L383" s="8">
        <v>25000</v>
      </c>
      <c r="M383" s="9">
        <v>9</v>
      </c>
      <c r="N383" s="9">
        <v>16.100000000000001</v>
      </c>
      <c r="O383" s="9">
        <v>14</v>
      </c>
      <c r="P383" s="9">
        <v>19.5</v>
      </c>
      <c r="Q383" s="9">
        <v>2.5</v>
      </c>
      <c r="R383">
        <v>10</v>
      </c>
      <c r="S383">
        <v>1000</v>
      </c>
      <c r="T383" s="4">
        <f t="shared" si="35"/>
        <v>1114.0503247993186</v>
      </c>
      <c r="U383">
        <v>20</v>
      </c>
    </row>
    <row r="384" spans="1:21">
      <c r="A384" s="44">
        <f t="shared" si="30"/>
        <v>45854.874999999076</v>
      </c>
      <c r="B384" s="45">
        <f t="shared" si="31"/>
        <v>5000</v>
      </c>
      <c r="C384" s="8">
        <v>25000</v>
      </c>
      <c r="D384" s="8">
        <v>0</v>
      </c>
      <c r="E384" s="8">
        <v>700</v>
      </c>
      <c r="F384" s="8">
        <v>7500</v>
      </c>
      <c r="G384" s="45">
        <f t="shared" si="32"/>
        <v>2400</v>
      </c>
      <c r="H384" s="8">
        <v>25000</v>
      </c>
      <c r="I384" s="45">
        <f t="shared" si="33"/>
        <v>5000</v>
      </c>
      <c r="J384" s="8">
        <v>25000</v>
      </c>
      <c r="K384" s="45">
        <f t="shared" si="34"/>
        <v>5000</v>
      </c>
      <c r="L384" s="8">
        <v>25000</v>
      </c>
      <c r="M384" s="9">
        <v>9</v>
      </c>
      <c r="N384" s="9">
        <v>16.100000000000001</v>
      </c>
      <c r="O384" s="9">
        <v>14</v>
      </c>
      <c r="P384" s="9">
        <v>19.5</v>
      </c>
      <c r="Q384" s="9">
        <v>3</v>
      </c>
      <c r="R384">
        <v>10</v>
      </c>
      <c r="S384">
        <v>1000</v>
      </c>
      <c r="T384" s="4">
        <f t="shared" si="35"/>
        <v>1034.1950953030096</v>
      </c>
      <c r="U384">
        <v>74</v>
      </c>
    </row>
    <row r="385" spans="1:21">
      <c r="A385" s="44">
        <f t="shared" si="30"/>
        <v>45854.91666666574</v>
      </c>
      <c r="B385" s="45">
        <f t="shared" si="31"/>
        <v>5000</v>
      </c>
      <c r="C385" s="8">
        <v>25000</v>
      </c>
      <c r="D385" s="8">
        <v>0</v>
      </c>
      <c r="E385" s="8">
        <v>700</v>
      </c>
      <c r="F385" s="8">
        <v>7500</v>
      </c>
      <c r="G385" s="45">
        <f t="shared" si="32"/>
        <v>2400</v>
      </c>
      <c r="H385" s="8">
        <v>25000</v>
      </c>
      <c r="I385" s="45">
        <f t="shared" si="33"/>
        <v>5000</v>
      </c>
      <c r="J385" s="8">
        <v>25000</v>
      </c>
      <c r="K385" s="45">
        <f t="shared" si="34"/>
        <v>5000</v>
      </c>
      <c r="L385" s="8">
        <v>25000</v>
      </c>
      <c r="M385" s="9">
        <v>9</v>
      </c>
      <c r="N385" s="9">
        <v>16.100000000000001</v>
      </c>
      <c r="O385" s="9">
        <v>14</v>
      </c>
      <c r="P385" s="9">
        <v>19.5</v>
      </c>
      <c r="Q385" s="9">
        <v>2.4</v>
      </c>
      <c r="R385">
        <v>10</v>
      </c>
      <c r="S385">
        <v>1000</v>
      </c>
      <c r="T385" s="4">
        <f t="shared" si="35"/>
        <v>807.46328298313267</v>
      </c>
      <c r="U385">
        <v>14</v>
      </c>
    </row>
    <row r="386" spans="1:21">
      <c r="A386" s="44">
        <f t="shared" si="30"/>
        <v>45854.958333332404</v>
      </c>
      <c r="B386" s="45">
        <f t="shared" si="31"/>
        <v>5000</v>
      </c>
      <c r="C386" s="8">
        <v>25000</v>
      </c>
      <c r="D386" s="8">
        <v>0</v>
      </c>
      <c r="E386" s="8">
        <v>700</v>
      </c>
      <c r="F386" s="8">
        <v>7500</v>
      </c>
      <c r="G386" s="45">
        <f t="shared" si="32"/>
        <v>2400</v>
      </c>
      <c r="H386" s="8">
        <v>25000</v>
      </c>
      <c r="I386" s="45">
        <f t="shared" si="33"/>
        <v>5000</v>
      </c>
      <c r="J386" s="8">
        <v>25000</v>
      </c>
      <c r="K386" s="45">
        <f t="shared" si="34"/>
        <v>5000</v>
      </c>
      <c r="L386" s="8">
        <v>25000</v>
      </c>
      <c r="M386" s="9">
        <v>9</v>
      </c>
      <c r="N386" s="9">
        <v>16.100000000000001</v>
      </c>
      <c r="O386" s="9">
        <v>14</v>
      </c>
      <c r="P386" s="9">
        <v>19.5</v>
      </c>
      <c r="Q386" s="9">
        <v>2.6</v>
      </c>
      <c r="R386">
        <v>10</v>
      </c>
      <c r="S386">
        <v>1000</v>
      </c>
      <c r="T386" s="4">
        <f t="shared" si="35"/>
        <v>442.69657292841788</v>
      </c>
      <c r="U386">
        <v>25</v>
      </c>
    </row>
    <row r="387" spans="1:21">
      <c r="A387" s="44">
        <f t="shared" si="30"/>
        <v>45854.999999999069</v>
      </c>
      <c r="B387" s="45">
        <f t="shared" si="31"/>
        <v>5000</v>
      </c>
      <c r="C387" s="8">
        <v>25000</v>
      </c>
      <c r="D387" s="8">
        <v>0</v>
      </c>
      <c r="E387" s="8">
        <v>700</v>
      </c>
      <c r="F387" s="8">
        <v>7500</v>
      </c>
      <c r="G387" s="45">
        <f t="shared" si="32"/>
        <v>2400</v>
      </c>
      <c r="H387" s="8">
        <v>25000</v>
      </c>
      <c r="I387" s="45">
        <f t="shared" si="33"/>
        <v>5000</v>
      </c>
      <c r="J387" s="8">
        <v>25000</v>
      </c>
      <c r="K387" s="45">
        <f t="shared" si="34"/>
        <v>5000</v>
      </c>
      <c r="L387" s="8">
        <v>25000</v>
      </c>
      <c r="M387" s="9">
        <v>9</v>
      </c>
      <c r="N387" s="9">
        <v>16.100000000000001</v>
      </c>
      <c r="O387" s="9">
        <v>14</v>
      </c>
      <c r="P387" s="9">
        <v>19.5</v>
      </c>
      <c r="Q387" s="9">
        <v>2.9</v>
      </c>
      <c r="R387">
        <v>10</v>
      </c>
      <c r="S387">
        <v>1000</v>
      </c>
      <c r="T387" s="4">
        <f t="shared" si="35"/>
        <v>442.69657292841788</v>
      </c>
      <c r="U387">
        <v>75</v>
      </c>
    </row>
    <row r="388" spans="1:21">
      <c r="A388" s="44">
        <f t="shared" si="30"/>
        <v>45855.041666665733</v>
      </c>
      <c r="B388" s="45">
        <f t="shared" si="31"/>
        <v>5000</v>
      </c>
      <c r="C388" s="8">
        <v>25000</v>
      </c>
      <c r="D388" s="8">
        <v>0</v>
      </c>
      <c r="E388" s="8">
        <v>700</v>
      </c>
      <c r="F388" s="8">
        <v>7500</v>
      </c>
      <c r="G388" s="45">
        <f t="shared" si="32"/>
        <v>2400</v>
      </c>
      <c r="H388" s="8">
        <v>25000</v>
      </c>
      <c r="I388" s="45">
        <f t="shared" si="33"/>
        <v>5000</v>
      </c>
      <c r="J388" s="8">
        <v>25000</v>
      </c>
      <c r="K388" s="45">
        <f t="shared" si="34"/>
        <v>5000</v>
      </c>
      <c r="L388" s="8">
        <v>25000</v>
      </c>
      <c r="M388" s="9">
        <v>9</v>
      </c>
      <c r="N388" s="9">
        <v>16.100000000000001</v>
      </c>
      <c r="O388" s="9">
        <v>14</v>
      </c>
      <c r="P388" s="9">
        <v>19.5</v>
      </c>
      <c r="Q388" s="9">
        <v>2.8</v>
      </c>
      <c r="R388">
        <v>10</v>
      </c>
      <c r="S388">
        <v>1000</v>
      </c>
      <c r="T388" s="4">
        <f t="shared" si="35"/>
        <v>362.27094893570683</v>
      </c>
      <c r="U388">
        <v>45</v>
      </c>
    </row>
    <row r="389" spans="1:21">
      <c r="A389" s="44">
        <f t="shared" ref="A389:A452" si="36">A388+TIME(1,0,0)</f>
        <v>45855.083333332397</v>
      </c>
      <c r="B389" s="45">
        <f t="shared" si="31"/>
        <v>5000</v>
      </c>
      <c r="C389" s="8">
        <v>25000</v>
      </c>
      <c r="D389" s="8">
        <v>0</v>
      </c>
      <c r="E389" s="8">
        <v>700</v>
      </c>
      <c r="F389" s="8">
        <v>7500</v>
      </c>
      <c r="G389" s="45">
        <f t="shared" si="32"/>
        <v>2400</v>
      </c>
      <c r="H389" s="8">
        <v>25000</v>
      </c>
      <c r="I389" s="45">
        <f t="shared" si="33"/>
        <v>5000</v>
      </c>
      <c r="J389" s="8">
        <v>25000</v>
      </c>
      <c r="K389" s="45">
        <f t="shared" si="34"/>
        <v>5000</v>
      </c>
      <c r="L389" s="8">
        <v>25000</v>
      </c>
      <c r="M389" s="9">
        <v>9</v>
      </c>
      <c r="N389" s="9">
        <v>16.100000000000001</v>
      </c>
      <c r="O389" s="9">
        <v>14</v>
      </c>
      <c r="P389" s="9">
        <v>19.5</v>
      </c>
      <c r="Q389" s="9">
        <v>2.6</v>
      </c>
      <c r="R389">
        <v>10</v>
      </c>
      <c r="S389">
        <v>1000</v>
      </c>
      <c r="T389" s="4">
        <f t="shared" si="35"/>
        <v>362.27094893570683</v>
      </c>
      <c r="U389">
        <v>52</v>
      </c>
    </row>
    <row r="390" spans="1:21">
      <c r="A390" s="44">
        <f t="shared" si="36"/>
        <v>45855.124999999061</v>
      </c>
      <c r="B390" s="45">
        <f t="shared" si="31"/>
        <v>5000</v>
      </c>
      <c r="C390" s="8">
        <v>25000</v>
      </c>
      <c r="D390" s="8">
        <v>0</v>
      </c>
      <c r="E390" s="8">
        <v>700</v>
      </c>
      <c r="F390" s="8">
        <v>7500</v>
      </c>
      <c r="G390" s="45">
        <f t="shared" si="32"/>
        <v>2400</v>
      </c>
      <c r="H390" s="8">
        <v>25000</v>
      </c>
      <c r="I390" s="45">
        <f t="shared" si="33"/>
        <v>5000</v>
      </c>
      <c r="J390" s="8">
        <v>25000</v>
      </c>
      <c r="K390" s="45">
        <f t="shared" si="34"/>
        <v>5000</v>
      </c>
      <c r="L390" s="8">
        <v>25000</v>
      </c>
      <c r="M390" s="9">
        <v>9</v>
      </c>
      <c r="N390" s="9">
        <v>16.100000000000001</v>
      </c>
      <c r="O390" s="9">
        <v>14</v>
      </c>
      <c r="P390" s="9">
        <v>19.5</v>
      </c>
      <c r="Q390" s="9">
        <v>3</v>
      </c>
      <c r="R390">
        <v>10</v>
      </c>
      <c r="S390">
        <v>1000</v>
      </c>
      <c r="T390" s="4">
        <f t="shared" si="35"/>
        <v>362.27094893570683</v>
      </c>
      <c r="U390">
        <v>62</v>
      </c>
    </row>
    <row r="391" spans="1:21">
      <c r="A391" s="44">
        <f t="shared" si="36"/>
        <v>45855.166666665726</v>
      </c>
      <c r="B391" s="45">
        <f t="shared" si="31"/>
        <v>5000</v>
      </c>
      <c r="C391" s="8">
        <v>25000</v>
      </c>
      <c r="D391" s="8">
        <v>0</v>
      </c>
      <c r="E391" s="8">
        <v>700</v>
      </c>
      <c r="F391" s="8">
        <v>7500</v>
      </c>
      <c r="G391" s="45">
        <f t="shared" si="32"/>
        <v>2400</v>
      </c>
      <c r="H391" s="8">
        <v>25000</v>
      </c>
      <c r="I391" s="45">
        <f t="shared" si="33"/>
        <v>5000</v>
      </c>
      <c r="J391" s="8">
        <v>25000</v>
      </c>
      <c r="K391" s="45">
        <f t="shared" si="34"/>
        <v>5000</v>
      </c>
      <c r="L391" s="8">
        <v>25000</v>
      </c>
      <c r="M391" s="9">
        <v>9</v>
      </c>
      <c r="N391" s="9">
        <v>16.100000000000001</v>
      </c>
      <c r="O391" s="9">
        <v>14</v>
      </c>
      <c r="P391" s="9">
        <v>19.5</v>
      </c>
      <c r="Q391" s="9">
        <v>2.9</v>
      </c>
      <c r="R391">
        <v>10</v>
      </c>
      <c r="S391">
        <v>1000</v>
      </c>
      <c r="T391" s="4">
        <f t="shared" si="35"/>
        <v>426.44032978095498</v>
      </c>
      <c r="U391">
        <v>13</v>
      </c>
    </row>
    <row r="392" spans="1:21">
      <c r="A392" s="44">
        <f t="shared" si="36"/>
        <v>45855.20833333239</v>
      </c>
      <c r="B392" s="45">
        <f t="shared" si="31"/>
        <v>5000</v>
      </c>
      <c r="C392" s="8">
        <v>25000</v>
      </c>
      <c r="D392" s="8">
        <v>0</v>
      </c>
      <c r="E392" s="8">
        <v>700</v>
      </c>
      <c r="F392" s="8">
        <v>7500</v>
      </c>
      <c r="G392" s="45">
        <f t="shared" si="32"/>
        <v>2400</v>
      </c>
      <c r="H392" s="8">
        <v>25000</v>
      </c>
      <c r="I392" s="45">
        <f t="shared" si="33"/>
        <v>5000</v>
      </c>
      <c r="J392" s="8">
        <v>25000</v>
      </c>
      <c r="K392" s="45">
        <f t="shared" si="34"/>
        <v>5000</v>
      </c>
      <c r="L392" s="8">
        <v>25000</v>
      </c>
      <c r="M392" s="9">
        <v>9</v>
      </c>
      <c r="N392" s="9">
        <v>16.100000000000001</v>
      </c>
      <c r="O392" s="9">
        <v>14</v>
      </c>
      <c r="P392" s="9">
        <v>19.5</v>
      </c>
      <c r="Q392" s="9">
        <v>2.9</v>
      </c>
      <c r="R392">
        <v>10</v>
      </c>
      <c r="S392">
        <v>1000</v>
      </c>
      <c r="T392" s="4">
        <f t="shared" si="35"/>
        <v>362.27094893570683</v>
      </c>
      <c r="U392">
        <v>36</v>
      </c>
    </row>
    <row r="393" spans="1:21">
      <c r="A393" s="44">
        <f t="shared" si="36"/>
        <v>45855.249999999054</v>
      </c>
      <c r="B393" s="45">
        <f t="shared" si="31"/>
        <v>8000</v>
      </c>
      <c r="C393" s="8">
        <v>25000</v>
      </c>
      <c r="D393" s="8">
        <v>0</v>
      </c>
      <c r="E393" s="8">
        <v>700</v>
      </c>
      <c r="F393" s="8">
        <v>7500</v>
      </c>
      <c r="G393" s="45">
        <f t="shared" si="32"/>
        <v>2400</v>
      </c>
      <c r="H393" s="8">
        <v>25000</v>
      </c>
      <c r="I393" s="45">
        <f t="shared" si="33"/>
        <v>8000</v>
      </c>
      <c r="J393" s="8">
        <v>25000</v>
      </c>
      <c r="K393" s="45">
        <f t="shared" si="34"/>
        <v>8000</v>
      </c>
      <c r="L393" s="8">
        <v>25000</v>
      </c>
      <c r="M393" s="9">
        <v>9</v>
      </c>
      <c r="N393" s="9">
        <v>16.100000000000001</v>
      </c>
      <c r="O393" s="9">
        <v>14</v>
      </c>
      <c r="P393" s="9">
        <v>19.5</v>
      </c>
      <c r="Q393" s="9">
        <v>2.8</v>
      </c>
      <c r="R393">
        <v>10</v>
      </c>
      <c r="S393">
        <v>1000</v>
      </c>
      <c r="T393" s="4">
        <f t="shared" si="35"/>
        <v>304.3759075508828</v>
      </c>
      <c r="U393">
        <v>43</v>
      </c>
    </row>
    <row r="394" spans="1:21">
      <c r="A394" s="44">
        <f t="shared" si="36"/>
        <v>45855.291666665718</v>
      </c>
      <c r="B394" s="45">
        <f t="shared" si="31"/>
        <v>8000</v>
      </c>
      <c r="C394" s="8">
        <v>25000</v>
      </c>
      <c r="D394" s="8">
        <v>0</v>
      </c>
      <c r="E394" s="8">
        <v>700</v>
      </c>
      <c r="F394" s="8">
        <v>7500</v>
      </c>
      <c r="G394" s="45">
        <f t="shared" si="32"/>
        <v>2400</v>
      </c>
      <c r="H394" s="8">
        <v>25000</v>
      </c>
      <c r="I394" s="45">
        <f t="shared" si="33"/>
        <v>8000</v>
      </c>
      <c r="J394" s="8">
        <v>25000</v>
      </c>
      <c r="K394" s="45">
        <f t="shared" si="34"/>
        <v>8000</v>
      </c>
      <c r="L394" s="8">
        <v>25000</v>
      </c>
      <c r="M394" s="9">
        <v>9</v>
      </c>
      <c r="N394" s="9">
        <v>16.100000000000001</v>
      </c>
      <c r="O394" s="9">
        <v>14</v>
      </c>
      <c r="P394" s="9">
        <v>19.5</v>
      </c>
      <c r="Q394" s="9">
        <v>2.8</v>
      </c>
      <c r="R394">
        <v>10</v>
      </c>
      <c r="S394">
        <v>1000</v>
      </c>
      <c r="T394" s="4">
        <f t="shared" si="35"/>
        <v>280.13414145378908</v>
      </c>
      <c r="U394">
        <v>29</v>
      </c>
    </row>
    <row r="395" spans="1:21">
      <c r="A395" s="44">
        <f t="shared" si="36"/>
        <v>45855.333333332383</v>
      </c>
      <c r="B395" s="45">
        <f t="shared" si="31"/>
        <v>8000</v>
      </c>
      <c r="C395" s="8">
        <v>25000</v>
      </c>
      <c r="D395" s="8">
        <v>0</v>
      </c>
      <c r="E395" s="8">
        <v>700</v>
      </c>
      <c r="F395" s="8">
        <v>7500</v>
      </c>
      <c r="G395" s="45">
        <f t="shared" si="32"/>
        <v>2400</v>
      </c>
      <c r="H395" s="8">
        <v>25000</v>
      </c>
      <c r="I395" s="45">
        <f t="shared" si="33"/>
        <v>8000</v>
      </c>
      <c r="J395" s="8">
        <v>25000</v>
      </c>
      <c r="K395" s="45">
        <f t="shared" si="34"/>
        <v>8000</v>
      </c>
      <c r="L395" s="8">
        <v>25000</v>
      </c>
      <c r="M395" s="9">
        <v>9</v>
      </c>
      <c r="N395" s="9">
        <v>16.100000000000001</v>
      </c>
      <c r="O395" s="9">
        <v>14</v>
      </c>
      <c r="P395" s="9">
        <v>19.5</v>
      </c>
      <c r="Q395" s="9">
        <v>2.8</v>
      </c>
      <c r="R395">
        <v>10</v>
      </c>
      <c r="S395">
        <v>1000</v>
      </c>
      <c r="T395" s="4">
        <f t="shared" si="35"/>
        <v>294.39400386384426</v>
      </c>
      <c r="U395">
        <v>57</v>
      </c>
    </row>
    <row r="396" spans="1:21">
      <c r="A396" s="44">
        <f t="shared" si="36"/>
        <v>45855.374999999047</v>
      </c>
      <c r="B396" s="45">
        <f t="shared" si="31"/>
        <v>8000</v>
      </c>
      <c r="C396" s="8">
        <v>25000</v>
      </c>
      <c r="D396" s="8">
        <v>0</v>
      </c>
      <c r="E396" s="8">
        <v>700</v>
      </c>
      <c r="F396" s="8">
        <v>7500</v>
      </c>
      <c r="G396" s="45">
        <f t="shared" si="32"/>
        <v>2400</v>
      </c>
      <c r="H396" s="8">
        <v>25000</v>
      </c>
      <c r="I396" s="45">
        <f t="shared" si="33"/>
        <v>8000</v>
      </c>
      <c r="J396" s="8">
        <v>25000</v>
      </c>
      <c r="K396" s="45">
        <f t="shared" si="34"/>
        <v>8000</v>
      </c>
      <c r="L396" s="8">
        <v>25000</v>
      </c>
      <c r="M396" s="9">
        <v>9</v>
      </c>
      <c r="N396" s="9">
        <v>16.100000000000001</v>
      </c>
      <c r="O396" s="9">
        <v>14</v>
      </c>
      <c r="P396" s="9">
        <v>19.5</v>
      </c>
      <c r="Q396" s="9">
        <v>2.6</v>
      </c>
      <c r="R396">
        <v>10</v>
      </c>
      <c r="S396">
        <v>1000</v>
      </c>
      <c r="T396" s="4">
        <f t="shared" si="35"/>
        <v>317.20978371993255</v>
      </c>
      <c r="U396">
        <v>16</v>
      </c>
    </row>
    <row r="397" spans="1:21">
      <c r="A397" s="44">
        <f t="shared" si="36"/>
        <v>45855.416666665711</v>
      </c>
      <c r="B397" s="45">
        <f t="shared" si="31"/>
        <v>8000</v>
      </c>
      <c r="C397" s="8">
        <v>25000</v>
      </c>
      <c r="D397" s="8">
        <v>0</v>
      </c>
      <c r="E397" s="8">
        <v>700</v>
      </c>
      <c r="F397" s="8">
        <v>7500</v>
      </c>
      <c r="G397" s="45">
        <f t="shared" si="32"/>
        <v>2400</v>
      </c>
      <c r="H397" s="8">
        <v>25000</v>
      </c>
      <c r="I397" s="45">
        <f t="shared" si="33"/>
        <v>8000</v>
      </c>
      <c r="J397" s="8">
        <v>25000</v>
      </c>
      <c r="K397" s="45">
        <f t="shared" si="34"/>
        <v>8000</v>
      </c>
      <c r="L397" s="8">
        <v>25000</v>
      </c>
      <c r="M397" s="9">
        <v>9</v>
      </c>
      <c r="N397" s="9">
        <v>16.100000000000001</v>
      </c>
      <c r="O397" s="9">
        <v>14</v>
      </c>
      <c r="P397" s="9">
        <v>19.5</v>
      </c>
      <c r="Q397" s="9">
        <v>2.4</v>
      </c>
      <c r="R397">
        <v>10</v>
      </c>
      <c r="S397">
        <v>1000</v>
      </c>
      <c r="T397" s="4">
        <f t="shared" si="35"/>
        <v>308.08347177749721</v>
      </c>
      <c r="U397">
        <v>25</v>
      </c>
    </row>
    <row r="398" spans="1:21">
      <c r="A398" s="44">
        <f t="shared" si="36"/>
        <v>45855.458333332375</v>
      </c>
      <c r="B398" s="45">
        <f t="shared" si="31"/>
        <v>8000</v>
      </c>
      <c r="C398" s="8">
        <v>25000</v>
      </c>
      <c r="D398" s="8">
        <v>0</v>
      </c>
      <c r="E398" s="8">
        <v>700</v>
      </c>
      <c r="F398" s="8">
        <v>7500</v>
      </c>
      <c r="G398" s="45">
        <f t="shared" si="32"/>
        <v>2400</v>
      </c>
      <c r="H398" s="8">
        <v>25000</v>
      </c>
      <c r="I398" s="45">
        <f t="shared" si="33"/>
        <v>8000</v>
      </c>
      <c r="J398" s="8">
        <v>25000</v>
      </c>
      <c r="K398" s="45">
        <f t="shared" si="34"/>
        <v>8000</v>
      </c>
      <c r="L398" s="8">
        <v>25000</v>
      </c>
      <c r="M398" s="9">
        <v>9</v>
      </c>
      <c r="N398" s="9">
        <v>16.100000000000001</v>
      </c>
      <c r="O398" s="9">
        <v>14</v>
      </c>
      <c r="P398" s="9">
        <v>19.5</v>
      </c>
      <c r="Q398" s="9">
        <v>2.4</v>
      </c>
      <c r="R398">
        <v>10</v>
      </c>
      <c r="S398">
        <v>1000</v>
      </c>
      <c r="T398" s="4">
        <f t="shared" si="35"/>
        <v>303.80551305448063</v>
      </c>
      <c r="U398">
        <v>35</v>
      </c>
    </row>
    <row r="399" spans="1:21">
      <c r="A399" s="44">
        <f t="shared" si="36"/>
        <v>45855.49999999904</v>
      </c>
      <c r="B399" s="45">
        <f t="shared" si="31"/>
        <v>8000</v>
      </c>
      <c r="C399" s="8">
        <v>25000</v>
      </c>
      <c r="D399" s="8">
        <v>0</v>
      </c>
      <c r="E399" s="8">
        <v>700</v>
      </c>
      <c r="F399" s="8">
        <v>7500</v>
      </c>
      <c r="G399" s="45">
        <f t="shared" si="32"/>
        <v>2400</v>
      </c>
      <c r="H399" s="8">
        <v>25000</v>
      </c>
      <c r="I399" s="45">
        <f t="shared" si="33"/>
        <v>8000</v>
      </c>
      <c r="J399" s="8">
        <v>25000</v>
      </c>
      <c r="K399" s="45">
        <f t="shared" si="34"/>
        <v>8000</v>
      </c>
      <c r="L399" s="8">
        <v>25000</v>
      </c>
      <c r="M399" s="9">
        <v>9</v>
      </c>
      <c r="N399" s="9">
        <v>16.100000000000001</v>
      </c>
      <c r="O399" s="9">
        <v>14</v>
      </c>
      <c r="P399" s="9">
        <v>19.5</v>
      </c>
      <c r="Q399" s="9">
        <v>2.8</v>
      </c>
      <c r="R399">
        <v>10</v>
      </c>
      <c r="S399">
        <v>1000</v>
      </c>
      <c r="T399" s="4">
        <f t="shared" si="35"/>
        <v>303.80551305448063</v>
      </c>
      <c r="U399">
        <v>78</v>
      </c>
    </row>
    <row r="400" spans="1:21">
      <c r="A400" s="44">
        <f t="shared" si="36"/>
        <v>45855.541666665704</v>
      </c>
      <c r="B400" s="45">
        <f t="shared" si="31"/>
        <v>8000</v>
      </c>
      <c r="C400" s="8">
        <v>25000</v>
      </c>
      <c r="D400" s="8">
        <v>0</v>
      </c>
      <c r="E400" s="8">
        <v>700</v>
      </c>
      <c r="F400" s="8">
        <v>7500</v>
      </c>
      <c r="G400" s="45">
        <f t="shared" si="32"/>
        <v>2400</v>
      </c>
      <c r="H400" s="8">
        <v>25000</v>
      </c>
      <c r="I400" s="45">
        <f t="shared" si="33"/>
        <v>8000</v>
      </c>
      <c r="J400" s="8">
        <v>25000</v>
      </c>
      <c r="K400" s="45">
        <f t="shared" si="34"/>
        <v>8000</v>
      </c>
      <c r="L400" s="8">
        <v>25000</v>
      </c>
      <c r="M400" s="9">
        <v>9</v>
      </c>
      <c r="N400" s="9">
        <v>16.100000000000001</v>
      </c>
      <c r="O400" s="9">
        <v>14</v>
      </c>
      <c r="P400" s="9">
        <v>19.5</v>
      </c>
      <c r="Q400" s="9">
        <v>2.5</v>
      </c>
      <c r="R400">
        <v>10</v>
      </c>
      <c r="S400">
        <v>1000</v>
      </c>
      <c r="T400" s="4">
        <f t="shared" si="35"/>
        <v>353.43040463596901</v>
      </c>
      <c r="U400">
        <v>42</v>
      </c>
    </row>
    <row r="401" spans="1:21">
      <c r="A401" s="44">
        <f t="shared" si="36"/>
        <v>45855.583333332368</v>
      </c>
      <c r="B401" s="45">
        <f t="shared" si="31"/>
        <v>8000</v>
      </c>
      <c r="C401" s="8">
        <v>25000</v>
      </c>
      <c r="D401" s="8">
        <v>0</v>
      </c>
      <c r="E401" s="8">
        <v>700</v>
      </c>
      <c r="F401" s="8">
        <v>7500</v>
      </c>
      <c r="G401" s="45">
        <f t="shared" si="32"/>
        <v>2400</v>
      </c>
      <c r="H401" s="8">
        <v>25000</v>
      </c>
      <c r="I401" s="45">
        <f t="shared" si="33"/>
        <v>8000</v>
      </c>
      <c r="J401" s="8">
        <v>25000</v>
      </c>
      <c r="K401" s="45">
        <f t="shared" si="34"/>
        <v>8000</v>
      </c>
      <c r="L401" s="8">
        <v>25000</v>
      </c>
      <c r="M401" s="9">
        <v>9</v>
      </c>
      <c r="N401" s="9">
        <v>16.100000000000001</v>
      </c>
      <c r="O401" s="9">
        <v>14</v>
      </c>
      <c r="P401" s="9">
        <v>19.5</v>
      </c>
      <c r="Q401" s="9">
        <v>2.7</v>
      </c>
      <c r="R401">
        <v>10</v>
      </c>
      <c r="S401">
        <v>1000</v>
      </c>
      <c r="T401" s="4">
        <f t="shared" si="35"/>
        <v>587.29100737188094</v>
      </c>
      <c r="U401">
        <v>73</v>
      </c>
    </row>
    <row r="402" spans="1:21">
      <c r="A402" s="44">
        <f t="shared" si="36"/>
        <v>45855.624999999032</v>
      </c>
      <c r="B402" s="45">
        <f t="shared" si="31"/>
        <v>8000</v>
      </c>
      <c r="C402" s="8">
        <v>25000</v>
      </c>
      <c r="D402" s="8">
        <v>0</v>
      </c>
      <c r="E402" s="8">
        <v>700</v>
      </c>
      <c r="F402" s="8">
        <v>7500</v>
      </c>
      <c r="G402" s="45">
        <f t="shared" si="32"/>
        <v>2400</v>
      </c>
      <c r="H402" s="8">
        <v>25000</v>
      </c>
      <c r="I402" s="45">
        <f t="shared" si="33"/>
        <v>8000</v>
      </c>
      <c r="J402" s="8">
        <v>25000</v>
      </c>
      <c r="K402" s="45">
        <f t="shared" si="34"/>
        <v>8000</v>
      </c>
      <c r="L402" s="8">
        <v>25000</v>
      </c>
      <c r="M402" s="9">
        <v>9</v>
      </c>
      <c r="N402" s="9">
        <v>16.100000000000001</v>
      </c>
      <c r="O402" s="9">
        <v>14</v>
      </c>
      <c r="P402" s="9">
        <v>19.5</v>
      </c>
      <c r="Q402" s="9">
        <v>2.7</v>
      </c>
      <c r="R402">
        <v>10</v>
      </c>
      <c r="S402">
        <v>1000</v>
      </c>
      <c r="T402" s="4">
        <f t="shared" si="35"/>
        <v>604.40284226394715</v>
      </c>
      <c r="U402">
        <v>28</v>
      </c>
    </row>
    <row r="403" spans="1:21">
      <c r="A403" s="44">
        <f t="shared" si="36"/>
        <v>45855.666666665697</v>
      </c>
      <c r="B403" s="45">
        <f t="shared" si="31"/>
        <v>8000</v>
      </c>
      <c r="C403" s="8">
        <v>25000</v>
      </c>
      <c r="D403" s="8">
        <v>0</v>
      </c>
      <c r="E403" s="8">
        <v>700</v>
      </c>
      <c r="F403" s="8">
        <v>7500</v>
      </c>
      <c r="G403" s="45">
        <f t="shared" si="32"/>
        <v>2400</v>
      </c>
      <c r="H403" s="8">
        <v>25000</v>
      </c>
      <c r="I403" s="45">
        <f t="shared" si="33"/>
        <v>8000</v>
      </c>
      <c r="J403" s="8">
        <v>25000</v>
      </c>
      <c r="K403" s="45">
        <f t="shared" si="34"/>
        <v>8000</v>
      </c>
      <c r="L403" s="8">
        <v>25000</v>
      </c>
      <c r="M403" s="9">
        <v>9</v>
      </c>
      <c r="N403" s="9">
        <v>16.100000000000001</v>
      </c>
      <c r="O403" s="9">
        <v>14</v>
      </c>
      <c r="P403" s="9">
        <v>19.5</v>
      </c>
      <c r="Q403" s="9">
        <v>2.7</v>
      </c>
      <c r="R403">
        <v>10</v>
      </c>
      <c r="S403">
        <v>1000</v>
      </c>
      <c r="T403" s="4">
        <f t="shared" si="35"/>
        <v>875.91062255139741</v>
      </c>
      <c r="U403">
        <v>34</v>
      </c>
    </row>
    <row r="404" spans="1:21">
      <c r="A404" s="44">
        <f t="shared" si="36"/>
        <v>45855.708333332361</v>
      </c>
      <c r="B404" s="45">
        <f t="shared" si="31"/>
        <v>8000</v>
      </c>
      <c r="C404" s="8">
        <v>25000</v>
      </c>
      <c r="D404" s="8">
        <v>0</v>
      </c>
      <c r="E404" s="8">
        <v>700</v>
      </c>
      <c r="F404" s="8">
        <v>7500</v>
      </c>
      <c r="G404" s="45">
        <f t="shared" si="32"/>
        <v>2400</v>
      </c>
      <c r="H404" s="8">
        <v>25000</v>
      </c>
      <c r="I404" s="45">
        <f t="shared" si="33"/>
        <v>8000</v>
      </c>
      <c r="J404" s="8">
        <v>25000</v>
      </c>
      <c r="K404" s="45">
        <f t="shared" si="34"/>
        <v>8000</v>
      </c>
      <c r="L404" s="8">
        <v>25000</v>
      </c>
      <c r="M404" s="9">
        <v>9</v>
      </c>
      <c r="N404" s="9">
        <v>16.100000000000001</v>
      </c>
      <c r="O404" s="9">
        <v>14</v>
      </c>
      <c r="P404" s="9">
        <v>19.5</v>
      </c>
      <c r="Q404" s="9">
        <v>3</v>
      </c>
      <c r="R404">
        <v>10</v>
      </c>
      <c r="S404">
        <v>1000</v>
      </c>
      <c r="T404" s="4">
        <f t="shared" si="35"/>
        <v>1116.9022972813298</v>
      </c>
      <c r="U404">
        <v>10</v>
      </c>
    </row>
    <row r="405" spans="1:21">
      <c r="A405" s="44">
        <f t="shared" si="36"/>
        <v>45855.749999999025</v>
      </c>
      <c r="B405" s="45">
        <f t="shared" si="31"/>
        <v>5000</v>
      </c>
      <c r="C405" s="8">
        <v>25000</v>
      </c>
      <c r="D405" s="8">
        <v>0</v>
      </c>
      <c r="E405" s="8">
        <v>700</v>
      </c>
      <c r="F405" s="8">
        <v>7500</v>
      </c>
      <c r="G405" s="45">
        <f t="shared" si="32"/>
        <v>2400</v>
      </c>
      <c r="H405" s="8">
        <v>25000</v>
      </c>
      <c r="I405" s="45">
        <f t="shared" si="33"/>
        <v>5000</v>
      </c>
      <c r="J405" s="8">
        <v>25000</v>
      </c>
      <c r="K405" s="45">
        <f t="shared" si="34"/>
        <v>5000</v>
      </c>
      <c r="L405" s="8">
        <v>25000</v>
      </c>
      <c r="M405" s="9">
        <v>9</v>
      </c>
      <c r="N405" s="9">
        <v>16.100000000000001</v>
      </c>
      <c r="O405" s="9">
        <v>14</v>
      </c>
      <c r="P405" s="9">
        <v>19.5</v>
      </c>
      <c r="Q405" s="9">
        <v>2.8</v>
      </c>
      <c r="R405">
        <v>10</v>
      </c>
      <c r="S405">
        <v>1000</v>
      </c>
      <c r="T405" s="4">
        <f t="shared" si="35"/>
        <v>1156.8299120294841</v>
      </c>
      <c r="U405">
        <v>22</v>
      </c>
    </row>
    <row r="406" spans="1:21">
      <c r="A406" s="44">
        <f t="shared" si="36"/>
        <v>45855.791666665689</v>
      </c>
      <c r="B406" s="45">
        <f t="shared" si="31"/>
        <v>5000</v>
      </c>
      <c r="C406" s="8">
        <v>25000</v>
      </c>
      <c r="D406" s="8">
        <v>0</v>
      </c>
      <c r="E406" s="8">
        <v>700</v>
      </c>
      <c r="F406" s="8">
        <v>7500</v>
      </c>
      <c r="G406" s="45">
        <f t="shared" si="32"/>
        <v>2400</v>
      </c>
      <c r="H406" s="8">
        <v>25000</v>
      </c>
      <c r="I406" s="45">
        <f t="shared" si="33"/>
        <v>5000</v>
      </c>
      <c r="J406" s="8">
        <v>25000</v>
      </c>
      <c r="K406" s="45">
        <f t="shared" si="34"/>
        <v>5000</v>
      </c>
      <c r="L406" s="8">
        <v>25000</v>
      </c>
      <c r="M406" s="9">
        <v>9</v>
      </c>
      <c r="N406" s="9">
        <v>16.100000000000001</v>
      </c>
      <c r="O406" s="9">
        <v>14</v>
      </c>
      <c r="P406" s="9">
        <v>19.5</v>
      </c>
      <c r="Q406" s="9">
        <v>2.6</v>
      </c>
      <c r="R406">
        <v>10</v>
      </c>
      <c r="S406">
        <v>1000</v>
      </c>
      <c r="T406" s="4">
        <f t="shared" si="35"/>
        <v>1156.8299120294841</v>
      </c>
      <c r="U406">
        <v>11</v>
      </c>
    </row>
    <row r="407" spans="1:21">
      <c r="A407" s="44">
        <f t="shared" si="36"/>
        <v>45855.833333332354</v>
      </c>
      <c r="B407" s="45">
        <f t="shared" si="31"/>
        <v>5000</v>
      </c>
      <c r="C407" s="8">
        <v>25000</v>
      </c>
      <c r="D407" s="8">
        <v>0</v>
      </c>
      <c r="E407" s="8">
        <v>700</v>
      </c>
      <c r="F407" s="8">
        <v>7500</v>
      </c>
      <c r="G407" s="45">
        <f t="shared" si="32"/>
        <v>2400</v>
      </c>
      <c r="H407" s="8">
        <v>25000</v>
      </c>
      <c r="I407" s="45">
        <f t="shared" si="33"/>
        <v>5000</v>
      </c>
      <c r="J407" s="8">
        <v>25000</v>
      </c>
      <c r="K407" s="45">
        <f t="shared" si="34"/>
        <v>5000</v>
      </c>
      <c r="L407" s="8">
        <v>25000</v>
      </c>
      <c r="M407" s="9">
        <v>9</v>
      </c>
      <c r="N407" s="9">
        <v>16.100000000000001</v>
      </c>
      <c r="O407" s="9">
        <v>14</v>
      </c>
      <c r="P407" s="9">
        <v>19.5</v>
      </c>
      <c r="Q407" s="9">
        <v>2.4</v>
      </c>
      <c r="R407">
        <v>10</v>
      </c>
      <c r="S407">
        <v>1000</v>
      </c>
      <c r="T407" s="4">
        <f t="shared" si="35"/>
        <v>1114.0503247993186</v>
      </c>
      <c r="U407">
        <v>32</v>
      </c>
    </row>
    <row r="408" spans="1:21">
      <c r="A408" s="44">
        <f t="shared" si="36"/>
        <v>45855.874999999018</v>
      </c>
      <c r="B408" s="45">
        <f t="shared" si="31"/>
        <v>5000</v>
      </c>
      <c r="C408" s="8">
        <v>25000</v>
      </c>
      <c r="D408" s="8">
        <v>0</v>
      </c>
      <c r="E408" s="8">
        <v>700</v>
      </c>
      <c r="F408" s="8">
        <v>7500</v>
      </c>
      <c r="G408" s="45">
        <f t="shared" si="32"/>
        <v>2400</v>
      </c>
      <c r="H408" s="8">
        <v>25000</v>
      </c>
      <c r="I408" s="45">
        <f t="shared" si="33"/>
        <v>5000</v>
      </c>
      <c r="J408" s="8">
        <v>25000</v>
      </c>
      <c r="K408" s="45">
        <f t="shared" si="34"/>
        <v>5000</v>
      </c>
      <c r="L408" s="8">
        <v>25000</v>
      </c>
      <c r="M408" s="9">
        <v>9</v>
      </c>
      <c r="N408" s="9">
        <v>16.100000000000001</v>
      </c>
      <c r="O408" s="9">
        <v>14</v>
      </c>
      <c r="P408" s="9">
        <v>19.5</v>
      </c>
      <c r="Q408" s="9">
        <v>2.9</v>
      </c>
      <c r="R408">
        <v>10</v>
      </c>
      <c r="S408">
        <v>1000</v>
      </c>
      <c r="T408" s="4">
        <f t="shared" si="35"/>
        <v>1034.1950953030096</v>
      </c>
      <c r="U408">
        <v>32</v>
      </c>
    </row>
    <row r="409" spans="1:21">
      <c r="A409" s="44">
        <f t="shared" si="36"/>
        <v>45855.916666665682</v>
      </c>
      <c r="B409" s="45">
        <f t="shared" si="31"/>
        <v>5000</v>
      </c>
      <c r="C409" s="8">
        <v>25000</v>
      </c>
      <c r="D409" s="8">
        <v>0</v>
      </c>
      <c r="E409" s="8">
        <v>700</v>
      </c>
      <c r="F409" s="8">
        <v>7500</v>
      </c>
      <c r="G409" s="45">
        <f t="shared" si="32"/>
        <v>2400</v>
      </c>
      <c r="H409" s="8">
        <v>25000</v>
      </c>
      <c r="I409" s="45">
        <f t="shared" si="33"/>
        <v>5000</v>
      </c>
      <c r="J409" s="8">
        <v>25000</v>
      </c>
      <c r="K409" s="45">
        <f t="shared" si="34"/>
        <v>5000</v>
      </c>
      <c r="L409" s="8">
        <v>25000</v>
      </c>
      <c r="M409" s="9">
        <v>9</v>
      </c>
      <c r="N409" s="9">
        <v>16.100000000000001</v>
      </c>
      <c r="O409" s="9">
        <v>14</v>
      </c>
      <c r="P409" s="9">
        <v>19.5</v>
      </c>
      <c r="Q409" s="9">
        <v>2.4</v>
      </c>
      <c r="R409">
        <v>10</v>
      </c>
      <c r="S409">
        <v>1000</v>
      </c>
      <c r="T409" s="4">
        <f t="shared" si="35"/>
        <v>807.46328298313267</v>
      </c>
      <c r="U409">
        <v>52</v>
      </c>
    </row>
    <row r="410" spans="1:21">
      <c r="A410" s="44">
        <f t="shared" si="36"/>
        <v>45855.958333332346</v>
      </c>
      <c r="B410" s="45">
        <f t="shared" si="31"/>
        <v>5000</v>
      </c>
      <c r="C410" s="8">
        <v>25000</v>
      </c>
      <c r="D410" s="8">
        <v>0</v>
      </c>
      <c r="E410" s="8">
        <v>700</v>
      </c>
      <c r="F410" s="8">
        <v>7500</v>
      </c>
      <c r="G410" s="45">
        <f t="shared" si="32"/>
        <v>2400</v>
      </c>
      <c r="H410" s="8">
        <v>25000</v>
      </c>
      <c r="I410" s="45">
        <f t="shared" si="33"/>
        <v>5000</v>
      </c>
      <c r="J410" s="8">
        <v>25000</v>
      </c>
      <c r="K410" s="45">
        <f t="shared" si="34"/>
        <v>5000</v>
      </c>
      <c r="L410" s="8">
        <v>25000</v>
      </c>
      <c r="M410" s="9">
        <v>9</v>
      </c>
      <c r="N410" s="9">
        <v>16.100000000000001</v>
      </c>
      <c r="O410" s="9">
        <v>14</v>
      </c>
      <c r="P410" s="9">
        <v>19.5</v>
      </c>
      <c r="Q410" s="9">
        <v>3</v>
      </c>
      <c r="R410">
        <v>10</v>
      </c>
      <c r="S410">
        <v>1000</v>
      </c>
      <c r="T410" s="4">
        <f t="shared" si="35"/>
        <v>442.69657292841788</v>
      </c>
      <c r="U410">
        <v>20</v>
      </c>
    </row>
    <row r="411" spans="1:21">
      <c r="A411" s="44">
        <f t="shared" si="36"/>
        <v>45855.99999999901</v>
      </c>
      <c r="B411" s="45">
        <f t="shared" si="31"/>
        <v>5000</v>
      </c>
      <c r="C411" s="8">
        <v>25000</v>
      </c>
      <c r="D411" s="8">
        <v>0</v>
      </c>
      <c r="E411" s="8">
        <v>700</v>
      </c>
      <c r="F411" s="8">
        <v>7500</v>
      </c>
      <c r="G411" s="45">
        <f t="shared" si="32"/>
        <v>2400</v>
      </c>
      <c r="H411" s="8">
        <v>25000</v>
      </c>
      <c r="I411" s="45">
        <f t="shared" si="33"/>
        <v>5000</v>
      </c>
      <c r="J411" s="8">
        <v>25000</v>
      </c>
      <c r="K411" s="45">
        <f t="shared" si="34"/>
        <v>5000</v>
      </c>
      <c r="L411" s="8">
        <v>25000</v>
      </c>
      <c r="M411" s="9">
        <v>9</v>
      </c>
      <c r="N411" s="9">
        <v>16.100000000000001</v>
      </c>
      <c r="O411" s="9">
        <v>14</v>
      </c>
      <c r="P411" s="9">
        <v>19.5</v>
      </c>
      <c r="Q411" s="9">
        <v>3</v>
      </c>
      <c r="R411">
        <v>10</v>
      </c>
      <c r="S411">
        <v>1000</v>
      </c>
      <c r="T411" s="4">
        <f t="shared" si="35"/>
        <v>442.69657292841788</v>
      </c>
      <c r="U411">
        <v>34</v>
      </c>
    </row>
    <row r="412" spans="1:21">
      <c r="A412" s="44">
        <f t="shared" si="36"/>
        <v>45856.041666665675</v>
      </c>
      <c r="B412" s="45">
        <f t="shared" ref="B412:B475" si="37">B388</f>
        <v>5000</v>
      </c>
      <c r="C412" s="8">
        <v>25000</v>
      </c>
      <c r="D412" s="8">
        <v>0</v>
      </c>
      <c r="E412" s="8">
        <v>700</v>
      </c>
      <c r="F412" s="8">
        <v>7500</v>
      </c>
      <c r="G412" s="45">
        <f t="shared" ref="G412:G475" si="38">G388</f>
        <v>2400</v>
      </c>
      <c r="H412" s="8">
        <v>25000</v>
      </c>
      <c r="I412" s="45">
        <f t="shared" ref="I412:I475" si="39">I388</f>
        <v>5000</v>
      </c>
      <c r="J412" s="8">
        <v>25000</v>
      </c>
      <c r="K412" s="45">
        <f t="shared" ref="K412:K475" si="40">K388</f>
        <v>5000</v>
      </c>
      <c r="L412" s="8">
        <v>25000</v>
      </c>
      <c r="M412" s="9">
        <v>9</v>
      </c>
      <c r="N412" s="9">
        <v>16.100000000000001</v>
      </c>
      <c r="O412" s="9">
        <v>14</v>
      </c>
      <c r="P412" s="9">
        <v>19.5</v>
      </c>
      <c r="Q412" s="9">
        <v>2.6</v>
      </c>
      <c r="R412">
        <v>10</v>
      </c>
      <c r="S412">
        <v>1000</v>
      </c>
      <c r="T412" s="4">
        <f t="shared" ref="T412:T475" si="41">T388</f>
        <v>362.27094893570683</v>
      </c>
      <c r="U412">
        <v>39</v>
      </c>
    </row>
    <row r="413" spans="1:21">
      <c r="A413" s="44">
        <f t="shared" si="36"/>
        <v>45856.083333332339</v>
      </c>
      <c r="B413" s="45">
        <f t="shared" si="37"/>
        <v>5000</v>
      </c>
      <c r="C413" s="8">
        <v>25000</v>
      </c>
      <c r="D413" s="8">
        <v>0</v>
      </c>
      <c r="E413" s="8">
        <v>700</v>
      </c>
      <c r="F413" s="8">
        <v>7500</v>
      </c>
      <c r="G413" s="45">
        <f t="shared" si="38"/>
        <v>2400</v>
      </c>
      <c r="H413" s="8">
        <v>25000</v>
      </c>
      <c r="I413" s="45">
        <f t="shared" si="39"/>
        <v>5000</v>
      </c>
      <c r="J413" s="8">
        <v>25000</v>
      </c>
      <c r="K413" s="45">
        <f t="shared" si="40"/>
        <v>5000</v>
      </c>
      <c r="L413" s="8">
        <v>25000</v>
      </c>
      <c r="M413" s="9">
        <v>9</v>
      </c>
      <c r="N413" s="9">
        <v>16.100000000000001</v>
      </c>
      <c r="O413" s="9">
        <v>14</v>
      </c>
      <c r="P413" s="9">
        <v>19.5</v>
      </c>
      <c r="Q413" s="9">
        <v>2.6</v>
      </c>
      <c r="R413">
        <v>10</v>
      </c>
      <c r="S413">
        <v>1000</v>
      </c>
      <c r="T413" s="4">
        <f t="shared" si="41"/>
        <v>362.27094893570683</v>
      </c>
      <c r="U413">
        <v>93</v>
      </c>
    </row>
    <row r="414" spans="1:21">
      <c r="A414" s="44">
        <f t="shared" si="36"/>
        <v>45856.124999999003</v>
      </c>
      <c r="B414" s="45">
        <f t="shared" si="37"/>
        <v>5000</v>
      </c>
      <c r="C414" s="8">
        <v>25000</v>
      </c>
      <c r="D414" s="8">
        <v>0</v>
      </c>
      <c r="E414" s="8">
        <v>700</v>
      </c>
      <c r="F414" s="8">
        <v>7500</v>
      </c>
      <c r="G414" s="45">
        <f t="shared" si="38"/>
        <v>2400</v>
      </c>
      <c r="H414" s="8">
        <v>25000</v>
      </c>
      <c r="I414" s="45">
        <f t="shared" si="39"/>
        <v>5000</v>
      </c>
      <c r="J414" s="8">
        <v>25000</v>
      </c>
      <c r="K414" s="45">
        <f t="shared" si="40"/>
        <v>5000</v>
      </c>
      <c r="L414" s="8">
        <v>25000</v>
      </c>
      <c r="M414" s="9">
        <v>9</v>
      </c>
      <c r="N414" s="9">
        <v>16.100000000000001</v>
      </c>
      <c r="O414" s="9">
        <v>14</v>
      </c>
      <c r="P414" s="9">
        <v>19.5</v>
      </c>
      <c r="Q414" s="9">
        <v>2.7</v>
      </c>
      <c r="R414">
        <v>10</v>
      </c>
      <c r="S414">
        <v>1000</v>
      </c>
      <c r="T414" s="4">
        <f t="shared" si="41"/>
        <v>362.27094893570683</v>
      </c>
      <c r="U414">
        <v>24</v>
      </c>
    </row>
    <row r="415" spans="1:21">
      <c r="A415" s="44">
        <f t="shared" si="36"/>
        <v>45856.166666665667</v>
      </c>
      <c r="B415" s="45">
        <f t="shared" si="37"/>
        <v>5000</v>
      </c>
      <c r="C415" s="8">
        <v>25000</v>
      </c>
      <c r="D415" s="8">
        <v>0</v>
      </c>
      <c r="E415" s="8">
        <v>700</v>
      </c>
      <c r="F415" s="8">
        <v>7500</v>
      </c>
      <c r="G415" s="45">
        <f t="shared" si="38"/>
        <v>2400</v>
      </c>
      <c r="H415" s="8">
        <v>25000</v>
      </c>
      <c r="I415" s="45">
        <f t="shared" si="39"/>
        <v>5000</v>
      </c>
      <c r="J415" s="8">
        <v>25000</v>
      </c>
      <c r="K415" s="45">
        <f t="shared" si="40"/>
        <v>5000</v>
      </c>
      <c r="L415" s="8">
        <v>25000</v>
      </c>
      <c r="M415" s="9">
        <v>9</v>
      </c>
      <c r="N415" s="9">
        <v>16.100000000000001</v>
      </c>
      <c r="O415" s="9">
        <v>14</v>
      </c>
      <c r="P415" s="9">
        <v>19.5</v>
      </c>
      <c r="Q415" s="9">
        <v>2.7</v>
      </c>
      <c r="R415">
        <v>10</v>
      </c>
      <c r="S415">
        <v>1000</v>
      </c>
      <c r="T415" s="4">
        <f t="shared" si="41"/>
        <v>426.44032978095498</v>
      </c>
      <c r="U415">
        <v>19</v>
      </c>
    </row>
    <row r="416" spans="1:21">
      <c r="A416" s="44">
        <f t="shared" si="36"/>
        <v>45856.208333332332</v>
      </c>
      <c r="B416" s="45">
        <f t="shared" si="37"/>
        <v>5000</v>
      </c>
      <c r="C416" s="8">
        <v>25000</v>
      </c>
      <c r="D416" s="8">
        <v>0</v>
      </c>
      <c r="E416" s="8">
        <v>700</v>
      </c>
      <c r="F416" s="8">
        <v>7500</v>
      </c>
      <c r="G416" s="45">
        <f t="shared" si="38"/>
        <v>2400</v>
      </c>
      <c r="H416" s="8">
        <v>25000</v>
      </c>
      <c r="I416" s="45">
        <f t="shared" si="39"/>
        <v>5000</v>
      </c>
      <c r="J416" s="8">
        <v>25000</v>
      </c>
      <c r="K416" s="45">
        <f t="shared" si="40"/>
        <v>5000</v>
      </c>
      <c r="L416" s="8">
        <v>25000</v>
      </c>
      <c r="M416" s="9">
        <v>9</v>
      </c>
      <c r="N416" s="9">
        <v>16.100000000000001</v>
      </c>
      <c r="O416" s="9">
        <v>14</v>
      </c>
      <c r="P416" s="9">
        <v>19.5</v>
      </c>
      <c r="Q416" s="9">
        <v>2.5</v>
      </c>
      <c r="R416">
        <v>10</v>
      </c>
      <c r="S416">
        <v>1000</v>
      </c>
      <c r="T416" s="4">
        <f t="shared" si="41"/>
        <v>362.27094893570683</v>
      </c>
      <c r="U416">
        <v>88</v>
      </c>
    </row>
    <row r="417" spans="1:21">
      <c r="A417" s="44">
        <f t="shared" si="36"/>
        <v>45856.249999998996</v>
      </c>
      <c r="B417" s="45">
        <f t="shared" si="37"/>
        <v>8000</v>
      </c>
      <c r="C417" s="8">
        <v>25000</v>
      </c>
      <c r="D417" s="8">
        <v>0</v>
      </c>
      <c r="E417" s="8">
        <v>700</v>
      </c>
      <c r="F417" s="8">
        <v>7500</v>
      </c>
      <c r="G417" s="45">
        <f t="shared" si="38"/>
        <v>2400</v>
      </c>
      <c r="H417" s="8">
        <v>25000</v>
      </c>
      <c r="I417" s="45">
        <f t="shared" si="39"/>
        <v>8000</v>
      </c>
      <c r="J417" s="8">
        <v>25000</v>
      </c>
      <c r="K417" s="45">
        <f t="shared" si="40"/>
        <v>8000</v>
      </c>
      <c r="L417" s="8">
        <v>25000</v>
      </c>
      <c r="M417" s="9">
        <v>9</v>
      </c>
      <c r="N417" s="9">
        <v>16.100000000000001</v>
      </c>
      <c r="O417" s="9">
        <v>14</v>
      </c>
      <c r="P417" s="9">
        <v>19.5</v>
      </c>
      <c r="Q417" s="9">
        <v>2.7</v>
      </c>
      <c r="R417">
        <v>10</v>
      </c>
      <c r="S417">
        <v>1000</v>
      </c>
      <c r="T417" s="4">
        <f t="shared" si="41"/>
        <v>304.3759075508828</v>
      </c>
      <c r="U417">
        <v>10</v>
      </c>
    </row>
    <row r="418" spans="1:21">
      <c r="A418" s="44">
        <f t="shared" si="36"/>
        <v>45856.29166666566</v>
      </c>
      <c r="B418" s="45">
        <f t="shared" si="37"/>
        <v>8000</v>
      </c>
      <c r="C418" s="8">
        <v>25000</v>
      </c>
      <c r="D418" s="8">
        <v>0</v>
      </c>
      <c r="E418" s="8">
        <v>700</v>
      </c>
      <c r="F418" s="8">
        <v>7500</v>
      </c>
      <c r="G418" s="45">
        <f t="shared" si="38"/>
        <v>2400</v>
      </c>
      <c r="H418" s="8">
        <v>25000</v>
      </c>
      <c r="I418" s="45">
        <f t="shared" si="39"/>
        <v>8000</v>
      </c>
      <c r="J418" s="8">
        <v>25000</v>
      </c>
      <c r="K418" s="45">
        <f t="shared" si="40"/>
        <v>8000</v>
      </c>
      <c r="L418" s="8">
        <v>25000</v>
      </c>
      <c r="M418" s="9">
        <v>9</v>
      </c>
      <c r="N418" s="9">
        <v>16.100000000000001</v>
      </c>
      <c r="O418" s="9">
        <v>14</v>
      </c>
      <c r="P418" s="9">
        <v>19.5</v>
      </c>
      <c r="Q418" s="9">
        <v>2.9</v>
      </c>
      <c r="R418">
        <v>10</v>
      </c>
      <c r="S418">
        <v>1000</v>
      </c>
      <c r="T418" s="4">
        <f t="shared" si="41"/>
        <v>280.13414145378908</v>
      </c>
      <c r="U418">
        <v>65</v>
      </c>
    </row>
    <row r="419" spans="1:21">
      <c r="A419" s="44">
        <f t="shared" si="36"/>
        <v>45856.333333332324</v>
      </c>
      <c r="B419" s="45">
        <f t="shared" si="37"/>
        <v>8000</v>
      </c>
      <c r="C419" s="8">
        <v>25000</v>
      </c>
      <c r="D419" s="8">
        <v>0</v>
      </c>
      <c r="E419" s="8">
        <v>700</v>
      </c>
      <c r="F419" s="8">
        <v>7500</v>
      </c>
      <c r="G419" s="45">
        <f t="shared" si="38"/>
        <v>2400</v>
      </c>
      <c r="H419" s="8">
        <v>25000</v>
      </c>
      <c r="I419" s="45">
        <f t="shared" si="39"/>
        <v>8000</v>
      </c>
      <c r="J419" s="8">
        <v>25000</v>
      </c>
      <c r="K419" s="45">
        <f t="shared" si="40"/>
        <v>8000</v>
      </c>
      <c r="L419" s="8">
        <v>25000</v>
      </c>
      <c r="M419" s="9">
        <v>9</v>
      </c>
      <c r="N419" s="9">
        <v>16.100000000000001</v>
      </c>
      <c r="O419" s="9">
        <v>14</v>
      </c>
      <c r="P419" s="9">
        <v>19.5</v>
      </c>
      <c r="Q419" s="9">
        <v>3</v>
      </c>
      <c r="R419">
        <v>10</v>
      </c>
      <c r="S419">
        <v>1000</v>
      </c>
      <c r="T419" s="4">
        <f t="shared" si="41"/>
        <v>294.39400386384426</v>
      </c>
      <c r="U419">
        <v>73</v>
      </c>
    </row>
    <row r="420" spans="1:21">
      <c r="A420" s="44">
        <f t="shared" si="36"/>
        <v>45856.374999998989</v>
      </c>
      <c r="B420" s="45">
        <f t="shared" si="37"/>
        <v>8000</v>
      </c>
      <c r="C420" s="8">
        <v>25000</v>
      </c>
      <c r="D420" s="8">
        <v>0</v>
      </c>
      <c r="E420" s="8">
        <v>700</v>
      </c>
      <c r="F420" s="8">
        <v>7500</v>
      </c>
      <c r="G420" s="45">
        <f t="shared" si="38"/>
        <v>2400</v>
      </c>
      <c r="H420" s="8">
        <v>25000</v>
      </c>
      <c r="I420" s="45">
        <f t="shared" si="39"/>
        <v>8000</v>
      </c>
      <c r="J420" s="8">
        <v>25000</v>
      </c>
      <c r="K420" s="45">
        <f t="shared" si="40"/>
        <v>8000</v>
      </c>
      <c r="L420" s="8">
        <v>25000</v>
      </c>
      <c r="M420" s="9">
        <v>9</v>
      </c>
      <c r="N420" s="9">
        <v>16.100000000000001</v>
      </c>
      <c r="O420" s="9">
        <v>14</v>
      </c>
      <c r="P420" s="9">
        <v>19.5</v>
      </c>
      <c r="Q420" s="9">
        <v>2.4</v>
      </c>
      <c r="R420">
        <v>10</v>
      </c>
      <c r="S420">
        <v>1000</v>
      </c>
      <c r="T420" s="4">
        <f t="shared" si="41"/>
        <v>317.20978371993255</v>
      </c>
      <c r="U420">
        <v>44</v>
      </c>
    </row>
    <row r="421" spans="1:21">
      <c r="A421" s="44">
        <f t="shared" si="36"/>
        <v>45856.416666665653</v>
      </c>
      <c r="B421" s="45">
        <f t="shared" si="37"/>
        <v>8000</v>
      </c>
      <c r="C421" s="8">
        <v>25000</v>
      </c>
      <c r="D421" s="8">
        <v>0</v>
      </c>
      <c r="E421" s="8">
        <v>700</v>
      </c>
      <c r="F421" s="8">
        <v>7500</v>
      </c>
      <c r="G421" s="45">
        <f t="shared" si="38"/>
        <v>2400</v>
      </c>
      <c r="H421" s="8">
        <v>25000</v>
      </c>
      <c r="I421" s="45">
        <f t="shared" si="39"/>
        <v>8000</v>
      </c>
      <c r="J421" s="8">
        <v>25000</v>
      </c>
      <c r="K421" s="45">
        <f t="shared" si="40"/>
        <v>8000</v>
      </c>
      <c r="L421" s="8">
        <v>25000</v>
      </c>
      <c r="M421" s="9">
        <v>9</v>
      </c>
      <c r="N421" s="9">
        <v>16.100000000000001</v>
      </c>
      <c r="O421" s="9">
        <v>14</v>
      </c>
      <c r="P421" s="9">
        <v>19.5</v>
      </c>
      <c r="Q421" s="9">
        <v>2.9</v>
      </c>
      <c r="R421">
        <v>10</v>
      </c>
      <c r="S421">
        <v>1000</v>
      </c>
      <c r="T421" s="4">
        <f t="shared" si="41"/>
        <v>308.08347177749721</v>
      </c>
      <c r="U421">
        <v>18</v>
      </c>
    </row>
    <row r="422" spans="1:21">
      <c r="A422" s="44">
        <f t="shared" si="36"/>
        <v>45856.458333332317</v>
      </c>
      <c r="B422" s="45">
        <f t="shared" si="37"/>
        <v>8000</v>
      </c>
      <c r="C422" s="8">
        <v>25000</v>
      </c>
      <c r="D422" s="8">
        <v>0</v>
      </c>
      <c r="E422" s="8">
        <v>700</v>
      </c>
      <c r="F422" s="8">
        <v>7500</v>
      </c>
      <c r="G422" s="45">
        <f t="shared" si="38"/>
        <v>2400</v>
      </c>
      <c r="H422" s="8">
        <v>25000</v>
      </c>
      <c r="I422" s="45">
        <f t="shared" si="39"/>
        <v>8000</v>
      </c>
      <c r="J422" s="8">
        <v>25000</v>
      </c>
      <c r="K422" s="45">
        <f t="shared" si="40"/>
        <v>8000</v>
      </c>
      <c r="L422" s="8">
        <v>25000</v>
      </c>
      <c r="M422" s="9">
        <v>9</v>
      </c>
      <c r="N422" s="9">
        <v>16.100000000000001</v>
      </c>
      <c r="O422" s="9">
        <v>14</v>
      </c>
      <c r="P422" s="9">
        <v>19.5</v>
      </c>
      <c r="Q422" s="9">
        <v>2.5</v>
      </c>
      <c r="R422">
        <v>10</v>
      </c>
      <c r="S422">
        <v>1000</v>
      </c>
      <c r="T422" s="4">
        <f t="shared" si="41"/>
        <v>303.80551305448063</v>
      </c>
      <c r="U422">
        <v>88</v>
      </c>
    </row>
    <row r="423" spans="1:21">
      <c r="A423" s="44">
        <f t="shared" si="36"/>
        <v>45856.499999998981</v>
      </c>
      <c r="B423" s="45">
        <f t="shared" si="37"/>
        <v>8000</v>
      </c>
      <c r="C423" s="8">
        <v>25000</v>
      </c>
      <c r="D423" s="8">
        <v>0</v>
      </c>
      <c r="E423" s="8">
        <v>700</v>
      </c>
      <c r="F423" s="8">
        <v>7500</v>
      </c>
      <c r="G423" s="45">
        <f t="shared" si="38"/>
        <v>2400</v>
      </c>
      <c r="H423" s="8">
        <v>25000</v>
      </c>
      <c r="I423" s="45">
        <f t="shared" si="39"/>
        <v>8000</v>
      </c>
      <c r="J423" s="8">
        <v>25000</v>
      </c>
      <c r="K423" s="45">
        <f t="shared" si="40"/>
        <v>8000</v>
      </c>
      <c r="L423" s="8">
        <v>25000</v>
      </c>
      <c r="M423" s="9">
        <v>9</v>
      </c>
      <c r="N423" s="9">
        <v>16.100000000000001</v>
      </c>
      <c r="O423" s="9">
        <v>14</v>
      </c>
      <c r="P423" s="9">
        <v>19.5</v>
      </c>
      <c r="Q423" s="9">
        <v>3</v>
      </c>
      <c r="R423">
        <v>10</v>
      </c>
      <c r="S423">
        <v>1000</v>
      </c>
      <c r="T423" s="4">
        <f t="shared" si="41"/>
        <v>303.80551305448063</v>
      </c>
      <c r="U423">
        <v>83</v>
      </c>
    </row>
    <row r="424" spans="1:21">
      <c r="A424" s="44">
        <f t="shared" si="36"/>
        <v>45856.541666665646</v>
      </c>
      <c r="B424" s="45">
        <f t="shared" si="37"/>
        <v>8000</v>
      </c>
      <c r="C424" s="8">
        <v>25000</v>
      </c>
      <c r="D424" s="8">
        <v>0</v>
      </c>
      <c r="E424" s="8">
        <v>700</v>
      </c>
      <c r="F424" s="8">
        <v>7500</v>
      </c>
      <c r="G424" s="45">
        <f t="shared" si="38"/>
        <v>2400</v>
      </c>
      <c r="H424" s="8">
        <v>25000</v>
      </c>
      <c r="I424" s="45">
        <f t="shared" si="39"/>
        <v>8000</v>
      </c>
      <c r="J424" s="8">
        <v>25000</v>
      </c>
      <c r="K424" s="45">
        <f t="shared" si="40"/>
        <v>8000</v>
      </c>
      <c r="L424" s="8">
        <v>25000</v>
      </c>
      <c r="M424" s="9">
        <v>9</v>
      </c>
      <c r="N424" s="9">
        <v>16.100000000000001</v>
      </c>
      <c r="O424" s="9">
        <v>14</v>
      </c>
      <c r="P424" s="9">
        <v>19.5</v>
      </c>
      <c r="Q424" s="9">
        <v>2.7</v>
      </c>
      <c r="R424">
        <v>10</v>
      </c>
      <c r="S424">
        <v>1000</v>
      </c>
      <c r="T424" s="4">
        <f t="shared" si="41"/>
        <v>353.43040463596901</v>
      </c>
      <c r="U424">
        <v>48</v>
      </c>
    </row>
    <row r="425" spans="1:21">
      <c r="A425" s="44">
        <f t="shared" si="36"/>
        <v>45856.58333333231</v>
      </c>
      <c r="B425" s="45">
        <f t="shared" si="37"/>
        <v>8000</v>
      </c>
      <c r="C425" s="8">
        <v>25000</v>
      </c>
      <c r="D425" s="8">
        <v>0</v>
      </c>
      <c r="E425" s="8">
        <v>700</v>
      </c>
      <c r="F425" s="8">
        <v>7500</v>
      </c>
      <c r="G425" s="45">
        <f t="shared" si="38"/>
        <v>2400</v>
      </c>
      <c r="H425" s="8">
        <v>25000</v>
      </c>
      <c r="I425" s="45">
        <f t="shared" si="39"/>
        <v>8000</v>
      </c>
      <c r="J425" s="8">
        <v>25000</v>
      </c>
      <c r="K425" s="45">
        <f t="shared" si="40"/>
        <v>8000</v>
      </c>
      <c r="L425" s="8">
        <v>25000</v>
      </c>
      <c r="M425" s="9">
        <v>9</v>
      </c>
      <c r="N425" s="9">
        <v>16.100000000000001</v>
      </c>
      <c r="O425" s="9">
        <v>14</v>
      </c>
      <c r="P425" s="9">
        <v>19.5</v>
      </c>
      <c r="Q425" s="9">
        <v>2.7</v>
      </c>
      <c r="R425">
        <v>10</v>
      </c>
      <c r="S425">
        <v>1000</v>
      </c>
      <c r="T425" s="4">
        <f t="shared" si="41"/>
        <v>587.29100737188094</v>
      </c>
      <c r="U425">
        <v>91</v>
      </c>
    </row>
    <row r="426" spans="1:21">
      <c r="A426" s="44">
        <f t="shared" si="36"/>
        <v>45856.624999998974</v>
      </c>
      <c r="B426" s="45">
        <f t="shared" si="37"/>
        <v>8000</v>
      </c>
      <c r="C426" s="8">
        <v>25000</v>
      </c>
      <c r="D426" s="8">
        <v>0</v>
      </c>
      <c r="E426" s="8">
        <v>700</v>
      </c>
      <c r="F426" s="8">
        <v>7500</v>
      </c>
      <c r="G426" s="45">
        <f t="shared" si="38"/>
        <v>2400</v>
      </c>
      <c r="H426" s="8">
        <v>25000</v>
      </c>
      <c r="I426" s="45">
        <f t="shared" si="39"/>
        <v>8000</v>
      </c>
      <c r="J426" s="8">
        <v>25000</v>
      </c>
      <c r="K426" s="45">
        <f t="shared" si="40"/>
        <v>8000</v>
      </c>
      <c r="L426" s="8">
        <v>25000</v>
      </c>
      <c r="M426" s="9">
        <v>9</v>
      </c>
      <c r="N426" s="9">
        <v>16.100000000000001</v>
      </c>
      <c r="O426" s="9">
        <v>14</v>
      </c>
      <c r="P426" s="9">
        <v>19.5</v>
      </c>
      <c r="Q426" s="9">
        <v>3</v>
      </c>
      <c r="R426">
        <v>10</v>
      </c>
      <c r="S426">
        <v>1000</v>
      </c>
      <c r="T426" s="4">
        <f t="shared" si="41"/>
        <v>604.40284226394715</v>
      </c>
      <c r="U426">
        <v>52</v>
      </c>
    </row>
    <row r="427" spans="1:21">
      <c r="A427" s="44">
        <f t="shared" si="36"/>
        <v>45856.666666665638</v>
      </c>
      <c r="B427" s="45">
        <f t="shared" si="37"/>
        <v>8000</v>
      </c>
      <c r="C427" s="8">
        <v>25000</v>
      </c>
      <c r="D427" s="8">
        <v>0</v>
      </c>
      <c r="E427" s="8">
        <v>700</v>
      </c>
      <c r="F427" s="8">
        <v>7500</v>
      </c>
      <c r="G427" s="45">
        <f t="shared" si="38"/>
        <v>2400</v>
      </c>
      <c r="H427" s="8">
        <v>25000</v>
      </c>
      <c r="I427" s="45">
        <f t="shared" si="39"/>
        <v>8000</v>
      </c>
      <c r="J427" s="8">
        <v>25000</v>
      </c>
      <c r="K427" s="45">
        <f t="shared" si="40"/>
        <v>8000</v>
      </c>
      <c r="L427" s="8">
        <v>25000</v>
      </c>
      <c r="M427" s="9">
        <v>9</v>
      </c>
      <c r="N427" s="9">
        <v>16.100000000000001</v>
      </c>
      <c r="O427" s="9">
        <v>14</v>
      </c>
      <c r="P427" s="9">
        <v>19.5</v>
      </c>
      <c r="Q427" s="9">
        <v>3</v>
      </c>
      <c r="R427">
        <v>10</v>
      </c>
      <c r="S427">
        <v>1000</v>
      </c>
      <c r="T427" s="4">
        <f t="shared" si="41"/>
        <v>875.91062255139741</v>
      </c>
      <c r="U427">
        <v>54</v>
      </c>
    </row>
    <row r="428" spans="1:21">
      <c r="A428" s="44">
        <f t="shared" si="36"/>
        <v>45856.708333332303</v>
      </c>
      <c r="B428" s="45">
        <f t="shared" si="37"/>
        <v>8000</v>
      </c>
      <c r="C428" s="8">
        <v>25000</v>
      </c>
      <c r="D428" s="8">
        <v>0</v>
      </c>
      <c r="E428" s="8">
        <v>700</v>
      </c>
      <c r="F428" s="8">
        <v>7500</v>
      </c>
      <c r="G428" s="45">
        <f t="shared" si="38"/>
        <v>2400</v>
      </c>
      <c r="H428" s="8">
        <v>25000</v>
      </c>
      <c r="I428" s="45">
        <f t="shared" si="39"/>
        <v>8000</v>
      </c>
      <c r="J428" s="8">
        <v>25000</v>
      </c>
      <c r="K428" s="45">
        <f t="shared" si="40"/>
        <v>8000</v>
      </c>
      <c r="L428" s="8">
        <v>25000</v>
      </c>
      <c r="M428" s="9">
        <v>9</v>
      </c>
      <c r="N428" s="9">
        <v>16.100000000000001</v>
      </c>
      <c r="O428" s="9">
        <v>14</v>
      </c>
      <c r="P428" s="9">
        <v>19.5</v>
      </c>
      <c r="Q428" s="9">
        <v>2.9</v>
      </c>
      <c r="R428">
        <v>10</v>
      </c>
      <c r="S428">
        <v>1000</v>
      </c>
      <c r="T428" s="4">
        <f t="shared" si="41"/>
        <v>1116.9022972813298</v>
      </c>
      <c r="U428">
        <v>58</v>
      </c>
    </row>
    <row r="429" spans="1:21">
      <c r="A429" s="44">
        <f t="shared" si="36"/>
        <v>45856.749999998967</v>
      </c>
      <c r="B429" s="45">
        <f t="shared" si="37"/>
        <v>5000</v>
      </c>
      <c r="C429" s="8">
        <v>25000</v>
      </c>
      <c r="D429" s="8">
        <v>0</v>
      </c>
      <c r="E429" s="8">
        <v>700</v>
      </c>
      <c r="F429" s="8">
        <v>7500</v>
      </c>
      <c r="G429" s="45">
        <f t="shared" si="38"/>
        <v>2400</v>
      </c>
      <c r="H429" s="8">
        <v>25000</v>
      </c>
      <c r="I429" s="45">
        <f t="shared" si="39"/>
        <v>5000</v>
      </c>
      <c r="J429" s="8">
        <v>25000</v>
      </c>
      <c r="K429" s="45">
        <f t="shared" si="40"/>
        <v>5000</v>
      </c>
      <c r="L429" s="8">
        <v>25000</v>
      </c>
      <c r="M429" s="9">
        <v>9</v>
      </c>
      <c r="N429" s="9">
        <v>16.100000000000001</v>
      </c>
      <c r="O429" s="9">
        <v>14</v>
      </c>
      <c r="P429" s="9">
        <v>19.5</v>
      </c>
      <c r="Q429" s="9">
        <v>2.5</v>
      </c>
      <c r="R429">
        <v>10</v>
      </c>
      <c r="S429">
        <v>1000</v>
      </c>
      <c r="T429" s="4">
        <f t="shared" si="41"/>
        <v>1156.8299120294841</v>
      </c>
      <c r="U429">
        <v>59</v>
      </c>
    </row>
    <row r="430" spans="1:21">
      <c r="A430" s="44">
        <f t="shared" si="36"/>
        <v>45856.791666665631</v>
      </c>
      <c r="B430" s="45">
        <f t="shared" si="37"/>
        <v>5000</v>
      </c>
      <c r="C430" s="8">
        <v>25000</v>
      </c>
      <c r="D430" s="8">
        <v>0</v>
      </c>
      <c r="E430" s="8">
        <v>700</v>
      </c>
      <c r="F430" s="8">
        <v>7500</v>
      </c>
      <c r="G430" s="45">
        <f t="shared" si="38"/>
        <v>2400</v>
      </c>
      <c r="H430" s="8">
        <v>25000</v>
      </c>
      <c r="I430" s="45">
        <f t="shared" si="39"/>
        <v>5000</v>
      </c>
      <c r="J430" s="8">
        <v>25000</v>
      </c>
      <c r="K430" s="45">
        <f t="shared" si="40"/>
        <v>5000</v>
      </c>
      <c r="L430" s="8">
        <v>25000</v>
      </c>
      <c r="M430" s="9">
        <v>9</v>
      </c>
      <c r="N430" s="9">
        <v>16.100000000000001</v>
      </c>
      <c r="O430" s="9">
        <v>14</v>
      </c>
      <c r="P430" s="9">
        <v>19.5</v>
      </c>
      <c r="Q430" s="9">
        <v>2.6</v>
      </c>
      <c r="R430">
        <v>10</v>
      </c>
      <c r="S430">
        <v>1000</v>
      </c>
      <c r="T430" s="4">
        <f t="shared" si="41"/>
        <v>1156.8299120294841</v>
      </c>
      <c r="U430">
        <v>88</v>
      </c>
    </row>
    <row r="431" spans="1:21">
      <c r="A431" s="44">
        <f t="shared" si="36"/>
        <v>45856.833333332295</v>
      </c>
      <c r="B431" s="45">
        <f t="shared" si="37"/>
        <v>5000</v>
      </c>
      <c r="C431" s="8">
        <v>25000</v>
      </c>
      <c r="D431" s="8">
        <v>0</v>
      </c>
      <c r="E431" s="8">
        <v>700</v>
      </c>
      <c r="F431" s="8">
        <v>7500</v>
      </c>
      <c r="G431" s="45">
        <f t="shared" si="38"/>
        <v>2400</v>
      </c>
      <c r="H431" s="8">
        <v>25000</v>
      </c>
      <c r="I431" s="45">
        <f t="shared" si="39"/>
        <v>5000</v>
      </c>
      <c r="J431" s="8">
        <v>25000</v>
      </c>
      <c r="K431" s="45">
        <f t="shared" si="40"/>
        <v>5000</v>
      </c>
      <c r="L431" s="8">
        <v>25000</v>
      </c>
      <c r="M431" s="9">
        <v>9</v>
      </c>
      <c r="N431" s="9">
        <v>16.100000000000001</v>
      </c>
      <c r="O431" s="9">
        <v>14</v>
      </c>
      <c r="P431" s="9">
        <v>19.5</v>
      </c>
      <c r="Q431" s="9">
        <v>2.8</v>
      </c>
      <c r="R431">
        <v>10</v>
      </c>
      <c r="S431">
        <v>1000</v>
      </c>
      <c r="T431" s="4">
        <f t="shared" si="41"/>
        <v>1114.0503247993186</v>
      </c>
      <c r="U431">
        <v>50</v>
      </c>
    </row>
    <row r="432" spans="1:21">
      <c r="A432" s="44">
        <f t="shared" si="36"/>
        <v>45856.87499999896</v>
      </c>
      <c r="B432" s="45">
        <f t="shared" si="37"/>
        <v>5000</v>
      </c>
      <c r="C432" s="8">
        <v>25000</v>
      </c>
      <c r="D432" s="8">
        <v>0</v>
      </c>
      <c r="E432" s="8">
        <v>700</v>
      </c>
      <c r="F432" s="8">
        <v>7500</v>
      </c>
      <c r="G432" s="45">
        <f t="shared" si="38"/>
        <v>2400</v>
      </c>
      <c r="H432" s="8">
        <v>25000</v>
      </c>
      <c r="I432" s="45">
        <f t="shared" si="39"/>
        <v>5000</v>
      </c>
      <c r="J432" s="8">
        <v>25000</v>
      </c>
      <c r="K432" s="45">
        <f t="shared" si="40"/>
        <v>5000</v>
      </c>
      <c r="L432" s="8">
        <v>25000</v>
      </c>
      <c r="M432" s="9">
        <v>9</v>
      </c>
      <c r="N432" s="9">
        <v>16.100000000000001</v>
      </c>
      <c r="O432" s="9">
        <v>14</v>
      </c>
      <c r="P432" s="9">
        <v>19.5</v>
      </c>
      <c r="Q432" s="9">
        <v>2.5</v>
      </c>
      <c r="R432">
        <v>10</v>
      </c>
      <c r="S432">
        <v>1000</v>
      </c>
      <c r="T432" s="4">
        <f t="shared" si="41"/>
        <v>1034.1950953030096</v>
      </c>
      <c r="U432">
        <v>17</v>
      </c>
    </row>
    <row r="433" spans="1:21">
      <c r="A433" s="44">
        <f t="shared" si="36"/>
        <v>45856.916666665624</v>
      </c>
      <c r="B433" s="45">
        <f t="shared" si="37"/>
        <v>5000</v>
      </c>
      <c r="C433" s="8">
        <v>25000</v>
      </c>
      <c r="D433" s="8">
        <v>0</v>
      </c>
      <c r="E433" s="8">
        <v>700</v>
      </c>
      <c r="F433" s="8">
        <v>7500</v>
      </c>
      <c r="G433" s="45">
        <f t="shared" si="38"/>
        <v>2400</v>
      </c>
      <c r="H433" s="8">
        <v>25000</v>
      </c>
      <c r="I433" s="45">
        <f t="shared" si="39"/>
        <v>5000</v>
      </c>
      <c r="J433" s="8">
        <v>25000</v>
      </c>
      <c r="K433" s="45">
        <f t="shared" si="40"/>
        <v>5000</v>
      </c>
      <c r="L433" s="8">
        <v>25000</v>
      </c>
      <c r="M433" s="9">
        <v>9</v>
      </c>
      <c r="N433" s="9">
        <v>16.100000000000001</v>
      </c>
      <c r="O433" s="9">
        <v>14</v>
      </c>
      <c r="P433" s="9">
        <v>19.5</v>
      </c>
      <c r="Q433" s="9">
        <v>2.6</v>
      </c>
      <c r="R433">
        <v>10</v>
      </c>
      <c r="S433">
        <v>1000</v>
      </c>
      <c r="T433" s="4">
        <f t="shared" si="41"/>
        <v>807.46328298313267</v>
      </c>
      <c r="U433">
        <v>51</v>
      </c>
    </row>
    <row r="434" spans="1:21">
      <c r="A434" s="44">
        <f t="shared" si="36"/>
        <v>45856.958333332288</v>
      </c>
      <c r="B434" s="45">
        <f t="shared" si="37"/>
        <v>5000</v>
      </c>
      <c r="C434" s="8">
        <v>25000</v>
      </c>
      <c r="D434" s="8">
        <v>0</v>
      </c>
      <c r="E434" s="8">
        <v>700</v>
      </c>
      <c r="F434" s="8">
        <v>7500</v>
      </c>
      <c r="G434" s="45">
        <f t="shared" si="38"/>
        <v>2400</v>
      </c>
      <c r="H434" s="8">
        <v>25000</v>
      </c>
      <c r="I434" s="45">
        <f t="shared" si="39"/>
        <v>5000</v>
      </c>
      <c r="J434" s="8">
        <v>25000</v>
      </c>
      <c r="K434" s="45">
        <f t="shared" si="40"/>
        <v>5000</v>
      </c>
      <c r="L434" s="8">
        <v>25000</v>
      </c>
      <c r="M434" s="9">
        <v>9</v>
      </c>
      <c r="N434" s="9">
        <v>16.100000000000001</v>
      </c>
      <c r="O434" s="9">
        <v>14</v>
      </c>
      <c r="P434" s="9">
        <v>19.5</v>
      </c>
      <c r="Q434" s="9">
        <v>3</v>
      </c>
      <c r="R434">
        <v>10</v>
      </c>
      <c r="S434">
        <v>1000</v>
      </c>
      <c r="T434" s="4">
        <f t="shared" si="41"/>
        <v>442.69657292841788</v>
      </c>
      <c r="U434">
        <v>86</v>
      </c>
    </row>
    <row r="435" spans="1:21">
      <c r="A435" s="44">
        <f t="shared" si="36"/>
        <v>45856.999999998952</v>
      </c>
      <c r="B435" s="45">
        <f t="shared" si="37"/>
        <v>5000</v>
      </c>
      <c r="C435" s="8">
        <v>25000</v>
      </c>
      <c r="D435" s="8">
        <v>0</v>
      </c>
      <c r="E435" s="8">
        <v>700</v>
      </c>
      <c r="F435" s="8">
        <v>7500</v>
      </c>
      <c r="G435" s="45">
        <f t="shared" si="38"/>
        <v>2400</v>
      </c>
      <c r="H435" s="8">
        <v>25000</v>
      </c>
      <c r="I435" s="45">
        <f t="shared" si="39"/>
        <v>5000</v>
      </c>
      <c r="J435" s="8">
        <v>25000</v>
      </c>
      <c r="K435" s="45">
        <f t="shared" si="40"/>
        <v>5000</v>
      </c>
      <c r="L435" s="8">
        <v>25000</v>
      </c>
      <c r="M435" s="9">
        <v>9</v>
      </c>
      <c r="N435" s="9">
        <v>16.100000000000001</v>
      </c>
      <c r="O435" s="9">
        <v>14</v>
      </c>
      <c r="P435" s="9">
        <v>19.5</v>
      </c>
      <c r="Q435" s="9">
        <v>2.6</v>
      </c>
      <c r="R435">
        <v>10</v>
      </c>
      <c r="S435">
        <v>1000</v>
      </c>
      <c r="T435" s="4">
        <f t="shared" si="41"/>
        <v>442.69657292841788</v>
      </c>
      <c r="U435">
        <v>43</v>
      </c>
    </row>
    <row r="436" spans="1:21">
      <c r="A436" s="44">
        <f t="shared" si="36"/>
        <v>45857.041666665617</v>
      </c>
      <c r="B436" s="45">
        <f t="shared" si="37"/>
        <v>5000</v>
      </c>
      <c r="C436" s="8">
        <v>25000</v>
      </c>
      <c r="D436" s="8">
        <v>0</v>
      </c>
      <c r="E436" s="8">
        <v>700</v>
      </c>
      <c r="F436" s="8">
        <v>7500</v>
      </c>
      <c r="G436" s="45">
        <f t="shared" si="38"/>
        <v>2400</v>
      </c>
      <c r="H436" s="8">
        <v>25000</v>
      </c>
      <c r="I436" s="45">
        <f t="shared" si="39"/>
        <v>5000</v>
      </c>
      <c r="J436" s="8">
        <v>25000</v>
      </c>
      <c r="K436" s="45">
        <f t="shared" si="40"/>
        <v>5000</v>
      </c>
      <c r="L436" s="8">
        <v>25000</v>
      </c>
      <c r="M436" s="9">
        <v>9</v>
      </c>
      <c r="N436" s="9">
        <v>16.100000000000001</v>
      </c>
      <c r="O436" s="9">
        <v>14</v>
      </c>
      <c r="P436" s="9">
        <v>19.5</v>
      </c>
      <c r="Q436" s="9">
        <v>2.5</v>
      </c>
      <c r="R436">
        <v>10</v>
      </c>
      <c r="S436">
        <v>1000</v>
      </c>
      <c r="T436" s="4">
        <f t="shared" si="41"/>
        <v>362.27094893570683</v>
      </c>
      <c r="U436">
        <v>14</v>
      </c>
    </row>
    <row r="437" spans="1:21">
      <c r="A437" s="44">
        <f t="shared" si="36"/>
        <v>45857.083333332281</v>
      </c>
      <c r="B437" s="45">
        <f t="shared" si="37"/>
        <v>5000</v>
      </c>
      <c r="C437" s="8">
        <v>25000</v>
      </c>
      <c r="D437" s="8">
        <v>0</v>
      </c>
      <c r="E437" s="8">
        <v>700</v>
      </c>
      <c r="F437" s="8">
        <v>7500</v>
      </c>
      <c r="G437" s="45">
        <f t="shared" si="38"/>
        <v>2400</v>
      </c>
      <c r="H437" s="8">
        <v>25000</v>
      </c>
      <c r="I437" s="45">
        <f t="shared" si="39"/>
        <v>5000</v>
      </c>
      <c r="J437" s="8">
        <v>25000</v>
      </c>
      <c r="K437" s="45">
        <f t="shared" si="40"/>
        <v>5000</v>
      </c>
      <c r="L437" s="8">
        <v>25000</v>
      </c>
      <c r="M437" s="9">
        <v>9</v>
      </c>
      <c r="N437" s="9">
        <v>16.100000000000001</v>
      </c>
      <c r="O437" s="9">
        <v>14</v>
      </c>
      <c r="P437" s="9">
        <v>19.5</v>
      </c>
      <c r="Q437" s="9">
        <v>2.6</v>
      </c>
      <c r="R437">
        <v>10</v>
      </c>
      <c r="S437">
        <v>1000</v>
      </c>
      <c r="T437" s="4">
        <f t="shared" si="41"/>
        <v>362.27094893570683</v>
      </c>
      <c r="U437">
        <v>80</v>
      </c>
    </row>
    <row r="438" spans="1:21">
      <c r="A438" s="44">
        <f t="shared" si="36"/>
        <v>45857.124999998945</v>
      </c>
      <c r="B438" s="45">
        <f t="shared" si="37"/>
        <v>5000</v>
      </c>
      <c r="C438" s="8">
        <v>25000</v>
      </c>
      <c r="D438" s="8">
        <v>0</v>
      </c>
      <c r="E438" s="8">
        <v>700</v>
      </c>
      <c r="F438" s="8">
        <v>7500</v>
      </c>
      <c r="G438" s="45">
        <f t="shared" si="38"/>
        <v>2400</v>
      </c>
      <c r="H438" s="8">
        <v>25000</v>
      </c>
      <c r="I438" s="45">
        <f t="shared" si="39"/>
        <v>5000</v>
      </c>
      <c r="J438" s="8">
        <v>25000</v>
      </c>
      <c r="K438" s="45">
        <f t="shared" si="40"/>
        <v>5000</v>
      </c>
      <c r="L438" s="8">
        <v>25000</v>
      </c>
      <c r="M438" s="9">
        <v>9</v>
      </c>
      <c r="N438" s="9">
        <v>16.100000000000001</v>
      </c>
      <c r="O438" s="9">
        <v>14</v>
      </c>
      <c r="P438" s="9">
        <v>19.5</v>
      </c>
      <c r="Q438" s="9">
        <v>2.4</v>
      </c>
      <c r="R438">
        <v>10</v>
      </c>
      <c r="S438">
        <v>1000</v>
      </c>
      <c r="T438" s="4">
        <f t="shared" si="41"/>
        <v>362.27094893570683</v>
      </c>
      <c r="U438">
        <v>47</v>
      </c>
    </row>
    <row r="439" spans="1:21">
      <c r="A439" s="44">
        <f t="shared" si="36"/>
        <v>45857.166666665609</v>
      </c>
      <c r="B439" s="45">
        <f t="shared" si="37"/>
        <v>5000</v>
      </c>
      <c r="C439" s="8">
        <v>25000</v>
      </c>
      <c r="D439" s="8">
        <v>0</v>
      </c>
      <c r="E439" s="8">
        <v>700</v>
      </c>
      <c r="F439" s="8">
        <v>7500</v>
      </c>
      <c r="G439" s="45">
        <f t="shared" si="38"/>
        <v>2400</v>
      </c>
      <c r="H439" s="8">
        <v>25000</v>
      </c>
      <c r="I439" s="45">
        <f t="shared" si="39"/>
        <v>5000</v>
      </c>
      <c r="J439" s="8">
        <v>25000</v>
      </c>
      <c r="K439" s="45">
        <f t="shared" si="40"/>
        <v>5000</v>
      </c>
      <c r="L439" s="8">
        <v>25000</v>
      </c>
      <c r="M439" s="9">
        <v>9</v>
      </c>
      <c r="N439" s="9">
        <v>16.100000000000001</v>
      </c>
      <c r="O439" s="9">
        <v>14</v>
      </c>
      <c r="P439" s="9">
        <v>19.5</v>
      </c>
      <c r="Q439" s="9">
        <v>2.9</v>
      </c>
      <c r="R439">
        <v>10</v>
      </c>
      <c r="S439">
        <v>1000</v>
      </c>
      <c r="T439" s="4">
        <f t="shared" si="41"/>
        <v>426.44032978095498</v>
      </c>
      <c r="U439">
        <v>56</v>
      </c>
    </row>
    <row r="440" spans="1:21">
      <c r="A440" s="44">
        <f t="shared" si="36"/>
        <v>45857.208333332273</v>
      </c>
      <c r="B440" s="45">
        <f t="shared" si="37"/>
        <v>5000</v>
      </c>
      <c r="C440" s="8">
        <v>25000</v>
      </c>
      <c r="D440" s="8">
        <v>0</v>
      </c>
      <c r="E440" s="8">
        <v>700</v>
      </c>
      <c r="F440" s="8">
        <v>7500</v>
      </c>
      <c r="G440" s="45">
        <f t="shared" si="38"/>
        <v>2400</v>
      </c>
      <c r="H440" s="8">
        <v>25000</v>
      </c>
      <c r="I440" s="45">
        <f t="shared" si="39"/>
        <v>5000</v>
      </c>
      <c r="J440" s="8">
        <v>25000</v>
      </c>
      <c r="K440" s="45">
        <f t="shared" si="40"/>
        <v>5000</v>
      </c>
      <c r="L440" s="8">
        <v>25000</v>
      </c>
      <c r="M440" s="9">
        <v>9</v>
      </c>
      <c r="N440" s="9">
        <v>16.100000000000001</v>
      </c>
      <c r="O440" s="9">
        <v>14</v>
      </c>
      <c r="P440" s="9">
        <v>19.5</v>
      </c>
      <c r="Q440" s="9">
        <v>2.6</v>
      </c>
      <c r="R440">
        <v>10</v>
      </c>
      <c r="S440">
        <v>1000</v>
      </c>
      <c r="T440" s="4">
        <f t="shared" si="41"/>
        <v>362.27094893570683</v>
      </c>
      <c r="U440">
        <v>44</v>
      </c>
    </row>
    <row r="441" spans="1:21">
      <c r="A441" s="44">
        <f t="shared" si="36"/>
        <v>45857.249999998938</v>
      </c>
      <c r="B441" s="45">
        <f t="shared" si="37"/>
        <v>8000</v>
      </c>
      <c r="C441" s="8">
        <v>25000</v>
      </c>
      <c r="D441" s="8">
        <v>0</v>
      </c>
      <c r="E441" s="8">
        <v>700</v>
      </c>
      <c r="F441" s="8">
        <v>7500</v>
      </c>
      <c r="G441" s="45">
        <f t="shared" si="38"/>
        <v>2400</v>
      </c>
      <c r="H441" s="8">
        <v>25000</v>
      </c>
      <c r="I441" s="45">
        <f t="shared" si="39"/>
        <v>8000</v>
      </c>
      <c r="J441" s="8">
        <v>25000</v>
      </c>
      <c r="K441" s="45">
        <f t="shared" si="40"/>
        <v>8000</v>
      </c>
      <c r="L441" s="8">
        <v>25000</v>
      </c>
      <c r="M441" s="9">
        <v>9</v>
      </c>
      <c r="N441" s="9">
        <v>16.100000000000001</v>
      </c>
      <c r="O441" s="9">
        <v>14</v>
      </c>
      <c r="P441" s="9">
        <v>19.5</v>
      </c>
      <c r="Q441" s="9">
        <v>2.7</v>
      </c>
      <c r="R441">
        <v>10</v>
      </c>
      <c r="S441">
        <v>1000</v>
      </c>
      <c r="T441" s="4">
        <f t="shared" si="41"/>
        <v>304.3759075508828</v>
      </c>
      <c r="U441">
        <v>18</v>
      </c>
    </row>
    <row r="442" spans="1:21">
      <c r="A442" s="44">
        <f t="shared" si="36"/>
        <v>45857.291666665602</v>
      </c>
      <c r="B442" s="45">
        <f t="shared" si="37"/>
        <v>8000</v>
      </c>
      <c r="C442" s="8">
        <v>25000</v>
      </c>
      <c r="D442" s="8">
        <v>0</v>
      </c>
      <c r="E442" s="8">
        <v>700</v>
      </c>
      <c r="F442" s="8">
        <v>7500</v>
      </c>
      <c r="G442" s="45">
        <f t="shared" si="38"/>
        <v>2400</v>
      </c>
      <c r="H442" s="8">
        <v>25000</v>
      </c>
      <c r="I442" s="45">
        <f t="shared" si="39"/>
        <v>8000</v>
      </c>
      <c r="J442" s="8">
        <v>25000</v>
      </c>
      <c r="K442" s="45">
        <f t="shared" si="40"/>
        <v>8000</v>
      </c>
      <c r="L442" s="8">
        <v>25000</v>
      </c>
      <c r="M442" s="9">
        <v>9</v>
      </c>
      <c r="N442" s="9">
        <v>16.100000000000001</v>
      </c>
      <c r="O442" s="9">
        <v>14</v>
      </c>
      <c r="P442" s="9">
        <v>19.5</v>
      </c>
      <c r="Q442" s="9">
        <v>2.4</v>
      </c>
      <c r="R442">
        <v>10</v>
      </c>
      <c r="S442">
        <v>1000</v>
      </c>
      <c r="T442" s="4">
        <f t="shared" si="41"/>
        <v>280.13414145378908</v>
      </c>
      <c r="U442">
        <v>50</v>
      </c>
    </row>
    <row r="443" spans="1:21">
      <c r="A443" s="44">
        <f t="shared" si="36"/>
        <v>45857.333333332266</v>
      </c>
      <c r="B443" s="45">
        <f t="shared" si="37"/>
        <v>8000</v>
      </c>
      <c r="C443" s="8">
        <v>25000</v>
      </c>
      <c r="D443" s="8">
        <v>0</v>
      </c>
      <c r="E443" s="8">
        <v>700</v>
      </c>
      <c r="F443" s="8">
        <v>7500</v>
      </c>
      <c r="G443" s="45">
        <f t="shared" si="38"/>
        <v>2400</v>
      </c>
      <c r="H443" s="8">
        <v>25000</v>
      </c>
      <c r="I443" s="45">
        <f t="shared" si="39"/>
        <v>8000</v>
      </c>
      <c r="J443" s="8">
        <v>25000</v>
      </c>
      <c r="K443" s="45">
        <f t="shared" si="40"/>
        <v>8000</v>
      </c>
      <c r="L443" s="8">
        <v>25000</v>
      </c>
      <c r="M443" s="9">
        <v>9</v>
      </c>
      <c r="N443" s="9">
        <v>16.100000000000001</v>
      </c>
      <c r="O443" s="9">
        <v>14</v>
      </c>
      <c r="P443" s="9">
        <v>19.5</v>
      </c>
      <c r="Q443" s="9">
        <v>3</v>
      </c>
      <c r="R443">
        <v>10</v>
      </c>
      <c r="S443">
        <v>1000</v>
      </c>
      <c r="T443" s="4">
        <f t="shared" si="41"/>
        <v>294.39400386384426</v>
      </c>
      <c r="U443">
        <v>14</v>
      </c>
    </row>
    <row r="444" spans="1:21">
      <c r="A444" s="44">
        <f t="shared" si="36"/>
        <v>45857.37499999893</v>
      </c>
      <c r="B444" s="45">
        <f t="shared" si="37"/>
        <v>8000</v>
      </c>
      <c r="C444" s="8">
        <v>25000</v>
      </c>
      <c r="D444" s="8">
        <v>0</v>
      </c>
      <c r="E444" s="8">
        <v>700</v>
      </c>
      <c r="F444" s="8">
        <v>7500</v>
      </c>
      <c r="G444" s="45">
        <f t="shared" si="38"/>
        <v>2400</v>
      </c>
      <c r="H444" s="8">
        <v>25000</v>
      </c>
      <c r="I444" s="45">
        <f t="shared" si="39"/>
        <v>8000</v>
      </c>
      <c r="J444" s="8">
        <v>25000</v>
      </c>
      <c r="K444" s="45">
        <f t="shared" si="40"/>
        <v>8000</v>
      </c>
      <c r="L444" s="8">
        <v>25000</v>
      </c>
      <c r="M444" s="9">
        <v>9</v>
      </c>
      <c r="N444" s="9">
        <v>16.100000000000001</v>
      </c>
      <c r="O444" s="9">
        <v>14</v>
      </c>
      <c r="P444" s="9">
        <v>19.5</v>
      </c>
      <c r="Q444" s="9">
        <v>2.5</v>
      </c>
      <c r="R444">
        <v>10</v>
      </c>
      <c r="S444">
        <v>1000</v>
      </c>
      <c r="T444" s="4">
        <f t="shared" si="41"/>
        <v>317.20978371993255</v>
      </c>
      <c r="U444">
        <v>39</v>
      </c>
    </row>
    <row r="445" spans="1:21">
      <c r="A445" s="44">
        <f t="shared" si="36"/>
        <v>45857.416666665595</v>
      </c>
      <c r="B445" s="45">
        <f t="shared" si="37"/>
        <v>8000</v>
      </c>
      <c r="C445" s="8">
        <v>25000</v>
      </c>
      <c r="D445" s="8">
        <v>0</v>
      </c>
      <c r="E445" s="8">
        <v>700</v>
      </c>
      <c r="F445" s="8">
        <v>7500</v>
      </c>
      <c r="G445" s="45">
        <f t="shared" si="38"/>
        <v>2400</v>
      </c>
      <c r="H445" s="8">
        <v>25000</v>
      </c>
      <c r="I445" s="45">
        <f t="shared" si="39"/>
        <v>8000</v>
      </c>
      <c r="J445" s="8">
        <v>25000</v>
      </c>
      <c r="K445" s="45">
        <f t="shared" si="40"/>
        <v>8000</v>
      </c>
      <c r="L445" s="8">
        <v>25000</v>
      </c>
      <c r="M445" s="9">
        <v>9</v>
      </c>
      <c r="N445" s="9">
        <v>16.100000000000001</v>
      </c>
      <c r="O445" s="9">
        <v>14</v>
      </c>
      <c r="P445" s="9">
        <v>19.5</v>
      </c>
      <c r="Q445" s="9">
        <v>2.4</v>
      </c>
      <c r="R445">
        <v>10</v>
      </c>
      <c r="S445">
        <v>1000</v>
      </c>
      <c r="T445" s="4">
        <f t="shared" si="41"/>
        <v>308.08347177749721</v>
      </c>
      <c r="U445">
        <v>50</v>
      </c>
    </row>
    <row r="446" spans="1:21">
      <c r="A446" s="44">
        <f t="shared" si="36"/>
        <v>45857.458333332259</v>
      </c>
      <c r="B446" s="45">
        <f t="shared" si="37"/>
        <v>8000</v>
      </c>
      <c r="C446" s="8">
        <v>25000</v>
      </c>
      <c r="D446" s="8">
        <v>0</v>
      </c>
      <c r="E446" s="8">
        <v>700</v>
      </c>
      <c r="F446" s="8">
        <v>7500</v>
      </c>
      <c r="G446" s="45">
        <f t="shared" si="38"/>
        <v>2400</v>
      </c>
      <c r="H446" s="8">
        <v>25000</v>
      </c>
      <c r="I446" s="45">
        <f t="shared" si="39"/>
        <v>8000</v>
      </c>
      <c r="J446" s="8">
        <v>25000</v>
      </c>
      <c r="K446" s="45">
        <f t="shared" si="40"/>
        <v>8000</v>
      </c>
      <c r="L446" s="8">
        <v>25000</v>
      </c>
      <c r="M446" s="9">
        <v>9</v>
      </c>
      <c r="N446" s="9">
        <v>16.100000000000001</v>
      </c>
      <c r="O446" s="9">
        <v>14</v>
      </c>
      <c r="P446" s="9">
        <v>19.5</v>
      </c>
      <c r="Q446" s="9">
        <v>2.6</v>
      </c>
      <c r="R446">
        <v>10</v>
      </c>
      <c r="S446">
        <v>1000</v>
      </c>
      <c r="T446" s="4">
        <f t="shared" si="41"/>
        <v>303.80551305448063</v>
      </c>
      <c r="U446">
        <v>27</v>
      </c>
    </row>
    <row r="447" spans="1:21">
      <c r="A447" s="44">
        <f t="shared" si="36"/>
        <v>45857.499999998923</v>
      </c>
      <c r="B447" s="45">
        <f t="shared" si="37"/>
        <v>8000</v>
      </c>
      <c r="C447" s="8">
        <v>25000</v>
      </c>
      <c r="D447" s="8">
        <v>0</v>
      </c>
      <c r="E447" s="8">
        <v>700</v>
      </c>
      <c r="F447" s="8">
        <v>7500</v>
      </c>
      <c r="G447" s="45">
        <f t="shared" si="38"/>
        <v>2400</v>
      </c>
      <c r="H447" s="8">
        <v>25000</v>
      </c>
      <c r="I447" s="45">
        <f t="shared" si="39"/>
        <v>8000</v>
      </c>
      <c r="J447" s="8">
        <v>25000</v>
      </c>
      <c r="K447" s="45">
        <f t="shared" si="40"/>
        <v>8000</v>
      </c>
      <c r="L447" s="8">
        <v>25000</v>
      </c>
      <c r="M447" s="9">
        <v>9</v>
      </c>
      <c r="N447" s="9">
        <v>16.100000000000001</v>
      </c>
      <c r="O447" s="9">
        <v>14</v>
      </c>
      <c r="P447" s="9">
        <v>19.5</v>
      </c>
      <c r="Q447" s="9">
        <v>3</v>
      </c>
      <c r="R447">
        <v>10</v>
      </c>
      <c r="S447">
        <v>1000</v>
      </c>
      <c r="T447" s="4">
        <f t="shared" si="41"/>
        <v>303.80551305448063</v>
      </c>
      <c r="U447">
        <v>34</v>
      </c>
    </row>
    <row r="448" spans="1:21">
      <c r="A448" s="44">
        <f t="shared" si="36"/>
        <v>45857.541666665587</v>
      </c>
      <c r="B448" s="45">
        <f t="shared" si="37"/>
        <v>8000</v>
      </c>
      <c r="C448" s="8">
        <v>25000</v>
      </c>
      <c r="D448" s="8">
        <v>0</v>
      </c>
      <c r="E448" s="8">
        <v>700</v>
      </c>
      <c r="F448" s="8">
        <v>7500</v>
      </c>
      <c r="G448" s="45">
        <f t="shared" si="38"/>
        <v>2400</v>
      </c>
      <c r="H448" s="8">
        <v>25000</v>
      </c>
      <c r="I448" s="45">
        <f t="shared" si="39"/>
        <v>8000</v>
      </c>
      <c r="J448" s="8">
        <v>25000</v>
      </c>
      <c r="K448" s="45">
        <f t="shared" si="40"/>
        <v>8000</v>
      </c>
      <c r="L448" s="8">
        <v>25000</v>
      </c>
      <c r="M448" s="9">
        <v>9</v>
      </c>
      <c r="N448" s="9">
        <v>16.100000000000001</v>
      </c>
      <c r="O448" s="9">
        <v>14</v>
      </c>
      <c r="P448" s="9">
        <v>19.5</v>
      </c>
      <c r="Q448" s="9">
        <v>2.5</v>
      </c>
      <c r="R448">
        <v>10</v>
      </c>
      <c r="S448">
        <v>1000</v>
      </c>
      <c r="T448" s="4">
        <f t="shared" si="41"/>
        <v>353.43040463596901</v>
      </c>
      <c r="U448">
        <v>77</v>
      </c>
    </row>
    <row r="449" spans="1:21">
      <c r="A449" s="44">
        <f t="shared" si="36"/>
        <v>45857.583333332252</v>
      </c>
      <c r="B449" s="45">
        <f t="shared" si="37"/>
        <v>8000</v>
      </c>
      <c r="C449" s="8">
        <v>25000</v>
      </c>
      <c r="D449" s="8">
        <v>0</v>
      </c>
      <c r="E449" s="8">
        <v>700</v>
      </c>
      <c r="F449" s="8">
        <v>7500</v>
      </c>
      <c r="G449" s="45">
        <f t="shared" si="38"/>
        <v>2400</v>
      </c>
      <c r="H449" s="8">
        <v>25000</v>
      </c>
      <c r="I449" s="45">
        <f t="shared" si="39"/>
        <v>8000</v>
      </c>
      <c r="J449" s="8">
        <v>25000</v>
      </c>
      <c r="K449" s="45">
        <f t="shared" si="40"/>
        <v>8000</v>
      </c>
      <c r="L449" s="8">
        <v>25000</v>
      </c>
      <c r="M449" s="9">
        <v>9</v>
      </c>
      <c r="N449" s="9">
        <v>16.100000000000001</v>
      </c>
      <c r="O449" s="9">
        <v>14</v>
      </c>
      <c r="P449" s="9">
        <v>19.5</v>
      </c>
      <c r="Q449" s="9">
        <v>2.4</v>
      </c>
      <c r="R449">
        <v>10</v>
      </c>
      <c r="S449">
        <v>1000</v>
      </c>
      <c r="T449" s="4">
        <f t="shared" si="41"/>
        <v>587.29100737188094</v>
      </c>
      <c r="U449">
        <v>92</v>
      </c>
    </row>
    <row r="450" spans="1:21">
      <c r="A450" s="44">
        <f t="shared" si="36"/>
        <v>45857.624999998916</v>
      </c>
      <c r="B450" s="45">
        <f t="shared" si="37"/>
        <v>8000</v>
      </c>
      <c r="C450" s="8">
        <v>25000</v>
      </c>
      <c r="D450" s="8">
        <v>0</v>
      </c>
      <c r="E450" s="8">
        <v>700</v>
      </c>
      <c r="F450" s="8">
        <v>7500</v>
      </c>
      <c r="G450" s="45">
        <f t="shared" si="38"/>
        <v>2400</v>
      </c>
      <c r="H450" s="8">
        <v>25000</v>
      </c>
      <c r="I450" s="45">
        <f t="shared" si="39"/>
        <v>8000</v>
      </c>
      <c r="J450" s="8">
        <v>25000</v>
      </c>
      <c r="K450" s="45">
        <f t="shared" si="40"/>
        <v>8000</v>
      </c>
      <c r="L450" s="8">
        <v>25000</v>
      </c>
      <c r="M450" s="9">
        <v>9</v>
      </c>
      <c r="N450" s="9">
        <v>16.100000000000001</v>
      </c>
      <c r="O450" s="9">
        <v>14</v>
      </c>
      <c r="P450" s="9">
        <v>19.5</v>
      </c>
      <c r="Q450" s="9">
        <v>2.7</v>
      </c>
      <c r="R450">
        <v>10</v>
      </c>
      <c r="S450">
        <v>1000</v>
      </c>
      <c r="T450" s="4">
        <f t="shared" si="41"/>
        <v>604.40284226394715</v>
      </c>
      <c r="U450">
        <v>96</v>
      </c>
    </row>
    <row r="451" spans="1:21">
      <c r="A451" s="44">
        <f t="shared" si="36"/>
        <v>45857.66666666558</v>
      </c>
      <c r="B451" s="45">
        <f t="shared" si="37"/>
        <v>8000</v>
      </c>
      <c r="C451" s="8">
        <v>25000</v>
      </c>
      <c r="D451" s="8">
        <v>0</v>
      </c>
      <c r="E451" s="8">
        <v>700</v>
      </c>
      <c r="F451" s="8">
        <v>7500</v>
      </c>
      <c r="G451" s="45">
        <f t="shared" si="38"/>
        <v>2400</v>
      </c>
      <c r="H451" s="8">
        <v>25000</v>
      </c>
      <c r="I451" s="45">
        <f t="shared" si="39"/>
        <v>8000</v>
      </c>
      <c r="J451" s="8">
        <v>25000</v>
      </c>
      <c r="K451" s="45">
        <f t="shared" si="40"/>
        <v>8000</v>
      </c>
      <c r="L451" s="8">
        <v>25000</v>
      </c>
      <c r="M451" s="9">
        <v>9</v>
      </c>
      <c r="N451" s="9">
        <v>16.100000000000001</v>
      </c>
      <c r="O451" s="9">
        <v>14</v>
      </c>
      <c r="P451" s="9">
        <v>19.5</v>
      </c>
      <c r="Q451" s="9">
        <v>2.9</v>
      </c>
      <c r="R451">
        <v>10</v>
      </c>
      <c r="S451">
        <v>1000</v>
      </c>
      <c r="T451" s="4">
        <f t="shared" si="41"/>
        <v>875.91062255139741</v>
      </c>
      <c r="U451">
        <v>72</v>
      </c>
    </row>
    <row r="452" spans="1:21">
      <c r="A452" s="44">
        <f t="shared" si="36"/>
        <v>45857.708333332244</v>
      </c>
      <c r="B452" s="45">
        <f t="shared" si="37"/>
        <v>8000</v>
      </c>
      <c r="C452" s="8">
        <v>25000</v>
      </c>
      <c r="D452" s="8">
        <v>0</v>
      </c>
      <c r="E452" s="8">
        <v>700</v>
      </c>
      <c r="F452" s="8">
        <v>7500</v>
      </c>
      <c r="G452" s="45">
        <f t="shared" si="38"/>
        <v>2400</v>
      </c>
      <c r="H452" s="8">
        <v>25000</v>
      </c>
      <c r="I452" s="45">
        <f t="shared" si="39"/>
        <v>8000</v>
      </c>
      <c r="J452" s="8">
        <v>25000</v>
      </c>
      <c r="K452" s="45">
        <f t="shared" si="40"/>
        <v>8000</v>
      </c>
      <c r="L452" s="8">
        <v>25000</v>
      </c>
      <c r="M452" s="9">
        <v>9</v>
      </c>
      <c r="N452" s="9">
        <v>16.100000000000001</v>
      </c>
      <c r="O452" s="9">
        <v>14</v>
      </c>
      <c r="P452" s="9">
        <v>19.5</v>
      </c>
      <c r="Q452" s="9">
        <v>2.9</v>
      </c>
      <c r="R452">
        <v>10</v>
      </c>
      <c r="S452">
        <v>1000</v>
      </c>
      <c r="T452" s="4">
        <f t="shared" si="41"/>
        <v>1116.9022972813298</v>
      </c>
      <c r="U452">
        <v>90</v>
      </c>
    </row>
    <row r="453" spans="1:21">
      <c r="A453" s="44">
        <f t="shared" ref="A453:A516" si="42">A452+TIME(1,0,0)</f>
        <v>45857.749999998909</v>
      </c>
      <c r="B453" s="45">
        <f t="shared" si="37"/>
        <v>5000</v>
      </c>
      <c r="C453" s="8">
        <v>25000</v>
      </c>
      <c r="D453" s="8">
        <v>0</v>
      </c>
      <c r="E453" s="8">
        <v>700</v>
      </c>
      <c r="F453" s="8">
        <v>7500</v>
      </c>
      <c r="G453" s="45">
        <f t="shared" si="38"/>
        <v>2400</v>
      </c>
      <c r="H453" s="8">
        <v>25000</v>
      </c>
      <c r="I453" s="45">
        <f t="shared" si="39"/>
        <v>5000</v>
      </c>
      <c r="J453" s="8">
        <v>25000</v>
      </c>
      <c r="K453" s="45">
        <f t="shared" si="40"/>
        <v>5000</v>
      </c>
      <c r="L453" s="8">
        <v>25000</v>
      </c>
      <c r="M453" s="9">
        <v>9</v>
      </c>
      <c r="N453" s="9">
        <v>16.100000000000001</v>
      </c>
      <c r="O453" s="9">
        <v>14</v>
      </c>
      <c r="P453" s="9">
        <v>19.5</v>
      </c>
      <c r="Q453" s="9">
        <v>2.6</v>
      </c>
      <c r="R453">
        <v>10</v>
      </c>
      <c r="S453">
        <v>1000</v>
      </c>
      <c r="T453" s="4">
        <f t="shared" si="41"/>
        <v>1156.8299120294841</v>
      </c>
      <c r="U453">
        <v>17</v>
      </c>
    </row>
    <row r="454" spans="1:21">
      <c r="A454" s="44">
        <f t="shared" si="42"/>
        <v>45857.791666665573</v>
      </c>
      <c r="B454" s="45">
        <f t="shared" si="37"/>
        <v>5000</v>
      </c>
      <c r="C454" s="8">
        <v>25000</v>
      </c>
      <c r="D454" s="8">
        <v>0</v>
      </c>
      <c r="E454" s="8">
        <v>700</v>
      </c>
      <c r="F454" s="8">
        <v>7500</v>
      </c>
      <c r="G454" s="45">
        <f t="shared" si="38"/>
        <v>2400</v>
      </c>
      <c r="H454" s="8">
        <v>25000</v>
      </c>
      <c r="I454" s="45">
        <f t="shared" si="39"/>
        <v>5000</v>
      </c>
      <c r="J454" s="8">
        <v>25000</v>
      </c>
      <c r="K454" s="45">
        <f t="shared" si="40"/>
        <v>5000</v>
      </c>
      <c r="L454" s="8">
        <v>25000</v>
      </c>
      <c r="M454" s="9">
        <v>9</v>
      </c>
      <c r="N454" s="9">
        <v>16.100000000000001</v>
      </c>
      <c r="O454" s="9">
        <v>14</v>
      </c>
      <c r="P454" s="9">
        <v>19.5</v>
      </c>
      <c r="Q454" s="9">
        <v>2.4</v>
      </c>
      <c r="R454">
        <v>10</v>
      </c>
      <c r="S454">
        <v>1000</v>
      </c>
      <c r="T454" s="4">
        <f t="shared" si="41"/>
        <v>1156.8299120294841</v>
      </c>
      <c r="U454">
        <v>39</v>
      </c>
    </row>
    <row r="455" spans="1:21">
      <c r="A455" s="44">
        <f t="shared" si="42"/>
        <v>45857.833333332237</v>
      </c>
      <c r="B455" s="45">
        <f t="shared" si="37"/>
        <v>5000</v>
      </c>
      <c r="C455" s="8">
        <v>25000</v>
      </c>
      <c r="D455" s="8">
        <v>0</v>
      </c>
      <c r="E455" s="8">
        <v>700</v>
      </c>
      <c r="F455" s="8">
        <v>7500</v>
      </c>
      <c r="G455" s="45">
        <f t="shared" si="38"/>
        <v>2400</v>
      </c>
      <c r="H455" s="8">
        <v>25000</v>
      </c>
      <c r="I455" s="45">
        <f t="shared" si="39"/>
        <v>5000</v>
      </c>
      <c r="J455" s="8">
        <v>25000</v>
      </c>
      <c r="K455" s="45">
        <f t="shared" si="40"/>
        <v>5000</v>
      </c>
      <c r="L455" s="8">
        <v>25000</v>
      </c>
      <c r="M455" s="9">
        <v>9</v>
      </c>
      <c r="N455" s="9">
        <v>16.100000000000001</v>
      </c>
      <c r="O455" s="9">
        <v>14</v>
      </c>
      <c r="P455" s="9">
        <v>19.5</v>
      </c>
      <c r="Q455" s="9">
        <v>2.9</v>
      </c>
      <c r="R455">
        <v>10</v>
      </c>
      <c r="S455">
        <v>1000</v>
      </c>
      <c r="T455" s="4">
        <f t="shared" si="41"/>
        <v>1114.0503247993186</v>
      </c>
      <c r="U455">
        <v>88</v>
      </c>
    </row>
    <row r="456" spans="1:21">
      <c r="A456" s="44">
        <f t="shared" si="42"/>
        <v>45857.874999998901</v>
      </c>
      <c r="B456" s="45">
        <f t="shared" si="37"/>
        <v>5000</v>
      </c>
      <c r="C456" s="8">
        <v>25000</v>
      </c>
      <c r="D456" s="8">
        <v>0</v>
      </c>
      <c r="E456" s="8">
        <v>700</v>
      </c>
      <c r="F456" s="8">
        <v>7500</v>
      </c>
      <c r="G456" s="45">
        <f t="shared" si="38"/>
        <v>2400</v>
      </c>
      <c r="H456" s="8">
        <v>25000</v>
      </c>
      <c r="I456" s="45">
        <f t="shared" si="39"/>
        <v>5000</v>
      </c>
      <c r="J456" s="8">
        <v>25000</v>
      </c>
      <c r="K456" s="45">
        <f t="shared" si="40"/>
        <v>5000</v>
      </c>
      <c r="L456" s="8">
        <v>25000</v>
      </c>
      <c r="M456" s="9">
        <v>9</v>
      </c>
      <c r="N456" s="9">
        <v>16.100000000000001</v>
      </c>
      <c r="O456" s="9">
        <v>14</v>
      </c>
      <c r="P456" s="9">
        <v>19.5</v>
      </c>
      <c r="Q456" s="9">
        <v>2.5</v>
      </c>
      <c r="R456">
        <v>10</v>
      </c>
      <c r="S456">
        <v>1000</v>
      </c>
      <c r="T456" s="4">
        <f t="shared" si="41"/>
        <v>1034.1950953030096</v>
      </c>
      <c r="U456">
        <v>57</v>
      </c>
    </row>
    <row r="457" spans="1:21">
      <c r="A457" s="44">
        <f t="shared" si="42"/>
        <v>45857.916666665566</v>
      </c>
      <c r="B457" s="45">
        <f t="shared" si="37"/>
        <v>5000</v>
      </c>
      <c r="C457" s="8">
        <v>25000</v>
      </c>
      <c r="D457" s="8">
        <v>0</v>
      </c>
      <c r="E457" s="8">
        <v>700</v>
      </c>
      <c r="F457" s="8">
        <v>7500</v>
      </c>
      <c r="G457" s="45">
        <f t="shared" si="38"/>
        <v>2400</v>
      </c>
      <c r="H457" s="8">
        <v>25000</v>
      </c>
      <c r="I457" s="45">
        <f t="shared" si="39"/>
        <v>5000</v>
      </c>
      <c r="J457" s="8">
        <v>25000</v>
      </c>
      <c r="K457" s="45">
        <f t="shared" si="40"/>
        <v>5000</v>
      </c>
      <c r="L457" s="8">
        <v>25000</v>
      </c>
      <c r="M457" s="9">
        <v>9</v>
      </c>
      <c r="N457" s="9">
        <v>16.100000000000001</v>
      </c>
      <c r="O457" s="9">
        <v>14</v>
      </c>
      <c r="P457" s="9">
        <v>19.5</v>
      </c>
      <c r="Q457" s="9">
        <v>2.6</v>
      </c>
      <c r="R457">
        <v>10</v>
      </c>
      <c r="S457">
        <v>1000</v>
      </c>
      <c r="T457" s="4">
        <f t="shared" si="41"/>
        <v>807.46328298313267</v>
      </c>
      <c r="U457">
        <v>29</v>
      </c>
    </row>
    <row r="458" spans="1:21">
      <c r="A458" s="44">
        <f t="shared" si="42"/>
        <v>45857.95833333223</v>
      </c>
      <c r="B458" s="45">
        <f t="shared" si="37"/>
        <v>5000</v>
      </c>
      <c r="C458" s="8">
        <v>25000</v>
      </c>
      <c r="D458" s="8">
        <v>0</v>
      </c>
      <c r="E458" s="8">
        <v>700</v>
      </c>
      <c r="F458" s="8">
        <v>15000</v>
      </c>
      <c r="G458" s="45">
        <f t="shared" si="38"/>
        <v>2400</v>
      </c>
      <c r="H458" s="8">
        <v>25000</v>
      </c>
      <c r="I458" s="45">
        <f t="shared" si="39"/>
        <v>5000</v>
      </c>
      <c r="J458" s="8">
        <v>25000</v>
      </c>
      <c r="K458" s="45">
        <f t="shared" si="40"/>
        <v>5000</v>
      </c>
      <c r="L458" s="8">
        <v>25000</v>
      </c>
      <c r="M458" s="9">
        <v>9</v>
      </c>
      <c r="N458" s="9">
        <v>16.100000000000001</v>
      </c>
      <c r="O458" s="9">
        <v>14</v>
      </c>
      <c r="P458" s="9">
        <v>19.5</v>
      </c>
      <c r="Q458" s="9">
        <v>2.5</v>
      </c>
      <c r="R458">
        <v>10</v>
      </c>
      <c r="S458">
        <v>1000</v>
      </c>
      <c r="T458" s="4">
        <f t="shared" si="41"/>
        <v>442.69657292841788</v>
      </c>
      <c r="U458">
        <v>20</v>
      </c>
    </row>
    <row r="459" spans="1:21">
      <c r="A459" s="44">
        <f t="shared" si="42"/>
        <v>45857.999999998894</v>
      </c>
      <c r="B459" s="45">
        <f t="shared" si="37"/>
        <v>5000</v>
      </c>
      <c r="C459" s="8">
        <v>25000</v>
      </c>
      <c r="D459" s="8">
        <v>0</v>
      </c>
      <c r="E459" s="8">
        <v>700</v>
      </c>
      <c r="F459" s="8">
        <v>15000</v>
      </c>
      <c r="G459" s="45">
        <f t="shared" si="38"/>
        <v>2400</v>
      </c>
      <c r="H459" s="8">
        <v>25000</v>
      </c>
      <c r="I459" s="45">
        <f t="shared" si="39"/>
        <v>5000</v>
      </c>
      <c r="J459" s="8">
        <v>25000</v>
      </c>
      <c r="K459" s="45">
        <f t="shared" si="40"/>
        <v>5000</v>
      </c>
      <c r="L459" s="8">
        <v>25000</v>
      </c>
      <c r="M459" s="9">
        <v>9</v>
      </c>
      <c r="N459" s="9">
        <v>16.100000000000001</v>
      </c>
      <c r="O459" s="9">
        <v>14</v>
      </c>
      <c r="P459" s="9">
        <v>19.5</v>
      </c>
      <c r="Q459" s="9">
        <v>3</v>
      </c>
      <c r="R459">
        <v>10</v>
      </c>
      <c r="S459">
        <v>1000</v>
      </c>
      <c r="T459" s="4">
        <f t="shared" si="41"/>
        <v>442.69657292841788</v>
      </c>
      <c r="U459">
        <v>60</v>
      </c>
    </row>
    <row r="460" spans="1:21">
      <c r="A460" s="44">
        <f t="shared" si="42"/>
        <v>45858.041666665558</v>
      </c>
      <c r="B460" s="45">
        <f t="shared" si="37"/>
        <v>5000</v>
      </c>
      <c r="C460" s="8">
        <v>25000</v>
      </c>
      <c r="D460" s="8">
        <v>0</v>
      </c>
      <c r="E460" s="8">
        <v>700</v>
      </c>
      <c r="F460" s="8">
        <v>15000</v>
      </c>
      <c r="G460" s="45">
        <f t="shared" si="38"/>
        <v>2400</v>
      </c>
      <c r="H460" s="8">
        <v>25000</v>
      </c>
      <c r="I460" s="45">
        <f t="shared" si="39"/>
        <v>5000</v>
      </c>
      <c r="J460" s="8">
        <v>25000</v>
      </c>
      <c r="K460" s="45">
        <f t="shared" si="40"/>
        <v>5000</v>
      </c>
      <c r="L460" s="8">
        <v>25000</v>
      </c>
      <c r="M460" s="9">
        <v>9</v>
      </c>
      <c r="N460" s="9">
        <v>16.100000000000001</v>
      </c>
      <c r="O460" s="9">
        <v>14</v>
      </c>
      <c r="P460" s="9">
        <v>19.5</v>
      </c>
      <c r="Q460" s="9">
        <v>2.5</v>
      </c>
      <c r="R460">
        <v>10</v>
      </c>
      <c r="S460">
        <v>1000</v>
      </c>
      <c r="T460" s="4">
        <f t="shared" si="41"/>
        <v>362.27094893570683</v>
      </c>
      <c r="U460">
        <v>50</v>
      </c>
    </row>
    <row r="461" spans="1:21">
      <c r="A461" s="44">
        <f t="shared" si="42"/>
        <v>45858.083333332223</v>
      </c>
      <c r="B461" s="45">
        <f t="shared" si="37"/>
        <v>5000</v>
      </c>
      <c r="C461" s="8">
        <v>25000</v>
      </c>
      <c r="D461" s="8">
        <v>0</v>
      </c>
      <c r="E461" s="8">
        <v>700</v>
      </c>
      <c r="F461" s="8">
        <v>15000</v>
      </c>
      <c r="G461" s="45">
        <f t="shared" si="38"/>
        <v>2400</v>
      </c>
      <c r="H461" s="8">
        <v>25000</v>
      </c>
      <c r="I461" s="45">
        <f t="shared" si="39"/>
        <v>5000</v>
      </c>
      <c r="J461" s="8">
        <v>25000</v>
      </c>
      <c r="K461" s="45">
        <f t="shared" si="40"/>
        <v>5000</v>
      </c>
      <c r="L461" s="8">
        <v>25000</v>
      </c>
      <c r="M461" s="9">
        <v>9</v>
      </c>
      <c r="N461" s="9">
        <v>16.100000000000001</v>
      </c>
      <c r="O461" s="9">
        <v>14</v>
      </c>
      <c r="P461" s="9">
        <v>19.5</v>
      </c>
      <c r="Q461" s="9">
        <v>3</v>
      </c>
      <c r="R461">
        <v>10</v>
      </c>
      <c r="S461">
        <v>1000</v>
      </c>
      <c r="T461" s="4">
        <f t="shared" si="41"/>
        <v>362.27094893570683</v>
      </c>
      <c r="U461">
        <v>98</v>
      </c>
    </row>
    <row r="462" spans="1:21">
      <c r="A462" s="44">
        <f t="shared" si="42"/>
        <v>45858.124999998887</v>
      </c>
      <c r="B462" s="45">
        <f t="shared" si="37"/>
        <v>5000</v>
      </c>
      <c r="C462" s="8">
        <v>25000</v>
      </c>
      <c r="D462" s="8">
        <v>0</v>
      </c>
      <c r="E462" s="8">
        <v>700</v>
      </c>
      <c r="F462" s="8">
        <v>15000</v>
      </c>
      <c r="G462" s="45">
        <f t="shared" si="38"/>
        <v>2400</v>
      </c>
      <c r="H462" s="8">
        <v>25000</v>
      </c>
      <c r="I462" s="45">
        <f t="shared" si="39"/>
        <v>5000</v>
      </c>
      <c r="J462" s="8">
        <v>25000</v>
      </c>
      <c r="K462" s="45">
        <f t="shared" si="40"/>
        <v>5000</v>
      </c>
      <c r="L462" s="8">
        <v>25000</v>
      </c>
      <c r="M462" s="9">
        <v>9</v>
      </c>
      <c r="N462" s="9">
        <v>16.100000000000001</v>
      </c>
      <c r="O462" s="9">
        <v>14</v>
      </c>
      <c r="P462" s="9">
        <v>19.5</v>
      </c>
      <c r="Q462" s="9">
        <v>2.9</v>
      </c>
      <c r="R462">
        <v>10</v>
      </c>
      <c r="S462">
        <v>1000</v>
      </c>
      <c r="T462" s="4">
        <f t="shared" si="41"/>
        <v>362.27094893570683</v>
      </c>
      <c r="U462">
        <v>75</v>
      </c>
    </row>
    <row r="463" spans="1:21">
      <c r="A463" s="44">
        <f t="shared" si="42"/>
        <v>45858.166666665551</v>
      </c>
      <c r="B463" s="45">
        <f t="shared" si="37"/>
        <v>5000</v>
      </c>
      <c r="C463" s="8">
        <v>25000</v>
      </c>
      <c r="D463" s="8">
        <v>0</v>
      </c>
      <c r="E463" s="8">
        <v>700</v>
      </c>
      <c r="F463" s="8">
        <v>15000</v>
      </c>
      <c r="G463" s="45">
        <f t="shared" si="38"/>
        <v>2400</v>
      </c>
      <c r="H463" s="8">
        <v>25000</v>
      </c>
      <c r="I463" s="45">
        <f t="shared" si="39"/>
        <v>5000</v>
      </c>
      <c r="J463" s="8">
        <v>25000</v>
      </c>
      <c r="K463" s="45">
        <f t="shared" si="40"/>
        <v>5000</v>
      </c>
      <c r="L463" s="8">
        <v>25000</v>
      </c>
      <c r="M463" s="9">
        <v>9</v>
      </c>
      <c r="N463" s="9">
        <v>16.100000000000001</v>
      </c>
      <c r="O463" s="9">
        <v>14</v>
      </c>
      <c r="P463" s="9">
        <v>19.5</v>
      </c>
      <c r="Q463" s="9">
        <v>2.4</v>
      </c>
      <c r="R463">
        <v>10</v>
      </c>
      <c r="S463">
        <v>1000</v>
      </c>
      <c r="T463" s="4">
        <f t="shared" si="41"/>
        <v>426.44032978095498</v>
      </c>
      <c r="U463">
        <v>89</v>
      </c>
    </row>
    <row r="464" spans="1:21">
      <c r="A464" s="44">
        <f t="shared" si="42"/>
        <v>45858.208333332215</v>
      </c>
      <c r="B464" s="45">
        <f t="shared" si="37"/>
        <v>5000</v>
      </c>
      <c r="C464" s="8">
        <v>25000</v>
      </c>
      <c r="D464" s="8">
        <v>0</v>
      </c>
      <c r="E464" s="8">
        <v>700</v>
      </c>
      <c r="F464" s="8">
        <v>15000</v>
      </c>
      <c r="G464" s="45">
        <f t="shared" si="38"/>
        <v>2400</v>
      </c>
      <c r="H464" s="8">
        <v>25000</v>
      </c>
      <c r="I464" s="45">
        <f t="shared" si="39"/>
        <v>5000</v>
      </c>
      <c r="J464" s="8">
        <v>25000</v>
      </c>
      <c r="K464" s="45">
        <f t="shared" si="40"/>
        <v>5000</v>
      </c>
      <c r="L464" s="8">
        <v>25000</v>
      </c>
      <c r="M464" s="9">
        <v>9</v>
      </c>
      <c r="N464" s="9">
        <v>16.100000000000001</v>
      </c>
      <c r="O464" s="9">
        <v>14</v>
      </c>
      <c r="P464" s="9">
        <v>19.5</v>
      </c>
      <c r="Q464" s="9">
        <v>2.9</v>
      </c>
      <c r="R464">
        <v>10</v>
      </c>
      <c r="S464">
        <v>1000</v>
      </c>
      <c r="T464" s="4">
        <f t="shared" si="41"/>
        <v>362.27094893570683</v>
      </c>
      <c r="U464">
        <v>33</v>
      </c>
    </row>
    <row r="465" spans="1:21">
      <c r="A465" s="44">
        <f t="shared" si="42"/>
        <v>45858.24999999888</v>
      </c>
      <c r="B465" s="45">
        <f t="shared" si="37"/>
        <v>8000</v>
      </c>
      <c r="C465" s="8">
        <v>25000</v>
      </c>
      <c r="D465" s="8">
        <v>0</v>
      </c>
      <c r="E465" s="8">
        <v>700</v>
      </c>
      <c r="F465" s="8">
        <v>15000</v>
      </c>
      <c r="G465" s="45">
        <f t="shared" si="38"/>
        <v>2400</v>
      </c>
      <c r="H465" s="8">
        <v>25000</v>
      </c>
      <c r="I465" s="45">
        <f t="shared" si="39"/>
        <v>8000</v>
      </c>
      <c r="J465" s="8">
        <v>25000</v>
      </c>
      <c r="K465" s="45">
        <f t="shared" si="40"/>
        <v>8000</v>
      </c>
      <c r="L465" s="8">
        <v>25000</v>
      </c>
      <c r="M465" s="9">
        <v>9</v>
      </c>
      <c r="N465" s="9">
        <v>16.100000000000001</v>
      </c>
      <c r="O465" s="9">
        <v>14</v>
      </c>
      <c r="P465" s="9">
        <v>19.5</v>
      </c>
      <c r="Q465" s="9">
        <v>2.6</v>
      </c>
      <c r="R465">
        <v>10</v>
      </c>
      <c r="S465">
        <v>1000</v>
      </c>
      <c r="T465" s="4">
        <f t="shared" si="41"/>
        <v>304.3759075508828</v>
      </c>
      <c r="U465">
        <v>50</v>
      </c>
    </row>
    <row r="466" spans="1:21">
      <c r="A466" s="44">
        <f t="shared" si="42"/>
        <v>45858.291666665544</v>
      </c>
      <c r="B466" s="45">
        <f t="shared" si="37"/>
        <v>8000</v>
      </c>
      <c r="C466" s="8">
        <v>25000</v>
      </c>
      <c r="D466" s="8">
        <v>0</v>
      </c>
      <c r="E466" s="8">
        <v>700</v>
      </c>
      <c r="F466" s="8">
        <v>15000</v>
      </c>
      <c r="G466" s="45">
        <f t="shared" si="38"/>
        <v>2400</v>
      </c>
      <c r="H466" s="8">
        <v>25000</v>
      </c>
      <c r="I466" s="45">
        <f t="shared" si="39"/>
        <v>8000</v>
      </c>
      <c r="J466" s="8">
        <v>25000</v>
      </c>
      <c r="K466" s="45">
        <f t="shared" si="40"/>
        <v>8000</v>
      </c>
      <c r="L466" s="8">
        <v>25000</v>
      </c>
      <c r="M466" s="9">
        <v>9</v>
      </c>
      <c r="N466" s="9">
        <v>16.100000000000001</v>
      </c>
      <c r="O466" s="9">
        <v>14</v>
      </c>
      <c r="P466" s="9">
        <v>19.5</v>
      </c>
      <c r="Q466" s="9">
        <v>3</v>
      </c>
      <c r="R466">
        <v>10</v>
      </c>
      <c r="S466">
        <v>1000</v>
      </c>
      <c r="T466" s="4">
        <f t="shared" si="41"/>
        <v>280.13414145378908</v>
      </c>
      <c r="U466">
        <v>64</v>
      </c>
    </row>
    <row r="467" spans="1:21">
      <c r="A467" s="44">
        <f t="shared" si="42"/>
        <v>45858.333333332208</v>
      </c>
      <c r="B467" s="45">
        <f t="shared" si="37"/>
        <v>8000</v>
      </c>
      <c r="C467" s="8">
        <v>25000</v>
      </c>
      <c r="D467" s="8">
        <v>0</v>
      </c>
      <c r="E467" s="8">
        <v>700</v>
      </c>
      <c r="F467" s="8">
        <v>15000</v>
      </c>
      <c r="G467" s="45">
        <f t="shared" si="38"/>
        <v>2400</v>
      </c>
      <c r="H467" s="8">
        <v>25000</v>
      </c>
      <c r="I467" s="45">
        <f t="shared" si="39"/>
        <v>8000</v>
      </c>
      <c r="J467" s="8">
        <v>25000</v>
      </c>
      <c r="K467" s="45">
        <f t="shared" si="40"/>
        <v>8000</v>
      </c>
      <c r="L467" s="8">
        <v>25000</v>
      </c>
      <c r="M467" s="9">
        <v>9</v>
      </c>
      <c r="N467" s="9">
        <v>16.100000000000001</v>
      </c>
      <c r="O467" s="9">
        <v>14</v>
      </c>
      <c r="P467" s="9">
        <v>19.5</v>
      </c>
      <c r="Q467" s="9">
        <v>2.8</v>
      </c>
      <c r="R467">
        <v>10</v>
      </c>
      <c r="S467">
        <v>1000</v>
      </c>
      <c r="T467" s="4">
        <f t="shared" si="41"/>
        <v>294.39400386384426</v>
      </c>
      <c r="U467">
        <v>48</v>
      </c>
    </row>
    <row r="468" spans="1:21">
      <c r="A468" s="44">
        <f t="shared" si="42"/>
        <v>45858.374999998872</v>
      </c>
      <c r="B468" s="45">
        <f t="shared" si="37"/>
        <v>8000</v>
      </c>
      <c r="C468" s="8">
        <v>25000</v>
      </c>
      <c r="D468" s="8">
        <v>0</v>
      </c>
      <c r="E468" s="8">
        <v>700</v>
      </c>
      <c r="F468" s="8">
        <v>15000</v>
      </c>
      <c r="G468" s="45">
        <f t="shared" si="38"/>
        <v>2400</v>
      </c>
      <c r="H468" s="8">
        <v>25000</v>
      </c>
      <c r="I468" s="45">
        <f t="shared" si="39"/>
        <v>8000</v>
      </c>
      <c r="J468" s="8">
        <v>25000</v>
      </c>
      <c r="K468" s="45">
        <f t="shared" si="40"/>
        <v>8000</v>
      </c>
      <c r="L468" s="8">
        <v>25000</v>
      </c>
      <c r="M468" s="9">
        <v>9</v>
      </c>
      <c r="N468" s="9">
        <v>16.100000000000001</v>
      </c>
      <c r="O468" s="9">
        <v>14</v>
      </c>
      <c r="P468" s="9">
        <v>19.5</v>
      </c>
      <c r="Q468" s="9">
        <v>2.4</v>
      </c>
      <c r="R468">
        <v>10</v>
      </c>
      <c r="S468">
        <v>1000</v>
      </c>
      <c r="T468" s="4">
        <f t="shared" si="41"/>
        <v>317.20978371993255</v>
      </c>
      <c r="U468">
        <v>87</v>
      </c>
    </row>
    <row r="469" spans="1:21">
      <c r="A469" s="44">
        <f t="shared" si="42"/>
        <v>45858.416666665536</v>
      </c>
      <c r="B469" s="45">
        <f t="shared" si="37"/>
        <v>8000</v>
      </c>
      <c r="C469" s="8">
        <v>25000</v>
      </c>
      <c r="D469" s="8">
        <v>0</v>
      </c>
      <c r="E469" s="8">
        <v>700</v>
      </c>
      <c r="F469" s="8">
        <v>15000</v>
      </c>
      <c r="G469" s="45">
        <f t="shared" si="38"/>
        <v>2400</v>
      </c>
      <c r="H469" s="8">
        <v>25000</v>
      </c>
      <c r="I469" s="45">
        <f t="shared" si="39"/>
        <v>8000</v>
      </c>
      <c r="J469" s="8">
        <v>25000</v>
      </c>
      <c r="K469" s="45">
        <f t="shared" si="40"/>
        <v>8000</v>
      </c>
      <c r="L469" s="8">
        <v>25000</v>
      </c>
      <c r="M469" s="9">
        <v>9</v>
      </c>
      <c r="N469" s="9">
        <v>16.100000000000001</v>
      </c>
      <c r="O469" s="9">
        <v>14</v>
      </c>
      <c r="P469" s="9">
        <v>19.5</v>
      </c>
      <c r="Q469" s="9">
        <v>2.9</v>
      </c>
      <c r="R469">
        <v>10</v>
      </c>
      <c r="S469">
        <v>1000</v>
      </c>
      <c r="T469" s="4">
        <f t="shared" si="41"/>
        <v>308.08347177749721</v>
      </c>
      <c r="U469">
        <v>82</v>
      </c>
    </row>
    <row r="470" spans="1:21">
      <c r="A470" s="44">
        <f t="shared" si="42"/>
        <v>45858.458333332201</v>
      </c>
      <c r="B470" s="45">
        <f t="shared" si="37"/>
        <v>8000</v>
      </c>
      <c r="C470" s="8">
        <v>25000</v>
      </c>
      <c r="D470" s="8">
        <v>0</v>
      </c>
      <c r="E470" s="8">
        <v>700</v>
      </c>
      <c r="F470" s="8">
        <v>15000</v>
      </c>
      <c r="G470" s="45">
        <f t="shared" si="38"/>
        <v>2400</v>
      </c>
      <c r="H470" s="8">
        <v>25000</v>
      </c>
      <c r="I470" s="45">
        <f t="shared" si="39"/>
        <v>8000</v>
      </c>
      <c r="J470" s="8">
        <v>25000</v>
      </c>
      <c r="K470" s="45">
        <f t="shared" si="40"/>
        <v>8000</v>
      </c>
      <c r="L470" s="8">
        <v>25000</v>
      </c>
      <c r="M470" s="9">
        <v>9</v>
      </c>
      <c r="N470" s="9">
        <v>16.100000000000001</v>
      </c>
      <c r="O470" s="9">
        <v>14</v>
      </c>
      <c r="P470" s="9">
        <v>19.5</v>
      </c>
      <c r="Q470" s="9">
        <v>2.7</v>
      </c>
      <c r="R470">
        <v>10</v>
      </c>
      <c r="S470">
        <v>1000</v>
      </c>
      <c r="T470" s="4">
        <f t="shared" si="41"/>
        <v>303.80551305448063</v>
      </c>
      <c r="U470">
        <v>87</v>
      </c>
    </row>
    <row r="471" spans="1:21">
      <c r="A471" s="44">
        <f t="shared" si="42"/>
        <v>45858.499999998865</v>
      </c>
      <c r="B471" s="45">
        <f t="shared" si="37"/>
        <v>8000</v>
      </c>
      <c r="C471" s="8">
        <v>25000</v>
      </c>
      <c r="D471" s="8">
        <v>0</v>
      </c>
      <c r="E471" s="8">
        <v>700</v>
      </c>
      <c r="F471" s="8">
        <v>15000</v>
      </c>
      <c r="G471" s="45">
        <f t="shared" si="38"/>
        <v>2400</v>
      </c>
      <c r="H471" s="8">
        <v>25000</v>
      </c>
      <c r="I471" s="45">
        <f t="shared" si="39"/>
        <v>8000</v>
      </c>
      <c r="J471" s="8">
        <v>25000</v>
      </c>
      <c r="K471" s="45">
        <f t="shared" si="40"/>
        <v>8000</v>
      </c>
      <c r="L471" s="8">
        <v>25000</v>
      </c>
      <c r="M471" s="9">
        <v>9</v>
      </c>
      <c r="N471" s="9">
        <v>16.100000000000001</v>
      </c>
      <c r="O471" s="9">
        <v>14</v>
      </c>
      <c r="P471" s="9">
        <v>19.5</v>
      </c>
      <c r="Q471" s="9">
        <v>2.5</v>
      </c>
      <c r="R471">
        <v>10</v>
      </c>
      <c r="S471">
        <v>1000</v>
      </c>
      <c r="T471" s="4">
        <f t="shared" si="41"/>
        <v>303.80551305448063</v>
      </c>
      <c r="U471">
        <v>47</v>
      </c>
    </row>
    <row r="472" spans="1:21">
      <c r="A472" s="44">
        <f t="shared" si="42"/>
        <v>45858.541666665529</v>
      </c>
      <c r="B472" s="45">
        <f t="shared" si="37"/>
        <v>8000</v>
      </c>
      <c r="C472" s="8">
        <v>25000</v>
      </c>
      <c r="D472" s="8">
        <v>0</v>
      </c>
      <c r="E472" s="8">
        <v>700</v>
      </c>
      <c r="F472" s="8">
        <v>15000</v>
      </c>
      <c r="G472" s="45">
        <f t="shared" si="38"/>
        <v>2400</v>
      </c>
      <c r="H472" s="8">
        <v>25000</v>
      </c>
      <c r="I472" s="45">
        <f t="shared" si="39"/>
        <v>8000</v>
      </c>
      <c r="J472" s="8">
        <v>25000</v>
      </c>
      <c r="K472" s="45">
        <f t="shared" si="40"/>
        <v>8000</v>
      </c>
      <c r="L472" s="8">
        <v>25000</v>
      </c>
      <c r="M472" s="9">
        <v>9</v>
      </c>
      <c r="N472" s="9">
        <v>16.100000000000001</v>
      </c>
      <c r="O472" s="9">
        <v>14</v>
      </c>
      <c r="P472" s="9">
        <v>19.5</v>
      </c>
      <c r="Q472" s="9">
        <v>2.8</v>
      </c>
      <c r="R472">
        <v>10</v>
      </c>
      <c r="S472">
        <v>1000</v>
      </c>
      <c r="T472" s="4">
        <f t="shared" si="41"/>
        <v>353.43040463596901</v>
      </c>
      <c r="U472">
        <v>83</v>
      </c>
    </row>
    <row r="473" spans="1:21">
      <c r="A473" s="44">
        <f t="shared" si="42"/>
        <v>45858.583333332193</v>
      </c>
      <c r="B473" s="45">
        <f t="shared" si="37"/>
        <v>8000</v>
      </c>
      <c r="C473" s="8">
        <v>25000</v>
      </c>
      <c r="D473" s="8">
        <v>0</v>
      </c>
      <c r="E473" s="8">
        <v>700</v>
      </c>
      <c r="F473" s="8">
        <v>15000</v>
      </c>
      <c r="G473" s="45">
        <f t="shared" si="38"/>
        <v>2400</v>
      </c>
      <c r="H473" s="8">
        <v>25000</v>
      </c>
      <c r="I473" s="45">
        <f t="shared" si="39"/>
        <v>8000</v>
      </c>
      <c r="J473" s="8">
        <v>25000</v>
      </c>
      <c r="K473" s="45">
        <f t="shared" si="40"/>
        <v>8000</v>
      </c>
      <c r="L473" s="8">
        <v>25000</v>
      </c>
      <c r="M473" s="9">
        <v>9</v>
      </c>
      <c r="N473" s="9">
        <v>16.100000000000001</v>
      </c>
      <c r="O473" s="9">
        <v>14</v>
      </c>
      <c r="P473" s="9">
        <v>19.5</v>
      </c>
      <c r="Q473" s="9">
        <v>2.5</v>
      </c>
      <c r="R473">
        <v>10</v>
      </c>
      <c r="S473">
        <v>1000</v>
      </c>
      <c r="T473" s="4">
        <f t="shared" si="41"/>
        <v>587.29100737188094</v>
      </c>
      <c r="U473">
        <v>70</v>
      </c>
    </row>
    <row r="474" spans="1:21">
      <c r="A474" s="44">
        <f t="shared" si="42"/>
        <v>45858.624999998858</v>
      </c>
      <c r="B474" s="45">
        <f t="shared" si="37"/>
        <v>8000</v>
      </c>
      <c r="C474" s="8">
        <v>25000</v>
      </c>
      <c r="D474" s="8">
        <v>0</v>
      </c>
      <c r="E474" s="8">
        <v>700</v>
      </c>
      <c r="F474" s="8">
        <v>15000</v>
      </c>
      <c r="G474" s="45">
        <f t="shared" si="38"/>
        <v>2400</v>
      </c>
      <c r="H474" s="8">
        <v>25000</v>
      </c>
      <c r="I474" s="45">
        <f t="shared" si="39"/>
        <v>8000</v>
      </c>
      <c r="J474" s="8">
        <v>25000</v>
      </c>
      <c r="K474" s="45">
        <f t="shared" si="40"/>
        <v>8000</v>
      </c>
      <c r="L474" s="8">
        <v>25000</v>
      </c>
      <c r="M474" s="9">
        <v>9</v>
      </c>
      <c r="N474" s="9">
        <v>16.100000000000001</v>
      </c>
      <c r="O474" s="9">
        <v>14</v>
      </c>
      <c r="P474" s="9">
        <v>19.5</v>
      </c>
      <c r="Q474" s="9">
        <v>2.5</v>
      </c>
      <c r="R474">
        <v>10</v>
      </c>
      <c r="S474">
        <v>1000</v>
      </c>
      <c r="T474" s="4">
        <f t="shared" si="41"/>
        <v>604.40284226394715</v>
      </c>
      <c r="U474">
        <v>41</v>
      </c>
    </row>
    <row r="475" spans="1:21">
      <c r="A475" s="44">
        <f t="shared" si="42"/>
        <v>45858.666666665522</v>
      </c>
      <c r="B475" s="45">
        <f t="shared" si="37"/>
        <v>8000</v>
      </c>
      <c r="C475" s="8">
        <v>25000</v>
      </c>
      <c r="D475" s="8">
        <v>0</v>
      </c>
      <c r="E475" s="8">
        <v>700</v>
      </c>
      <c r="F475" s="8">
        <v>15000</v>
      </c>
      <c r="G475" s="45">
        <f t="shared" si="38"/>
        <v>2400</v>
      </c>
      <c r="H475" s="8">
        <v>25000</v>
      </c>
      <c r="I475" s="45">
        <f t="shared" si="39"/>
        <v>8000</v>
      </c>
      <c r="J475" s="8">
        <v>25000</v>
      </c>
      <c r="K475" s="45">
        <f t="shared" si="40"/>
        <v>8000</v>
      </c>
      <c r="L475" s="8">
        <v>25000</v>
      </c>
      <c r="M475" s="9">
        <v>9</v>
      </c>
      <c r="N475" s="9">
        <v>16.100000000000001</v>
      </c>
      <c r="O475" s="9">
        <v>14</v>
      </c>
      <c r="P475" s="9">
        <v>19.5</v>
      </c>
      <c r="Q475" s="9">
        <v>2.9</v>
      </c>
      <c r="R475">
        <v>10</v>
      </c>
      <c r="S475">
        <v>1000</v>
      </c>
      <c r="T475" s="4">
        <f t="shared" si="41"/>
        <v>875.91062255139741</v>
      </c>
      <c r="U475">
        <v>64</v>
      </c>
    </row>
    <row r="476" spans="1:21">
      <c r="A476" s="44">
        <f t="shared" si="42"/>
        <v>45858.708333332186</v>
      </c>
      <c r="B476" s="45">
        <f t="shared" ref="B476:B539" si="43">B452</f>
        <v>8000</v>
      </c>
      <c r="C476" s="8">
        <v>25000</v>
      </c>
      <c r="D476" s="8">
        <v>0</v>
      </c>
      <c r="E476" s="8">
        <v>700</v>
      </c>
      <c r="F476" s="8">
        <v>15000</v>
      </c>
      <c r="G476" s="45">
        <f t="shared" ref="G476:G539" si="44">G452</f>
        <v>2400</v>
      </c>
      <c r="H476" s="8">
        <v>25000</v>
      </c>
      <c r="I476" s="45">
        <f t="shared" ref="I476:I539" si="45">I452</f>
        <v>8000</v>
      </c>
      <c r="J476" s="8">
        <v>25000</v>
      </c>
      <c r="K476" s="45">
        <f t="shared" ref="K476:K539" si="46">K452</f>
        <v>8000</v>
      </c>
      <c r="L476" s="8">
        <v>25000</v>
      </c>
      <c r="M476" s="9">
        <v>9</v>
      </c>
      <c r="N476" s="9">
        <v>16.100000000000001</v>
      </c>
      <c r="O476" s="9">
        <v>14</v>
      </c>
      <c r="P476" s="9">
        <v>19.5</v>
      </c>
      <c r="Q476" s="9">
        <v>2.9</v>
      </c>
      <c r="R476">
        <v>10</v>
      </c>
      <c r="S476">
        <v>1000</v>
      </c>
      <c r="T476" s="4">
        <f t="shared" ref="T476:T539" si="47">T452</f>
        <v>1116.9022972813298</v>
      </c>
      <c r="U476">
        <v>63</v>
      </c>
    </row>
    <row r="477" spans="1:21">
      <c r="A477" s="44">
        <f t="shared" si="42"/>
        <v>45858.74999999885</v>
      </c>
      <c r="B477" s="45">
        <f t="shared" si="43"/>
        <v>5000</v>
      </c>
      <c r="C477" s="8">
        <v>25000</v>
      </c>
      <c r="D477" s="8">
        <v>0</v>
      </c>
      <c r="E477" s="8">
        <v>700</v>
      </c>
      <c r="F477" s="8">
        <v>15000</v>
      </c>
      <c r="G477" s="45">
        <f t="shared" si="44"/>
        <v>2400</v>
      </c>
      <c r="H477" s="8">
        <v>25000</v>
      </c>
      <c r="I477" s="45">
        <f t="shared" si="45"/>
        <v>5000</v>
      </c>
      <c r="J477" s="8">
        <v>25000</v>
      </c>
      <c r="K477" s="45">
        <f t="shared" si="46"/>
        <v>5000</v>
      </c>
      <c r="L477" s="8">
        <v>25000</v>
      </c>
      <c r="M477" s="9">
        <v>9</v>
      </c>
      <c r="N477" s="9">
        <v>16.100000000000001</v>
      </c>
      <c r="O477" s="9">
        <v>14</v>
      </c>
      <c r="P477" s="9">
        <v>19.5</v>
      </c>
      <c r="Q477" s="9">
        <v>3</v>
      </c>
      <c r="R477">
        <v>10</v>
      </c>
      <c r="S477">
        <v>1000</v>
      </c>
      <c r="T477" s="4">
        <f t="shared" si="47"/>
        <v>1156.8299120294841</v>
      </c>
      <c r="U477">
        <v>84</v>
      </c>
    </row>
    <row r="478" spans="1:21">
      <c r="A478" s="44">
        <f t="shared" si="42"/>
        <v>45858.791666665515</v>
      </c>
      <c r="B478" s="45">
        <f t="shared" si="43"/>
        <v>5000</v>
      </c>
      <c r="C478" s="8">
        <v>25000</v>
      </c>
      <c r="D478" s="8">
        <v>0</v>
      </c>
      <c r="E478" s="8">
        <v>700</v>
      </c>
      <c r="F478" s="8">
        <v>15000</v>
      </c>
      <c r="G478" s="45">
        <f t="shared" si="44"/>
        <v>2400</v>
      </c>
      <c r="H478" s="8">
        <v>25000</v>
      </c>
      <c r="I478" s="45">
        <f t="shared" si="45"/>
        <v>5000</v>
      </c>
      <c r="J478" s="8">
        <v>25000</v>
      </c>
      <c r="K478" s="45">
        <f t="shared" si="46"/>
        <v>5000</v>
      </c>
      <c r="L478" s="8">
        <v>25000</v>
      </c>
      <c r="M478" s="9">
        <v>9</v>
      </c>
      <c r="N478" s="9">
        <v>16.100000000000001</v>
      </c>
      <c r="O478" s="9">
        <v>14</v>
      </c>
      <c r="P478" s="9">
        <v>19.5</v>
      </c>
      <c r="Q478" s="9">
        <v>2.7</v>
      </c>
      <c r="R478">
        <v>10</v>
      </c>
      <c r="S478">
        <v>1000</v>
      </c>
      <c r="T478" s="4">
        <f t="shared" si="47"/>
        <v>1156.8299120294841</v>
      </c>
      <c r="U478">
        <v>17</v>
      </c>
    </row>
    <row r="479" spans="1:21">
      <c r="A479" s="44">
        <f t="shared" si="42"/>
        <v>45858.833333332179</v>
      </c>
      <c r="B479" s="45">
        <f t="shared" si="43"/>
        <v>5000</v>
      </c>
      <c r="C479" s="8">
        <v>25000</v>
      </c>
      <c r="D479" s="8">
        <v>0</v>
      </c>
      <c r="E479" s="8">
        <v>700</v>
      </c>
      <c r="F479" s="8">
        <v>15000</v>
      </c>
      <c r="G479" s="45">
        <f t="shared" si="44"/>
        <v>2400</v>
      </c>
      <c r="H479" s="8">
        <v>25000</v>
      </c>
      <c r="I479" s="45">
        <f t="shared" si="45"/>
        <v>5000</v>
      </c>
      <c r="J479" s="8">
        <v>25000</v>
      </c>
      <c r="K479" s="45">
        <f t="shared" si="46"/>
        <v>5000</v>
      </c>
      <c r="L479" s="8">
        <v>25000</v>
      </c>
      <c r="M479" s="9">
        <v>9</v>
      </c>
      <c r="N479" s="9">
        <v>16.100000000000001</v>
      </c>
      <c r="O479" s="9">
        <v>14</v>
      </c>
      <c r="P479" s="9">
        <v>19.5</v>
      </c>
      <c r="Q479" s="9">
        <v>2.4</v>
      </c>
      <c r="R479">
        <v>10</v>
      </c>
      <c r="S479">
        <v>1000</v>
      </c>
      <c r="T479" s="4">
        <f t="shared" si="47"/>
        <v>1114.0503247993186</v>
      </c>
      <c r="U479">
        <v>26</v>
      </c>
    </row>
    <row r="480" spans="1:21">
      <c r="A480" s="44">
        <f t="shared" si="42"/>
        <v>45858.874999998843</v>
      </c>
      <c r="B480" s="45">
        <f t="shared" si="43"/>
        <v>5000</v>
      </c>
      <c r="C480" s="8">
        <v>25000</v>
      </c>
      <c r="D480" s="8">
        <v>0</v>
      </c>
      <c r="E480" s="8">
        <v>700</v>
      </c>
      <c r="F480" s="8">
        <v>15000</v>
      </c>
      <c r="G480" s="45">
        <f t="shared" si="44"/>
        <v>2400</v>
      </c>
      <c r="H480" s="8">
        <v>25000</v>
      </c>
      <c r="I480" s="45">
        <f t="shared" si="45"/>
        <v>5000</v>
      </c>
      <c r="J480" s="8">
        <v>25000</v>
      </c>
      <c r="K480" s="45">
        <f t="shared" si="46"/>
        <v>5000</v>
      </c>
      <c r="L480" s="8">
        <v>25000</v>
      </c>
      <c r="M480" s="9">
        <v>9</v>
      </c>
      <c r="N480" s="9">
        <v>16.100000000000001</v>
      </c>
      <c r="O480" s="9">
        <v>14</v>
      </c>
      <c r="P480" s="9">
        <v>19.5</v>
      </c>
      <c r="Q480" s="9">
        <v>3</v>
      </c>
      <c r="R480">
        <v>10</v>
      </c>
      <c r="S480">
        <v>1000</v>
      </c>
      <c r="T480" s="4">
        <f t="shared" si="47"/>
        <v>1034.1950953030096</v>
      </c>
      <c r="U480">
        <v>100</v>
      </c>
    </row>
    <row r="481" spans="1:21">
      <c r="A481" s="44">
        <f t="shared" si="42"/>
        <v>45858.916666665507</v>
      </c>
      <c r="B481" s="45">
        <f t="shared" si="43"/>
        <v>5000</v>
      </c>
      <c r="C481" s="8">
        <v>25000</v>
      </c>
      <c r="D481" s="8">
        <v>0</v>
      </c>
      <c r="E481" s="8">
        <v>700</v>
      </c>
      <c r="F481" s="8">
        <v>15000</v>
      </c>
      <c r="G481" s="45">
        <f t="shared" si="44"/>
        <v>2400</v>
      </c>
      <c r="H481" s="8">
        <v>25000</v>
      </c>
      <c r="I481" s="45">
        <f t="shared" si="45"/>
        <v>5000</v>
      </c>
      <c r="J481" s="8">
        <v>25000</v>
      </c>
      <c r="K481" s="45">
        <f t="shared" si="46"/>
        <v>5000</v>
      </c>
      <c r="L481" s="8">
        <v>25000</v>
      </c>
      <c r="M481" s="9">
        <v>9</v>
      </c>
      <c r="N481" s="9">
        <v>16.100000000000001</v>
      </c>
      <c r="O481" s="9">
        <v>14</v>
      </c>
      <c r="P481" s="9">
        <v>19.5</v>
      </c>
      <c r="Q481" s="9">
        <v>2.4</v>
      </c>
      <c r="R481">
        <v>10</v>
      </c>
      <c r="S481">
        <v>1000</v>
      </c>
      <c r="T481" s="4">
        <f t="shared" si="47"/>
        <v>807.46328298313267</v>
      </c>
      <c r="U481">
        <v>66</v>
      </c>
    </row>
    <row r="482" spans="1:21">
      <c r="A482" s="44">
        <f t="shared" si="42"/>
        <v>45858.958333332172</v>
      </c>
      <c r="B482" s="45">
        <f t="shared" si="43"/>
        <v>5000</v>
      </c>
      <c r="C482" s="8">
        <v>25000</v>
      </c>
      <c r="D482" s="8">
        <v>0</v>
      </c>
      <c r="E482" s="8">
        <v>700</v>
      </c>
      <c r="F482" s="8">
        <v>15000</v>
      </c>
      <c r="G482" s="45">
        <f t="shared" si="44"/>
        <v>2400</v>
      </c>
      <c r="H482" s="8">
        <v>25000</v>
      </c>
      <c r="I482" s="45">
        <f t="shared" si="45"/>
        <v>5000</v>
      </c>
      <c r="J482" s="8">
        <v>25000</v>
      </c>
      <c r="K482" s="45">
        <f t="shared" si="46"/>
        <v>5000</v>
      </c>
      <c r="L482" s="8">
        <v>25000</v>
      </c>
      <c r="M482" s="9">
        <v>9</v>
      </c>
      <c r="N482" s="9">
        <v>16.100000000000001</v>
      </c>
      <c r="O482" s="9">
        <v>14</v>
      </c>
      <c r="P482" s="9">
        <v>19.5</v>
      </c>
      <c r="Q482" s="9">
        <v>2.5</v>
      </c>
      <c r="R482">
        <v>10</v>
      </c>
      <c r="S482">
        <v>1000</v>
      </c>
      <c r="T482" s="4">
        <f t="shared" si="47"/>
        <v>442.69657292841788</v>
      </c>
      <c r="U482">
        <v>98</v>
      </c>
    </row>
    <row r="483" spans="1:21">
      <c r="A483" s="44">
        <f t="shared" si="42"/>
        <v>45858.999999998836</v>
      </c>
      <c r="B483" s="45">
        <f t="shared" si="43"/>
        <v>5000</v>
      </c>
      <c r="C483" s="8">
        <v>25000</v>
      </c>
      <c r="D483" s="8">
        <v>0</v>
      </c>
      <c r="E483" s="8">
        <v>700</v>
      </c>
      <c r="F483" s="8">
        <v>15000</v>
      </c>
      <c r="G483" s="45">
        <f t="shared" si="44"/>
        <v>2400</v>
      </c>
      <c r="H483" s="8">
        <v>25000</v>
      </c>
      <c r="I483" s="45">
        <f t="shared" si="45"/>
        <v>5000</v>
      </c>
      <c r="J483" s="8">
        <v>25000</v>
      </c>
      <c r="K483" s="45">
        <f t="shared" si="46"/>
        <v>5000</v>
      </c>
      <c r="L483" s="8">
        <v>25000</v>
      </c>
      <c r="M483" s="9">
        <v>9</v>
      </c>
      <c r="N483" s="9">
        <v>16.100000000000001</v>
      </c>
      <c r="O483" s="9">
        <v>14</v>
      </c>
      <c r="P483" s="9">
        <v>19.5</v>
      </c>
      <c r="Q483" s="9">
        <v>2.9</v>
      </c>
      <c r="R483">
        <v>10</v>
      </c>
      <c r="S483">
        <v>1000</v>
      </c>
      <c r="T483" s="4">
        <f t="shared" si="47"/>
        <v>442.69657292841788</v>
      </c>
      <c r="U483">
        <v>50</v>
      </c>
    </row>
    <row r="484" spans="1:21">
      <c r="A484" s="44">
        <f t="shared" si="42"/>
        <v>45859.0416666655</v>
      </c>
      <c r="B484" s="45">
        <f t="shared" si="43"/>
        <v>5000</v>
      </c>
      <c r="C484" s="8">
        <v>25000</v>
      </c>
      <c r="D484" s="8">
        <v>0</v>
      </c>
      <c r="E484" s="8">
        <v>700</v>
      </c>
      <c r="F484" s="8">
        <v>15000</v>
      </c>
      <c r="G484" s="45">
        <f t="shared" si="44"/>
        <v>2400</v>
      </c>
      <c r="H484" s="8">
        <v>25000</v>
      </c>
      <c r="I484" s="45">
        <f t="shared" si="45"/>
        <v>5000</v>
      </c>
      <c r="J484" s="8">
        <v>25000</v>
      </c>
      <c r="K484" s="45">
        <f t="shared" si="46"/>
        <v>5000</v>
      </c>
      <c r="L484" s="8">
        <v>25000</v>
      </c>
      <c r="M484" s="9">
        <v>9</v>
      </c>
      <c r="N484" s="9">
        <v>16.100000000000001</v>
      </c>
      <c r="O484" s="9">
        <v>14</v>
      </c>
      <c r="P484" s="9">
        <v>19.5</v>
      </c>
      <c r="Q484" s="9">
        <v>2.8</v>
      </c>
      <c r="R484">
        <v>10</v>
      </c>
      <c r="S484">
        <v>1000</v>
      </c>
      <c r="T484" s="4">
        <f t="shared" si="47"/>
        <v>362.27094893570683</v>
      </c>
      <c r="U484">
        <v>34</v>
      </c>
    </row>
    <row r="485" spans="1:21">
      <c r="A485" s="44">
        <f t="shared" si="42"/>
        <v>45859.083333332164</v>
      </c>
      <c r="B485" s="45">
        <f t="shared" si="43"/>
        <v>5000</v>
      </c>
      <c r="C485" s="8">
        <v>25000</v>
      </c>
      <c r="D485" s="8">
        <v>0</v>
      </c>
      <c r="E485" s="8">
        <v>700</v>
      </c>
      <c r="F485" s="8">
        <v>15000</v>
      </c>
      <c r="G485" s="45">
        <f t="shared" si="44"/>
        <v>2400</v>
      </c>
      <c r="H485" s="8">
        <v>25000</v>
      </c>
      <c r="I485" s="45">
        <f t="shared" si="45"/>
        <v>5000</v>
      </c>
      <c r="J485" s="8">
        <v>25000</v>
      </c>
      <c r="K485" s="45">
        <f t="shared" si="46"/>
        <v>5000</v>
      </c>
      <c r="L485" s="8">
        <v>25000</v>
      </c>
      <c r="M485" s="9">
        <v>9</v>
      </c>
      <c r="N485" s="9">
        <v>16.100000000000001</v>
      </c>
      <c r="O485" s="9">
        <v>14</v>
      </c>
      <c r="P485" s="9">
        <v>19.5</v>
      </c>
      <c r="Q485" s="9">
        <v>2.7</v>
      </c>
      <c r="R485">
        <v>10</v>
      </c>
      <c r="S485">
        <v>1000</v>
      </c>
      <c r="T485" s="4">
        <f t="shared" si="47"/>
        <v>362.27094893570683</v>
      </c>
      <c r="U485">
        <v>10</v>
      </c>
    </row>
    <row r="486" spans="1:21">
      <c r="A486" s="44">
        <f t="shared" si="42"/>
        <v>45859.124999998829</v>
      </c>
      <c r="B486" s="45">
        <f t="shared" si="43"/>
        <v>5000</v>
      </c>
      <c r="C486" s="8">
        <v>25000</v>
      </c>
      <c r="D486" s="8">
        <v>0</v>
      </c>
      <c r="E486" s="8">
        <v>700</v>
      </c>
      <c r="F486" s="8">
        <v>15000</v>
      </c>
      <c r="G486" s="45">
        <f t="shared" si="44"/>
        <v>2400</v>
      </c>
      <c r="H486" s="8">
        <v>25000</v>
      </c>
      <c r="I486" s="45">
        <f t="shared" si="45"/>
        <v>5000</v>
      </c>
      <c r="J486" s="8">
        <v>25000</v>
      </c>
      <c r="K486" s="45">
        <f t="shared" si="46"/>
        <v>5000</v>
      </c>
      <c r="L486" s="8">
        <v>25000</v>
      </c>
      <c r="M486" s="9">
        <v>9</v>
      </c>
      <c r="N486" s="9">
        <v>16.100000000000001</v>
      </c>
      <c r="O486" s="9">
        <v>14</v>
      </c>
      <c r="P486" s="9">
        <v>19.5</v>
      </c>
      <c r="Q486" s="9">
        <v>3</v>
      </c>
      <c r="R486">
        <v>10</v>
      </c>
      <c r="S486">
        <v>1000</v>
      </c>
      <c r="T486" s="4">
        <f t="shared" si="47"/>
        <v>362.27094893570683</v>
      </c>
      <c r="U486">
        <v>80</v>
      </c>
    </row>
    <row r="487" spans="1:21">
      <c r="A487" s="44">
        <f t="shared" si="42"/>
        <v>45859.166666665493</v>
      </c>
      <c r="B487" s="45">
        <f t="shared" si="43"/>
        <v>5000</v>
      </c>
      <c r="C487" s="8">
        <v>25000</v>
      </c>
      <c r="D487" s="8">
        <v>0</v>
      </c>
      <c r="E487" s="8">
        <v>700</v>
      </c>
      <c r="F487" s="8">
        <v>15000</v>
      </c>
      <c r="G487" s="45">
        <f t="shared" si="44"/>
        <v>2400</v>
      </c>
      <c r="H487" s="8">
        <v>25000</v>
      </c>
      <c r="I487" s="45">
        <f t="shared" si="45"/>
        <v>5000</v>
      </c>
      <c r="J487" s="8">
        <v>25000</v>
      </c>
      <c r="K487" s="45">
        <f t="shared" si="46"/>
        <v>5000</v>
      </c>
      <c r="L487" s="8">
        <v>25000</v>
      </c>
      <c r="M487" s="9">
        <v>9</v>
      </c>
      <c r="N487" s="9">
        <v>16.100000000000001</v>
      </c>
      <c r="O487" s="9">
        <v>14</v>
      </c>
      <c r="P487" s="9">
        <v>19.5</v>
      </c>
      <c r="Q487" s="9">
        <v>2.7</v>
      </c>
      <c r="R487">
        <v>10</v>
      </c>
      <c r="S487">
        <v>1000</v>
      </c>
      <c r="T487" s="4">
        <f t="shared" si="47"/>
        <v>426.44032978095498</v>
      </c>
      <c r="U487">
        <v>74</v>
      </c>
    </row>
    <row r="488" spans="1:21">
      <c r="A488" s="44">
        <f t="shared" si="42"/>
        <v>45859.208333332157</v>
      </c>
      <c r="B488" s="45">
        <f t="shared" si="43"/>
        <v>5000</v>
      </c>
      <c r="C488" s="8">
        <v>25000</v>
      </c>
      <c r="D488" s="8">
        <v>0</v>
      </c>
      <c r="E488" s="8">
        <v>700</v>
      </c>
      <c r="F488" s="8">
        <v>15000</v>
      </c>
      <c r="G488" s="45">
        <f t="shared" si="44"/>
        <v>2400</v>
      </c>
      <c r="H488" s="8">
        <v>25000</v>
      </c>
      <c r="I488" s="45">
        <f t="shared" si="45"/>
        <v>5000</v>
      </c>
      <c r="J488" s="8">
        <v>25000</v>
      </c>
      <c r="K488" s="45">
        <f t="shared" si="46"/>
        <v>5000</v>
      </c>
      <c r="L488" s="8">
        <v>25000</v>
      </c>
      <c r="M488" s="9">
        <v>9</v>
      </c>
      <c r="N488" s="9">
        <v>16.100000000000001</v>
      </c>
      <c r="O488" s="9">
        <v>14</v>
      </c>
      <c r="P488" s="9">
        <v>19.5</v>
      </c>
      <c r="Q488" s="9">
        <v>2.5</v>
      </c>
      <c r="R488">
        <v>10</v>
      </c>
      <c r="S488">
        <v>1000</v>
      </c>
      <c r="T488" s="4">
        <f t="shared" si="47"/>
        <v>362.27094893570683</v>
      </c>
      <c r="U488">
        <v>44</v>
      </c>
    </row>
    <row r="489" spans="1:21">
      <c r="A489" s="44">
        <f t="shared" si="42"/>
        <v>45859.249999998821</v>
      </c>
      <c r="B489" s="45">
        <f t="shared" si="43"/>
        <v>8000</v>
      </c>
      <c r="C489" s="8">
        <v>25000</v>
      </c>
      <c r="D489" s="8">
        <v>0</v>
      </c>
      <c r="E489" s="8">
        <v>700</v>
      </c>
      <c r="F489" s="8">
        <v>15000</v>
      </c>
      <c r="G489" s="45">
        <f t="shared" si="44"/>
        <v>2400</v>
      </c>
      <c r="H489" s="8">
        <v>25000</v>
      </c>
      <c r="I489" s="45">
        <f t="shared" si="45"/>
        <v>8000</v>
      </c>
      <c r="J489" s="8">
        <v>25000</v>
      </c>
      <c r="K489" s="45">
        <f t="shared" si="46"/>
        <v>8000</v>
      </c>
      <c r="L489" s="8">
        <v>25000</v>
      </c>
      <c r="M489" s="9">
        <v>9</v>
      </c>
      <c r="N489" s="9">
        <v>16.100000000000001</v>
      </c>
      <c r="O489" s="9">
        <v>14</v>
      </c>
      <c r="P489" s="9">
        <v>19.5</v>
      </c>
      <c r="Q489" s="9">
        <v>2.8</v>
      </c>
      <c r="R489">
        <v>10</v>
      </c>
      <c r="S489">
        <v>1000</v>
      </c>
      <c r="T489" s="4">
        <f t="shared" si="47"/>
        <v>304.3759075508828</v>
      </c>
      <c r="U489">
        <v>78</v>
      </c>
    </row>
    <row r="490" spans="1:21">
      <c r="A490" s="44">
        <f t="shared" si="42"/>
        <v>45859.291666665486</v>
      </c>
      <c r="B490" s="45">
        <f t="shared" si="43"/>
        <v>8000</v>
      </c>
      <c r="C490" s="8">
        <v>25000</v>
      </c>
      <c r="D490" s="8">
        <v>0</v>
      </c>
      <c r="E490" s="8">
        <v>700</v>
      </c>
      <c r="F490" s="8">
        <v>15000</v>
      </c>
      <c r="G490" s="45">
        <f t="shared" si="44"/>
        <v>2400</v>
      </c>
      <c r="H490" s="8">
        <v>25000</v>
      </c>
      <c r="I490" s="45">
        <f t="shared" si="45"/>
        <v>8000</v>
      </c>
      <c r="J490" s="8">
        <v>25000</v>
      </c>
      <c r="K490" s="45">
        <f t="shared" si="46"/>
        <v>8000</v>
      </c>
      <c r="L490" s="8">
        <v>25000</v>
      </c>
      <c r="M490" s="9">
        <v>9</v>
      </c>
      <c r="N490" s="9">
        <v>16.100000000000001</v>
      </c>
      <c r="O490" s="9">
        <v>14</v>
      </c>
      <c r="P490" s="9">
        <v>19.5</v>
      </c>
      <c r="Q490" s="9">
        <v>2.5</v>
      </c>
      <c r="R490">
        <v>10</v>
      </c>
      <c r="S490">
        <v>1000</v>
      </c>
      <c r="T490" s="4">
        <f t="shared" si="47"/>
        <v>280.13414145378908</v>
      </c>
      <c r="U490">
        <v>69</v>
      </c>
    </row>
    <row r="491" spans="1:21">
      <c r="A491" s="44">
        <f t="shared" si="42"/>
        <v>45859.33333333215</v>
      </c>
      <c r="B491" s="45">
        <f t="shared" si="43"/>
        <v>8000</v>
      </c>
      <c r="C491" s="8">
        <v>25000</v>
      </c>
      <c r="D491" s="8">
        <v>0</v>
      </c>
      <c r="E491" s="8">
        <v>700</v>
      </c>
      <c r="F491" s="8">
        <v>15000</v>
      </c>
      <c r="G491" s="45">
        <f t="shared" si="44"/>
        <v>2400</v>
      </c>
      <c r="H491" s="8">
        <v>25000</v>
      </c>
      <c r="I491" s="45">
        <f t="shared" si="45"/>
        <v>8000</v>
      </c>
      <c r="J491" s="8">
        <v>25000</v>
      </c>
      <c r="K491" s="45">
        <f t="shared" si="46"/>
        <v>8000</v>
      </c>
      <c r="L491" s="8">
        <v>25000</v>
      </c>
      <c r="M491" s="9">
        <v>9</v>
      </c>
      <c r="N491" s="9">
        <v>16.100000000000001</v>
      </c>
      <c r="O491" s="9">
        <v>14</v>
      </c>
      <c r="P491" s="9">
        <v>19.5</v>
      </c>
      <c r="Q491" s="9">
        <v>2.6</v>
      </c>
      <c r="R491">
        <v>10</v>
      </c>
      <c r="S491">
        <v>1000</v>
      </c>
      <c r="T491" s="4">
        <f t="shared" si="47"/>
        <v>294.39400386384426</v>
      </c>
      <c r="U491">
        <v>96</v>
      </c>
    </row>
    <row r="492" spans="1:21">
      <c r="A492" s="44">
        <f t="shared" si="42"/>
        <v>45859.374999998814</v>
      </c>
      <c r="B492" s="45">
        <f t="shared" si="43"/>
        <v>8000</v>
      </c>
      <c r="C492" s="8">
        <v>25000</v>
      </c>
      <c r="D492" s="8">
        <v>0</v>
      </c>
      <c r="E492" s="8">
        <v>700</v>
      </c>
      <c r="F492" s="8">
        <v>15000</v>
      </c>
      <c r="G492" s="45">
        <f t="shared" si="44"/>
        <v>2400</v>
      </c>
      <c r="H492" s="8">
        <v>25000</v>
      </c>
      <c r="I492" s="45">
        <f t="shared" si="45"/>
        <v>8000</v>
      </c>
      <c r="J492" s="8">
        <v>25000</v>
      </c>
      <c r="K492" s="45">
        <f t="shared" si="46"/>
        <v>8000</v>
      </c>
      <c r="L492" s="8">
        <v>25000</v>
      </c>
      <c r="M492" s="9">
        <v>9</v>
      </c>
      <c r="N492" s="9">
        <v>16.100000000000001</v>
      </c>
      <c r="O492" s="9">
        <v>14</v>
      </c>
      <c r="P492" s="9">
        <v>19.5</v>
      </c>
      <c r="Q492" s="9">
        <v>2.9</v>
      </c>
      <c r="R492">
        <v>10</v>
      </c>
      <c r="S492">
        <v>1000</v>
      </c>
      <c r="T492" s="4">
        <f t="shared" si="47"/>
        <v>317.20978371993255</v>
      </c>
      <c r="U492">
        <v>82</v>
      </c>
    </row>
    <row r="493" spans="1:21">
      <c r="A493" s="44">
        <f t="shared" si="42"/>
        <v>45859.416666665478</v>
      </c>
      <c r="B493" s="45">
        <f t="shared" si="43"/>
        <v>8000</v>
      </c>
      <c r="C493" s="8">
        <v>25000</v>
      </c>
      <c r="D493" s="8">
        <v>0</v>
      </c>
      <c r="E493" s="8">
        <v>700</v>
      </c>
      <c r="F493" s="8">
        <v>15000</v>
      </c>
      <c r="G493" s="45">
        <f t="shared" si="44"/>
        <v>2400</v>
      </c>
      <c r="H493" s="8">
        <v>25000</v>
      </c>
      <c r="I493" s="45">
        <f t="shared" si="45"/>
        <v>8000</v>
      </c>
      <c r="J493" s="8">
        <v>25000</v>
      </c>
      <c r="K493" s="45">
        <f t="shared" si="46"/>
        <v>8000</v>
      </c>
      <c r="L493" s="8">
        <v>25000</v>
      </c>
      <c r="M493" s="9">
        <v>9</v>
      </c>
      <c r="N493" s="9">
        <v>16.100000000000001</v>
      </c>
      <c r="O493" s="9">
        <v>14</v>
      </c>
      <c r="P493" s="9">
        <v>19.5</v>
      </c>
      <c r="Q493" s="9">
        <v>2.6</v>
      </c>
      <c r="R493">
        <v>10</v>
      </c>
      <c r="S493">
        <v>1000</v>
      </c>
      <c r="T493" s="4">
        <f t="shared" si="47"/>
        <v>308.08347177749721</v>
      </c>
      <c r="U493">
        <v>86</v>
      </c>
    </row>
    <row r="494" spans="1:21">
      <c r="A494" s="44">
        <f t="shared" si="42"/>
        <v>45859.458333332143</v>
      </c>
      <c r="B494" s="45">
        <f t="shared" si="43"/>
        <v>8000</v>
      </c>
      <c r="C494" s="8">
        <v>25000</v>
      </c>
      <c r="D494" s="8">
        <v>0</v>
      </c>
      <c r="E494" s="8">
        <v>700</v>
      </c>
      <c r="F494" s="8">
        <v>15000</v>
      </c>
      <c r="G494" s="45">
        <f t="shared" si="44"/>
        <v>2400</v>
      </c>
      <c r="H494" s="8">
        <v>25000</v>
      </c>
      <c r="I494" s="45">
        <f t="shared" si="45"/>
        <v>8000</v>
      </c>
      <c r="J494" s="8">
        <v>25000</v>
      </c>
      <c r="K494" s="45">
        <f t="shared" si="46"/>
        <v>8000</v>
      </c>
      <c r="L494" s="8">
        <v>25000</v>
      </c>
      <c r="M494" s="9">
        <v>9</v>
      </c>
      <c r="N494" s="9">
        <v>16.100000000000001</v>
      </c>
      <c r="O494" s="9">
        <v>14</v>
      </c>
      <c r="P494" s="9">
        <v>19.5</v>
      </c>
      <c r="Q494" s="9">
        <v>3</v>
      </c>
      <c r="R494">
        <v>10</v>
      </c>
      <c r="S494">
        <v>1000</v>
      </c>
      <c r="T494" s="4">
        <f t="shared" si="47"/>
        <v>303.80551305448063</v>
      </c>
      <c r="U494">
        <v>58</v>
      </c>
    </row>
    <row r="495" spans="1:21">
      <c r="A495" s="44">
        <f t="shared" si="42"/>
        <v>45859.499999998807</v>
      </c>
      <c r="B495" s="45">
        <f t="shared" si="43"/>
        <v>8000</v>
      </c>
      <c r="C495" s="8">
        <v>25000</v>
      </c>
      <c r="D495" s="8">
        <v>0</v>
      </c>
      <c r="E495" s="8">
        <v>700</v>
      </c>
      <c r="F495" s="8">
        <v>15000</v>
      </c>
      <c r="G495" s="45">
        <f t="shared" si="44"/>
        <v>2400</v>
      </c>
      <c r="H495" s="8">
        <v>25000</v>
      </c>
      <c r="I495" s="45">
        <f t="shared" si="45"/>
        <v>8000</v>
      </c>
      <c r="J495" s="8">
        <v>25000</v>
      </c>
      <c r="K495" s="45">
        <f t="shared" si="46"/>
        <v>8000</v>
      </c>
      <c r="L495" s="8">
        <v>25000</v>
      </c>
      <c r="M495" s="9">
        <v>9</v>
      </c>
      <c r="N495" s="9">
        <v>16.100000000000001</v>
      </c>
      <c r="O495" s="9">
        <v>14</v>
      </c>
      <c r="P495" s="9">
        <v>19.5</v>
      </c>
      <c r="Q495" s="9">
        <v>2.9</v>
      </c>
      <c r="R495">
        <v>10</v>
      </c>
      <c r="S495">
        <v>1000</v>
      </c>
      <c r="T495" s="4">
        <f t="shared" si="47"/>
        <v>303.80551305448063</v>
      </c>
      <c r="U495">
        <v>37</v>
      </c>
    </row>
    <row r="496" spans="1:21">
      <c r="A496" s="44">
        <f t="shared" si="42"/>
        <v>45859.541666665471</v>
      </c>
      <c r="B496" s="45">
        <f t="shared" si="43"/>
        <v>8000</v>
      </c>
      <c r="C496" s="8">
        <v>25000</v>
      </c>
      <c r="D496" s="8">
        <v>0</v>
      </c>
      <c r="E496" s="8">
        <v>700</v>
      </c>
      <c r="F496" s="8">
        <v>15000</v>
      </c>
      <c r="G496" s="45">
        <f t="shared" si="44"/>
        <v>2400</v>
      </c>
      <c r="H496" s="8">
        <v>25000</v>
      </c>
      <c r="I496" s="45">
        <f t="shared" si="45"/>
        <v>8000</v>
      </c>
      <c r="J496" s="8">
        <v>25000</v>
      </c>
      <c r="K496" s="45">
        <f t="shared" si="46"/>
        <v>8000</v>
      </c>
      <c r="L496" s="8">
        <v>25000</v>
      </c>
      <c r="M496" s="9">
        <v>9</v>
      </c>
      <c r="N496" s="9">
        <v>16.100000000000001</v>
      </c>
      <c r="O496" s="9">
        <v>14</v>
      </c>
      <c r="P496" s="9">
        <v>19.5</v>
      </c>
      <c r="Q496" s="9">
        <v>2.7</v>
      </c>
      <c r="R496">
        <v>10</v>
      </c>
      <c r="S496">
        <v>1000</v>
      </c>
      <c r="T496" s="4">
        <f t="shared" si="47"/>
        <v>353.43040463596901</v>
      </c>
      <c r="U496">
        <v>73</v>
      </c>
    </row>
    <row r="497" spans="1:21">
      <c r="A497" s="44">
        <f t="shared" si="42"/>
        <v>45859.583333332135</v>
      </c>
      <c r="B497" s="45">
        <f t="shared" si="43"/>
        <v>8000</v>
      </c>
      <c r="C497" s="8">
        <v>25000</v>
      </c>
      <c r="D497" s="8">
        <v>0</v>
      </c>
      <c r="E497" s="8">
        <v>700</v>
      </c>
      <c r="F497" s="8">
        <v>15000</v>
      </c>
      <c r="G497" s="45">
        <f t="shared" si="44"/>
        <v>2400</v>
      </c>
      <c r="H497" s="8">
        <v>25000</v>
      </c>
      <c r="I497" s="45">
        <f t="shared" si="45"/>
        <v>8000</v>
      </c>
      <c r="J497" s="8">
        <v>25000</v>
      </c>
      <c r="K497" s="45">
        <f t="shared" si="46"/>
        <v>8000</v>
      </c>
      <c r="L497" s="8">
        <v>25000</v>
      </c>
      <c r="M497" s="9">
        <v>9</v>
      </c>
      <c r="N497" s="9">
        <v>16.100000000000001</v>
      </c>
      <c r="O497" s="9">
        <v>14</v>
      </c>
      <c r="P497" s="9">
        <v>19.5</v>
      </c>
      <c r="Q497" s="9">
        <v>2.7</v>
      </c>
      <c r="R497">
        <v>10</v>
      </c>
      <c r="S497">
        <v>1000</v>
      </c>
      <c r="T497" s="4">
        <f t="shared" si="47"/>
        <v>587.29100737188094</v>
      </c>
      <c r="U497">
        <v>21</v>
      </c>
    </row>
    <row r="498" spans="1:21">
      <c r="A498" s="44">
        <f t="shared" si="42"/>
        <v>45859.624999998799</v>
      </c>
      <c r="B498" s="45">
        <f t="shared" si="43"/>
        <v>8000</v>
      </c>
      <c r="C498" s="8">
        <v>25000</v>
      </c>
      <c r="D498" s="8">
        <v>0</v>
      </c>
      <c r="E498" s="8">
        <v>700</v>
      </c>
      <c r="F498" s="8">
        <v>15000</v>
      </c>
      <c r="G498" s="45">
        <f t="shared" si="44"/>
        <v>2400</v>
      </c>
      <c r="H498" s="8">
        <v>25000</v>
      </c>
      <c r="I498" s="45">
        <f t="shared" si="45"/>
        <v>8000</v>
      </c>
      <c r="J498" s="8">
        <v>25000</v>
      </c>
      <c r="K498" s="45">
        <f t="shared" si="46"/>
        <v>8000</v>
      </c>
      <c r="L498" s="8">
        <v>25000</v>
      </c>
      <c r="M498" s="9">
        <v>9</v>
      </c>
      <c r="N498" s="9">
        <v>16.100000000000001</v>
      </c>
      <c r="O498" s="9">
        <v>14</v>
      </c>
      <c r="P498" s="9">
        <v>19.5</v>
      </c>
      <c r="Q498" s="9">
        <v>2.8</v>
      </c>
      <c r="R498">
        <v>10</v>
      </c>
      <c r="S498">
        <v>1000</v>
      </c>
      <c r="T498" s="4">
        <f t="shared" si="47"/>
        <v>604.40284226394715</v>
      </c>
      <c r="U498">
        <v>77</v>
      </c>
    </row>
    <row r="499" spans="1:21">
      <c r="A499" s="44">
        <f t="shared" si="42"/>
        <v>45859.666666665464</v>
      </c>
      <c r="B499" s="45">
        <f t="shared" si="43"/>
        <v>8000</v>
      </c>
      <c r="C499" s="8">
        <v>25000</v>
      </c>
      <c r="D499" s="8">
        <v>0</v>
      </c>
      <c r="E499" s="8">
        <v>700</v>
      </c>
      <c r="F499" s="8">
        <v>15000</v>
      </c>
      <c r="G499" s="45">
        <f t="shared" si="44"/>
        <v>2400</v>
      </c>
      <c r="H499" s="8">
        <v>25000</v>
      </c>
      <c r="I499" s="45">
        <f t="shared" si="45"/>
        <v>8000</v>
      </c>
      <c r="J499" s="8">
        <v>25000</v>
      </c>
      <c r="K499" s="45">
        <f t="shared" si="46"/>
        <v>8000</v>
      </c>
      <c r="L499" s="8">
        <v>25000</v>
      </c>
      <c r="M499" s="9">
        <v>9</v>
      </c>
      <c r="N499" s="9">
        <v>16.100000000000001</v>
      </c>
      <c r="O499" s="9">
        <v>14</v>
      </c>
      <c r="P499" s="9">
        <v>19.5</v>
      </c>
      <c r="Q499" s="9">
        <v>2.4</v>
      </c>
      <c r="R499">
        <v>10</v>
      </c>
      <c r="S499">
        <v>1000</v>
      </c>
      <c r="T499" s="4">
        <f t="shared" si="47"/>
        <v>875.91062255139741</v>
      </c>
      <c r="U499">
        <v>61</v>
      </c>
    </row>
    <row r="500" spans="1:21">
      <c r="A500" s="44">
        <f t="shared" si="42"/>
        <v>45859.708333332128</v>
      </c>
      <c r="B500" s="45">
        <f t="shared" si="43"/>
        <v>8000</v>
      </c>
      <c r="C500" s="8">
        <v>25000</v>
      </c>
      <c r="D500" s="8">
        <v>0</v>
      </c>
      <c r="E500" s="8">
        <v>700</v>
      </c>
      <c r="F500" s="8">
        <v>15000</v>
      </c>
      <c r="G500" s="45">
        <f t="shared" si="44"/>
        <v>2400</v>
      </c>
      <c r="H500" s="8">
        <v>25000</v>
      </c>
      <c r="I500" s="45">
        <f t="shared" si="45"/>
        <v>8000</v>
      </c>
      <c r="J500" s="8">
        <v>25000</v>
      </c>
      <c r="K500" s="45">
        <f t="shared" si="46"/>
        <v>8000</v>
      </c>
      <c r="L500" s="8">
        <v>25000</v>
      </c>
      <c r="M500" s="9">
        <v>9</v>
      </c>
      <c r="N500" s="9">
        <v>16.100000000000001</v>
      </c>
      <c r="O500" s="9">
        <v>14</v>
      </c>
      <c r="P500" s="9">
        <v>19.5</v>
      </c>
      <c r="Q500" s="9">
        <v>2.8</v>
      </c>
      <c r="R500">
        <v>10</v>
      </c>
      <c r="S500">
        <v>1000</v>
      </c>
      <c r="T500" s="4">
        <f t="shared" si="47"/>
        <v>1116.9022972813298</v>
      </c>
      <c r="U500">
        <v>34</v>
      </c>
    </row>
    <row r="501" spans="1:21">
      <c r="A501" s="44">
        <f t="shared" si="42"/>
        <v>45859.749999998792</v>
      </c>
      <c r="B501" s="45">
        <f t="shared" si="43"/>
        <v>5000</v>
      </c>
      <c r="C501" s="8">
        <v>25000</v>
      </c>
      <c r="D501" s="8">
        <v>0</v>
      </c>
      <c r="E501" s="8">
        <v>700</v>
      </c>
      <c r="F501" s="8">
        <v>15000</v>
      </c>
      <c r="G501" s="45">
        <f t="shared" si="44"/>
        <v>2400</v>
      </c>
      <c r="H501" s="8">
        <v>25000</v>
      </c>
      <c r="I501" s="45">
        <f t="shared" si="45"/>
        <v>5000</v>
      </c>
      <c r="J501" s="8">
        <v>25000</v>
      </c>
      <c r="K501" s="45">
        <f t="shared" si="46"/>
        <v>5000</v>
      </c>
      <c r="L501" s="8">
        <v>25000</v>
      </c>
      <c r="M501" s="9">
        <v>9</v>
      </c>
      <c r="N501" s="9">
        <v>16.100000000000001</v>
      </c>
      <c r="O501" s="9">
        <v>14</v>
      </c>
      <c r="P501" s="9">
        <v>19.5</v>
      </c>
      <c r="Q501" s="9">
        <v>2.6</v>
      </c>
      <c r="R501">
        <v>10</v>
      </c>
      <c r="S501">
        <v>1000</v>
      </c>
      <c r="T501" s="4">
        <f t="shared" si="47"/>
        <v>1156.8299120294841</v>
      </c>
      <c r="U501">
        <v>87</v>
      </c>
    </row>
    <row r="502" spans="1:21">
      <c r="A502" s="44">
        <f t="shared" si="42"/>
        <v>45859.791666665456</v>
      </c>
      <c r="B502" s="45">
        <f t="shared" si="43"/>
        <v>5000</v>
      </c>
      <c r="C502" s="8">
        <v>25000</v>
      </c>
      <c r="D502" s="8">
        <v>0</v>
      </c>
      <c r="E502" s="8">
        <v>700</v>
      </c>
      <c r="F502" s="8">
        <v>15000</v>
      </c>
      <c r="G502" s="45">
        <f t="shared" si="44"/>
        <v>2400</v>
      </c>
      <c r="H502" s="8">
        <v>25000</v>
      </c>
      <c r="I502" s="45">
        <f t="shared" si="45"/>
        <v>5000</v>
      </c>
      <c r="J502" s="8">
        <v>25000</v>
      </c>
      <c r="K502" s="45">
        <f t="shared" si="46"/>
        <v>5000</v>
      </c>
      <c r="L502" s="8">
        <v>25000</v>
      </c>
      <c r="M502" s="9">
        <v>9</v>
      </c>
      <c r="N502" s="9">
        <v>16.100000000000001</v>
      </c>
      <c r="O502" s="9">
        <v>14</v>
      </c>
      <c r="P502" s="9">
        <v>19.5</v>
      </c>
      <c r="Q502" s="9">
        <v>2.6</v>
      </c>
      <c r="R502">
        <v>10</v>
      </c>
      <c r="S502">
        <v>1000</v>
      </c>
      <c r="T502" s="4">
        <f t="shared" si="47"/>
        <v>1156.8299120294841</v>
      </c>
      <c r="U502">
        <v>88</v>
      </c>
    </row>
    <row r="503" spans="1:21">
      <c r="A503" s="44">
        <f t="shared" si="42"/>
        <v>45859.833333332121</v>
      </c>
      <c r="B503" s="45">
        <f t="shared" si="43"/>
        <v>5000</v>
      </c>
      <c r="C503" s="8">
        <v>25000</v>
      </c>
      <c r="D503" s="8">
        <v>0</v>
      </c>
      <c r="E503" s="8">
        <v>700</v>
      </c>
      <c r="F503" s="8">
        <v>15000</v>
      </c>
      <c r="G503" s="45">
        <f t="shared" si="44"/>
        <v>2400</v>
      </c>
      <c r="H503" s="8">
        <v>25000</v>
      </c>
      <c r="I503" s="45">
        <f t="shared" si="45"/>
        <v>5000</v>
      </c>
      <c r="J503" s="8">
        <v>25000</v>
      </c>
      <c r="K503" s="45">
        <f t="shared" si="46"/>
        <v>5000</v>
      </c>
      <c r="L503" s="8">
        <v>25000</v>
      </c>
      <c r="M503" s="9">
        <v>9</v>
      </c>
      <c r="N503" s="9">
        <v>16.100000000000001</v>
      </c>
      <c r="O503" s="9">
        <v>14</v>
      </c>
      <c r="P503" s="9">
        <v>19.5</v>
      </c>
      <c r="Q503" s="9">
        <v>2.5</v>
      </c>
      <c r="R503">
        <v>10</v>
      </c>
      <c r="S503">
        <v>1000</v>
      </c>
      <c r="T503" s="4">
        <f t="shared" si="47"/>
        <v>1114.0503247993186</v>
      </c>
      <c r="U503">
        <v>39</v>
      </c>
    </row>
    <row r="504" spans="1:21">
      <c r="A504" s="44">
        <f t="shared" si="42"/>
        <v>45859.874999998785</v>
      </c>
      <c r="B504" s="45">
        <f t="shared" si="43"/>
        <v>5000</v>
      </c>
      <c r="C504" s="8">
        <v>25000</v>
      </c>
      <c r="D504" s="8">
        <v>0</v>
      </c>
      <c r="E504" s="8">
        <v>700</v>
      </c>
      <c r="F504" s="8">
        <v>15000</v>
      </c>
      <c r="G504" s="45">
        <f t="shared" si="44"/>
        <v>2400</v>
      </c>
      <c r="H504" s="8">
        <v>25000</v>
      </c>
      <c r="I504" s="45">
        <f t="shared" si="45"/>
        <v>5000</v>
      </c>
      <c r="J504" s="8">
        <v>25000</v>
      </c>
      <c r="K504" s="45">
        <f t="shared" si="46"/>
        <v>5000</v>
      </c>
      <c r="L504" s="8">
        <v>25000</v>
      </c>
      <c r="M504" s="9">
        <v>9</v>
      </c>
      <c r="N504" s="9">
        <v>16.100000000000001</v>
      </c>
      <c r="O504" s="9">
        <v>14</v>
      </c>
      <c r="P504" s="9">
        <v>19.5</v>
      </c>
      <c r="Q504" s="9">
        <v>3</v>
      </c>
      <c r="R504">
        <v>10</v>
      </c>
      <c r="S504">
        <v>1000</v>
      </c>
      <c r="T504" s="4">
        <f t="shared" si="47"/>
        <v>1034.1950953030096</v>
      </c>
      <c r="U504">
        <v>41</v>
      </c>
    </row>
    <row r="505" spans="1:21">
      <c r="A505" s="44">
        <f t="shared" si="42"/>
        <v>45859.916666665449</v>
      </c>
      <c r="B505" s="45">
        <f t="shared" si="43"/>
        <v>5000</v>
      </c>
      <c r="C505" s="8">
        <v>25000</v>
      </c>
      <c r="D505" s="8">
        <v>0</v>
      </c>
      <c r="E505" s="8">
        <v>700</v>
      </c>
      <c r="F505" s="8">
        <v>15000</v>
      </c>
      <c r="G505" s="45">
        <f t="shared" si="44"/>
        <v>2400</v>
      </c>
      <c r="H505" s="8">
        <v>25000</v>
      </c>
      <c r="I505" s="45">
        <f t="shared" si="45"/>
        <v>5000</v>
      </c>
      <c r="J505" s="8">
        <v>25000</v>
      </c>
      <c r="K505" s="45">
        <f t="shared" si="46"/>
        <v>5000</v>
      </c>
      <c r="L505" s="8">
        <v>25000</v>
      </c>
      <c r="M505" s="9">
        <v>9</v>
      </c>
      <c r="N505" s="9">
        <v>16.100000000000001</v>
      </c>
      <c r="O505" s="9">
        <v>14</v>
      </c>
      <c r="P505" s="9">
        <v>19.5</v>
      </c>
      <c r="Q505" s="9">
        <v>2.8</v>
      </c>
      <c r="R505">
        <v>10</v>
      </c>
      <c r="S505">
        <v>1000</v>
      </c>
      <c r="T505" s="4">
        <f t="shared" si="47"/>
        <v>807.46328298313267</v>
      </c>
      <c r="U505">
        <v>70</v>
      </c>
    </row>
    <row r="506" spans="1:21">
      <c r="A506" s="44">
        <f t="shared" si="42"/>
        <v>45859.958333332113</v>
      </c>
      <c r="B506" s="45">
        <f t="shared" si="43"/>
        <v>5000</v>
      </c>
      <c r="C506" s="8">
        <v>25000</v>
      </c>
      <c r="D506" s="8">
        <v>0</v>
      </c>
      <c r="E506" s="8">
        <v>700</v>
      </c>
      <c r="F506" s="8">
        <v>15000</v>
      </c>
      <c r="G506" s="45">
        <f t="shared" si="44"/>
        <v>2400</v>
      </c>
      <c r="H506" s="8">
        <v>25000</v>
      </c>
      <c r="I506" s="45">
        <f t="shared" si="45"/>
        <v>5000</v>
      </c>
      <c r="J506" s="8">
        <v>25000</v>
      </c>
      <c r="K506" s="45">
        <f t="shared" si="46"/>
        <v>5000</v>
      </c>
      <c r="L506" s="8">
        <v>25000</v>
      </c>
      <c r="M506" s="9">
        <v>9</v>
      </c>
      <c r="N506" s="9">
        <v>16.100000000000001</v>
      </c>
      <c r="O506" s="9">
        <v>14</v>
      </c>
      <c r="P506" s="9">
        <v>19.5</v>
      </c>
      <c r="Q506" s="9">
        <v>2.6</v>
      </c>
      <c r="R506">
        <v>10</v>
      </c>
      <c r="S506">
        <v>1000</v>
      </c>
      <c r="T506" s="4">
        <f t="shared" si="47"/>
        <v>442.69657292841788</v>
      </c>
      <c r="U506">
        <v>45</v>
      </c>
    </row>
    <row r="507" spans="1:21">
      <c r="A507" s="44">
        <f t="shared" si="42"/>
        <v>45859.999999998778</v>
      </c>
      <c r="B507" s="45">
        <f t="shared" si="43"/>
        <v>5000</v>
      </c>
      <c r="C507" s="8">
        <v>25000</v>
      </c>
      <c r="D507" s="8">
        <v>0</v>
      </c>
      <c r="E507" s="8">
        <v>700</v>
      </c>
      <c r="F507" s="8">
        <v>15000</v>
      </c>
      <c r="G507" s="45">
        <f t="shared" si="44"/>
        <v>2400</v>
      </c>
      <c r="H507" s="8">
        <v>25000</v>
      </c>
      <c r="I507" s="45">
        <f t="shared" si="45"/>
        <v>5000</v>
      </c>
      <c r="J507" s="8">
        <v>25000</v>
      </c>
      <c r="K507" s="45">
        <f t="shared" si="46"/>
        <v>5000</v>
      </c>
      <c r="L507" s="8">
        <v>25000</v>
      </c>
      <c r="M507" s="9">
        <v>9</v>
      </c>
      <c r="N507" s="9">
        <v>16.100000000000001</v>
      </c>
      <c r="O507" s="9">
        <v>14</v>
      </c>
      <c r="P507" s="9">
        <v>19.5</v>
      </c>
      <c r="Q507" s="9">
        <v>2.9</v>
      </c>
      <c r="R507">
        <v>10</v>
      </c>
      <c r="S507">
        <v>1000</v>
      </c>
      <c r="T507" s="4">
        <f t="shared" si="47"/>
        <v>442.69657292841788</v>
      </c>
      <c r="U507">
        <v>100</v>
      </c>
    </row>
    <row r="508" spans="1:21">
      <c r="A508" s="44">
        <f t="shared" si="42"/>
        <v>45860.041666665442</v>
      </c>
      <c r="B508" s="45">
        <f t="shared" si="43"/>
        <v>5000</v>
      </c>
      <c r="C508" s="8">
        <v>25000</v>
      </c>
      <c r="D508" s="8">
        <v>0</v>
      </c>
      <c r="E508" s="8">
        <v>700</v>
      </c>
      <c r="F508" s="8">
        <v>15000</v>
      </c>
      <c r="G508" s="45">
        <f t="shared" si="44"/>
        <v>2400</v>
      </c>
      <c r="H508" s="8">
        <v>25000</v>
      </c>
      <c r="I508" s="45">
        <f t="shared" si="45"/>
        <v>5000</v>
      </c>
      <c r="J508" s="8">
        <v>25000</v>
      </c>
      <c r="K508" s="45">
        <f t="shared" si="46"/>
        <v>5000</v>
      </c>
      <c r="L508" s="8">
        <v>25000</v>
      </c>
      <c r="M508" s="9">
        <v>9</v>
      </c>
      <c r="N508" s="9">
        <v>16.100000000000001</v>
      </c>
      <c r="O508" s="9">
        <v>14</v>
      </c>
      <c r="P508" s="9">
        <v>19.5</v>
      </c>
      <c r="Q508" s="9">
        <v>2.6</v>
      </c>
      <c r="R508">
        <v>10</v>
      </c>
      <c r="S508">
        <v>1000</v>
      </c>
      <c r="T508" s="4">
        <f t="shared" si="47"/>
        <v>362.27094893570683</v>
      </c>
      <c r="U508">
        <v>22</v>
      </c>
    </row>
    <row r="509" spans="1:21">
      <c r="A509" s="44">
        <f t="shared" si="42"/>
        <v>45860.083333332106</v>
      </c>
      <c r="B509" s="45">
        <f t="shared" si="43"/>
        <v>5000</v>
      </c>
      <c r="C509" s="8">
        <v>25000</v>
      </c>
      <c r="D509" s="8">
        <v>0</v>
      </c>
      <c r="E509" s="8">
        <v>700</v>
      </c>
      <c r="F509" s="8">
        <v>15000</v>
      </c>
      <c r="G509" s="45">
        <f t="shared" si="44"/>
        <v>2400</v>
      </c>
      <c r="H509" s="8">
        <v>25000</v>
      </c>
      <c r="I509" s="45">
        <f t="shared" si="45"/>
        <v>5000</v>
      </c>
      <c r="J509" s="8">
        <v>25000</v>
      </c>
      <c r="K509" s="45">
        <f t="shared" si="46"/>
        <v>5000</v>
      </c>
      <c r="L509" s="8">
        <v>25000</v>
      </c>
      <c r="M509" s="9">
        <v>9</v>
      </c>
      <c r="N509" s="9">
        <v>16.100000000000001</v>
      </c>
      <c r="O509" s="9">
        <v>14</v>
      </c>
      <c r="P509" s="9">
        <v>19.5</v>
      </c>
      <c r="Q509" s="9">
        <v>3</v>
      </c>
      <c r="R509">
        <v>10</v>
      </c>
      <c r="S509">
        <v>1000</v>
      </c>
      <c r="T509" s="4">
        <f t="shared" si="47"/>
        <v>362.27094893570683</v>
      </c>
      <c r="U509">
        <v>95</v>
      </c>
    </row>
    <row r="510" spans="1:21">
      <c r="A510" s="44">
        <f t="shared" si="42"/>
        <v>45860.12499999877</v>
      </c>
      <c r="B510" s="45">
        <f t="shared" si="43"/>
        <v>5000</v>
      </c>
      <c r="C510" s="8">
        <v>25000</v>
      </c>
      <c r="D510" s="8">
        <v>0</v>
      </c>
      <c r="E510" s="8">
        <v>700</v>
      </c>
      <c r="F510" s="8">
        <v>15000</v>
      </c>
      <c r="G510" s="45">
        <f t="shared" si="44"/>
        <v>2400</v>
      </c>
      <c r="H510" s="8">
        <v>25000</v>
      </c>
      <c r="I510" s="45">
        <f t="shared" si="45"/>
        <v>5000</v>
      </c>
      <c r="J510" s="8">
        <v>25000</v>
      </c>
      <c r="K510" s="45">
        <f t="shared" si="46"/>
        <v>5000</v>
      </c>
      <c r="L510" s="8">
        <v>25000</v>
      </c>
      <c r="M510" s="9">
        <v>9</v>
      </c>
      <c r="N510" s="9">
        <v>16.100000000000001</v>
      </c>
      <c r="O510" s="9">
        <v>14</v>
      </c>
      <c r="P510" s="9">
        <v>19.5</v>
      </c>
      <c r="Q510" s="9">
        <v>2.5</v>
      </c>
      <c r="R510">
        <v>10</v>
      </c>
      <c r="S510">
        <v>1000</v>
      </c>
      <c r="T510" s="4">
        <f t="shared" si="47"/>
        <v>362.27094893570683</v>
      </c>
      <c r="U510">
        <v>14</v>
      </c>
    </row>
    <row r="511" spans="1:21">
      <c r="A511" s="44">
        <f t="shared" si="42"/>
        <v>45860.166666665435</v>
      </c>
      <c r="B511" s="45">
        <f t="shared" si="43"/>
        <v>5000</v>
      </c>
      <c r="C511" s="8">
        <v>25000</v>
      </c>
      <c r="D511" s="8">
        <v>0</v>
      </c>
      <c r="E511" s="8">
        <v>700</v>
      </c>
      <c r="F511" s="8">
        <v>15000</v>
      </c>
      <c r="G511" s="45">
        <f t="shared" si="44"/>
        <v>2400</v>
      </c>
      <c r="H511" s="8">
        <v>25000</v>
      </c>
      <c r="I511" s="45">
        <f t="shared" si="45"/>
        <v>5000</v>
      </c>
      <c r="J511" s="8">
        <v>25000</v>
      </c>
      <c r="K511" s="45">
        <f t="shared" si="46"/>
        <v>5000</v>
      </c>
      <c r="L511" s="8">
        <v>25000</v>
      </c>
      <c r="M511" s="9">
        <v>9</v>
      </c>
      <c r="N511" s="9">
        <v>16.100000000000001</v>
      </c>
      <c r="O511" s="9">
        <v>14</v>
      </c>
      <c r="P511" s="9">
        <v>19.5</v>
      </c>
      <c r="Q511" s="9">
        <v>2.8</v>
      </c>
      <c r="R511">
        <v>10</v>
      </c>
      <c r="S511">
        <v>1000</v>
      </c>
      <c r="T511" s="4">
        <f t="shared" si="47"/>
        <v>426.44032978095498</v>
      </c>
      <c r="U511">
        <v>40</v>
      </c>
    </row>
    <row r="512" spans="1:21">
      <c r="A512" s="44">
        <f t="shared" si="42"/>
        <v>45860.208333332099</v>
      </c>
      <c r="B512" s="45">
        <f t="shared" si="43"/>
        <v>5000</v>
      </c>
      <c r="C512" s="8">
        <v>25000</v>
      </c>
      <c r="D512" s="8">
        <v>0</v>
      </c>
      <c r="E512" s="8">
        <v>700</v>
      </c>
      <c r="F512" s="8">
        <v>15000</v>
      </c>
      <c r="G512" s="45">
        <f t="shared" si="44"/>
        <v>2400</v>
      </c>
      <c r="H512" s="8">
        <v>25000</v>
      </c>
      <c r="I512" s="45">
        <f t="shared" si="45"/>
        <v>5000</v>
      </c>
      <c r="J512" s="8">
        <v>25000</v>
      </c>
      <c r="K512" s="45">
        <f t="shared" si="46"/>
        <v>5000</v>
      </c>
      <c r="L512" s="8">
        <v>25000</v>
      </c>
      <c r="M512" s="9">
        <v>9</v>
      </c>
      <c r="N512" s="9">
        <v>16.100000000000001</v>
      </c>
      <c r="O512" s="9">
        <v>14</v>
      </c>
      <c r="P512" s="9">
        <v>19.5</v>
      </c>
      <c r="Q512" s="9">
        <v>2.8</v>
      </c>
      <c r="R512">
        <v>10</v>
      </c>
      <c r="S512">
        <v>1000</v>
      </c>
      <c r="T512" s="4">
        <f t="shared" si="47"/>
        <v>362.27094893570683</v>
      </c>
      <c r="U512">
        <v>80</v>
      </c>
    </row>
    <row r="513" spans="1:21">
      <c r="A513" s="44">
        <f t="shared" si="42"/>
        <v>45860.249999998763</v>
      </c>
      <c r="B513" s="45">
        <f t="shared" si="43"/>
        <v>8000</v>
      </c>
      <c r="C513" s="8">
        <v>25000</v>
      </c>
      <c r="D513" s="8">
        <v>0</v>
      </c>
      <c r="E513" s="8">
        <v>700</v>
      </c>
      <c r="F513" s="8">
        <v>15000</v>
      </c>
      <c r="G513" s="45">
        <f t="shared" si="44"/>
        <v>2400</v>
      </c>
      <c r="H513" s="8">
        <v>25000</v>
      </c>
      <c r="I513" s="45">
        <f t="shared" si="45"/>
        <v>8000</v>
      </c>
      <c r="J513" s="8">
        <v>25000</v>
      </c>
      <c r="K513" s="45">
        <f t="shared" si="46"/>
        <v>8000</v>
      </c>
      <c r="L513" s="8">
        <v>25000</v>
      </c>
      <c r="M513" s="9">
        <v>9</v>
      </c>
      <c r="N513" s="9">
        <v>16.100000000000001</v>
      </c>
      <c r="O513" s="9">
        <v>14</v>
      </c>
      <c r="P513" s="9">
        <v>19.5</v>
      </c>
      <c r="Q513" s="9">
        <v>2.4</v>
      </c>
      <c r="R513">
        <v>10</v>
      </c>
      <c r="S513">
        <v>1000</v>
      </c>
      <c r="T513" s="4">
        <f t="shared" si="47"/>
        <v>304.3759075508828</v>
      </c>
      <c r="U513">
        <v>84</v>
      </c>
    </row>
    <row r="514" spans="1:21">
      <c r="A514" s="44">
        <f t="shared" si="42"/>
        <v>45860.291666665427</v>
      </c>
      <c r="B514" s="45">
        <f t="shared" si="43"/>
        <v>8000</v>
      </c>
      <c r="C514" s="8">
        <v>25000</v>
      </c>
      <c r="D514" s="8">
        <v>0</v>
      </c>
      <c r="E514" s="8">
        <v>700</v>
      </c>
      <c r="F514" s="8">
        <v>15000</v>
      </c>
      <c r="G514" s="45">
        <f t="shared" si="44"/>
        <v>2400</v>
      </c>
      <c r="H514" s="8">
        <v>25000</v>
      </c>
      <c r="I514" s="45">
        <f t="shared" si="45"/>
        <v>8000</v>
      </c>
      <c r="J514" s="8">
        <v>25000</v>
      </c>
      <c r="K514" s="45">
        <f t="shared" si="46"/>
        <v>8000</v>
      </c>
      <c r="L514" s="8">
        <v>25000</v>
      </c>
      <c r="M514" s="9">
        <v>9</v>
      </c>
      <c r="N514" s="9">
        <v>16.100000000000001</v>
      </c>
      <c r="O514" s="9">
        <v>14</v>
      </c>
      <c r="P514" s="9">
        <v>19.5</v>
      </c>
      <c r="Q514" s="9">
        <v>2.4</v>
      </c>
      <c r="R514">
        <v>10</v>
      </c>
      <c r="S514">
        <v>1000</v>
      </c>
      <c r="T514" s="4">
        <f t="shared" si="47"/>
        <v>280.13414145378908</v>
      </c>
      <c r="U514">
        <v>55</v>
      </c>
    </row>
    <row r="515" spans="1:21">
      <c r="A515" s="44">
        <f t="shared" si="42"/>
        <v>45860.333333332092</v>
      </c>
      <c r="B515" s="45">
        <f t="shared" si="43"/>
        <v>8000</v>
      </c>
      <c r="C515" s="8">
        <v>25000</v>
      </c>
      <c r="D515" s="8">
        <v>0</v>
      </c>
      <c r="E515" s="8">
        <v>700</v>
      </c>
      <c r="F515" s="8">
        <v>15000</v>
      </c>
      <c r="G515" s="45">
        <f t="shared" si="44"/>
        <v>2400</v>
      </c>
      <c r="H515" s="8">
        <v>25000</v>
      </c>
      <c r="I515" s="45">
        <f t="shared" si="45"/>
        <v>8000</v>
      </c>
      <c r="J515" s="8">
        <v>25000</v>
      </c>
      <c r="K515" s="45">
        <f t="shared" si="46"/>
        <v>8000</v>
      </c>
      <c r="L515" s="8">
        <v>25000</v>
      </c>
      <c r="M515" s="9">
        <v>9</v>
      </c>
      <c r="N515" s="9">
        <v>16.100000000000001</v>
      </c>
      <c r="O515" s="9">
        <v>14</v>
      </c>
      <c r="P515" s="9">
        <v>19.5</v>
      </c>
      <c r="Q515" s="9">
        <v>2.7</v>
      </c>
      <c r="R515">
        <v>10</v>
      </c>
      <c r="S515">
        <v>1000</v>
      </c>
      <c r="T515" s="4">
        <f t="shared" si="47"/>
        <v>294.39400386384426</v>
      </c>
      <c r="U515">
        <v>25</v>
      </c>
    </row>
    <row r="516" spans="1:21">
      <c r="A516" s="44">
        <f t="shared" si="42"/>
        <v>45860.374999998756</v>
      </c>
      <c r="B516" s="45">
        <f t="shared" si="43"/>
        <v>8000</v>
      </c>
      <c r="C516" s="8">
        <v>25000</v>
      </c>
      <c r="D516" s="8">
        <v>0</v>
      </c>
      <c r="E516" s="8">
        <v>700</v>
      </c>
      <c r="F516" s="8">
        <v>15000</v>
      </c>
      <c r="G516" s="45">
        <f t="shared" si="44"/>
        <v>2400</v>
      </c>
      <c r="H516" s="8">
        <v>25000</v>
      </c>
      <c r="I516" s="45">
        <f t="shared" si="45"/>
        <v>8000</v>
      </c>
      <c r="J516" s="8">
        <v>25000</v>
      </c>
      <c r="K516" s="45">
        <f t="shared" si="46"/>
        <v>8000</v>
      </c>
      <c r="L516" s="8">
        <v>25000</v>
      </c>
      <c r="M516" s="9">
        <v>9</v>
      </c>
      <c r="N516" s="9">
        <v>16.100000000000001</v>
      </c>
      <c r="O516" s="9">
        <v>14</v>
      </c>
      <c r="P516" s="9">
        <v>19.5</v>
      </c>
      <c r="Q516" s="9">
        <v>2.6</v>
      </c>
      <c r="R516">
        <v>10</v>
      </c>
      <c r="S516">
        <v>1000</v>
      </c>
      <c r="T516" s="4">
        <f t="shared" si="47"/>
        <v>317.20978371993255</v>
      </c>
      <c r="U516">
        <v>25</v>
      </c>
    </row>
    <row r="517" spans="1:21">
      <c r="A517" s="44">
        <f t="shared" ref="A517:A580" si="48">A516+TIME(1,0,0)</f>
        <v>45860.41666666542</v>
      </c>
      <c r="B517" s="45">
        <f t="shared" si="43"/>
        <v>8000</v>
      </c>
      <c r="C517" s="8">
        <v>25000</v>
      </c>
      <c r="D517" s="8">
        <v>0</v>
      </c>
      <c r="E517" s="8">
        <v>700</v>
      </c>
      <c r="F517" s="8">
        <v>15000</v>
      </c>
      <c r="G517" s="45">
        <f t="shared" si="44"/>
        <v>2400</v>
      </c>
      <c r="H517" s="8">
        <v>25000</v>
      </c>
      <c r="I517" s="45">
        <f t="shared" si="45"/>
        <v>8000</v>
      </c>
      <c r="J517" s="8">
        <v>25000</v>
      </c>
      <c r="K517" s="45">
        <f t="shared" si="46"/>
        <v>8000</v>
      </c>
      <c r="L517" s="8">
        <v>25000</v>
      </c>
      <c r="M517" s="9">
        <v>9</v>
      </c>
      <c r="N517" s="9">
        <v>16.100000000000001</v>
      </c>
      <c r="O517" s="9">
        <v>14</v>
      </c>
      <c r="P517" s="9">
        <v>19.5</v>
      </c>
      <c r="Q517" s="9">
        <v>2.6</v>
      </c>
      <c r="R517">
        <v>10</v>
      </c>
      <c r="S517">
        <v>1000</v>
      </c>
      <c r="T517" s="4">
        <f t="shared" si="47"/>
        <v>308.08347177749721</v>
      </c>
      <c r="U517">
        <v>86</v>
      </c>
    </row>
    <row r="518" spans="1:21">
      <c r="A518" s="44">
        <f t="shared" si="48"/>
        <v>45860.458333332084</v>
      </c>
      <c r="B518" s="45">
        <f t="shared" si="43"/>
        <v>8000</v>
      </c>
      <c r="C518" s="8">
        <v>25000</v>
      </c>
      <c r="D518" s="8">
        <v>0</v>
      </c>
      <c r="E518" s="8">
        <v>700</v>
      </c>
      <c r="F518" s="8">
        <v>15000</v>
      </c>
      <c r="G518" s="45">
        <f t="shared" si="44"/>
        <v>2400</v>
      </c>
      <c r="H518" s="8">
        <v>25000</v>
      </c>
      <c r="I518" s="45">
        <f t="shared" si="45"/>
        <v>8000</v>
      </c>
      <c r="J518" s="8">
        <v>25000</v>
      </c>
      <c r="K518" s="45">
        <f t="shared" si="46"/>
        <v>8000</v>
      </c>
      <c r="L518" s="8">
        <v>25000</v>
      </c>
      <c r="M518" s="9">
        <v>9</v>
      </c>
      <c r="N518" s="9">
        <v>16.100000000000001</v>
      </c>
      <c r="O518" s="9">
        <v>14</v>
      </c>
      <c r="P518" s="9">
        <v>19.5</v>
      </c>
      <c r="Q518" s="9">
        <v>2.8</v>
      </c>
      <c r="R518">
        <v>10</v>
      </c>
      <c r="S518">
        <v>1000</v>
      </c>
      <c r="T518" s="4">
        <f t="shared" si="47"/>
        <v>303.80551305448063</v>
      </c>
      <c r="U518">
        <v>46</v>
      </c>
    </row>
    <row r="519" spans="1:21">
      <c r="A519" s="44">
        <f t="shared" si="48"/>
        <v>45860.499999998749</v>
      </c>
      <c r="B519" s="45">
        <f t="shared" si="43"/>
        <v>8000</v>
      </c>
      <c r="C519" s="8">
        <v>25000</v>
      </c>
      <c r="D519" s="8">
        <v>0</v>
      </c>
      <c r="E519" s="8">
        <v>700</v>
      </c>
      <c r="F519" s="8">
        <v>15000</v>
      </c>
      <c r="G519" s="45">
        <f t="shared" si="44"/>
        <v>2400</v>
      </c>
      <c r="H519" s="8">
        <v>25000</v>
      </c>
      <c r="I519" s="45">
        <f t="shared" si="45"/>
        <v>8000</v>
      </c>
      <c r="J519" s="8">
        <v>25000</v>
      </c>
      <c r="K519" s="45">
        <f t="shared" si="46"/>
        <v>8000</v>
      </c>
      <c r="L519" s="8">
        <v>25000</v>
      </c>
      <c r="M519" s="9">
        <v>9</v>
      </c>
      <c r="N519" s="9">
        <v>16.100000000000001</v>
      </c>
      <c r="O519" s="9">
        <v>14</v>
      </c>
      <c r="P519" s="9">
        <v>19.5</v>
      </c>
      <c r="Q519" s="9">
        <v>2.7</v>
      </c>
      <c r="R519">
        <v>10</v>
      </c>
      <c r="S519">
        <v>1000</v>
      </c>
      <c r="T519" s="4">
        <f t="shared" si="47"/>
        <v>303.80551305448063</v>
      </c>
      <c r="U519">
        <v>59</v>
      </c>
    </row>
    <row r="520" spans="1:21">
      <c r="A520" s="44">
        <f t="shared" si="48"/>
        <v>45860.541666665413</v>
      </c>
      <c r="B520" s="45">
        <f t="shared" si="43"/>
        <v>8000</v>
      </c>
      <c r="C520" s="8">
        <v>25000</v>
      </c>
      <c r="D520" s="8">
        <v>0</v>
      </c>
      <c r="E520" s="8">
        <v>700</v>
      </c>
      <c r="F520" s="8">
        <v>15000</v>
      </c>
      <c r="G520" s="45">
        <f t="shared" si="44"/>
        <v>2400</v>
      </c>
      <c r="H520" s="8">
        <v>25000</v>
      </c>
      <c r="I520" s="45">
        <f t="shared" si="45"/>
        <v>8000</v>
      </c>
      <c r="J520" s="8">
        <v>25000</v>
      </c>
      <c r="K520" s="45">
        <f t="shared" si="46"/>
        <v>8000</v>
      </c>
      <c r="L520" s="8">
        <v>25000</v>
      </c>
      <c r="M520" s="9">
        <v>9</v>
      </c>
      <c r="N520" s="9">
        <v>16.100000000000001</v>
      </c>
      <c r="O520" s="9">
        <v>14</v>
      </c>
      <c r="P520" s="9">
        <v>19.5</v>
      </c>
      <c r="Q520" s="9">
        <v>2.4</v>
      </c>
      <c r="R520">
        <v>10</v>
      </c>
      <c r="S520">
        <v>1000</v>
      </c>
      <c r="T520" s="4">
        <f t="shared" si="47"/>
        <v>353.43040463596901</v>
      </c>
      <c r="U520">
        <v>37</v>
      </c>
    </row>
    <row r="521" spans="1:21">
      <c r="A521" s="44">
        <f t="shared" si="48"/>
        <v>45860.583333332077</v>
      </c>
      <c r="B521" s="45">
        <f t="shared" si="43"/>
        <v>8000</v>
      </c>
      <c r="C521" s="8">
        <v>25000</v>
      </c>
      <c r="D521" s="8">
        <v>0</v>
      </c>
      <c r="E521" s="8">
        <v>700</v>
      </c>
      <c r="F521" s="8">
        <v>15000</v>
      </c>
      <c r="G521" s="45">
        <f t="shared" si="44"/>
        <v>2400</v>
      </c>
      <c r="H521" s="8">
        <v>25000</v>
      </c>
      <c r="I521" s="45">
        <f t="shared" si="45"/>
        <v>8000</v>
      </c>
      <c r="J521" s="8">
        <v>25000</v>
      </c>
      <c r="K521" s="45">
        <f t="shared" si="46"/>
        <v>8000</v>
      </c>
      <c r="L521" s="8">
        <v>25000</v>
      </c>
      <c r="M521" s="9">
        <v>9</v>
      </c>
      <c r="N521" s="9">
        <v>16.100000000000001</v>
      </c>
      <c r="O521" s="9">
        <v>14</v>
      </c>
      <c r="P521" s="9">
        <v>19.5</v>
      </c>
      <c r="Q521" s="9">
        <v>3</v>
      </c>
      <c r="R521">
        <v>10</v>
      </c>
      <c r="S521">
        <v>1000</v>
      </c>
      <c r="T521" s="4">
        <f t="shared" si="47"/>
        <v>587.29100737188094</v>
      </c>
      <c r="U521">
        <v>100</v>
      </c>
    </row>
    <row r="522" spans="1:21">
      <c r="A522" s="44">
        <f t="shared" si="48"/>
        <v>45860.624999998741</v>
      </c>
      <c r="B522" s="45">
        <f t="shared" si="43"/>
        <v>8000</v>
      </c>
      <c r="C522" s="8">
        <v>25000</v>
      </c>
      <c r="D522" s="8">
        <v>0</v>
      </c>
      <c r="E522" s="8">
        <v>700</v>
      </c>
      <c r="F522" s="8">
        <v>15000</v>
      </c>
      <c r="G522" s="45">
        <f t="shared" si="44"/>
        <v>2400</v>
      </c>
      <c r="H522" s="8">
        <v>25000</v>
      </c>
      <c r="I522" s="45">
        <f t="shared" si="45"/>
        <v>8000</v>
      </c>
      <c r="J522" s="8">
        <v>25000</v>
      </c>
      <c r="K522" s="45">
        <f t="shared" si="46"/>
        <v>8000</v>
      </c>
      <c r="L522" s="8">
        <v>25000</v>
      </c>
      <c r="M522" s="9">
        <v>9</v>
      </c>
      <c r="N522" s="9">
        <v>16.100000000000001</v>
      </c>
      <c r="O522" s="9">
        <v>14</v>
      </c>
      <c r="P522" s="9">
        <v>19.5</v>
      </c>
      <c r="Q522" s="9">
        <v>2.4</v>
      </c>
      <c r="R522">
        <v>10</v>
      </c>
      <c r="S522">
        <v>1000</v>
      </c>
      <c r="T522" s="4">
        <f t="shared" si="47"/>
        <v>604.40284226394715</v>
      </c>
      <c r="U522">
        <v>53</v>
      </c>
    </row>
    <row r="523" spans="1:21">
      <c r="A523" s="44">
        <f t="shared" si="48"/>
        <v>45860.666666665406</v>
      </c>
      <c r="B523" s="45">
        <f t="shared" si="43"/>
        <v>8000</v>
      </c>
      <c r="C523" s="8">
        <v>25000</v>
      </c>
      <c r="D523" s="8">
        <v>0</v>
      </c>
      <c r="E523" s="8">
        <v>700</v>
      </c>
      <c r="F523" s="8">
        <v>15000</v>
      </c>
      <c r="G523" s="45">
        <f t="shared" si="44"/>
        <v>2400</v>
      </c>
      <c r="H523" s="8">
        <v>25000</v>
      </c>
      <c r="I523" s="45">
        <f t="shared" si="45"/>
        <v>8000</v>
      </c>
      <c r="J523" s="8">
        <v>25000</v>
      </c>
      <c r="K523" s="45">
        <f t="shared" si="46"/>
        <v>8000</v>
      </c>
      <c r="L523" s="8">
        <v>25000</v>
      </c>
      <c r="M523" s="9">
        <v>9</v>
      </c>
      <c r="N523" s="9">
        <v>16.100000000000001</v>
      </c>
      <c r="O523" s="9">
        <v>14</v>
      </c>
      <c r="P523" s="9">
        <v>19.5</v>
      </c>
      <c r="Q523" s="9">
        <v>2.6</v>
      </c>
      <c r="R523">
        <v>10</v>
      </c>
      <c r="S523">
        <v>1000</v>
      </c>
      <c r="T523" s="4">
        <f t="shared" si="47"/>
        <v>875.91062255139741</v>
      </c>
      <c r="U523">
        <v>20</v>
      </c>
    </row>
    <row r="524" spans="1:21">
      <c r="A524" s="44">
        <f t="shared" si="48"/>
        <v>45860.70833333207</v>
      </c>
      <c r="B524" s="45">
        <f t="shared" si="43"/>
        <v>8000</v>
      </c>
      <c r="C524" s="8">
        <v>25000</v>
      </c>
      <c r="D524" s="8">
        <v>0</v>
      </c>
      <c r="E524" s="8">
        <v>700</v>
      </c>
      <c r="F524" s="8">
        <v>15000</v>
      </c>
      <c r="G524" s="45">
        <f t="shared" si="44"/>
        <v>2400</v>
      </c>
      <c r="H524" s="8">
        <v>25000</v>
      </c>
      <c r="I524" s="45">
        <f t="shared" si="45"/>
        <v>8000</v>
      </c>
      <c r="J524" s="8">
        <v>25000</v>
      </c>
      <c r="K524" s="45">
        <f t="shared" si="46"/>
        <v>8000</v>
      </c>
      <c r="L524" s="8">
        <v>25000</v>
      </c>
      <c r="M524" s="9">
        <v>9</v>
      </c>
      <c r="N524" s="9">
        <v>16.100000000000001</v>
      </c>
      <c r="O524" s="9">
        <v>14</v>
      </c>
      <c r="P524" s="9">
        <v>19.5</v>
      </c>
      <c r="Q524" s="9">
        <v>3</v>
      </c>
      <c r="R524">
        <v>10</v>
      </c>
      <c r="S524">
        <v>1000</v>
      </c>
      <c r="T524" s="4">
        <f t="shared" si="47"/>
        <v>1116.9022972813298</v>
      </c>
      <c r="U524">
        <v>11</v>
      </c>
    </row>
    <row r="525" spans="1:21">
      <c r="A525" s="44">
        <f t="shared" si="48"/>
        <v>45860.749999998734</v>
      </c>
      <c r="B525" s="45">
        <f t="shared" si="43"/>
        <v>5000</v>
      </c>
      <c r="C525" s="8">
        <v>25000</v>
      </c>
      <c r="D525" s="8">
        <v>0</v>
      </c>
      <c r="E525" s="8">
        <v>700</v>
      </c>
      <c r="F525" s="8">
        <v>15000</v>
      </c>
      <c r="G525" s="45">
        <f t="shared" si="44"/>
        <v>2400</v>
      </c>
      <c r="H525" s="8">
        <v>25000</v>
      </c>
      <c r="I525" s="45">
        <f t="shared" si="45"/>
        <v>5000</v>
      </c>
      <c r="J525" s="8">
        <v>25000</v>
      </c>
      <c r="K525" s="45">
        <f t="shared" si="46"/>
        <v>5000</v>
      </c>
      <c r="L525" s="8">
        <v>25000</v>
      </c>
      <c r="M525" s="9">
        <v>9</v>
      </c>
      <c r="N525" s="9">
        <v>16.100000000000001</v>
      </c>
      <c r="O525" s="9">
        <v>14</v>
      </c>
      <c r="P525" s="9">
        <v>19.5</v>
      </c>
      <c r="Q525" s="9">
        <v>2.8</v>
      </c>
      <c r="R525">
        <v>10</v>
      </c>
      <c r="S525">
        <v>1000</v>
      </c>
      <c r="T525" s="4">
        <f t="shared" si="47"/>
        <v>1156.8299120294841</v>
      </c>
      <c r="U525">
        <v>13</v>
      </c>
    </row>
    <row r="526" spans="1:21">
      <c r="A526" s="44">
        <f t="shared" si="48"/>
        <v>45860.791666665398</v>
      </c>
      <c r="B526" s="45">
        <f t="shared" si="43"/>
        <v>5000</v>
      </c>
      <c r="C526" s="8">
        <v>25000</v>
      </c>
      <c r="D526" s="8">
        <v>0</v>
      </c>
      <c r="E526" s="8">
        <v>700</v>
      </c>
      <c r="F526" s="8">
        <v>15000</v>
      </c>
      <c r="G526" s="45">
        <f t="shared" si="44"/>
        <v>2400</v>
      </c>
      <c r="H526" s="8">
        <v>25000</v>
      </c>
      <c r="I526" s="45">
        <f t="shared" si="45"/>
        <v>5000</v>
      </c>
      <c r="J526" s="8">
        <v>25000</v>
      </c>
      <c r="K526" s="45">
        <f t="shared" si="46"/>
        <v>5000</v>
      </c>
      <c r="L526" s="8">
        <v>25000</v>
      </c>
      <c r="M526" s="9">
        <v>9</v>
      </c>
      <c r="N526" s="9">
        <v>16.100000000000001</v>
      </c>
      <c r="O526" s="9">
        <v>14</v>
      </c>
      <c r="P526" s="9">
        <v>19.5</v>
      </c>
      <c r="Q526" s="9">
        <v>2.4</v>
      </c>
      <c r="R526">
        <v>10</v>
      </c>
      <c r="S526">
        <v>1000</v>
      </c>
      <c r="T526" s="4">
        <f t="shared" si="47"/>
        <v>1156.8299120294841</v>
      </c>
      <c r="U526">
        <v>71</v>
      </c>
    </row>
    <row r="527" spans="1:21">
      <c r="A527" s="44">
        <f t="shared" si="48"/>
        <v>45860.833333332062</v>
      </c>
      <c r="B527" s="45">
        <f t="shared" si="43"/>
        <v>5000</v>
      </c>
      <c r="C527" s="8">
        <v>25000</v>
      </c>
      <c r="D527" s="8">
        <v>0</v>
      </c>
      <c r="E527" s="8">
        <v>700</v>
      </c>
      <c r="F527" s="8">
        <v>15000</v>
      </c>
      <c r="G527" s="45">
        <f t="shared" si="44"/>
        <v>2400</v>
      </c>
      <c r="H527" s="8">
        <v>25000</v>
      </c>
      <c r="I527" s="45">
        <f t="shared" si="45"/>
        <v>5000</v>
      </c>
      <c r="J527" s="8">
        <v>25000</v>
      </c>
      <c r="K527" s="45">
        <f t="shared" si="46"/>
        <v>5000</v>
      </c>
      <c r="L527" s="8">
        <v>25000</v>
      </c>
      <c r="M527" s="9">
        <v>9</v>
      </c>
      <c r="N527" s="9">
        <v>16.100000000000001</v>
      </c>
      <c r="O527" s="9">
        <v>14</v>
      </c>
      <c r="P527" s="9">
        <v>19.5</v>
      </c>
      <c r="Q527" s="9">
        <v>2.9</v>
      </c>
      <c r="R527">
        <v>10</v>
      </c>
      <c r="S527">
        <v>1000</v>
      </c>
      <c r="T527" s="4">
        <f t="shared" si="47"/>
        <v>1114.0503247993186</v>
      </c>
      <c r="U527">
        <v>12</v>
      </c>
    </row>
    <row r="528" spans="1:21">
      <c r="A528" s="44">
        <f t="shared" si="48"/>
        <v>45860.874999998727</v>
      </c>
      <c r="B528" s="45">
        <f t="shared" si="43"/>
        <v>5000</v>
      </c>
      <c r="C528" s="8">
        <v>25000</v>
      </c>
      <c r="D528" s="8">
        <v>0</v>
      </c>
      <c r="E528" s="8">
        <v>700</v>
      </c>
      <c r="F528" s="8">
        <v>15000</v>
      </c>
      <c r="G528" s="45">
        <f t="shared" si="44"/>
        <v>2400</v>
      </c>
      <c r="H528" s="8">
        <v>25000</v>
      </c>
      <c r="I528" s="45">
        <f t="shared" si="45"/>
        <v>5000</v>
      </c>
      <c r="J528" s="8">
        <v>25000</v>
      </c>
      <c r="K528" s="45">
        <f t="shared" si="46"/>
        <v>5000</v>
      </c>
      <c r="L528" s="8">
        <v>25000</v>
      </c>
      <c r="M528" s="9">
        <v>9</v>
      </c>
      <c r="N528" s="9">
        <v>16.100000000000001</v>
      </c>
      <c r="O528" s="9">
        <v>14</v>
      </c>
      <c r="P528" s="9">
        <v>19.5</v>
      </c>
      <c r="Q528" s="9">
        <v>2.8</v>
      </c>
      <c r="R528">
        <v>10</v>
      </c>
      <c r="S528">
        <v>1000</v>
      </c>
      <c r="T528" s="4">
        <f t="shared" si="47"/>
        <v>1034.1950953030096</v>
      </c>
      <c r="U528">
        <v>46</v>
      </c>
    </row>
    <row r="529" spans="1:21">
      <c r="A529" s="44">
        <f t="shared" si="48"/>
        <v>45860.916666665391</v>
      </c>
      <c r="B529" s="45">
        <f t="shared" si="43"/>
        <v>5000</v>
      </c>
      <c r="C529" s="8">
        <v>25000</v>
      </c>
      <c r="D529" s="8">
        <v>0</v>
      </c>
      <c r="E529" s="8">
        <v>700</v>
      </c>
      <c r="F529" s="8">
        <v>15000</v>
      </c>
      <c r="G529" s="45">
        <f t="shared" si="44"/>
        <v>2400</v>
      </c>
      <c r="H529" s="8">
        <v>25000</v>
      </c>
      <c r="I529" s="45">
        <f t="shared" si="45"/>
        <v>5000</v>
      </c>
      <c r="J529" s="8">
        <v>25000</v>
      </c>
      <c r="K529" s="45">
        <f t="shared" si="46"/>
        <v>5000</v>
      </c>
      <c r="L529" s="8">
        <v>25000</v>
      </c>
      <c r="M529" s="9">
        <v>9</v>
      </c>
      <c r="N529" s="9">
        <v>16.100000000000001</v>
      </c>
      <c r="O529" s="9">
        <v>14</v>
      </c>
      <c r="P529" s="9">
        <v>19.5</v>
      </c>
      <c r="Q529" s="9">
        <v>2.8</v>
      </c>
      <c r="R529">
        <v>10</v>
      </c>
      <c r="S529">
        <v>1000</v>
      </c>
      <c r="T529" s="4">
        <f t="shared" si="47"/>
        <v>807.46328298313267</v>
      </c>
      <c r="U529">
        <v>54</v>
      </c>
    </row>
    <row r="530" spans="1:21">
      <c r="A530" s="44">
        <f t="shared" si="48"/>
        <v>45860.958333332055</v>
      </c>
      <c r="B530" s="45">
        <f t="shared" si="43"/>
        <v>5000</v>
      </c>
      <c r="C530" s="8">
        <v>25000</v>
      </c>
      <c r="D530" s="8">
        <v>0</v>
      </c>
      <c r="E530" s="8">
        <v>700</v>
      </c>
      <c r="F530" s="8">
        <v>15000</v>
      </c>
      <c r="G530" s="45">
        <f t="shared" si="44"/>
        <v>2400</v>
      </c>
      <c r="H530" s="8">
        <v>25000</v>
      </c>
      <c r="I530" s="45">
        <f t="shared" si="45"/>
        <v>5000</v>
      </c>
      <c r="J530" s="8">
        <v>25000</v>
      </c>
      <c r="K530" s="45">
        <f t="shared" si="46"/>
        <v>5000</v>
      </c>
      <c r="L530" s="8">
        <v>25000</v>
      </c>
      <c r="M530" s="9">
        <v>9</v>
      </c>
      <c r="N530" s="9">
        <v>16.100000000000001</v>
      </c>
      <c r="O530" s="9">
        <v>14</v>
      </c>
      <c r="P530" s="9">
        <v>19.5</v>
      </c>
      <c r="Q530" s="9">
        <v>2.4</v>
      </c>
      <c r="R530">
        <v>10</v>
      </c>
      <c r="S530">
        <v>1000</v>
      </c>
      <c r="T530" s="4">
        <f t="shared" si="47"/>
        <v>442.69657292841788</v>
      </c>
      <c r="U530">
        <v>31</v>
      </c>
    </row>
    <row r="531" spans="1:21">
      <c r="A531" s="44">
        <f t="shared" si="48"/>
        <v>45860.999999998719</v>
      </c>
      <c r="B531" s="45">
        <f t="shared" si="43"/>
        <v>5000</v>
      </c>
      <c r="C531" s="8">
        <v>25000</v>
      </c>
      <c r="D531" s="8">
        <v>0</v>
      </c>
      <c r="E531" s="8">
        <v>700</v>
      </c>
      <c r="F531" s="8">
        <v>15000</v>
      </c>
      <c r="G531" s="45">
        <f t="shared" si="44"/>
        <v>2400</v>
      </c>
      <c r="H531" s="8">
        <v>25000</v>
      </c>
      <c r="I531" s="45">
        <f t="shared" si="45"/>
        <v>5000</v>
      </c>
      <c r="J531" s="8">
        <v>25000</v>
      </c>
      <c r="K531" s="45">
        <f t="shared" si="46"/>
        <v>5000</v>
      </c>
      <c r="L531" s="8">
        <v>25000</v>
      </c>
      <c r="M531" s="9">
        <v>9</v>
      </c>
      <c r="N531" s="9">
        <v>16.100000000000001</v>
      </c>
      <c r="O531" s="9">
        <v>14</v>
      </c>
      <c r="P531" s="9">
        <v>19.5</v>
      </c>
      <c r="Q531" s="9">
        <v>2.4</v>
      </c>
      <c r="R531">
        <v>10</v>
      </c>
      <c r="S531">
        <v>1000</v>
      </c>
      <c r="T531" s="4">
        <f t="shared" si="47"/>
        <v>442.69657292841788</v>
      </c>
      <c r="U531">
        <v>48</v>
      </c>
    </row>
    <row r="532" spans="1:21">
      <c r="A532" s="44">
        <f t="shared" si="48"/>
        <v>45861.041666665384</v>
      </c>
      <c r="B532" s="45">
        <f t="shared" si="43"/>
        <v>5000</v>
      </c>
      <c r="C532" s="8">
        <v>25000</v>
      </c>
      <c r="D532" s="8">
        <v>0</v>
      </c>
      <c r="E532" s="8">
        <v>700</v>
      </c>
      <c r="F532" s="8">
        <v>15000</v>
      </c>
      <c r="G532" s="45">
        <f t="shared" si="44"/>
        <v>2400</v>
      </c>
      <c r="H532" s="8">
        <v>25000</v>
      </c>
      <c r="I532" s="45">
        <f t="shared" si="45"/>
        <v>5000</v>
      </c>
      <c r="J532" s="8">
        <v>25000</v>
      </c>
      <c r="K532" s="45">
        <f t="shared" si="46"/>
        <v>5000</v>
      </c>
      <c r="L532" s="8">
        <v>25000</v>
      </c>
      <c r="M532" s="9">
        <v>9</v>
      </c>
      <c r="N532" s="9">
        <v>16.100000000000001</v>
      </c>
      <c r="O532" s="9">
        <v>14</v>
      </c>
      <c r="P532" s="9">
        <v>19.5</v>
      </c>
      <c r="Q532" s="9">
        <v>2.6</v>
      </c>
      <c r="R532">
        <v>10</v>
      </c>
      <c r="S532">
        <v>1000</v>
      </c>
      <c r="T532" s="4">
        <f t="shared" si="47"/>
        <v>362.27094893570683</v>
      </c>
      <c r="U532">
        <v>44</v>
      </c>
    </row>
    <row r="533" spans="1:21">
      <c r="A533" s="44">
        <f t="shared" si="48"/>
        <v>45861.083333332048</v>
      </c>
      <c r="B533" s="45">
        <f t="shared" si="43"/>
        <v>5000</v>
      </c>
      <c r="C533" s="8">
        <v>25000</v>
      </c>
      <c r="D533" s="8">
        <v>0</v>
      </c>
      <c r="E533" s="8">
        <v>700</v>
      </c>
      <c r="F533" s="8">
        <v>15000</v>
      </c>
      <c r="G533" s="45">
        <f t="shared" si="44"/>
        <v>2400</v>
      </c>
      <c r="H533" s="8">
        <v>25000</v>
      </c>
      <c r="I533" s="45">
        <f t="shared" si="45"/>
        <v>5000</v>
      </c>
      <c r="J533" s="8">
        <v>25000</v>
      </c>
      <c r="K533" s="45">
        <f t="shared" si="46"/>
        <v>5000</v>
      </c>
      <c r="L533" s="8">
        <v>25000</v>
      </c>
      <c r="M533" s="9">
        <v>9</v>
      </c>
      <c r="N533" s="9">
        <v>16.100000000000001</v>
      </c>
      <c r="O533" s="9">
        <v>14</v>
      </c>
      <c r="P533" s="9">
        <v>19.5</v>
      </c>
      <c r="Q533" s="9">
        <v>3</v>
      </c>
      <c r="R533">
        <v>10</v>
      </c>
      <c r="S533">
        <v>1000</v>
      </c>
      <c r="T533" s="4">
        <f t="shared" si="47"/>
        <v>362.27094893570683</v>
      </c>
      <c r="U533">
        <v>70</v>
      </c>
    </row>
    <row r="534" spans="1:21">
      <c r="A534" s="44">
        <f t="shared" si="48"/>
        <v>45861.124999998712</v>
      </c>
      <c r="B534" s="45">
        <f t="shared" si="43"/>
        <v>5000</v>
      </c>
      <c r="C534" s="8">
        <v>25000</v>
      </c>
      <c r="D534" s="8">
        <v>0</v>
      </c>
      <c r="E534" s="8">
        <v>700</v>
      </c>
      <c r="F534" s="8">
        <v>15000</v>
      </c>
      <c r="G534" s="45">
        <f t="shared" si="44"/>
        <v>2400</v>
      </c>
      <c r="H534" s="8">
        <v>25000</v>
      </c>
      <c r="I534" s="45">
        <f t="shared" si="45"/>
        <v>5000</v>
      </c>
      <c r="J534" s="8">
        <v>25000</v>
      </c>
      <c r="K534" s="45">
        <f t="shared" si="46"/>
        <v>5000</v>
      </c>
      <c r="L534" s="8">
        <v>25000</v>
      </c>
      <c r="M534" s="9">
        <v>9</v>
      </c>
      <c r="N534" s="9">
        <v>16.100000000000001</v>
      </c>
      <c r="O534" s="9">
        <v>14</v>
      </c>
      <c r="P534" s="9">
        <v>19.5</v>
      </c>
      <c r="Q534" s="9">
        <v>2.8</v>
      </c>
      <c r="R534">
        <v>10</v>
      </c>
      <c r="S534">
        <v>1000</v>
      </c>
      <c r="T534" s="4">
        <f t="shared" si="47"/>
        <v>362.27094893570683</v>
      </c>
      <c r="U534">
        <v>63</v>
      </c>
    </row>
    <row r="535" spans="1:21">
      <c r="A535" s="44">
        <f t="shared" si="48"/>
        <v>45861.166666665376</v>
      </c>
      <c r="B535" s="45">
        <f t="shared" si="43"/>
        <v>5000</v>
      </c>
      <c r="C535" s="8">
        <v>25000</v>
      </c>
      <c r="D535" s="8">
        <v>0</v>
      </c>
      <c r="E535" s="8">
        <v>700</v>
      </c>
      <c r="F535" s="8">
        <v>15000</v>
      </c>
      <c r="G535" s="45">
        <f t="shared" si="44"/>
        <v>2400</v>
      </c>
      <c r="H535" s="8">
        <v>25000</v>
      </c>
      <c r="I535" s="45">
        <f t="shared" si="45"/>
        <v>5000</v>
      </c>
      <c r="J535" s="8">
        <v>25000</v>
      </c>
      <c r="K535" s="45">
        <f t="shared" si="46"/>
        <v>5000</v>
      </c>
      <c r="L535" s="8">
        <v>25000</v>
      </c>
      <c r="M535" s="9">
        <v>9</v>
      </c>
      <c r="N535" s="9">
        <v>16.100000000000001</v>
      </c>
      <c r="O535" s="9">
        <v>14</v>
      </c>
      <c r="P535" s="9">
        <v>19.5</v>
      </c>
      <c r="Q535" s="9">
        <v>2.8</v>
      </c>
      <c r="R535">
        <v>10</v>
      </c>
      <c r="S535">
        <v>1000</v>
      </c>
      <c r="T535" s="4">
        <f t="shared" si="47"/>
        <v>426.44032978095498</v>
      </c>
      <c r="U535">
        <v>68</v>
      </c>
    </row>
    <row r="536" spans="1:21">
      <c r="A536" s="44">
        <f t="shared" si="48"/>
        <v>45861.208333332041</v>
      </c>
      <c r="B536" s="45">
        <f t="shared" si="43"/>
        <v>5000</v>
      </c>
      <c r="C536" s="8">
        <v>25000</v>
      </c>
      <c r="D536" s="8">
        <v>0</v>
      </c>
      <c r="E536" s="8">
        <v>700</v>
      </c>
      <c r="F536" s="8">
        <v>15000</v>
      </c>
      <c r="G536" s="45">
        <f t="shared" si="44"/>
        <v>2400</v>
      </c>
      <c r="H536" s="8">
        <v>25000</v>
      </c>
      <c r="I536" s="45">
        <f t="shared" si="45"/>
        <v>5000</v>
      </c>
      <c r="J536" s="8">
        <v>25000</v>
      </c>
      <c r="K536" s="45">
        <f t="shared" si="46"/>
        <v>5000</v>
      </c>
      <c r="L536" s="8">
        <v>25000</v>
      </c>
      <c r="M536" s="9">
        <v>9</v>
      </c>
      <c r="N536" s="9">
        <v>16.100000000000001</v>
      </c>
      <c r="O536" s="9">
        <v>14</v>
      </c>
      <c r="P536" s="9">
        <v>19.5</v>
      </c>
      <c r="Q536" s="9">
        <v>2.9</v>
      </c>
      <c r="R536">
        <v>10</v>
      </c>
      <c r="S536">
        <v>1000</v>
      </c>
      <c r="T536" s="4">
        <f t="shared" si="47"/>
        <v>362.27094893570683</v>
      </c>
      <c r="U536">
        <v>96</v>
      </c>
    </row>
    <row r="537" spans="1:21">
      <c r="A537" s="44">
        <f t="shared" si="48"/>
        <v>45861.249999998705</v>
      </c>
      <c r="B537" s="45">
        <f t="shared" si="43"/>
        <v>8000</v>
      </c>
      <c r="C537" s="8">
        <v>25000</v>
      </c>
      <c r="D537" s="8">
        <v>0</v>
      </c>
      <c r="E537" s="8">
        <v>700</v>
      </c>
      <c r="F537" s="8">
        <v>15000</v>
      </c>
      <c r="G537" s="45">
        <f t="shared" si="44"/>
        <v>2400</v>
      </c>
      <c r="H537" s="8">
        <v>25000</v>
      </c>
      <c r="I537" s="45">
        <f t="shared" si="45"/>
        <v>8000</v>
      </c>
      <c r="J537" s="8">
        <v>25000</v>
      </c>
      <c r="K537" s="45">
        <f t="shared" si="46"/>
        <v>8000</v>
      </c>
      <c r="L537" s="8">
        <v>25000</v>
      </c>
      <c r="M537" s="9">
        <v>9</v>
      </c>
      <c r="N537" s="9">
        <v>16.100000000000001</v>
      </c>
      <c r="O537" s="9">
        <v>14</v>
      </c>
      <c r="P537" s="9">
        <v>19.5</v>
      </c>
      <c r="Q537" s="9">
        <v>2.5</v>
      </c>
      <c r="R537">
        <v>10</v>
      </c>
      <c r="S537">
        <v>1000</v>
      </c>
      <c r="T537" s="4">
        <f t="shared" si="47"/>
        <v>304.3759075508828</v>
      </c>
      <c r="U537">
        <v>44</v>
      </c>
    </row>
    <row r="538" spans="1:21">
      <c r="A538" s="44">
        <f t="shared" si="48"/>
        <v>45861.291666665369</v>
      </c>
      <c r="B538" s="45">
        <f t="shared" si="43"/>
        <v>8000</v>
      </c>
      <c r="C538" s="8">
        <v>25000</v>
      </c>
      <c r="D538" s="8">
        <v>0</v>
      </c>
      <c r="E538" s="8">
        <v>700</v>
      </c>
      <c r="F538" s="8">
        <v>15000</v>
      </c>
      <c r="G538" s="45">
        <f t="shared" si="44"/>
        <v>2400</v>
      </c>
      <c r="H538" s="8">
        <v>25000</v>
      </c>
      <c r="I538" s="45">
        <f t="shared" si="45"/>
        <v>8000</v>
      </c>
      <c r="J538" s="8">
        <v>25000</v>
      </c>
      <c r="K538" s="45">
        <f t="shared" si="46"/>
        <v>8000</v>
      </c>
      <c r="L538" s="8">
        <v>25000</v>
      </c>
      <c r="M538" s="9">
        <v>9</v>
      </c>
      <c r="N538" s="9">
        <v>16.100000000000001</v>
      </c>
      <c r="O538" s="9">
        <v>14</v>
      </c>
      <c r="P538" s="9">
        <v>19.5</v>
      </c>
      <c r="Q538" s="9">
        <v>2.7</v>
      </c>
      <c r="R538">
        <v>10</v>
      </c>
      <c r="S538">
        <v>1000</v>
      </c>
      <c r="T538" s="4">
        <f t="shared" si="47"/>
        <v>280.13414145378908</v>
      </c>
      <c r="U538">
        <v>88</v>
      </c>
    </row>
    <row r="539" spans="1:21">
      <c r="A539" s="44">
        <f t="shared" si="48"/>
        <v>45861.333333332033</v>
      </c>
      <c r="B539" s="45">
        <f t="shared" si="43"/>
        <v>8000</v>
      </c>
      <c r="C539" s="8">
        <v>25000</v>
      </c>
      <c r="D539" s="8">
        <v>0</v>
      </c>
      <c r="E539" s="8">
        <v>700</v>
      </c>
      <c r="F539" s="8">
        <v>15000</v>
      </c>
      <c r="G539" s="45">
        <f t="shared" si="44"/>
        <v>2400</v>
      </c>
      <c r="H539" s="8">
        <v>25000</v>
      </c>
      <c r="I539" s="45">
        <f t="shared" si="45"/>
        <v>8000</v>
      </c>
      <c r="J539" s="8">
        <v>25000</v>
      </c>
      <c r="K539" s="45">
        <f t="shared" si="46"/>
        <v>8000</v>
      </c>
      <c r="L539" s="8">
        <v>25000</v>
      </c>
      <c r="M539" s="9">
        <v>9</v>
      </c>
      <c r="N539" s="9">
        <v>16.100000000000001</v>
      </c>
      <c r="O539" s="9">
        <v>14</v>
      </c>
      <c r="P539" s="9">
        <v>19.5</v>
      </c>
      <c r="Q539" s="9">
        <v>3</v>
      </c>
      <c r="R539">
        <v>10</v>
      </c>
      <c r="S539">
        <v>1000</v>
      </c>
      <c r="T539" s="4">
        <f t="shared" si="47"/>
        <v>294.39400386384426</v>
      </c>
      <c r="U539">
        <v>82</v>
      </c>
    </row>
    <row r="540" spans="1:21">
      <c r="A540" s="44">
        <f t="shared" si="48"/>
        <v>45861.374999998698</v>
      </c>
      <c r="B540" s="45">
        <f t="shared" ref="B540:B603" si="49">B516</f>
        <v>8000</v>
      </c>
      <c r="C540" s="8">
        <v>25000</v>
      </c>
      <c r="D540" s="8">
        <v>0</v>
      </c>
      <c r="E540" s="8">
        <v>700</v>
      </c>
      <c r="F540" s="8">
        <v>15000</v>
      </c>
      <c r="G540" s="45">
        <f t="shared" ref="G540:G603" si="50">G516</f>
        <v>2400</v>
      </c>
      <c r="H540" s="8">
        <v>25000</v>
      </c>
      <c r="I540" s="45">
        <f t="shared" ref="I540:I603" si="51">I516</f>
        <v>8000</v>
      </c>
      <c r="J540" s="8">
        <v>25000</v>
      </c>
      <c r="K540" s="45">
        <f t="shared" ref="K540:K603" si="52">K516</f>
        <v>8000</v>
      </c>
      <c r="L540" s="8">
        <v>25000</v>
      </c>
      <c r="M540" s="9">
        <v>9</v>
      </c>
      <c r="N540" s="9">
        <v>16.100000000000001</v>
      </c>
      <c r="O540" s="9">
        <v>14</v>
      </c>
      <c r="P540" s="9">
        <v>19.5</v>
      </c>
      <c r="Q540" s="9">
        <v>2.7</v>
      </c>
      <c r="R540">
        <v>10</v>
      </c>
      <c r="S540">
        <v>1000</v>
      </c>
      <c r="T540" s="4">
        <f t="shared" ref="T540:T603" si="53">T516</f>
        <v>317.20978371993255</v>
      </c>
      <c r="U540">
        <v>84</v>
      </c>
    </row>
    <row r="541" spans="1:21">
      <c r="A541" s="44">
        <f t="shared" si="48"/>
        <v>45861.416666665362</v>
      </c>
      <c r="B541" s="45">
        <f t="shared" si="49"/>
        <v>8000</v>
      </c>
      <c r="C541" s="8">
        <v>25000</v>
      </c>
      <c r="D541" s="8">
        <v>0</v>
      </c>
      <c r="E541" s="8">
        <v>700</v>
      </c>
      <c r="F541" s="8">
        <v>15000</v>
      </c>
      <c r="G541" s="45">
        <f t="shared" si="50"/>
        <v>2400</v>
      </c>
      <c r="H541" s="8">
        <v>25000</v>
      </c>
      <c r="I541" s="45">
        <f t="shared" si="51"/>
        <v>8000</v>
      </c>
      <c r="J541" s="8">
        <v>25000</v>
      </c>
      <c r="K541" s="45">
        <f t="shared" si="52"/>
        <v>8000</v>
      </c>
      <c r="L541" s="8">
        <v>25000</v>
      </c>
      <c r="M541" s="9">
        <v>9</v>
      </c>
      <c r="N541" s="9">
        <v>16.100000000000001</v>
      </c>
      <c r="O541" s="9">
        <v>14</v>
      </c>
      <c r="P541" s="9">
        <v>19.5</v>
      </c>
      <c r="Q541" s="9">
        <v>2.6</v>
      </c>
      <c r="R541">
        <v>10</v>
      </c>
      <c r="S541">
        <v>1000</v>
      </c>
      <c r="T541" s="4">
        <f t="shared" si="53"/>
        <v>308.08347177749721</v>
      </c>
      <c r="U541">
        <v>21</v>
      </c>
    </row>
    <row r="542" spans="1:21">
      <c r="A542" s="44">
        <f t="shared" si="48"/>
        <v>45861.458333332026</v>
      </c>
      <c r="B542" s="45">
        <f t="shared" si="49"/>
        <v>8000</v>
      </c>
      <c r="C542" s="8">
        <v>25000</v>
      </c>
      <c r="D542" s="8">
        <v>0</v>
      </c>
      <c r="E542" s="8">
        <v>700</v>
      </c>
      <c r="F542" s="8">
        <v>15000</v>
      </c>
      <c r="G542" s="45">
        <f t="shared" si="50"/>
        <v>2400</v>
      </c>
      <c r="H542" s="8">
        <v>25000</v>
      </c>
      <c r="I542" s="45">
        <f t="shared" si="51"/>
        <v>8000</v>
      </c>
      <c r="J542" s="8">
        <v>25000</v>
      </c>
      <c r="K542" s="45">
        <f t="shared" si="52"/>
        <v>8000</v>
      </c>
      <c r="L542" s="8">
        <v>25000</v>
      </c>
      <c r="M542" s="9">
        <v>9</v>
      </c>
      <c r="N542" s="9">
        <v>16.100000000000001</v>
      </c>
      <c r="O542" s="9">
        <v>14</v>
      </c>
      <c r="P542" s="9">
        <v>19.5</v>
      </c>
      <c r="Q542" s="9">
        <v>2.9</v>
      </c>
      <c r="R542">
        <v>10</v>
      </c>
      <c r="S542">
        <v>1000</v>
      </c>
      <c r="T542" s="4">
        <f t="shared" si="53"/>
        <v>303.80551305448063</v>
      </c>
      <c r="U542">
        <v>99</v>
      </c>
    </row>
    <row r="543" spans="1:21">
      <c r="A543" s="44">
        <f t="shared" si="48"/>
        <v>45861.49999999869</v>
      </c>
      <c r="B543" s="45">
        <f t="shared" si="49"/>
        <v>8000</v>
      </c>
      <c r="C543" s="8">
        <v>25000</v>
      </c>
      <c r="D543" s="8">
        <v>0</v>
      </c>
      <c r="E543" s="8">
        <v>700</v>
      </c>
      <c r="F543" s="8">
        <v>15000</v>
      </c>
      <c r="G543" s="45">
        <f t="shared" si="50"/>
        <v>2400</v>
      </c>
      <c r="H543" s="8">
        <v>25000</v>
      </c>
      <c r="I543" s="45">
        <f t="shared" si="51"/>
        <v>8000</v>
      </c>
      <c r="J543" s="8">
        <v>25000</v>
      </c>
      <c r="K543" s="45">
        <f t="shared" si="52"/>
        <v>8000</v>
      </c>
      <c r="L543" s="8">
        <v>25000</v>
      </c>
      <c r="M543" s="9">
        <v>9</v>
      </c>
      <c r="N543" s="9">
        <v>16.100000000000001</v>
      </c>
      <c r="O543" s="9">
        <v>14</v>
      </c>
      <c r="P543" s="9">
        <v>19.5</v>
      </c>
      <c r="Q543" s="9">
        <v>2.8</v>
      </c>
      <c r="R543">
        <v>10</v>
      </c>
      <c r="S543">
        <v>1000</v>
      </c>
      <c r="T543" s="4">
        <f t="shared" si="53"/>
        <v>303.80551305448063</v>
      </c>
      <c r="U543">
        <v>23</v>
      </c>
    </row>
    <row r="544" spans="1:21">
      <c r="A544" s="44">
        <f t="shared" si="48"/>
        <v>45861.541666665355</v>
      </c>
      <c r="B544" s="45">
        <f t="shared" si="49"/>
        <v>8000</v>
      </c>
      <c r="C544" s="8">
        <v>25000</v>
      </c>
      <c r="D544" s="8">
        <v>0</v>
      </c>
      <c r="E544" s="8">
        <v>700</v>
      </c>
      <c r="F544" s="8">
        <v>15000</v>
      </c>
      <c r="G544" s="45">
        <f t="shared" si="50"/>
        <v>2400</v>
      </c>
      <c r="H544" s="8">
        <v>25000</v>
      </c>
      <c r="I544" s="45">
        <f t="shared" si="51"/>
        <v>8000</v>
      </c>
      <c r="J544" s="8">
        <v>25000</v>
      </c>
      <c r="K544" s="45">
        <f t="shared" si="52"/>
        <v>8000</v>
      </c>
      <c r="L544" s="8">
        <v>25000</v>
      </c>
      <c r="M544" s="9">
        <v>9</v>
      </c>
      <c r="N544" s="9">
        <v>16.100000000000001</v>
      </c>
      <c r="O544" s="9">
        <v>14</v>
      </c>
      <c r="P544" s="9">
        <v>19.5</v>
      </c>
      <c r="Q544" s="9">
        <v>2.9</v>
      </c>
      <c r="R544">
        <v>10</v>
      </c>
      <c r="S544">
        <v>1000</v>
      </c>
      <c r="T544" s="4">
        <f t="shared" si="53"/>
        <v>353.43040463596901</v>
      </c>
      <c r="U544">
        <v>36</v>
      </c>
    </row>
    <row r="545" spans="1:21">
      <c r="A545" s="44">
        <f t="shared" si="48"/>
        <v>45861.583333332019</v>
      </c>
      <c r="B545" s="45">
        <f t="shared" si="49"/>
        <v>8000</v>
      </c>
      <c r="C545" s="8">
        <v>25000</v>
      </c>
      <c r="D545" s="8">
        <v>0</v>
      </c>
      <c r="E545" s="8">
        <v>700</v>
      </c>
      <c r="F545" s="8">
        <v>15000</v>
      </c>
      <c r="G545" s="45">
        <f t="shared" si="50"/>
        <v>2400</v>
      </c>
      <c r="H545" s="8">
        <v>25000</v>
      </c>
      <c r="I545" s="45">
        <f t="shared" si="51"/>
        <v>8000</v>
      </c>
      <c r="J545" s="8">
        <v>25000</v>
      </c>
      <c r="K545" s="45">
        <f t="shared" si="52"/>
        <v>8000</v>
      </c>
      <c r="L545" s="8">
        <v>25000</v>
      </c>
      <c r="M545" s="9">
        <v>9</v>
      </c>
      <c r="N545" s="9">
        <v>16.100000000000001</v>
      </c>
      <c r="O545" s="9">
        <v>14</v>
      </c>
      <c r="P545" s="9">
        <v>19.5</v>
      </c>
      <c r="Q545" s="9">
        <v>2.6</v>
      </c>
      <c r="R545">
        <v>10</v>
      </c>
      <c r="S545">
        <v>1000</v>
      </c>
      <c r="T545" s="4">
        <f t="shared" si="53"/>
        <v>587.29100737188094</v>
      </c>
      <c r="U545">
        <v>17</v>
      </c>
    </row>
    <row r="546" spans="1:21">
      <c r="A546" s="44">
        <f t="shared" si="48"/>
        <v>45861.624999998683</v>
      </c>
      <c r="B546" s="45">
        <f t="shared" si="49"/>
        <v>8000</v>
      </c>
      <c r="C546" s="8">
        <v>25000</v>
      </c>
      <c r="D546" s="8">
        <v>0</v>
      </c>
      <c r="E546" s="8">
        <v>700</v>
      </c>
      <c r="F546" s="8">
        <v>15000</v>
      </c>
      <c r="G546" s="45">
        <f t="shared" si="50"/>
        <v>2400</v>
      </c>
      <c r="H546" s="8">
        <v>25000</v>
      </c>
      <c r="I546" s="45">
        <f t="shared" si="51"/>
        <v>8000</v>
      </c>
      <c r="J546" s="8">
        <v>25000</v>
      </c>
      <c r="K546" s="45">
        <f t="shared" si="52"/>
        <v>8000</v>
      </c>
      <c r="L546" s="8">
        <v>25000</v>
      </c>
      <c r="M546" s="9">
        <v>9</v>
      </c>
      <c r="N546" s="9">
        <v>16.100000000000001</v>
      </c>
      <c r="O546" s="9">
        <v>14</v>
      </c>
      <c r="P546" s="9">
        <v>19.5</v>
      </c>
      <c r="Q546" s="9">
        <v>3</v>
      </c>
      <c r="R546">
        <v>10</v>
      </c>
      <c r="S546">
        <v>1000</v>
      </c>
      <c r="T546" s="4">
        <f t="shared" si="53"/>
        <v>604.40284226394715</v>
      </c>
      <c r="U546">
        <v>53</v>
      </c>
    </row>
    <row r="547" spans="1:21">
      <c r="A547" s="44">
        <f t="shared" si="48"/>
        <v>45861.666666665347</v>
      </c>
      <c r="B547" s="45">
        <f t="shared" si="49"/>
        <v>8000</v>
      </c>
      <c r="C547" s="8">
        <v>25000</v>
      </c>
      <c r="D547" s="8">
        <v>0</v>
      </c>
      <c r="E547" s="8">
        <v>700</v>
      </c>
      <c r="F547" s="8">
        <v>15000</v>
      </c>
      <c r="G547" s="45">
        <f t="shared" si="50"/>
        <v>2400</v>
      </c>
      <c r="H547" s="8">
        <v>25000</v>
      </c>
      <c r="I547" s="45">
        <f t="shared" si="51"/>
        <v>8000</v>
      </c>
      <c r="J547" s="8">
        <v>25000</v>
      </c>
      <c r="K547" s="45">
        <f t="shared" si="52"/>
        <v>8000</v>
      </c>
      <c r="L547" s="8">
        <v>25000</v>
      </c>
      <c r="M547" s="9">
        <v>9</v>
      </c>
      <c r="N547" s="9">
        <v>16.100000000000001</v>
      </c>
      <c r="O547" s="9">
        <v>14</v>
      </c>
      <c r="P547" s="9">
        <v>19.5</v>
      </c>
      <c r="Q547" s="9">
        <v>3</v>
      </c>
      <c r="R547">
        <v>10</v>
      </c>
      <c r="S547">
        <v>1000</v>
      </c>
      <c r="T547" s="4">
        <f t="shared" si="53"/>
        <v>875.91062255139741</v>
      </c>
      <c r="U547">
        <v>49</v>
      </c>
    </row>
    <row r="548" spans="1:21">
      <c r="A548" s="44">
        <f t="shared" si="48"/>
        <v>45861.708333332012</v>
      </c>
      <c r="B548" s="45">
        <f t="shared" si="49"/>
        <v>8000</v>
      </c>
      <c r="C548" s="8">
        <v>25000</v>
      </c>
      <c r="D548" s="8">
        <v>0</v>
      </c>
      <c r="E548" s="8">
        <v>700</v>
      </c>
      <c r="F548" s="8">
        <v>15000</v>
      </c>
      <c r="G548" s="45">
        <f t="shared" si="50"/>
        <v>2400</v>
      </c>
      <c r="H548" s="8">
        <v>25000</v>
      </c>
      <c r="I548" s="45">
        <f t="shared" si="51"/>
        <v>8000</v>
      </c>
      <c r="J548" s="8">
        <v>25000</v>
      </c>
      <c r="K548" s="45">
        <f t="shared" si="52"/>
        <v>8000</v>
      </c>
      <c r="L548" s="8">
        <v>25000</v>
      </c>
      <c r="M548" s="9">
        <v>9</v>
      </c>
      <c r="N548" s="9">
        <v>16.100000000000001</v>
      </c>
      <c r="O548" s="9">
        <v>14</v>
      </c>
      <c r="P548" s="9">
        <v>19.5</v>
      </c>
      <c r="Q548" s="9">
        <v>2.5</v>
      </c>
      <c r="R548">
        <v>10</v>
      </c>
      <c r="S548">
        <v>1000</v>
      </c>
      <c r="T548" s="4">
        <f t="shared" si="53"/>
        <v>1116.9022972813298</v>
      </c>
      <c r="U548">
        <v>65</v>
      </c>
    </row>
    <row r="549" spans="1:21">
      <c r="A549" s="44">
        <f t="shared" si="48"/>
        <v>45861.749999998676</v>
      </c>
      <c r="B549" s="45">
        <f t="shared" si="49"/>
        <v>5000</v>
      </c>
      <c r="C549" s="8">
        <v>25000</v>
      </c>
      <c r="D549" s="8">
        <v>0</v>
      </c>
      <c r="E549" s="8">
        <v>700</v>
      </c>
      <c r="F549" s="8">
        <v>15000</v>
      </c>
      <c r="G549" s="45">
        <f t="shared" si="50"/>
        <v>2400</v>
      </c>
      <c r="H549" s="8">
        <v>25000</v>
      </c>
      <c r="I549" s="45">
        <f t="shared" si="51"/>
        <v>5000</v>
      </c>
      <c r="J549" s="8">
        <v>25000</v>
      </c>
      <c r="K549" s="45">
        <f t="shared" si="52"/>
        <v>5000</v>
      </c>
      <c r="L549" s="8">
        <v>25000</v>
      </c>
      <c r="M549" s="9">
        <v>9</v>
      </c>
      <c r="N549" s="9">
        <v>16.100000000000001</v>
      </c>
      <c r="O549" s="9">
        <v>14</v>
      </c>
      <c r="P549" s="9">
        <v>19.5</v>
      </c>
      <c r="Q549" s="9">
        <v>2.9</v>
      </c>
      <c r="R549">
        <v>10</v>
      </c>
      <c r="S549">
        <v>1000</v>
      </c>
      <c r="T549" s="4">
        <f t="shared" si="53"/>
        <v>1156.8299120294841</v>
      </c>
      <c r="U549">
        <v>24</v>
      </c>
    </row>
    <row r="550" spans="1:21">
      <c r="A550" s="44">
        <f t="shared" si="48"/>
        <v>45861.79166666534</v>
      </c>
      <c r="B550" s="45">
        <f t="shared" si="49"/>
        <v>5000</v>
      </c>
      <c r="C550" s="8">
        <v>25000</v>
      </c>
      <c r="D550" s="8">
        <v>0</v>
      </c>
      <c r="E550" s="8">
        <v>700</v>
      </c>
      <c r="F550" s="8">
        <v>15000</v>
      </c>
      <c r="G550" s="45">
        <f t="shared" si="50"/>
        <v>2400</v>
      </c>
      <c r="H550" s="8">
        <v>25000</v>
      </c>
      <c r="I550" s="45">
        <f t="shared" si="51"/>
        <v>5000</v>
      </c>
      <c r="J550" s="8">
        <v>25000</v>
      </c>
      <c r="K550" s="45">
        <f t="shared" si="52"/>
        <v>5000</v>
      </c>
      <c r="L550" s="8">
        <v>25000</v>
      </c>
      <c r="M550" s="9">
        <v>9</v>
      </c>
      <c r="N550" s="9">
        <v>16.100000000000001</v>
      </c>
      <c r="O550" s="9">
        <v>14</v>
      </c>
      <c r="P550" s="9">
        <v>19.5</v>
      </c>
      <c r="Q550" s="9">
        <v>2.8</v>
      </c>
      <c r="R550">
        <v>10</v>
      </c>
      <c r="S550">
        <v>1000</v>
      </c>
      <c r="T550" s="4">
        <f t="shared" si="53"/>
        <v>1156.8299120294841</v>
      </c>
      <c r="U550">
        <v>75</v>
      </c>
    </row>
    <row r="551" spans="1:21">
      <c r="A551" s="44">
        <f t="shared" si="48"/>
        <v>45861.833333332004</v>
      </c>
      <c r="B551" s="45">
        <f t="shared" si="49"/>
        <v>5000</v>
      </c>
      <c r="C551" s="8">
        <v>25000</v>
      </c>
      <c r="D551" s="8">
        <v>0</v>
      </c>
      <c r="E551" s="8">
        <v>700</v>
      </c>
      <c r="F551" s="8">
        <v>15000</v>
      </c>
      <c r="G551" s="45">
        <f t="shared" si="50"/>
        <v>2400</v>
      </c>
      <c r="H551" s="8">
        <v>25000</v>
      </c>
      <c r="I551" s="45">
        <f t="shared" si="51"/>
        <v>5000</v>
      </c>
      <c r="J551" s="8">
        <v>25000</v>
      </c>
      <c r="K551" s="45">
        <f t="shared" si="52"/>
        <v>5000</v>
      </c>
      <c r="L551" s="8">
        <v>25000</v>
      </c>
      <c r="M551" s="9">
        <v>9</v>
      </c>
      <c r="N551" s="9">
        <v>16.100000000000001</v>
      </c>
      <c r="O551" s="9">
        <v>14</v>
      </c>
      <c r="P551" s="9">
        <v>19.5</v>
      </c>
      <c r="Q551" s="9">
        <v>2.9</v>
      </c>
      <c r="R551">
        <v>10</v>
      </c>
      <c r="S551">
        <v>1000</v>
      </c>
      <c r="T551" s="4">
        <f t="shared" si="53"/>
        <v>1114.0503247993186</v>
      </c>
      <c r="U551">
        <v>15</v>
      </c>
    </row>
    <row r="552" spans="1:21">
      <c r="A552" s="44">
        <f t="shared" si="48"/>
        <v>45861.874999998668</v>
      </c>
      <c r="B552" s="45">
        <f t="shared" si="49"/>
        <v>5000</v>
      </c>
      <c r="C552" s="8">
        <v>25000</v>
      </c>
      <c r="D552" s="8">
        <v>0</v>
      </c>
      <c r="E552" s="8">
        <v>700</v>
      </c>
      <c r="F552" s="8">
        <v>15000</v>
      </c>
      <c r="G552" s="45">
        <f t="shared" si="50"/>
        <v>2400</v>
      </c>
      <c r="H552" s="8">
        <v>25000</v>
      </c>
      <c r="I552" s="45">
        <f t="shared" si="51"/>
        <v>5000</v>
      </c>
      <c r="J552" s="8">
        <v>25000</v>
      </c>
      <c r="K552" s="45">
        <f t="shared" si="52"/>
        <v>5000</v>
      </c>
      <c r="L552" s="8">
        <v>25000</v>
      </c>
      <c r="M552" s="9">
        <v>9</v>
      </c>
      <c r="N552" s="9">
        <v>16.100000000000001</v>
      </c>
      <c r="O552" s="9">
        <v>14</v>
      </c>
      <c r="P552" s="9">
        <v>19.5</v>
      </c>
      <c r="Q552" s="9">
        <v>2.5</v>
      </c>
      <c r="R552">
        <v>10</v>
      </c>
      <c r="S552">
        <v>1000</v>
      </c>
      <c r="T552" s="4">
        <f t="shared" si="53"/>
        <v>1034.1950953030096</v>
      </c>
      <c r="U552">
        <v>96</v>
      </c>
    </row>
    <row r="553" spans="1:21">
      <c r="A553" s="44">
        <f t="shared" si="48"/>
        <v>45861.916666665333</v>
      </c>
      <c r="B553" s="45">
        <f t="shared" si="49"/>
        <v>5000</v>
      </c>
      <c r="C553" s="8">
        <v>25000</v>
      </c>
      <c r="D553" s="8">
        <v>0</v>
      </c>
      <c r="E553" s="8">
        <v>700</v>
      </c>
      <c r="F553" s="8">
        <v>15000</v>
      </c>
      <c r="G553" s="45">
        <f t="shared" si="50"/>
        <v>2400</v>
      </c>
      <c r="H553" s="8">
        <v>25000</v>
      </c>
      <c r="I553" s="45">
        <f t="shared" si="51"/>
        <v>5000</v>
      </c>
      <c r="J553" s="8">
        <v>25000</v>
      </c>
      <c r="K553" s="45">
        <f t="shared" si="52"/>
        <v>5000</v>
      </c>
      <c r="L553" s="8">
        <v>25000</v>
      </c>
      <c r="M553" s="9">
        <v>9</v>
      </c>
      <c r="N553" s="9">
        <v>16.100000000000001</v>
      </c>
      <c r="O553" s="9">
        <v>14</v>
      </c>
      <c r="P553" s="9">
        <v>19.5</v>
      </c>
      <c r="Q553" s="9">
        <v>2.5</v>
      </c>
      <c r="R553">
        <v>10</v>
      </c>
      <c r="S553">
        <v>1000</v>
      </c>
      <c r="T553" s="4">
        <f t="shared" si="53"/>
        <v>807.46328298313267</v>
      </c>
      <c r="U553">
        <v>20</v>
      </c>
    </row>
    <row r="554" spans="1:21">
      <c r="A554" s="44">
        <f t="shared" si="48"/>
        <v>45861.958333331997</v>
      </c>
      <c r="B554" s="45">
        <f t="shared" si="49"/>
        <v>5000</v>
      </c>
      <c r="C554" s="8">
        <v>25000</v>
      </c>
      <c r="D554" s="8">
        <v>0</v>
      </c>
      <c r="E554" s="8">
        <v>700</v>
      </c>
      <c r="F554" s="8">
        <v>15000</v>
      </c>
      <c r="G554" s="45">
        <f t="shared" si="50"/>
        <v>2400</v>
      </c>
      <c r="H554" s="8">
        <v>25000</v>
      </c>
      <c r="I554" s="45">
        <f t="shared" si="51"/>
        <v>5000</v>
      </c>
      <c r="J554" s="8">
        <v>25000</v>
      </c>
      <c r="K554" s="45">
        <f t="shared" si="52"/>
        <v>5000</v>
      </c>
      <c r="L554" s="8">
        <v>25000</v>
      </c>
      <c r="M554" s="9">
        <v>9</v>
      </c>
      <c r="N554" s="9">
        <v>16.100000000000001</v>
      </c>
      <c r="O554" s="9">
        <v>14</v>
      </c>
      <c r="P554" s="9">
        <v>19.5</v>
      </c>
      <c r="Q554" s="9">
        <v>2.6</v>
      </c>
      <c r="R554">
        <v>10</v>
      </c>
      <c r="S554">
        <v>1000</v>
      </c>
      <c r="T554" s="4">
        <f t="shared" si="53"/>
        <v>442.69657292841788</v>
      </c>
      <c r="U554">
        <v>45</v>
      </c>
    </row>
    <row r="555" spans="1:21">
      <c r="A555" s="44">
        <f t="shared" si="48"/>
        <v>45861.999999998661</v>
      </c>
      <c r="B555" s="45">
        <f t="shared" si="49"/>
        <v>5000</v>
      </c>
      <c r="C555" s="8">
        <v>25000</v>
      </c>
      <c r="D555" s="8">
        <v>0</v>
      </c>
      <c r="E555" s="8">
        <v>700</v>
      </c>
      <c r="F555" s="8">
        <v>15000</v>
      </c>
      <c r="G555" s="45">
        <f t="shared" si="50"/>
        <v>2400</v>
      </c>
      <c r="H555" s="8">
        <v>25000</v>
      </c>
      <c r="I555" s="45">
        <f t="shared" si="51"/>
        <v>5000</v>
      </c>
      <c r="J555" s="8">
        <v>25000</v>
      </c>
      <c r="K555" s="45">
        <f t="shared" si="52"/>
        <v>5000</v>
      </c>
      <c r="L555" s="8">
        <v>25000</v>
      </c>
      <c r="M555" s="9">
        <v>9</v>
      </c>
      <c r="N555" s="9">
        <v>16.100000000000001</v>
      </c>
      <c r="O555" s="9">
        <v>14</v>
      </c>
      <c r="P555" s="9">
        <v>19.5</v>
      </c>
      <c r="Q555" s="9">
        <v>2.6</v>
      </c>
      <c r="R555">
        <v>10</v>
      </c>
      <c r="S555">
        <v>1000</v>
      </c>
      <c r="T555" s="4">
        <f t="shared" si="53"/>
        <v>442.69657292841788</v>
      </c>
      <c r="U555">
        <v>90</v>
      </c>
    </row>
    <row r="556" spans="1:21">
      <c r="A556" s="44">
        <f t="shared" si="48"/>
        <v>45862.041666665325</v>
      </c>
      <c r="B556" s="45">
        <f t="shared" si="49"/>
        <v>5000</v>
      </c>
      <c r="C556" s="8">
        <v>25000</v>
      </c>
      <c r="D556" s="8">
        <v>0</v>
      </c>
      <c r="E556" s="8">
        <v>700</v>
      </c>
      <c r="F556" s="8">
        <v>15000</v>
      </c>
      <c r="G556" s="45">
        <f t="shared" si="50"/>
        <v>2400</v>
      </c>
      <c r="H556" s="8">
        <v>25000</v>
      </c>
      <c r="I556" s="45">
        <f t="shared" si="51"/>
        <v>5000</v>
      </c>
      <c r="J556" s="8">
        <v>25000</v>
      </c>
      <c r="K556" s="45">
        <f t="shared" si="52"/>
        <v>5000</v>
      </c>
      <c r="L556" s="8">
        <v>25000</v>
      </c>
      <c r="M556" s="9">
        <v>9</v>
      </c>
      <c r="N556" s="9">
        <v>16.100000000000001</v>
      </c>
      <c r="O556" s="9">
        <v>14</v>
      </c>
      <c r="P556" s="9">
        <v>19.5</v>
      </c>
      <c r="Q556" s="9">
        <v>2.8</v>
      </c>
      <c r="R556">
        <v>10</v>
      </c>
      <c r="S556">
        <v>1000</v>
      </c>
      <c r="T556" s="4">
        <f t="shared" si="53"/>
        <v>362.27094893570683</v>
      </c>
      <c r="U556">
        <v>56</v>
      </c>
    </row>
    <row r="557" spans="1:21">
      <c r="A557" s="44">
        <f t="shared" si="48"/>
        <v>45862.08333333199</v>
      </c>
      <c r="B557" s="45">
        <f t="shared" si="49"/>
        <v>5000</v>
      </c>
      <c r="C557" s="8">
        <v>25000</v>
      </c>
      <c r="D557" s="8">
        <v>0</v>
      </c>
      <c r="E557" s="8">
        <v>700</v>
      </c>
      <c r="F557" s="8">
        <v>15000</v>
      </c>
      <c r="G557" s="45">
        <f t="shared" si="50"/>
        <v>2400</v>
      </c>
      <c r="H557" s="8">
        <v>25000</v>
      </c>
      <c r="I557" s="45">
        <f t="shared" si="51"/>
        <v>5000</v>
      </c>
      <c r="J557" s="8">
        <v>25000</v>
      </c>
      <c r="K557" s="45">
        <f t="shared" si="52"/>
        <v>5000</v>
      </c>
      <c r="L557" s="8">
        <v>25000</v>
      </c>
      <c r="M557" s="9">
        <v>9</v>
      </c>
      <c r="N557" s="9">
        <v>16.100000000000001</v>
      </c>
      <c r="O557" s="9">
        <v>14</v>
      </c>
      <c r="P557" s="9">
        <v>19.5</v>
      </c>
      <c r="Q557" s="9">
        <v>2.5</v>
      </c>
      <c r="R557">
        <v>10</v>
      </c>
      <c r="S557">
        <v>1000</v>
      </c>
      <c r="T557" s="4">
        <f t="shared" si="53"/>
        <v>362.27094893570683</v>
      </c>
      <c r="U557">
        <v>39</v>
      </c>
    </row>
    <row r="558" spans="1:21">
      <c r="A558" s="44">
        <f t="shared" si="48"/>
        <v>45862.124999998654</v>
      </c>
      <c r="B558" s="45">
        <f t="shared" si="49"/>
        <v>5000</v>
      </c>
      <c r="C558" s="8">
        <v>25000</v>
      </c>
      <c r="D558" s="8">
        <v>0</v>
      </c>
      <c r="E558" s="8">
        <v>700</v>
      </c>
      <c r="F558" s="8">
        <v>15000</v>
      </c>
      <c r="G558" s="45">
        <f t="shared" si="50"/>
        <v>2400</v>
      </c>
      <c r="H558" s="8">
        <v>25000</v>
      </c>
      <c r="I558" s="45">
        <f t="shared" si="51"/>
        <v>5000</v>
      </c>
      <c r="J558" s="8">
        <v>25000</v>
      </c>
      <c r="K558" s="45">
        <f t="shared" si="52"/>
        <v>5000</v>
      </c>
      <c r="L558" s="8">
        <v>25000</v>
      </c>
      <c r="M558" s="9">
        <v>9</v>
      </c>
      <c r="N558" s="9">
        <v>16.100000000000001</v>
      </c>
      <c r="O558" s="9">
        <v>14</v>
      </c>
      <c r="P558" s="9">
        <v>19.5</v>
      </c>
      <c r="Q558" s="9">
        <v>2.5</v>
      </c>
      <c r="R558">
        <v>10</v>
      </c>
      <c r="S558">
        <v>1000</v>
      </c>
      <c r="T558" s="4">
        <f t="shared" si="53"/>
        <v>362.27094893570683</v>
      </c>
      <c r="U558">
        <v>46</v>
      </c>
    </row>
    <row r="559" spans="1:21">
      <c r="A559" s="44">
        <f t="shared" si="48"/>
        <v>45862.166666665318</v>
      </c>
      <c r="B559" s="45">
        <f t="shared" si="49"/>
        <v>5000</v>
      </c>
      <c r="C559" s="8">
        <v>25000</v>
      </c>
      <c r="D559" s="8">
        <v>0</v>
      </c>
      <c r="E559" s="8">
        <v>700</v>
      </c>
      <c r="F559" s="8">
        <v>15000</v>
      </c>
      <c r="G559" s="45">
        <f t="shared" si="50"/>
        <v>2400</v>
      </c>
      <c r="H559" s="8">
        <v>25000</v>
      </c>
      <c r="I559" s="45">
        <f t="shared" si="51"/>
        <v>5000</v>
      </c>
      <c r="J559" s="8">
        <v>25000</v>
      </c>
      <c r="K559" s="45">
        <f t="shared" si="52"/>
        <v>5000</v>
      </c>
      <c r="L559" s="8">
        <v>25000</v>
      </c>
      <c r="M559" s="9">
        <v>9</v>
      </c>
      <c r="N559" s="9">
        <v>16.100000000000001</v>
      </c>
      <c r="O559" s="9">
        <v>14</v>
      </c>
      <c r="P559" s="9">
        <v>19.5</v>
      </c>
      <c r="Q559" s="9">
        <v>2.8</v>
      </c>
      <c r="R559">
        <v>10</v>
      </c>
      <c r="S559">
        <v>1000</v>
      </c>
      <c r="T559" s="4">
        <f t="shared" si="53"/>
        <v>426.44032978095498</v>
      </c>
      <c r="U559">
        <v>79</v>
      </c>
    </row>
    <row r="560" spans="1:21">
      <c r="A560" s="44">
        <f t="shared" si="48"/>
        <v>45862.208333331982</v>
      </c>
      <c r="B560" s="45">
        <f t="shared" si="49"/>
        <v>5000</v>
      </c>
      <c r="C560" s="8">
        <v>25000</v>
      </c>
      <c r="D560" s="8">
        <v>0</v>
      </c>
      <c r="E560" s="8">
        <v>700</v>
      </c>
      <c r="F560" s="8">
        <v>15000</v>
      </c>
      <c r="G560" s="45">
        <f t="shared" si="50"/>
        <v>2400</v>
      </c>
      <c r="H560" s="8">
        <v>25000</v>
      </c>
      <c r="I560" s="45">
        <f t="shared" si="51"/>
        <v>5000</v>
      </c>
      <c r="J560" s="8">
        <v>25000</v>
      </c>
      <c r="K560" s="45">
        <f t="shared" si="52"/>
        <v>5000</v>
      </c>
      <c r="L560" s="8">
        <v>25000</v>
      </c>
      <c r="M560" s="9">
        <v>9</v>
      </c>
      <c r="N560" s="9">
        <v>16.100000000000001</v>
      </c>
      <c r="O560" s="9">
        <v>14</v>
      </c>
      <c r="P560" s="9">
        <v>19.5</v>
      </c>
      <c r="Q560" s="9">
        <v>2.6</v>
      </c>
      <c r="R560">
        <v>10</v>
      </c>
      <c r="S560">
        <v>1000</v>
      </c>
      <c r="T560" s="4">
        <f t="shared" si="53"/>
        <v>362.27094893570683</v>
      </c>
      <c r="U560">
        <v>70</v>
      </c>
    </row>
    <row r="561" spans="1:21">
      <c r="A561" s="44">
        <f t="shared" si="48"/>
        <v>45862.249999998647</v>
      </c>
      <c r="B561" s="45">
        <f t="shared" si="49"/>
        <v>8000</v>
      </c>
      <c r="C561" s="8">
        <v>25000</v>
      </c>
      <c r="D561" s="8">
        <v>0</v>
      </c>
      <c r="E561" s="8">
        <v>700</v>
      </c>
      <c r="F561" s="8">
        <v>15000</v>
      </c>
      <c r="G561" s="45">
        <f t="shared" si="50"/>
        <v>2400</v>
      </c>
      <c r="H561" s="8">
        <v>25000</v>
      </c>
      <c r="I561" s="45">
        <f t="shared" si="51"/>
        <v>8000</v>
      </c>
      <c r="J561" s="8">
        <v>25000</v>
      </c>
      <c r="K561" s="45">
        <f t="shared" si="52"/>
        <v>8000</v>
      </c>
      <c r="L561" s="8">
        <v>25000</v>
      </c>
      <c r="M561" s="9">
        <v>9</v>
      </c>
      <c r="N561" s="9">
        <v>16.100000000000001</v>
      </c>
      <c r="O561" s="9">
        <v>14</v>
      </c>
      <c r="P561" s="9">
        <v>19.5</v>
      </c>
      <c r="Q561" s="9">
        <v>2.8</v>
      </c>
      <c r="R561">
        <v>10</v>
      </c>
      <c r="S561">
        <v>1000</v>
      </c>
      <c r="T561" s="4">
        <f t="shared" si="53"/>
        <v>304.3759075508828</v>
      </c>
      <c r="U561">
        <v>84</v>
      </c>
    </row>
    <row r="562" spans="1:21">
      <c r="A562" s="44">
        <f t="shared" si="48"/>
        <v>45862.291666665311</v>
      </c>
      <c r="B562" s="45">
        <f t="shared" si="49"/>
        <v>8000</v>
      </c>
      <c r="C562" s="8">
        <v>25000</v>
      </c>
      <c r="D562" s="8">
        <v>0</v>
      </c>
      <c r="E562" s="8">
        <v>700</v>
      </c>
      <c r="F562" s="8">
        <v>15000</v>
      </c>
      <c r="G562" s="45">
        <f t="shared" si="50"/>
        <v>2400</v>
      </c>
      <c r="H562" s="8">
        <v>25000</v>
      </c>
      <c r="I562" s="45">
        <f t="shared" si="51"/>
        <v>8000</v>
      </c>
      <c r="J562" s="8">
        <v>25000</v>
      </c>
      <c r="K562" s="45">
        <f t="shared" si="52"/>
        <v>8000</v>
      </c>
      <c r="L562" s="8">
        <v>25000</v>
      </c>
      <c r="M562" s="9">
        <v>9</v>
      </c>
      <c r="N562" s="9">
        <v>16.100000000000001</v>
      </c>
      <c r="O562" s="9">
        <v>14</v>
      </c>
      <c r="P562" s="9">
        <v>19.5</v>
      </c>
      <c r="Q562" s="9">
        <v>2.8</v>
      </c>
      <c r="R562">
        <v>10</v>
      </c>
      <c r="S562">
        <v>1000</v>
      </c>
      <c r="T562" s="4">
        <f t="shared" si="53"/>
        <v>280.13414145378908</v>
      </c>
      <c r="U562">
        <v>83</v>
      </c>
    </row>
    <row r="563" spans="1:21">
      <c r="A563" s="44">
        <f t="shared" si="48"/>
        <v>45862.333333331975</v>
      </c>
      <c r="B563" s="45">
        <f t="shared" si="49"/>
        <v>8000</v>
      </c>
      <c r="C563" s="8">
        <v>25000</v>
      </c>
      <c r="D563" s="8">
        <v>0</v>
      </c>
      <c r="E563" s="8">
        <v>700</v>
      </c>
      <c r="F563" s="8">
        <v>15000</v>
      </c>
      <c r="G563" s="45">
        <f t="shared" si="50"/>
        <v>2400</v>
      </c>
      <c r="H563" s="8">
        <v>25000</v>
      </c>
      <c r="I563" s="45">
        <f t="shared" si="51"/>
        <v>8000</v>
      </c>
      <c r="J563" s="8">
        <v>25000</v>
      </c>
      <c r="K563" s="45">
        <f t="shared" si="52"/>
        <v>8000</v>
      </c>
      <c r="L563" s="8">
        <v>25000</v>
      </c>
      <c r="M563" s="9">
        <v>9</v>
      </c>
      <c r="N563" s="9">
        <v>16.100000000000001</v>
      </c>
      <c r="O563" s="9">
        <v>14</v>
      </c>
      <c r="P563" s="9">
        <v>19.5</v>
      </c>
      <c r="Q563" s="9">
        <v>2.4</v>
      </c>
      <c r="R563">
        <v>10</v>
      </c>
      <c r="S563">
        <v>1000</v>
      </c>
      <c r="T563" s="4">
        <f t="shared" si="53"/>
        <v>294.39400386384426</v>
      </c>
      <c r="U563">
        <v>76</v>
      </c>
    </row>
    <row r="564" spans="1:21">
      <c r="A564" s="44">
        <f t="shared" si="48"/>
        <v>45862.374999998639</v>
      </c>
      <c r="B564" s="45">
        <f t="shared" si="49"/>
        <v>8000</v>
      </c>
      <c r="C564" s="8">
        <v>25000</v>
      </c>
      <c r="D564" s="8">
        <v>0</v>
      </c>
      <c r="E564" s="8">
        <v>700</v>
      </c>
      <c r="F564" s="8">
        <v>15000</v>
      </c>
      <c r="G564" s="45">
        <f t="shared" si="50"/>
        <v>2400</v>
      </c>
      <c r="H564" s="8">
        <v>25000</v>
      </c>
      <c r="I564" s="45">
        <f t="shared" si="51"/>
        <v>8000</v>
      </c>
      <c r="J564" s="8">
        <v>25000</v>
      </c>
      <c r="K564" s="45">
        <f t="shared" si="52"/>
        <v>8000</v>
      </c>
      <c r="L564" s="8">
        <v>25000</v>
      </c>
      <c r="M564" s="9">
        <v>9</v>
      </c>
      <c r="N564" s="9">
        <v>16.100000000000001</v>
      </c>
      <c r="O564" s="9">
        <v>14</v>
      </c>
      <c r="P564" s="9">
        <v>19.5</v>
      </c>
      <c r="Q564" s="9">
        <v>2.7</v>
      </c>
      <c r="R564">
        <v>10</v>
      </c>
      <c r="S564">
        <v>1000</v>
      </c>
      <c r="T564" s="4">
        <f t="shared" si="53"/>
        <v>317.20978371993255</v>
      </c>
      <c r="U564">
        <v>57</v>
      </c>
    </row>
    <row r="565" spans="1:21">
      <c r="A565" s="44">
        <f t="shared" si="48"/>
        <v>45862.416666665304</v>
      </c>
      <c r="B565" s="45">
        <f t="shared" si="49"/>
        <v>8000</v>
      </c>
      <c r="C565" s="8">
        <v>25000</v>
      </c>
      <c r="D565" s="8">
        <v>0</v>
      </c>
      <c r="E565" s="8">
        <v>700</v>
      </c>
      <c r="F565" s="8">
        <v>15000</v>
      </c>
      <c r="G565" s="45">
        <f t="shared" si="50"/>
        <v>2400</v>
      </c>
      <c r="H565" s="8">
        <v>25000</v>
      </c>
      <c r="I565" s="45">
        <f t="shared" si="51"/>
        <v>8000</v>
      </c>
      <c r="J565" s="8">
        <v>25000</v>
      </c>
      <c r="K565" s="45">
        <f t="shared" si="52"/>
        <v>8000</v>
      </c>
      <c r="L565" s="8">
        <v>25000</v>
      </c>
      <c r="M565" s="9">
        <v>9</v>
      </c>
      <c r="N565" s="9">
        <v>16.100000000000001</v>
      </c>
      <c r="O565" s="9">
        <v>14</v>
      </c>
      <c r="P565" s="9">
        <v>19.5</v>
      </c>
      <c r="Q565" s="9">
        <v>2.4</v>
      </c>
      <c r="R565">
        <v>10</v>
      </c>
      <c r="S565">
        <v>1000</v>
      </c>
      <c r="T565" s="4">
        <f t="shared" si="53"/>
        <v>308.08347177749721</v>
      </c>
      <c r="U565">
        <v>35</v>
      </c>
    </row>
    <row r="566" spans="1:21">
      <c r="A566" s="44">
        <f t="shared" si="48"/>
        <v>45862.458333331968</v>
      </c>
      <c r="B566" s="45">
        <f t="shared" si="49"/>
        <v>8000</v>
      </c>
      <c r="C566" s="8">
        <v>25000</v>
      </c>
      <c r="D566" s="8">
        <v>0</v>
      </c>
      <c r="E566" s="8">
        <v>700</v>
      </c>
      <c r="F566" s="8">
        <v>15000</v>
      </c>
      <c r="G566" s="45">
        <f t="shared" si="50"/>
        <v>2400</v>
      </c>
      <c r="H566" s="8">
        <v>25000</v>
      </c>
      <c r="I566" s="45">
        <f t="shared" si="51"/>
        <v>8000</v>
      </c>
      <c r="J566" s="8">
        <v>25000</v>
      </c>
      <c r="K566" s="45">
        <f t="shared" si="52"/>
        <v>8000</v>
      </c>
      <c r="L566" s="8">
        <v>25000</v>
      </c>
      <c r="M566" s="9">
        <v>9</v>
      </c>
      <c r="N566" s="9">
        <v>16.100000000000001</v>
      </c>
      <c r="O566" s="9">
        <v>14</v>
      </c>
      <c r="P566" s="9">
        <v>19.5</v>
      </c>
      <c r="Q566" s="9">
        <v>2.6</v>
      </c>
      <c r="R566">
        <v>10</v>
      </c>
      <c r="S566">
        <v>1000</v>
      </c>
      <c r="T566" s="4">
        <f t="shared" si="53"/>
        <v>303.80551305448063</v>
      </c>
      <c r="U566">
        <v>27</v>
      </c>
    </row>
    <row r="567" spans="1:21">
      <c r="A567" s="44">
        <f t="shared" si="48"/>
        <v>45862.499999998632</v>
      </c>
      <c r="B567" s="45">
        <f t="shared" si="49"/>
        <v>8000</v>
      </c>
      <c r="C567" s="8">
        <v>25000</v>
      </c>
      <c r="D567" s="8">
        <v>0</v>
      </c>
      <c r="E567" s="8">
        <v>700</v>
      </c>
      <c r="F567" s="8">
        <v>15000</v>
      </c>
      <c r="G567" s="45">
        <f t="shared" si="50"/>
        <v>2400</v>
      </c>
      <c r="H567" s="8">
        <v>25000</v>
      </c>
      <c r="I567" s="45">
        <f t="shared" si="51"/>
        <v>8000</v>
      </c>
      <c r="J567" s="8">
        <v>25000</v>
      </c>
      <c r="K567" s="45">
        <f t="shared" si="52"/>
        <v>8000</v>
      </c>
      <c r="L567" s="8">
        <v>25000</v>
      </c>
      <c r="M567" s="9">
        <v>9</v>
      </c>
      <c r="N567" s="9">
        <v>16.100000000000001</v>
      </c>
      <c r="O567" s="9">
        <v>14</v>
      </c>
      <c r="P567" s="9">
        <v>19.5</v>
      </c>
      <c r="Q567" s="9">
        <v>2.6</v>
      </c>
      <c r="R567">
        <v>10</v>
      </c>
      <c r="S567">
        <v>1000</v>
      </c>
      <c r="T567" s="4">
        <f t="shared" si="53"/>
        <v>303.80551305448063</v>
      </c>
      <c r="U567">
        <v>54</v>
      </c>
    </row>
    <row r="568" spans="1:21">
      <c r="A568" s="44">
        <f t="shared" si="48"/>
        <v>45862.541666665296</v>
      </c>
      <c r="B568" s="45">
        <f t="shared" si="49"/>
        <v>8000</v>
      </c>
      <c r="C568" s="8">
        <v>25000</v>
      </c>
      <c r="D568" s="8">
        <v>0</v>
      </c>
      <c r="E568" s="8">
        <v>700</v>
      </c>
      <c r="F568" s="8">
        <v>15000</v>
      </c>
      <c r="G568" s="45">
        <f t="shared" si="50"/>
        <v>2400</v>
      </c>
      <c r="H568" s="8">
        <v>25000</v>
      </c>
      <c r="I568" s="45">
        <f t="shared" si="51"/>
        <v>8000</v>
      </c>
      <c r="J568" s="8">
        <v>25000</v>
      </c>
      <c r="K568" s="45">
        <f t="shared" si="52"/>
        <v>8000</v>
      </c>
      <c r="L568" s="8">
        <v>25000</v>
      </c>
      <c r="M568" s="9">
        <v>9</v>
      </c>
      <c r="N568" s="9">
        <v>16.100000000000001</v>
      </c>
      <c r="O568" s="9">
        <v>14</v>
      </c>
      <c r="P568" s="9">
        <v>19.5</v>
      </c>
      <c r="Q568" s="9">
        <v>3</v>
      </c>
      <c r="R568">
        <v>10</v>
      </c>
      <c r="S568">
        <v>1000</v>
      </c>
      <c r="T568" s="4">
        <f t="shared" si="53"/>
        <v>353.43040463596901</v>
      </c>
      <c r="U568">
        <v>20</v>
      </c>
    </row>
    <row r="569" spans="1:21">
      <c r="A569" s="44">
        <f t="shared" si="48"/>
        <v>45862.583333331961</v>
      </c>
      <c r="B569" s="45">
        <f t="shared" si="49"/>
        <v>8000</v>
      </c>
      <c r="C569" s="8">
        <v>25000</v>
      </c>
      <c r="D569" s="8">
        <v>0</v>
      </c>
      <c r="E569" s="8">
        <v>700</v>
      </c>
      <c r="F569" s="8">
        <v>15000</v>
      </c>
      <c r="G569" s="45">
        <f t="shared" si="50"/>
        <v>2400</v>
      </c>
      <c r="H569" s="8">
        <v>25000</v>
      </c>
      <c r="I569" s="45">
        <f t="shared" si="51"/>
        <v>8000</v>
      </c>
      <c r="J569" s="8">
        <v>25000</v>
      </c>
      <c r="K569" s="45">
        <f t="shared" si="52"/>
        <v>8000</v>
      </c>
      <c r="L569" s="8">
        <v>25000</v>
      </c>
      <c r="M569" s="9">
        <v>9</v>
      </c>
      <c r="N569" s="9">
        <v>16.100000000000001</v>
      </c>
      <c r="O569" s="9">
        <v>14</v>
      </c>
      <c r="P569" s="9">
        <v>19.5</v>
      </c>
      <c r="Q569" s="9">
        <v>2.9</v>
      </c>
      <c r="R569">
        <v>10</v>
      </c>
      <c r="S569">
        <v>1000</v>
      </c>
      <c r="T569" s="4">
        <f t="shared" si="53"/>
        <v>587.29100737188094</v>
      </c>
      <c r="U569">
        <v>97</v>
      </c>
    </row>
    <row r="570" spans="1:21">
      <c r="A570" s="44">
        <f t="shared" si="48"/>
        <v>45862.624999998625</v>
      </c>
      <c r="B570" s="45">
        <f t="shared" si="49"/>
        <v>8000</v>
      </c>
      <c r="C570" s="8">
        <v>25000</v>
      </c>
      <c r="D570" s="8">
        <v>0</v>
      </c>
      <c r="E570" s="8">
        <v>700</v>
      </c>
      <c r="F570" s="8">
        <v>15000</v>
      </c>
      <c r="G570" s="45">
        <f t="shared" si="50"/>
        <v>2400</v>
      </c>
      <c r="H570" s="8">
        <v>25000</v>
      </c>
      <c r="I570" s="45">
        <f t="shared" si="51"/>
        <v>8000</v>
      </c>
      <c r="J570" s="8">
        <v>25000</v>
      </c>
      <c r="K570" s="45">
        <f t="shared" si="52"/>
        <v>8000</v>
      </c>
      <c r="L570" s="8">
        <v>25000</v>
      </c>
      <c r="M570" s="9">
        <v>9</v>
      </c>
      <c r="N570" s="9">
        <v>16.100000000000001</v>
      </c>
      <c r="O570" s="9">
        <v>14</v>
      </c>
      <c r="P570" s="9">
        <v>19.5</v>
      </c>
      <c r="Q570" s="9">
        <v>3</v>
      </c>
      <c r="R570">
        <v>10</v>
      </c>
      <c r="S570">
        <v>1000</v>
      </c>
      <c r="T570" s="4">
        <f t="shared" si="53"/>
        <v>604.40284226394715</v>
      </c>
      <c r="U570">
        <v>86</v>
      </c>
    </row>
    <row r="571" spans="1:21">
      <c r="A571" s="44">
        <f t="shared" si="48"/>
        <v>45862.666666665289</v>
      </c>
      <c r="B571" s="45">
        <f t="shared" si="49"/>
        <v>8000</v>
      </c>
      <c r="C571" s="8">
        <v>25000</v>
      </c>
      <c r="D571" s="8">
        <v>0</v>
      </c>
      <c r="E571" s="8">
        <v>700</v>
      </c>
      <c r="F571" s="8">
        <v>15000</v>
      </c>
      <c r="G571" s="45">
        <f t="shared" si="50"/>
        <v>2400</v>
      </c>
      <c r="H571" s="8">
        <v>25000</v>
      </c>
      <c r="I571" s="45">
        <f t="shared" si="51"/>
        <v>8000</v>
      </c>
      <c r="J571" s="8">
        <v>25000</v>
      </c>
      <c r="K571" s="45">
        <f t="shared" si="52"/>
        <v>8000</v>
      </c>
      <c r="L571" s="8">
        <v>25000</v>
      </c>
      <c r="M571" s="9">
        <v>9</v>
      </c>
      <c r="N571" s="9">
        <v>16.100000000000001</v>
      </c>
      <c r="O571" s="9">
        <v>14</v>
      </c>
      <c r="P571" s="9">
        <v>19.5</v>
      </c>
      <c r="Q571" s="9">
        <v>2.4</v>
      </c>
      <c r="R571">
        <v>10</v>
      </c>
      <c r="S571">
        <v>1000</v>
      </c>
      <c r="T571" s="4">
        <f t="shared" si="53"/>
        <v>875.91062255139741</v>
      </c>
      <c r="U571">
        <v>27</v>
      </c>
    </row>
    <row r="572" spans="1:21">
      <c r="A572" s="44">
        <f t="shared" si="48"/>
        <v>45862.708333331953</v>
      </c>
      <c r="B572" s="45">
        <f t="shared" si="49"/>
        <v>8000</v>
      </c>
      <c r="C572" s="8">
        <v>25000</v>
      </c>
      <c r="D572" s="8">
        <v>0</v>
      </c>
      <c r="E572" s="8">
        <v>700</v>
      </c>
      <c r="F572" s="8">
        <v>15000</v>
      </c>
      <c r="G572" s="45">
        <f t="shared" si="50"/>
        <v>2400</v>
      </c>
      <c r="H572" s="8">
        <v>25000</v>
      </c>
      <c r="I572" s="45">
        <f t="shared" si="51"/>
        <v>8000</v>
      </c>
      <c r="J572" s="8">
        <v>25000</v>
      </c>
      <c r="K572" s="45">
        <f t="shared" si="52"/>
        <v>8000</v>
      </c>
      <c r="L572" s="8">
        <v>25000</v>
      </c>
      <c r="M572" s="9">
        <v>9</v>
      </c>
      <c r="N572" s="9">
        <v>16.100000000000001</v>
      </c>
      <c r="O572" s="9">
        <v>14</v>
      </c>
      <c r="P572" s="9">
        <v>19.5</v>
      </c>
      <c r="Q572" s="9">
        <v>2.9</v>
      </c>
      <c r="R572">
        <v>10</v>
      </c>
      <c r="S572">
        <v>1000</v>
      </c>
      <c r="T572" s="4">
        <f t="shared" si="53"/>
        <v>1116.9022972813298</v>
      </c>
      <c r="U572">
        <v>40</v>
      </c>
    </row>
    <row r="573" spans="1:21">
      <c r="A573" s="44">
        <f t="shared" si="48"/>
        <v>45862.749999998618</v>
      </c>
      <c r="B573" s="45">
        <f t="shared" si="49"/>
        <v>5000</v>
      </c>
      <c r="C573" s="8">
        <v>25000</v>
      </c>
      <c r="D573" s="8">
        <v>0</v>
      </c>
      <c r="E573" s="8">
        <v>700</v>
      </c>
      <c r="F573" s="8">
        <v>15000</v>
      </c>
      <c r="G573" s="45">
        <f t="shared" si="50"/>
        <v>2400</v>
      </c>
      <c r="H573" s="8">
        <v>25000</v>
      </c>
      <c r="I573" s="45">
        <f t="shared" si="51"/>
        <v>5000</v>
      </c>
      <c r="J573" s="8">
        <v>25000</v>
      </c>
      <c r="K573" s="45">
        <f t="shared" si="52"/>
        <v>5000</v>
      </c>
      <c r="L573" s="8">
        <v>25000</v>
      </c>
      <c r="M573" s="9">
        <v>9</v>
      </c>
      <c r="N573" s="9">
        <v>16.100000000000001</v>
      </c>
      <c r="O573" s="9">
        <v>14</v>
      </c>
      <c r="P573" s="9">
        <v>19.5</v>
      </c>
      <c r="Q573" s="9">
        <v>3</v>
      </c>
      <c r="R573">
        <v>10</v>
      </c>
      <c r="S573">
        <v>1000</v>
      </c>
      <c r="T573" s="4">
        <f t="shared" si="53"/>
        <v>1156.8299120294841</v>
      </c>
      <c r="U573">
        <v>26</v>
      </c>
    </row>
    <row r="574" spans="1:21">
      <c r="A574" s="44">
        <f t="shared" si="48"/>
        <v>45862.791666665282</v>
      </c>
      <c r="B574" s="45">
        <f t="shared" si="49"/>
        <v>5000</v>
      </c>
      <c r="C574" s="8">
        <v>25000</v>
      </c>
      <c r="D574" s="8">
        <v>0</v>
      </c>
      <c r="E574" s="8">
        <v>700</v>
      </c>
      <c r="F574" s="8">
        <v>15000</v>
      </c>
      <c r="G574" s="45">
        <f t="shared" si="50"/>
        <v>2400</v>
      </c>
      <c r="H574" s="8">
        <v>25000</v>
      </c>
      <c r="I574" s="45">
        <f t="shared" si="51"/>
        <v>5000</v>
      </c>
      <c r="J574" s="8">
        <v>25000</v>
      </c>
      <c r="K574" s="45">
        <f t="shared" si="52"/>
        <v>5000</v>
      </c>
      <c r="L574" s="8">
        <v>25000</v>
      </c>
      <c r="M574" s="9">
        <v>9</v>
      </c>
      <c r="N574" s="9">
        <v>16.100000000000001</v>
      </c>
      <c r="O574" s="9">
        <v>14</v>
      </c>
      <c r="P574" s="9">
        <v>19.5</v>
      </c>
      <c r="Q574" s="9">
        <v>2.8</v>
      </c>
      <c r="R574">
        <v>10</v>
      </c>
      <c r="S574">
        <v>1000</v>
      </c>
      <c r="T574" s="4">
        <f t="shared" si="53"/>
        <v>1156.8299120294841</v>
      </c>
      <c r="U574">
        <v>59</v>
      </c>
    </row>
    <row r="575" spans="1:21">
      <c r="A575" s="44">
        <f t="shared" si="48"/>
        <v>45862.833333331946</v>
      </c>
      <c r="B575" s="45">
        <f t="shared" si="49"/>
        <v>5000</v>
      </c>
      <c r="C575" s="8">
        <v>25000</v>
      </c>
      <c r="D575" s="8">
        <v>0</v>
      </c>
      <c r="E575" s="8">
        <v>700</v>
      </c>
      <c r="F575" s="8">
        <v>15000</v>
      </c>
      <c r="G575" s="45">
        <f t="shared" si="50"/>
        <v>2400</v>
      </c>
      <c r="H575" s="8">
        <v>25000</v>
      </c>
      <c r="I575" s="45">
        <f t="shared" si="51"/>
        <v>5000</v>
      </c>
      <c r="J575" s="8">
        <v>25000</v>
      </c>
      <c r="K575" s="45">
        <f t="shared" si="52"/>
        <v>5000</v>
      </c>
      <c r="L575" s="8">
        <v>25000</v>
      </c>
      <c r="M575" s="9">
        <v>9</v>
      </c>
      <c r="N575" s="9">
        <v>16.100000000000001</v>
      </c>
      <c r="O575" s="9">
        <v>14</v>
      </c>
      <c r="P575" s="9">
        <v>19.5</v>
      </c>
      <c r="Q575" s="9">
        <v>2.8</v>
      </c>
      <c r="R575">
        <v>10</v>
      </c>
      <c r="S575">
        <v>1000</v>
      </c>
      <c r="T575" s="4">
        <f t="shared" si="53"/>
        <v>1114.0503247993186</v>
      </c>
      <c r="U575">
        <v>47</v>
      </c>
    </row>
    <row r="576" spans="1:21">
      <c r="A576" s="44">
        <f t="shared" si="48"/>
        <v>45862.87499999861</v>
      </c>
      <c r="B576" s="45">
        <f t="shared" si="49"/>
        <v>5000</v>
      </c>
      <c r="C576" s="8">
        <v>25000</v>
      </c>
      <c r="D576" s="8">
        <v>0</v>
      </c>
      <c r="E576" s="8">
        <v>700</v>
      </c>
      <c r="F576" s="8">
        <v>15000</v>
      </c>
      <c r="G576" s="45">
        <f t="shared" si="50"/>
        <v>2400</v>
      </c>
      <c r="H576" s="8">
        <v>25000</v>
      </c>
      <c r="I576" s="45">
        <f t="shared" si="51"/>
        <v>5000</v>
      </c>
      <c r="J576" s="8">
        <v>25000</v>
      </c>
      <c r="K576" s="45">
        <f t="shared" si="52"/>
        <v>5000</v>
      </c>
      <c r="L576" s="8">
        <v>25000</v>
      </c>
      <c r="M576" s="9">
        <v>9</v>
      </c>
      <c r="N576" s="9">
        <v>16.100000000000001</v>
      </c>
      <c r="O576" s="9">
        <v>14</v>
      </c>
      <c r="P576" s="9">
        <v>19.5</v>
      </c>
      <c r="Q576" s="9">
        <v>2.4</v>
      </c>
      <c r="R576">
        <v>10</v>
      </c>
      <c r="S576">
        <v>1000</v>
      </c>
      <c r="T576" s="4">
        <f t="shared" si="53"/>
        <v>1034.1950953030096</v>
      </c>
      <c r="U576">
        <v>26</v>
      </c>
    </row>
    <row r="577" spans="1:21">
      <c r="A577" s="44">
        <f t="shared" si="48"/>
        <v>45862.916666665275</v>
      </c>
      <c r="B577" s="45">
        <f t="shared" si="49"/>
        <v>5000</v>
      </c>
      <c r="C577" s="8">
        <v>25000</v>
      </c>
      <c r="D577" s="8">
        <v>0</v>
      </c>
      <c r="E577" s="8">
        <v>700</v>
      </c>
      <c r="F577" s="8">
        <v>15000</v>
      </c>
      <c r="G577" s="45">
        <f t="shared" si="50"/>
        <v>2400</v>
      </c>
      <c r="H577" s="8">
        <v>25000</v>
      </c>
      <c r="I577" s="45">
        <f t="shared" si="51"/>
        <v>5000</v>
      </c>
      <c r="J577" s="8">
        <v>25000</v>
      </c>
      <c r="K577" s="45">
        <f t="shared" si="52"/>
        <v>5000</v>
      </c>
      <c r="L577" s="8">
        <v>25000</v>
      </c>
      <c r="M577" s="9">
        <v>9</v>
      </c>
      <c r="N577" s="9">
        <v>16.100000000000001</v>
      </c>
      <c r="O577" s="9">
        <v>14</v>
      </c>
      <c r="P577" s="9">
        <v>19.5</v>
      </c>
      <c r="Q577" s="9">
        <v>3</v>
      </c>
      <c r="R577">
        <v>10</v>
      </c>
      <c r="S577">
        <v>1000</v>
      </c>
      <c r="T577" s="4">
        <f t="shared" si="53"/>
        <v>807.46328298313267</v>
      </c>
      <c r="U577">
        <v>60</v>
      </c>
    </row>
    <row r="578" spans="1:21">
      <c r="A578" s="44">
        <f t="shared" si="48"/>
        <v>45862.958333331939</v>
      </c>
      <c r="B578" s="45">
        <f t="shared" si="49"/>
        <v>5000</v>
      </c>
      <c r="C578" s="8">
        <v>25000</v>
      </c>
      <c r="D578" s="8">
        <v>0</v>
      </c>
      <c r="E578" s="8">
        <v>700</v>
      </c>
      <c r="F578" s="8">
        <v>15000</v>
      </c>
      <c r="G578" s="45">
        <f t="shared" si="50"/>
        <v>2400</v>
      </c>
      <c r="H578" s="8">
        <v>25000</v>
      </c>
      <c r="I578" s="45">
        <f t="shared" si="51"/>
        <v>5000</v>
      </c>
      <c r="J578" s="8">
        <v>25000</v>
      </c>
      <c r="K578" s="45">
        <f t="shared" si="52"/>
        <v>5000</v>
      </c>
      <c r="L578" s="8">
        <v>25000</v>
      </c>
      <c r="M578" s="9">
        <v>9</v>
      </c>
      <c r="N578" s="9">
        <v>16.100000000000001</v>
      </c>
      <c r="O578" s="9">
        <v>14</v>
      </c>
      <c r="P578" s="9">
        <v>19.5</v>
      </c>
      <c r="Q578" s="9">
        <v>2.6</v>
      </c>
      <c r="R578">
        <v>10</v>
      </c>
      <c r="S578">
        <v>1000</v>
      </c>
      <c r="T578" s="4">
        <f t="shared" si="53"/>
        <v>442.69657292841788</v>
      </c>
      <c r="U578">
        <v>88</v>
      </c>
    </row>
    <row r="579" spans="1:21">
      <c r="A579" s="44">
        <f t="shared" si="48"/>
        <v>45862.999999998603</v>
      </c>
      <c r="B579" s="45">
        <f t="shared" si="49"/>
        <v>5000</v>
      </c>
      <c r="C579" s="8">
        <v>25000</v>
      </c>
      <c r="D579" s="8">
        <v>0</v>
      </c>
      <c r="E579" s="8">
        <v>700</v>
      </c>
      <c r="F579" s="8">
        <v>15000</v>
      </c>
      <c r="G579" s="45">
        <f t="shared" si="50"/>
        <v>2400</v>
      </c>
      <c r="H579" s="8">
        <v>25000</v>
      </c>
      <c r="I579" s="45">
        <f t="shared" si="51"/>
        <v>5000</v>
      </c>
      <c r="J579" s="8">
        <v>25000</v>
      </c>
      <c r="K579" s="45">
        <f t="shared" si="52"/>
        <v>5000</v>
      </c>
      <c r="L579" s="8">
        <v>25000</v>
      </c>
      <c r="M579" s="9">
        <v>9</v>
      </c>
      <c r="N579" s="9">
        <v>16.100000000000001</v>
      </c>
      <c r="O579" s="9">
        <v>14</v>
      </c>
      <c r="P579" s="9">
        <v>19.5</v>
      </c>
      <c r="Q579" s="9">
        <v>3</v>
      </c>
      <c r="R579">
        <v>10</v>
      </c>
      <c r="S579">
        <v>1000</v>
      </c>
      <c r="T579" s="4">
        <f t="shared" si="53"/>
        <v>442.69657292841788</v>
      </c>
      <c r="U579">
        <v>89</v>
      </c>
    </row>
    <row r="580" spans="1:21">
      <c r="A580" s="44">
        <f t="shared" si="48"/>
        <v>45863.041666665267</v>
      </c>
      <c r="B580" s="45">
        <f t="shared" si="49"/>
        <v>5000</v>
      </c>
      <c r="C580" s="8">
        <v>25000</v>
      </c>
      <c r="D580" s="8">
        <v>0</v>
      </c>
      <c r="E580" s="8">
        <v>700</v>
      </c>
      <c r="F580" s="8">
        <v>15000</v>
      </c>
      <c r="G580" s="45">
        <f t="shared" si="50"/>
        <v>2400</v>
      </c>
      <c r="H580" s="8">
        <v>25000</v>
      </c>
      <c r="I580" s="45">
        <f t="shared" si="51"/>
        <v>5000</v>
      </c>
      <c r="J580" s="8">
        <v>25000</v>
      </c>
      <c r="K580" s="45">
        <f t="shared" si="52"/>
        <v>5000</v>
      </c>
      <c r="L580" s="8">
        <v>25000</v>
      </c>
      <c r="M580" s="9">
        <v>9</v>
      </c>
      <c r="N580" s="9">
        <v>16.100000000000001</v>
      </c>
      <c r="O580" s="9">
        <v>14</v>
      </c>
      <c r="P580" s="9">
        <v>19.5</v>
      </c>
      <c r="Q580" s="9">
        <v>2.8</v>
      </c>
      <c r="R580">
        <v>10</v>
      </c>
      <c r="S580">
        <v>1000</v>
      </c>
      <c r="T580" s="4">
        <f t="shared" si="53"/>
        <v>362.27094893570683</v>
      </c>
      <c r="U580">
        <v>60</v>
      </c>
    </row>
    <row r="581" spans="1:21">
      <c r="A581" s="44">
        <f t="shared" ref="A581:A625" si="54">A580+TIME(1,0,0)</f>
        <v>45863.083333331931</v>
      </c>
      <c r="B581" s="45">
        <f t="shared" si="49"/>
        <v>5000</v>
      </c>
      <c r="C581" s="8">
        <v>25000</v>
      </c>
      <c r="D581" s="8">
        <v>0</v>
      </c>
      <c r="E581" s="8">
        <v>700</v>
      </c>
      <c r="F581" s="8">
        <v>15000</v>
      </c>
      <c r="G581" s="45">
        <f t="shared" si="50"/>
        <v>2400</v>
      </c>
      <c r="H581" s="8">
        <v>25000</v>
      </c>
      <c r="I581" s="45">
        <f t="shared" si="51"/>
        <v>5000</v>
      </c>
      <c r="J581" s="8">
        <v>25000</v>
      </c>
      <c r="K581" s="45">
        <f t="shared" si="52"/>
        <v>5000</v>
      </c>
      <c r="L581" s="8">
        <v>25000</v>
      </c>
      <c r="M581" s="9">
        <v>9</v>
      </c>
      <c r="N581" s="9">
        <v>16.100000000000001</v>
      </c>
      <c r="O581" s="9">
        <v>14</v>
      </c>
      <c r="P581" s="9">
        <v>19.5</v>
      </c>
      <c r="Q581" s="9">
        <v>3</v>
      </c>
      <c r="R581">
        <v>10</v>
      </c>
      <c r="S581">
        <v>1000</v>
      </c>
      <c r="T581" s="4">
        <f t="shared" si="53"/>
        <v>362.27094893570683</v>
      </c>
      <c r="U581">
        <v>37</v>
      </c>
    </row>
    <row r="582" spans="1:21">
      <c r="A582" s="44">
        <f t="shared" si="54"/>
        <v>45863.124999998596</v>
      </c>
      <c r="B582" s="45">
        <f t="shared" si="49"/>
        <v>5000</v>
      </c>
      <c r="C582" s="8">
        <v>25000</v>
      </c>
      <c r="D582" s="8">
        <v>0</v>
      </c>
      <c r="E582" s="8">
        <v>700</v>
      </c>
      <c r="F582" s="8">
        <v>15000</v>
      </c>
      <c r="G582" s="45">
        <f t="shared" si="50"/>
        <v>2400</v>
      </c>
      <c r="H582" s="8">
        <v>25000</v>
      </c>
      <c r="I582" s="45">
        <f t="shared" si="51"/>
        <v>5000</v>
      </c>
      <c r="J582" s="8">
        <v>25000</v>
      </c>
      <c r="K582" s="45">
        <f t="shared" si="52"/>
        <v>5000</v>
      </c>
      <c r="L582" s="8">
        <v>25000</v>
      </c>
      <c r="M582" s="9">
        <v>9</v>
      </c>
      <c r="N582" s="9">
        <v>16.100000000000001</v>
      </c>
      <c r="O582" s="9">
        <v>14</v>
      </c>
      <c r="P582" s="9">
        <v>19.5</v>
      </c>
      <c r="Q582" s="9">
        <v>2.4</v>
      </c>
      <c r="R582">
        <v>10</v>
      </c>
      <c r="S582">
        <v>1000</v>
      </c>
      <c r="T582" s="4">
        <f t="shared" si="53"/>
        <v>362.27094893570683</v>
      </c>
      <c r="U582">
        <v>54</v>
      </c>
    </row>
    <row r="583" spans="1:21">
      <c r="A583" s="44">
        <f t="shared" si="54"/>
        <v>45863.16666666526</v>
      </c>
      <c r="B583" s="45">
        <f t="shared" si="49"/>
        <v>5000</v>
      </c>
      <c r="C583" s="8">
        <v>25000</v>
      </c>
      <c r="D583" s="8">
        <v>0</v>
      </c>
      <c r="E583" s="8">
        <v>700</v>
      </c>
      <c r="F583" s="8">
        <v>15000</v>
      </c>
      <c r="G583" s="45">
        <f t="shared" si="50"/>
        <v>2400</v>
      </c>
      <c r="H583" s="8">
        <v>25000</v>
      </c>
      <c r="I583" s="45">
        <f t="shared" si="51"/>
        <v>5000</v>
      </c>
      <c r="J583" s="8">
        <v>25000</v>
      </c>
      <c r="K583" s="45">
        <f t="shared" si="52"/>
        <v>5000</v>
      </c>
      <c r="L583" s="8">
        <v>25000</v>
      </c>
      <c r="M583" s="9">
        <v>9</v>
      </c>
      <c r="N583" s="9">
        <v>16.100000000000001</v>
      </c>
      <c r="O583" s="9">
        <v>14</v>
      </c>
      <c r="P583" s="9">
        <v>19.5</v>
      </c>
      <c r="Q583" s="9">
        <v>2.8</v>
      </c>
      <c r="R583">
        <v>10</v>
      </c>
      <c r="S583">
        <v>1000</v>
      </c>
      <c r="T583" s="4">
        <f t="shared" si="53"/>
        <v>426.44032978095498</v>
      </c>
      <c r="U583">
        <v>63</v>
      </c>
    </row>
    <row r="584" spans="1:21">
      <c r="A584" s="44">
        <f t="shared" si="54"/>
        <v>45863.208333331924</v>
      </c>
      <c r="B584" s="45">
        <f t="shared" si="49"/>
        <v>5000</v>
      </c>
      <c r="C584" s="8">
        <v>25000</v>
      </c>
      <c r="D584" s="8">
        <v>0</v>
      </c>
      <c r="E584" s="8">
        <v>700</v>
      </c>
      <c r="F584" s="8">
        <v>15000</v>
      </c>
      <c r="G584" s="45">
        <f t="shared" si="50"/>
        <v>2400</v>
      </c>
      <c r="H584" s="8">
        <v>25000</v>
      </c>
      <c r="I584" s="45">
        <f t="shared" si="51"/>
        <v>5000</v>
      </c>
      <c r="J584" s="8">
        <v>25000</v>
      </c>
      <c r="K584" s="45">
        <f t="shared" si="52"/>
        <v>5000</v>
      </c>
      <c r="L584" s="8">
        <v>25000</v>
      </c>
      <c r="M584" s="9">
        <v>9</v>
      </c>
      <c r="N584" s="9">
        <v>16.100000000000001</v>
      </c>
      <c r="O584" s="9">
        <v>14</v>
      </c>
      <c r="P584" s="9">
        <v>19.5</v>
      </c>
      <c r="Q584" s="9">
        <v>2.4</v>
      </c>
      <c r="R584">
        <v>10</v>
      </c>
      <c r="S584">
        <v>1000</v>
      </c>
      <c r="T584" s="4">
        <f t="shared" si="53"/>
        <v>362.27094893570683</v>
      </c>
      <c r="U584">
        <v>44</v>
      </c>
    </row>
    <row r="585" spans="1:21">
      <c r="A585" s="44">
        <f t="shared" si="54"/>
        <v>45863.249999998588</v>
      </c>
      <c r="B585" s="45">
        <f t="shared" si="49"/>
        <v>8000</v>
      </c>
      <c r="C585" s="8">
        <v>25000</v>
      </c>
      <c r="D585" s="8">
        <v>0</v>
      </c>
      <c r="E585" s="8">
        <v>700</v>
      </c>
      <c r="F585" s="8">
        <v>15000</v>
      </c>
      <c r="G585" s="45">
        <f t="shared" si="50"/>
        <v>2400</v>
      </c>
      <c r="H585" s="8">
        <v>25000</v>
      </c>
      <c r="I585" s="45">
        <f t="shared" si="51"/>
        <v>8000</v>
      </c>
      <c r="J585" s="8">
        <v>25000</v>
      </c>
      <c r="K585" s="45">
        <f t="shared" si="52"/>
        <v>8000</v>
      </c>
      <c r="L585" s="8">
        <v>25000</v>
      </c>
      <c r="M585" s="9">
        <v>9</v>
      </c>
      <c r="N585" s="9">
        <v>16.100000000000001</v>
      </c>
      <c r="O585" s="9">
        <v>14</v>
      </c>
      <c r="P585" s="9">
        <v>19.5</v>
      </c>
      <c r="Q585" s="9">
        <v>3</v>
      </c>
      <c r="R585">
        <v>10</v>
      </c>
      <c r="S585">
        <v>1000</v>
      </c>
      <c r="T585" s="4">
        <f t="shared" si="53"/>
        <v>304.3759075508828</v>
      </c>
      <c r="U585">
        <v>86</v>
      </c>
    </row>
    <row r="586" spans="1:21">
      <c r="A586" s="44">
        <f t="shared" si="54"/>
        <v>45863.291666665253</v>
      </c>
      <c r="B586" s="45">
        <f t="shared" si="49"/>
        <v>8000</v>
      </c>
      <c r="C586" s="8">
        <v>25000</v>
      </c>
      <c r="D586" s="8">
        <v>0</v>
      </c>
      <c r="E586" s="8">
        <v>700</v>
      </c>
      <c r="F586" s="8">
        <v>15000</v>
      </c>
      <c r="G586" s="45">
        <f t="shared" si="50"/>
        <v>2400</v>
      </c>
      <c r="H586" s="8">
        <v>25000</v>
      </c>
      <c r="I586" s="45">
        <f t="shared" si="51"/>
        <v>8000</v>
      </c>
      <c r="J586" s="8">
        <v>25000</v>
      </c>
      <c r="K586" s="45">
        <f t="shared" si="52"/>
        <v>8000</v>
      </c>
      <c r="L586" s="8">
        <v>25000</v>
      </c>
      <c r="M586" s="9">
        <v>9</v>
      </c>
      <c r="N586" s="9">
        <v>16.100000000000001</v>
      </c>
      <c r="O586" s="9">
        <v>14</v>
      </c>
      <c r="P586" s="9">
        <v>19.5</v>
      </c>
      <c r="Q586" s="9">
        <v>2.4</v>
      </c>
      <c r="R586">
        <v>10</v>
      </c>
      <c r="S586">
        <v>1000</v>
      </c>
      <c r="T586" s="4">
        <f t="shared" si="53"/>
        <v>280.13414145378908</v>
      </c>
      <c r="U586">
        <v>66</v>
      </c>
    </row>
    <row r="587" spans="1:21">
      <c r="A587" s="44">
        <f t="shared" si="54"/>
        <v>45863.333333331917</v>
      </c>
      <c r="B587" s="45">
        <f t="shared" si="49"/>
        <v>8000</v>
      </c>
      <c r="C587" s="8">
        <v>25000</v>
      </c>
      <c r="D587" s="8">
        <v>0</v>
      </c>
      <c r="E587" s="8">
        <v>700</v>
      </c>
      <c r="F587" s="8">
        <v>15000</v>
      </c>
      <c r="G587" s="45">
        <f t="shared" si="50"/>
        <v>2400</v>
      </c>
      <c r="H587" s="8">
        <v>25000</v>
      </c>
      <c r="I587" s="45">
        <f t="shared" si="51"/>
        <v>8000</v>
      </c>
      <c r="J587" s="8">
        <v>25000</v>
      </c>
      <c r="K587" s="45">
        <f t="shared" si="52"/>
        <v>8000</v>
      </c>
      <c r="L587" s="8">
        <v>25000</v>
      </c>
      <c r="M587" s="9">
        <v>9</v>
      </c>
      <c r="N587" s="9">
        <v>16.100000000000001</v>
      </c>
      <c r="O587" s="9">
        <v>14</v>
      </c>
      <c r="P587" s="9">
        <v>19.5</v>
      </c>
      <c r="Q587" s="9">
        <v>2.8</v>
      </c>
      <c r="R587">
        <v>10</v>
      </c>
      <c r="S587">
        <v>1000</v>
      </c>
      <c r="T587" s="4">
        <f t="shared" si="53"/>
        <v>294.39400386384426</v>
      </c>
      <c r="U587">
        <v>71</v>
      </c>
    </row>
    <row r="588" spans="1:21">
      <c r="A588" s="44">
        <f t="shared" si="54"/>
        <v>45863.374999998581</v>
      </c>
      <c r="B588" s="45">
        <f t="shared" si="49"/>
        <v>8000</v>
      </c>
      <c r="C588" s="8">
        <v>25000</v>
      </c>
      <c r="D588" s="8">
        <v>0</v>
      </c>
      <c r="E588" s="8">
        <v>700</v>
      </c>
      <c r="F588" s="8">
        <v>15000</v>
      </c>
      <c r="G588" s="45">
        <f t="shared" si="50"/>
        <v>2400</v>
      </c>
      <c r="H588" s="8">
        <v>25000</v>
      </c>
      <c r="I588" s="45">
        <f t="shared" si="51"/>
        <v>8000</v>
      </c>
      <c r="J588" s="8">
        <v>25000</v>
      </c>
      <c r="K588" s="45">
        <f t="shared" si="52"/>
        <v>8000</v>
      </c>
      <c r="L588" s="8">
        <v>25000</v>
      </c>
      <c r="M588" s="9">
        <v>9</v>
      </c>
      <c r="N588" s="9">
        <v>16.100000000000001</v>
      </c>
      <c r="O588" s="9">
        <v>14</v>
      </c>
      <c r="P588" s="9">
        <v>19.5</v>
      </c>
      <c r="Q588" s="9">
        <v>2.8</v>
      </c>
      <c r="R588">
        <v>10</v>
      </c>
      <c r="S588">
        <v>1000</v>
      </c>
      <c r="T588" s="4">
        <f t="shared" si="53"/>
        <v>317.20978371993255</v>
      </c>
      <c r="U588">
        <v>14</v>
      </c>
    </row>
    <row r="589" spans="1:21">
      <c r="A589" s="44">
        <f t="shared" si="54"/>
        <v>45863.416666665245</v>
      </c>
      <c r="B589" s="45">
        <f t="shared" si="49"/>
        <v>8000</v>
      </c>
      <c r="C589" s="8">
        <v>25000</v>
      </c>
      <c r="D589" s="8">
        <v>0</v>
      </c>
      <c r="E589" s="8">
        <v>700</v>
      </c>
      <c r="F589" s="8">
        <v>15000</v>
      </c>
      <c r="G589" s="45">
        <f t="shared" si="50"/>
        <v>2400</v>
      </c>
      <c r="H589" s="8">
        <v>25000</v>
      </c>
      <c r="I589" s="45">
        <f t="shared" si="51"/>
        <v>8000</v>
      </c>
      <c r="J589" s="8">
        <v>25000</v>
      </c>
      <c r="K589" s="45">
        <f t="shared" si="52"/>
        <v>8000</v>
      </c>
      <c r="L589" s="8">
        <v>25000</v>
      </c>
      <c r="M589" s="9">
        <v>9</v>
      </c>
      <c r="N589" s="9">
        <v>16.100000000000001</v>
      </c>
      <c r="O589" s="9">
        <v>14</v>
      </c>
      <c r="P589" s="9">
        <v>19.5</v>
      </c>
      <c r="Q589" s="9">
        <v>2.4</v>
      </c>
      <c r="R589">
        <v>10</v>
      </c>
      <c r="S589">
        <v>1000</v>
      </c>
      <c r="T589" s="4">
        <f t="shared" si="53"/>
        <v>308.08347177749721</v>
      </c>
      <c r="U589">
        <v>91</v>
      </c>
    </row>
    <row r="590" spans="1:21">
      <c r="A590" s="44">
        <f t="shared" si="54"/>
        <v>45863.45833333191</v>
      </c>
      <c r="B590" s="45">
        <f t="shared" si="49"/>
        <v>8000</v>
      </c>
      <c r="C590" s="8">
        <v>25000</v>
      </c>
      <c r="D590" s="8">
        <v>0</v>
      </c>
      <c r="E590" s="8">
        <v>700</v>
      </c>
      <c r="F590" s="8">
        <v>15000</v>
      </c>
      <c r="G590" s="45">
        <f t="shared" si="50"/>
        <v>2400</v>
      </c>
      <c r="H590" s="8">
        <v>25000</v>
      </c>
      <c r="I590" s="45">
        <f t="shared" si="51"/>
        <v>8000</v>
      </c>
      <c r="J590" s="8">
        <v>25000</v>
      </c>
      <c r="K590" s="45">
        <f t="shared" si="52"/>
        <v>8000</v>
      </c>
      <c r="L590" s="8">
        <v>25000</v>
      </c>
      <c r="M590" s="9">
        <v>9</v>
      </c>
      <c r="N590" s="9">
        <v>16.100000000000001</v>
      </c>
      <c r="O590" s="9">
        <v>14</v>
      </c>
      <c r="P590" s="9">
        <v>19.5</v>
      </c>
      <c r="Q590" s="9">
        <v>3</v>
      </c>
      <c r="R590">
        <v>10</v>
      </c>
      <c r="S590">
        <v>1000</v>
      </c>
      <c r="T590" s="4">
        <f t="shared" si="53"/>
        <v>303.80551305448063</v>
      </c>
      <c r="U590">
        <v>66</v>
      </c>
    </row>
    <row r="591" spans="1:21">
      <c r="A591" s="44">
        <f t="shared" si="54"/>
        <v>45863.499999998574</v>
      </c>
      <c r="B591" s="45">
        <f t="shared" si="49"/>
        <v>8000</v>
      </c>
      <c r="C591" s="8">
        <v>25000</v>
      </c>
      <c r="D591" s="8">
        <v>0</v>
      </c>
      <c r="E591" s="8">
        <v>700</v>
      </c>
      <c r="F591" s="8">
        <v>15000</v>
      </c>
      <c r="G591" s="45">
        <f t="shared" si="50"/>
        <v>2400</v>
      </c>
      <c r="H591" s="8">
        <v>25000</v>
      </c>
      <c r="I591" s="45">
        <f t="shared" si="51"/>
        <v>8000</v>
      </c>
      <c r="J591" s="8">
        <v>25000</v>
      </c>
      <c r="K591" s="45">
        <f t="shared" si="52"/>
        <v>8000</v>
      </c>
      <c r="L591" s="8">
        <v>25000</v>
      </c>
      <c r="M591" s="9">
        <v>9</v>
      </c>
      <c r="N591" s="9">
        <v>16.100000000000001</v>
      </c>
      <c r="O591" s="9">
        <v>14</v>
      </c>
      <c r="P591" s="9">
        <v>19.5</v>
      </c>
      <c r="Q591" s="9">
        <v>3</v>
      </c>
      <c r="R591">
        <v>10</v>
      </c>
      <c r="S591">
        <v>1000</v>
      </c>
      <c r="T591" s="4">
        <f t="shared" si="53"/>
        <v>303.80551305448063</v>
      </c>
      <c r="U591">
        <v>43</v>
      </c>
    </row>
    <row r="592" spans="1:21">
      <c r="A592" s="44">
        <f t="shared" si="54"/>
        <v>45863.541666665238</v>
      </c>
      <c r="B592" s="45">
        <f t="shared" si="49"/>
        <v>8000</v>
      </c>
      <c r="C592" s="8">
        <v>25000</v>
      </c>
      <c r="D592" s="8">
        <v>0</v>
      </c>
      <c r="E592" s="8">
        <v>700</v>
      </c>
      <c r="F592" s="8">
        <v>15000</v>
      </c>
      <c r="G592" s="45">
        <f t="shared" si="50"/>
        <v>2400</v>
      </c>
      <c r="H592" s="8">
        <v>25000</v>
      </c>
      <c r="I592" s="45">
        <f t="shared" si="51"/>
        <v>8000</v>
      </c>
      <c r="J592" s="8">
        <v>25000</v>
      </c>
      <c r="K592" s="45">
        <f t="shared" si="52"/>
        <v>8000</v>
      </c>
      <c r="L592" s="8">
        <v>25000</v>
      </c>
      <c r="M592" s="9">
        <v>9</v>
      </c>
      <c r="N592" s="9">
        <v>16.100000000000001</v>
      </c>
      <c r="O592" s="9">
        <v>14</v>
      </c>
      <c r="P592" s="9">
        <v>19.5</v>
      </c>
      <c r="Q592" s="9">
        <v>3</v>
      </c>
      <c r="R592">
        <v>10</v>
      </c>
      <c r="S592">
        <v>1000</v>
      </c>
      <c r="T592" s="4">
        <f t="shared" si="53"/>
        <v>353.43040463596901</v>
      </c>
      <c r="U592">
        <v>57</v>
      </c>
    </row>
    <row r="593" spans="1:21">
      <c r="A593" s="44">
        <f t="shared" si="54"/>
        <v>45863.583333331902</v>
      </c>
      <c r="B593" s="45">
        <f t="shared" si="49"/>
        <v>8000</v>
      </c>
      <c r="C593" s="8">
        <v>25000</v>
      </c>
      <c r="D593" s="8">
        <v>0</v>
      </c>
      <c r="E593" s="8">
        <v>700</v>
      </c>
      <c r="F593" s="8">
        <v>15000</v>
      </c>
      <c r="G593" s="45">
        <f t="shared" si="50"/>
        <v>2400</v>
      </c>
      <c r="H593" s="8">
        <v>25000</v>
      </c>
      <c r="I593" s="45">
        <f t="shared" si="51"/>
        <v>8000</v>
      </c>
      <c r="J593" s="8">
        <v>25000</v>
      </c>
      <c r="K593" s="45">
        <f t="shared" si="52"/>
        <v>8000</v>
      </c>
      <c r="L593" s="8">
        <v>25000</v>
      </c>
      <c r="M593" s="9">
        <v>9</v>
      </c>
      <c r="N593" s="9">
        <v>16.100000000000001</v>
      </c>
      <c r="O593" s="9">
        <v>14</v>
      </c>
      <c r="P593" s="9">
        <v>19.5</v>
      </c>
      <c r="Q593" s="9">
        <v>2.7</v>
      </c>
      <c r="R593">
        <v>10</v>
      </c>
      <c r="S593">
        <v>1000</v>
      </c>
      <c r="T593" s="4">
        <f t="shared" si="53"/>
        <v>587.29100737188094</v>
      </c>
      <c r="U593">
        <v>98</v>
      </c>
    </row>
    <row r="594" spans="1:21">
      <c r="A594" s="44">
        <f t="shared" si="54"/>
        <v>45863.624999998567</v>
      </c>
      <c r="B594" s="45">
        <f t="shared" si="49"/>
        <v>8000</v>
      </c>
      <c r="C594" s="8">
        <v>25000</v>
      </c>
      <c r="D594" s="8">
        <v>0</v>
      </c>
      <c r="E594" s="8">
        <v>700</v>
      </c>
      <c r="F594" s="8">
        <v>15000</v>
      </c>
      <c r="G594" s="45">
        <f t="shared" si="50"/>
        <v>2400</v>
      </c>
      <c r="H594" s="8">
        <v>25000</v>
      </c>
      <c r="I594" s="45">
        <f t="shared" si="51"/>
        <v>8000</v>
      </c>
      <c r="J594" s="8">
        <v>25000</v>
      </c>
      <c r="K594" s="45">
        <f t="shared" si="52"/>
        <v>8000</v>
      </c>
      <c r="L594" s="8">
        <v>25000</v>
      </c>
      <c r="M594" s="9">
        <v>9</v>
      </c>
      <c r="N594" s="9">
        <v>16.100000000000001</v>
      </c>
      <c r="O594" s="9">
        <v>14</v>
      </c>
      <c r="P594" s="9">
        <v>19.5</v>
      </c>
      <c r="Q594" s="9">
        <v>2.7</v>
      </c>
      <c r="R594">
        <v>10</v>
      </c>
      <c r="S594">
        <v>1000</v>
      </c>
      <c r="T594" s="4">
        <f t="shared" si="53"/>
        <v>604.40284226394715</v>
      </c>
      <c r="U594">
        <v>46</v>
      </c>
    </row>
    <row r="595" spans="1:21">
      <c r="A595" s="44">
        <f t="shared" si="54"/>
        <v>45863.666666665231</v>
      </c>
      <c r="B595" s="45">
        <f t="shared" si="49"/>
        <v>8000</v>
      </c>
      <c r="C595" s="8">
        <v>25000</v>
      </c>
      <c r="D595" s="8">
        <v>0</v>
      </c>
      <c r="E595" s="8">
        <v>700</v>
      </c>
      <c r="F595" s="8">
        <v>15000</v>
      </c>
      <c r="G595" s="45">
        <f t="shared" si="50"/>
        <v>2400</v>
      </c>
      <c r="H595" s="8">
        <v>25000</v>
      </c>
      <c r="I595" s="45">
        <f t="shared" si="51"/>
        <v>8000</v>
      </c>
      <c r="J595" s="8">
        <v>25000</v>
      </c>
      <c r="K595" s="45">
        <f t="shared" si="52"/>
        <v>8000</v>
      </c>
      <c r="L595" s="8">
        <v>25000</v>
      </c>
      <c r="M595" s="9">
        <v>9</v>
      </c>
      <c r="N595" s="9">
        <v>16.100000000000001</v>
      </c>
      <c r="O595" s="9">
        <v>14</v>
      </c>
      <c r="P595" s="9">
        <v>19.5</v>
      </c>
      <c r="Q595" s="9">
        <v>2.5</v>
      </c>
      <c r="R595">
        <v>10</v>
      </c>
      <c r="S595">
        <v>1000</v>
      </c>
      <c r="T595" s="4">
        <f t="shared" si="53"/>
        <v>875.91062255139741</v>
      </c>
      <c r="U595">
        <v>13</v>
      </c>
    </row>
    <row r="596" spans="1:21">
      <c r="A596" s="44">
        <f t="shared" si="54"/>
        <v>45863.708333331895</v>
      </c>
      <c r="B596" s="45">
        <f t="shared" si="49"/>
        <v>8000</v>
      </c>
      <c r="C596" s="8">
        <v>25000</v>
      </c>
      <c r="D596" s="8">
        <v>0</v>
      </c>
      <c r="E596" s="8">
        <v>700</v>
      </c>
      <c r="F596" s="8">
        <v>15000</v>
      </c>
      <c r="G596" s="45">
        <f t="shared" si="50"/>
        <v>2400</v>
      </c>
      <c r="H596" s="8">
        <v>25000</v>
      </c>
      <c r="I596" s="45">
        <f t="shared" si="51"/>
        <v>8000</v>
      </c>
      <c r="J596" s="8">
        <v>25000</v>
      </c>
      <c r="K596" s="45">
        <f t="shared" si="52"/>
        <v>8000</v>
      </c>
      <c r="L596" s="8">
        <v>25000</v>
      </c>
      <c r="M596" s="9">
        <v>9</v>
      </c>
      <c r="N596" s="9">
        <v>16.100000000000001</v>
      </c>
      <c r="O596" s="9">
        <v>14</v>
      </c>
      <c r="P596" s="9">
        <v>19.5</v>
      </c>
      <c r="Q596" s="9">
        <v>2.9</v>
      </c>
      <c r="R596">
        <v>10</v>
      </c>
      <c r="S596">
        <v>1000</v>
      </c>
      <c r="T596" s="4">
        <f t="shared" si="53"/>
        <v>1116.9022972813298</v>
      </c>
      <c r="U596">
        <v>66</v>
      </c>
    </row>
    <row r="597" spans="1:21">
      <c r="A597" s="44">
        <f t="shared" si="54"/>
        <v>45863.749999998559</v>
      </c>
      <c r="B597" s="45">
        <f t="shared" si="49"/>
        <v>5000</v>
      </c>
      <c r="C597" s="8">
        <v>25000</v>
      </c>
      <c r="D597" s="8">
        <v>0</v>
      </c>
      <c r="E597" s="8">
        <v>700</v>
      </c>
      <c r="F597" s="8">
        <v>15000</v>
      </c>
      <c r="G597" s="45">
        <f t="shared" si="50"/>
        <v>2400</v>
      </c>
      <c r="H597" s="8">
        <v>25000</v>
      </c>
      <c r="I597" s="45">
        <f t="shared" si="51"/>
        <v>5000</v>
      </c>
      <c r="J597" s="8">
        <v>25000</v>
      </c>
      <c r="K597" s="45">
        <f t="shared" si="52"/>
        <v>5000</v>
      </c>
      <c r="L597" s="8">
        <v>25000</v>
      </c>
      <c r="M597" s="9">
        <v>9</v>
      </c>
      <c r="N597" s="9">
        <v>16.100000000000001</v>
      </c>
      <c r="O597" s="9">
        <v>14</v>
      </c>
      <c r="P597" s="9">
        <v>19.5</v>
      </c>
      <c r="Q597" s="9">
        <v>2.6</v>
      </c>
      <c r="R597">
        <v>10</v>
      </c>
      <c r="S597">
        <v>1000</v>
      </c>
      <c r="T597" s="4">
        <f t="shared" si="53"/>
        <v>1156.8299120294841</v>
      </c>
      <c r="U597">
        <v>13</v>
      </c>
    </row>
    <row r="598" spans="1:21">
      <c r="A598" s="44">
        <f t="shared" si="54"/>
        <v>45863.791666665224</v>
      </c>
      <c r="B598" s="45">
        <f t="shared" si="49"/>
        <v>5000</v>
      </c>
      <c r="C598" s="8">
        <v>25000</v>
      </c>
      <c r="D598" s="8">
        <v>0</v>
      </c>
      <c r="E598" s="8">
        <v>700</v>
      </c>
      <c r="F598" s="8">
        <v>15000</v>
      </c>
      <c r="G598" s="45">
        <f t="shared" si="50"/>
        <v>2400</v>
      </c>
      <c r="H598" s="8">
        <v>25000</v>
      </c>
      <c r="I598" s="45">
        <f t="shared" si="51"/>
        <v>5000</v>
      </c>
      <c r="J598" s="8">
        <v>25000</v>
      </c>
      <c r="K598" s="45">
        <f t="shared" si="52"/>
        <v>5000</v>
      </c>
      <c r="L598" s="8">
        <v>25000</v>
      </c>
      <c r="M598" s="9">
        <v>9</v>
      </c>
      <c r="N598" s="9">
        <v>16.100000000000001</v>
      </c>
      <c r="O598" s="9">
        <v>14</v>
      </c>
      <c r="P598" s="9">
        <v>19.5</v>
      </c>
      <c r="Q598" s="9">
        <v>2.9</v>
      </c>
      <c r="R598">
        <v>10</v>
      </c>
      <c r="S598">
        <v>1000</v>
      </c>
      <c r="T598" s="4">
        <f t="shared" si="53"/>
        <v>1156.8299120294841</v>
      </c>
      <c r="U598">
        <v>52</v>
      </c>
    </row>
    <row r="599" spans="1:21">
      <c r="A599" s="44">
        <f t="shared" si="54"/>
        <v>45863.833333331888</v>
      </c>
      <c r="B599" s="45">
        <f t="shared" si="49"/>
        <v>5000</v>
      </c>
      <c r="C599" s="8">
        <v>25000</v>
      </c>
      <c r="D599" s="8">
        <v>0</v>
      </c>
      <c r="E599" s="8">
        <v>700</v>
      </c>
      <c r="F599" s="8">
        <v>15000</v>
      </c>
      <c r="G599" s="45">
        <f t="shared" si="50"/>
        <v>2400</v>
      </c>
      <c r="H599" s="8">
        <v>25000</v>
      </c>
      <c r="I599" s="45">
        <f t="shared" si="51"/>
        <v>5000</v>
      </c>
      <c r="J599" s="8">
        <v>25000</v>
      </c>
      <c r="K599" s="45">
        <f t="shared" si="52"/>
        <v>5000</v>
      </c>
      <c r="L599" s="8">
        <v>25000</v>
      </c>
      <c r="M599" s="9">
        <v>9</v>
      </c>
      <c r="N599" s="9">
        <v>16.100000000000001</v>
      </c>
      <c r="O599" s="9">
        <v>14</v>
      </c>
      <c r="P599" s="9">
        <v>19.5</v>
      </c>
      <c r="Q599" s="9">
        <v>2.9</v>
      </c>
      <c r="R599">
        <v>10</v>
      </c>
      <c r="S599">
        <v>1000</v>
      </c>
      <c r="T599" s="4">
        <f t="shared" si="53"/>
        <v>1114.0503247993186</v>
      </c>
      <c r="U599">
        <v>75</v>
      </c>
    </row>
    <row r="600" spans="1:21">
      <c r="A600" s="44">
        <f t="shared" si="54"/>
        <v>45863.874999998552</v>
      </c>
      <c r="B600" s="45">
        <f t="shared" si="49"/>
        <v>5000</v>
      </c>
      <c r="C600" s="8">
        <v>25000</v>
      </c>
      <c r="D600" s="8">
        <v>0</v>
      </c>
      <c r="E600" s="8">
        <v>700</v>
      </c>
      <c r="F600" s="8">
        <v>15000</v>
      </c>
      <c r="G600" s="45">
        <f t="shared" si="50"/>
        <v>2400</v>
      </c>
      <c r="H600" s="8">
        <v>25000</v>
      </c>
      <c r="I600" s="45">
        <f t="shared" si="51"/>
        <v>5000</v>
      </c>
      <c r="J600" s="8">
        <v>25000</v>
      </c>
      <c r="K600" s="45">
        <f t="shared" si="52"/>
        <v>5000</v>
      </c>
      <c r="L600" s="8">
        <v>25000</v>
      </c>
      <c r="M600" s="9">
        <v>9</v>
      </c>
      <c r="N600" s="9">
        <v>16.100000000000001</v>
      </c>
      <c r="O600" s="9">
        <v>14</v>
      </c>
      <c r="P600" s="9">
        <v>19.5</v>
      </c>
      <c r="Q600" s="9">
        <v>2.9</v>
      </c>
      <c r="R600">
        <v>10</v>
      </c>
      <c r="S600">
        <v>1000</v>
      </c>
      <c r="T600" s="4">
        <f t="shared" si="53"/>
        <v>1034.1950953030096</v>
      </c>
      <c r="U600">
        <v>94</v>
      </c>
    </row>
    <row r="601" spans="1:21">
      <c r="A601" s="44">
        <f t="shared" si="54"/>
        <v>45863.916666665216</v>
      </c>
      <c r="B601" s="45">
        <f t="shared" si="49"/>
        <v>5000</v>
      </c>
      <c r="C601" s="8">
        <v>25000</v>
      </c>
      <c r="D601" s="8">
        <v>0</v>
      </c>
      <c r="E601" s="8">
        <v>700</v>
      </c>
      <c r="F601" s="8">
        <v>15000</v>
      </c>
      <c r="G601" s="45">
        <f t="shared" si="50"/>
        <v>2400</v>
      </c>
      <c r="H601" s="8">
        <v>25000</v>
      </c>
      <c r="I601" s="45">
        <f t="shared" si="51"/>
        <v>5000</v>
      </c>
      <c r="J601" s="8">
        <v>25000</v>
      </c>
      <c r="K601" s="45">
        <f t="shared" si="52"/>
        <v>5000</v>
      </c>
      <c r="L601" s="8">
        <v>25000</v>
      </c>
      <c r="M601" s="9">
        <v>9</v>
      </c>
      <c r="N601" s="9">
        <v>16.100000000000001</v>
      </c>
      <c r="O601" s="9">
        <v>14</v>
      </c>
      <c r="P601" s="9">
        <v>19.5</v>
      </c>
      <c r="Q601" s="9">
        <v>2.4</v>
      </c>
      <c r="R601">
        <v>10</v>
      </c>
      <c r="S601">
        <v>1000</v>
      </c>
      <c r="T601" s="4">
        <f t="shared" si="53"/>
        <v>807.46328298313267</v>
      </c>
      <c r="U601">
        <v>13</v>
      </c>
    </row>
    <row r="602" spans="1:21">
      <c r="A602" s="44">
        <f t="shared" si="54"/>
        <v>45863.958333331881</v>
      </c>
      <c r="B602" s="45">
        <f t="shared" si="49"/>
        <v>5000</v>
      </c>
      <c r="C602" s="8">
        <v>25000</v>
      </c>
      <c r="D602" s="8">
        <v>0</v>
      </c>
      <c r="E602" s="8">
        <v>700</v>
      </c>
      <c r="F602" s="8">
        <v>15000</v>
      </c>
      <c r="G602" s="45">
        <f t="shared" si="50"/>
        <v>2400</v>
      </c>
      <c r="H602" s="8">
        <v>25000</v>
      </c>
      <c r="I602" s="45">
        <f t="shared" si="51"/>
        <v>5000</v>
      </c>
      <c r="J602" s="8">
        <v>25000</v>
      </c>
      <c r="K602" s="45">
        <f t="shared" si="52"/>
        <v>5000</v>
      </c>
      <c r="L602" s="8">
        <v>25000</v>
      </c>
      <c r="M602" s="9">
        <v>9</v>
      </c>
      <c r="N602" s="9">
        <v>16.100000000000001</v>
      </c>
      <c r="O602" s="9">
        <v>14</v>
      </c>
      <c r="P602" s="9">
        <v>19.5</v>
      </c>
      <c r="Q602" s="9">
        <v>2.8</v>
      </c>
      <c r="R602">
        <v>10</v>
      </c>
      <c r="S602">
        <v>1000</v>
      </c>
      <c r="T602" s="4">
        <f t="shared" si="53"/>
        <v>442.69657292841788</v>
      </c>
      <c r="U602">
        <v>15</v>
      </c>
    </row>
    <row r="603" spans="1:21">
      <c r="A603" s="44">
        <f t="shared" si="54"/>
        <v>45863.999999998545</v>
      </c>
      <c r="B603" s="45">
        <f t="shared" si="49"/>
        <v>5000</v>
      </c>
      <c r="C603" s="8">
        <v>25000</v>
      </c>
      <c r="D603" s="8">
        <v>0</v>
      </c>
      <c r="E603" s="8">
        <v>700</v>
      </c>
      <c r="F603" s="8">
        <v>15000</v>
      </c>
      <c r="G603" s="45">
        <f t="shared" si="50"/>
        <v>2400</v>
      </c>
      <c r="H603" s="8">
        <v>25000</v>
      </c>
      <c r="I603" s="45">
        <f t="shared" si="51"/>
        <v>5000</v>
      </c>
      <c r="J603" s="8">
        <v>25000</v>
      </c>
      <c r="K603" s="45">
        <f t="shared" si="52"/>
        <v>5000</v>
      </c>
      <c r="L603" s="8">
        <v>25000</v>
      </c>
      <c r="M603" s="9">
        <v>9</v>
      </c>
      <c r="N603" s="9">
        <v>16.100000000000001</v>
      </c>
      <c r="O603" s="9">
        <v>14</v>
      </c>
      <c r="P603" s="9">
        <v>19.5</v>
      </c>
      <c r="Q603" s="9">
        <v>2.7</v>
      </c>
      <c r="R603">
        <v>10</v>
      </c>
      <c r="S603">
        <v>1000</v>
      </c>
      <c r="T603" s="4">
        <f t="shared" si="53"/>
        <v>442.69657292841788</v>
      </c>
      <c r="U603">
        <v>24</v>
      </c>
    </row>
    <row r="604" spans="1:21">
      <c r="A604" s="44">
        <f t="shared" si="54"/>
        <v>45864.041666665209</v>
      </c>
      <c r="B604" s="45">
        <f t="shared" ref="B604:B625" si="55">B580</f>
        <v>5000</v>
      </c>
      <c r="C604" s="8">
        <v>25000</v>
      </c>
      <c r="D604" s="8">
        <v>0</v>
      </c>
      <c r="E604" s="8">
        <v>700</v>
      </c>
      <c r="F604" s="8">
        <v>15000</v>
      </c>
      <c r="G604" s="45">
        <f t="shared" ref="G604:G625" si="56">G580</f>
        <v>2400</v>
      </c>
      <c r="H604" s="8">
        <v>25000</v>
      </c>
      <c r="I604" s="45">
        <f t="shared" ref="I604:I625" si="57">I580</f>
        <v>5000</v>
      </c>
      <c r="J604" s="8">
        <v>25000</v>
      </c>
      <c r="K604" s="45">
        <f t="shared" ref="K604:K625" si="58">K580</f>
        <v>5000</v>
      </c>
      <c r="L604" s="8">
        <v>25000</v>
      </c>
      <c r="M604" s="9">
        <v>9</v>
      </c>
      <c r="N604" s="9">
        <v>16.100000000000001</v>
      </c>
      <c r="O604" s="9">
        <v>14</v>
      </c>
      <c r="P604" s="9">
        <v>19.5</v>
      </c>
      <c r="Q604" s="9">
        <v>2.6</v>
      </c>
      <c r="R604">
        <v>10</v>
      </c>
      <c r="S604">
        <v>1000</v>
      </c>
      <c r="T604" s="4">
        <f t="shared" ref="T604:T625" si="59">T580</f>
        <v>362.27094893570683</v>
      </c>
      <c r="U604">
        <v>11</v>
      </c>
    </row>
    <row r="605" spans="1:21">
      <c r="A605" s="44">
        <f t="shared" si="54"/>
        <v>45864.083333331873</v>
      </c>
      <c r="B605" s="45">
        <f t="shared" si="55"/>
        <v>5000</v>
      </c>
      <c r="C605" s="8">
        <v>25000</v>
      </c>
      <c r="D605" s="8">
        <v>0</v>
      </c>
      <c r="E605" s="8">
        <v>700</v>
      </c>
      <c r="F605" s="8">
        <v>15000</v>
      </c>
      <c r="G605" s="45">
        <f t="shared" si="56"/>
        <v>2400</v>
      </c>
      <c r="H605" s="8">
        <v>25000</v>
      </c>
      <c r="I605" s="45">
        <f t="shared" si="57"/>
        <v>5000</v>
      </c>
      <c r="J605" s="8">
        <v>25000</v>
      </c>
      <c r="K605" s="45">
        <f t="shared" si="58"/>
        <v>5000</v>
      </c>
      <c r="L605" s="8">
        <v>25000</v>
      </c>
      <c r="M605" s="9">
        <v>9</v>
      </c>
      <c r="N605" s="9">
        <v>16.100000000000001</v>
      </c>
      <c r="O605" s="9">
        <v>14</v>
      </c>
      <c r="P605" s="9">
        <v>19.5</v>
      </c>
      <c r="Q605" s="9">
        <v>2.8</v>
      </c>
      <c r="R605">
        <v>10</v>
      </c>
      <c r="S605">
        <v>1000</v>
      </c>
      <c r="T605" s="4">
        <f t="shared" si="59"/>
        <v>362.27094893570683</v>
      </c>
      <c r="U605">
        <v>61</v>
      </c>
    </row>
    <row r="606" spans="1:21">
      <c r="A606" s="44">
        <f t="shared" si="54"/>
        <v>45864.124999998538</v>
      </c>
      <c r="B606" s="45">
        <f t="shared" si="55"/>
        <v>5000</v>
      </c>
      <c r="C606" s="8">
        <v>25000</v>
      </c>
      <c r="D606" s="8">
        <v>0</v>
      </c>
      <c r="E606" s="8">
        <v>700</v>
      </c>
      <c r="F606" s="8">
        <v>15000</v>
      </c>
      <c r="G606" s="45">
        <f t="shared" si="56"/>
        <v>2400</v>
      </c>
      <c r="H606" s="8">
        <v>25000</v>
      </c>
      <c r="I606" s="45">
        <f t="shared" si="57"/>
        <v>5000</v>
      </c>
      <c r="J606" s="8">
        <v>25000</v>
      </c>
      <c r="K606" s="45">
        <f t="shared" si="58"/>
        <v>5000</v>
      </c>
      <c r="L606" s="8">
        <v>25000</v>
      </c>
      <c r="M606" s="9">
        <v>9</v>
      </c>
      <c r="N606" s="9">
        <v>16.100000000000001</v>
      </c>
      <c r="O606" s="9">
        <v>14</v>
      </c>
      <c r="P606" s="9">
        <v>19.5</v>
      </c>
      <c r="Q606" s="9">
        <v>2.5</v>
      </c>
      <c r="R606">
        <v>10</v>
      </c>
      <c r="S606">
        <v>1000</v>
      </c>
      <c r="T606" s="4">
        <f t="shared" si="59"/>
        <v>362.27094893570683</v>
      </c>
      <c r="U606">
        <v>57</v>
      </c>
    </row>
    <row r="607" spans="1:21">
      <c r="A607" s="44">
        <f t="shared" si="54"/>
        <v>45864.166666665202</v>
      </c>
      <c r="B607" s="45">
        <f t="shared" si="55"/>
        <v>5000</v>
      </c>
      <c r="C607" s="8">
        <v>25000</v>
      </c>
      <c r="D607" s="8">
        <v>0</v>
      </c>
      <c r="E607" s="8">
        <v>700</v>
      </c>
      <c r="F607" s="8">
        <v>15000</v>
      </c>
      <c r="G607" s="45">
        <f t="shared" si="56"/>
        <v>2400</v>
      </c>
      <c r="H607" s="8">
        <v>25000</v>
      </c>
      <c r="I607" s="45">
        <f t="shared" si="57"/>
        <v>5000</v>
      </c>
      <c r="J607" s="8">
        <v>25000</v>
      </c>
      <c r="K607" s="45">
        <f t="shared" si="58"/>
        <v>5000</v>
      </c>
      <c r="L607" s="8">
        <v>25000</v>
      </c>
      <c r="M607" s="9">
        <v>9</v>
      </c>
      <c r="N607" s="9">
        <v>16.100000000000001</v>
      </c>
      <c r="O607" s="9">
        <v>14</v>
      </c>
      <c r="P607" s="9">
        <v>19.5</v>
      </c>
      <c r="Q607" s="9">
        <v>2.9</v>
      </c>
      <c r="R607">
        <v>10</v>
      </c>
      <c r="S607">
        <v>1000</v>
      </c>
      <c r="T607" s="4">
        <f t="shared" si="59"/>
        <v>426.44032978095498</v>
      </c>
      <c r="U607">
        <v>53</v>
      </c>
    </row>
    <row r="608" spans="1:21">
      <c r="A608" s="44">
        <f t="shared" si="54"/>
        <v>45864.208333331866</v>
      </c>
      <c r="B608" s="45">
        <f t="shared" si="55"/>
        <v>5000</v>
      </c>
      <c r="C608" s="8">
        <v>25000</v>
      </c>
      <c r="D608" s="8">
        <v>0</v>
      </c>
      <c r="E608" s="8">
        <v>700</v>
      </c>
      <c r="F608" s="8">
        <v>15000</v>
      </c>
      <c r="G608" s="45">
        <f t="shared" si="56"/>
        <v>2400</v>
      </c>
      <c r="H608" s="8">
        <v>25000</v>
      </c>
      <c r="I608" s="45">
        <f t="shared" si="57"/>
        <v>5000</v>
      </c>
      <c r="J608" s="8">
        <v>25000</v>
      </c>
      <c r="K608" s="45">
        <f t="shared" si="58"/>
        <v>5000</v>
      </c>
      <c r="L608" s="8">
        <v>25000</v>
      </c>
      <c r="M608" s="9">
        <v>9</v>
      </c>
      <c r="N608" s="9">
        <v>16.100000000000001</v>
      </c>
      <c r="O608" s="9">
        <v>14</v>
      </c>
      <c r="P608" s="9">
        <v>19.5</v>
      </c>
      <c r="Q608" s="9">
        <v>2.5</v>
      </c>
      <c r="R608">
        <v>10</v>
      </c>
      <c r="S608">
        <v>1000</v>
      </c>
      <c r="T608" s="4">
        <f t="shared" si="59"/>
        <v>362.27094893570683</v>
      </c>
      <c r="U608">
        <v>72</v>
      </c>
    </row>
    <row r="609" spans="1:21">
      <c r="A609" s="44">
        <f t="shared" si="54"/>
        <v>45864.24999999853</v>
      </c>
      <c r="B609" s="45">
        <f t="shared" si="55"/>
        <v>8000</v>
      </c>
      <c r="C609" s="8">
        <v>25000</v>
      </c>
      <c r="D609" s="8">
        <v>0</v>
      </c>
      <c r="E609" s="8">
        <v>700</v>
      </c>
      <c r="F609" s="8">
        <v>15000</v>
      </c>
      <c r="G609" s="45">
        <f t="shared" si="56"/>
        <v>2400</v>
      </c>
      <c r="H609" s="8">
        <v>25000</v>
      </c>
      <c r="I609" s="45">
        <f t="shared" si="57"/>
        <v>8000</v>
      </c>
      <c r="J609" s="8">
        <v>25000</v>
      </c>
      <c r="K609" s="45">
        <f t="shared" si="58"/>
        <v>8000</v>
      </c>
      <c r="L609" s="8">
        <v>25000</v>
      </c>
      <c r="M609" s="9">
        <v>9</v>
      </c>
      <c r="N609" s="9">
        <v>16.100000000000001</v>
      </c>
      <c r="O609" s="9">
        <v>14</v>
      </c>
      <c r="P609" s="9">
        <v>19.5</v>
      </c>
      <c r="Q609" s="9">
        <v>2.7</v>
      </c>
      <c r="R609">
        <v>10</v>
      </c>
      <c r="S609">
        <v>1000</v>
      </c>
      <c r="T609" s="4">
        <f t="shared" si="59"/>
        <v>304.3759075508828</v>
      </c>
      <c r="U609">
        <v>89</v>
      </c>
    </row>
    <row r="610" spans="1:21">
      <c r="A610" s="44">
        <f t="shared" si="54"/>
        <v>45864.291666665194</v>
      </c>
      <c r="B610" s="45">
        <f t="shared" si="55"/>
        <v>8000</v>
      </c>
      <c r="C610" s="8">
        <v>25000</v>
      </c>
      <c r="D610" s="8">
        <v>0</v>
      </c>
      <c r="E610" s="8">
        <v>700</v>
      </c>
      <c r="F610" s="8">
        <v>15000</v>
      </c>
      <c r="G610" s="45">
        <f t="shared" si="56"/>
        <v>2400</v>
      </c>
      <c r="H610" s="8">
        <v>25000</v>
      </c>
      <c r="I610" s="45">
        <f t="shared" si="57"/>
        <v>8000</v>
      </c>
      <c r="J610" s="8">
        <v>25000</v>
      </c>
      <c r="K610" s="45">
        <f t="shared" si="58"/>
        <v>8000</v>
      </c>
      <c r="L610" s="8">
        <v>25000</v>
      </c>
      <c r="M610" s="9">
        <v>9</v>
      </c>
      <c r="N610" s="9">
        <v>16.100000000000001</v>
      </c>
      <c r="O610" s="9">
        <v>14</v>
      </c>
      <c r="P610" s="9">
        <v>19.5</v>
      </c>
      <c r="Q610" s="9">
        <v>3</v>
      </c>
      <c r="R610">
        <v>10</v>
      </c>
      <c r="S610">
        <v>1000</v>
      </c>
      <c r="T610" s="4">
        <f t="shared" si="59"/>
        <v>280.13414145378908</v>
      </c>
      <c r="U610">
        <v>34</v>
      </c>
    </row>
    <row r="611" spans="1:21">
      <c r="A611" s="44">
        <f t="shared" si="54"/>
        <v>45864.333333331859</v>
      </c>
      <c r="B611" s="45">
        <f t="shared" si="55"/>
        <v>8000</v>
      </c>
      <c r="C611" s="8">
        <v>25000</v>
      </c>
      <c r="D611" s="8">
        <v>0</v>
      </c>
      <c r="E611" s="8">
        <v>700</v>
      </c>
      <c r="F611" s="8">
        <v>15000</v>
      </c>
      <c r="G611" s="45">
        <f t="shared" si="56"/>
        <v>2400</v>
      </c>
      <c r="H611" s="8">
        <v>25000</v>
      </c>
      <c r="I611" s="45">
        <f t="shared" si="57"/>
        <v>8000</v>
      </c>
      <c r="J611" s="8">
        <v>25000</v>
      </c>
      <c r="K611" s="45">
        <f t="shared" si="58"/>
        <v>8000</v>
      </c>
      <c r="L611" s="8">
        <v>25000</v>
      </c>
      <c r="M611" s="9">
        <v>9</v>
      </c>
      <c r="N611" s="9">
        <v>16.100000000000001</v>
      </c>
      <c r="O611" s="9">
        <v>14</v>
      </c>
      <c r="P611" s="9">
        <v>19.5</v>
      </c>
      <c r="Q611" s="9">
        <v>2.8</v>
      </c>
      <c r="R611">
        <v>10</v>
      </c>
      <c r="S611">
        <v>1000</v>
      </c>
      <c r="T611" s="4">
        <f t="shared" si="59"/>
        <v>294.39400386384426</v>
      </c>
      <c r="U611">
        <v>95</v>
      </c>
    </row>
    <row r="612" spans="1:21">
      <c r="A612" s="44">
        <f t="shared" si="54"/>
        <v>45864.374999998523</v>
      </c>
      <c r="B612" s="45">
        <f t="shared" si="55"/>
        <v>8000</v>
      </c>
      <c r="C612" s="8">
        <v>25000</v>
      </c>
      <c r="D612" s="8">
        <v>0</v>
      </c>
      <c r="E612" s="8">
        <v>700</v>
      </c>
      <c r="F612" s="8">
        <v>15000</v>
      </c>
      <c r="G612" s="45">
        <f t="shared" si="56"/>
        <v>2400</v>
      </c>
      <c r="H612" s="8">
        <v>25000</v>
      </c>
      <c r="I612" s="45">
        <f t="shared" si="57"/>
        <v>8000</v>
      </c>
      <c r="J612" s="8">
        <v>25000</v>
      </c>
      <c r="K612" s="45">
        <f t="shared" si="58"/>
        <v>8000</v>
      </c>
      <c r="L612" s="8">
        <v>25000</v>
      </c>
      <c r="M612" s="9">
        <v>9</v>
      </c>
      <c r="N612" s="9">
        <v>16.100000000000001</v>
      </c>
      <c r="O612" s="9">
        <v>14</v>
      </c>
      <c r="P612" s="9">
        <v>19.5</v>
      </c>
      <c r="Q612" s="9">
        <v>2.8</v>
      </c>
      <c r="R612">
        <v>10</v>
      </c>
      <c r="S612">
        <v>1000</v>
      </c>
      <c r="T612" s="4">
        <f t="shared" si="59"/>
        <v>317.20978371993255</v>
      </c>
      <c r="U612">
        <v>76</v>
      </c>
    </row>
    <row r="613" spans="1:21">
      <c r="A613" s="44">
        <f t="shared" si="54"/>
        <v>45864.416666665187</v>
      </c>
      <c r="B613" s="45">
        <f t="shared" si="55"/>
        <v>8000</v>
      </c>
      <c r="C613" s="8">
        <v>25000</v>
      </c>
      <c r="D613" s="8">
        <v>0</v>
      </c>
      <c r="E613" s="8">
        <v>700</v>
      </c>
      <c r="F613" s="8">
        <v>15000</v>
      </c>
      <c r="G613" s="45">
        <f t="shared" si="56"/>
        <v>2400</v>
      </c>
      <c r="H613" s="8">
        <v>25000</v>
      </c>
      <c r="I613" s="45">
        <f t="shared" si="57"/>
        <v>8000</v>
      </c>
      <c r="J613" s="8">
        <v>25000</v>
      </c>
      <c r="K613" s="45">
        <f t="shared" si="58"/>
        <v>8000</v>
      </c>
      <c r="L613" s="8">
        <v>25000</v>
      </c>
      <c r="M613" s="9">
        <v>9</v>
      </c>
      <c r="N613" s="9">
        <v>16.100000000000001</v>
      </c>
      <c r="O613" s="9">
        <v>14</v>
      </c>
      <c r="P613" s="9">
        <v>19.5</v>
      </c>
      <c r="Q613" s="9">
        <v>2.4</v>
      </c>
      <c r="R613">
        <v>10</v>
      </c>
      <c r="S613">
        <v>1000</v>
      </c>
      <c r="T613" s="4">
        <f t="shared" si="59"/>
        <v>308.08347177749721</v>
      </c>
      <c r="U613">
        <v>49</v>
      </c>
    </row>
    <row r="614" spans="1:21">
      <c r="A614" s="44">
        <f t="shared" si="54"/>
        <v>45864.458333331851</v>
      </c>
      <c r="B614" s="45">
        <f t="shared" si="55"/>
        <v>8000</v>
      </c>
      <c r="C614" s="8">
        <v>25000</v>
      </c>
      <c r="D614" s="8">
        <v>0</v>
      </c>
      <c r="E614" s="8">
        <v>700</v>
      </c>
      <c r="F614" s="8">
        <v>15000</v>
      </c>
      <c r="G614" s="45">
        <f t="shared" si="56"/>
        <v>2400</v>
      </c>
      <c r="H614" s="8">
        <v>25000</v>
      </c>
      <c r="I614" s="45">
        <f t="shared" si="57"/>
        <v>8000</v>
      </c>
      <c r="J614" s="8">
        <v>25000</v>
      </c>
      <c r="K614" s="45">
        <f t="shared" si="58"/>
        <v>8000</v>
      </c>
      <c r="L614" s="8">
        <v>25000</v>
      </c>
      <c r="M614" s="9">
        <v>9</v>
      </c>
      <c r="N614" s="9">
        <v>16.100000000000001</v>
      </c>
      <c r="O614" s="9">
        <v>14</v>
      </c>
      <c r="P614" s="9">
        <v>19.5</v>
      </c>
      <c r="Q614" s="9">
        <v>2.6</v>
      </c>
      <c r="R614">
        <v>10</v>
      </c>
      <c r="S614">
        <v>1000</v>
      </c>
      <c r="T614" s="4">
        <f t="shared" si="59"/>
        <v>303.80551305448063</v>
      </c>
      <c r="U614">
        <v>77</v>
      </c>
    </row>
    <row r="615" spans="1:21">
      <c r="A615" s="44">
        <f t="shared" si="54"/>
        <v>45864.499999998516</v>
      </c>
      <c r="B615" s="45">
        <f t="shared" si="55"/>
        <v>8000</v>
      </c>
      <c r="C615" s="8">
        <v>25000</v>
      </c>
      <c r="D615" s="8">
        <v>0</v>
      </c>
      <c r="E615" s="8">
        <v>700</v>
      </c>
      <c r="F615" s="8">
        <v>15000</v>
      </c>
      <c r="G615" s="45">
        <f t="shared" si="56"/>
        <v>2400</v>
      </c>
      <c r="H615" s="8">
        <v>25000</v>
      </c>
      <c r="I615" s="45">
        <f t="shared" si="57"/>
        <v>8000</v>
      </c>
      <c r="J615" s="8">
        <v>25000</v>
      </c>
      <c r="K615" s="45">
        <f t="shared" si="58"/>
        <v>8000</v>
      </c>
      <c r="L615" s="8">
        <v>25000</v>
      </c>
      <c r="M615" s="9">
        <v>9</v>
      </c>
      <c r="N615" s="9">
        <v>16.100000000000001</v>
      </c>
      <c r="O615" s="9">
        <v>14</v>
      </c>
      <c r="P615" s="9">
        <v>19.5</v>
      </c>
      <c r="Q615" s="9">
        <v>2.6</v>
      </c>
      <c r="R615">
        <v>10</v>
      </c>
      <c r="S615">
        <v>1000</v>
      </c>
      <c r="T615" s="4">
        <f t="shared" si="59"/>
        <v>303.80551305448063</v>
      </c>
      <c r="U615">
        <v>63</v>
      </c>
    </row>
    <row r="616" spans="1:21">
      <c r="A616" s="44">
        <f t="shared" si="54"/>
        <v>45864.54166666518</v>
      </c>
      <c r="B616" s="45">
        <f t="shared" si="55"/>
        <v>8000</v>
      </c>
      <c r="C616" s="8">
        <v>25000</v>
      </c>
      <c r="D616" s="8">
        <v>0</v>
      </c>
      <c r="E616" s="8">
        <v>700</v>
      </c>
      <c r="F616" s="8">
        <v>15000</v>
      </c>
      <c r="G616" s="45">
        <f t="shared" si="56"/>
        <v>2400</v>
      </c>
      <c r="H616" s="8">
        <v>25000</v>
      </c>
      <c r="I616" s="45">
        <f t="shared" si="57"/>
        <v>8000</v>
      </c>
      <c r="J616" s="8">
        <v>25000</v>
      </c>
      <c r="K616" s="45">
        <f t="shared" si="58"/>
        <v>8000</v>
      </c>
      <c r="L616" s="8">
        <v>25000</v>
      </c>
      <c r="M616" s="9">
        <v>9</v>
      </c>
      <c r="N616" s="9">
        <v>16.100000000000001</v>
      </c>
      <c r="O616" s="9">
        <v>14</v>
      </c>
      <c r="P616" s="9">
        <v>19.5</v>
      </c>
      <c r="Q616" s="9">
        <v>2.9</v>
      </c>
      <c r="R616">
        <v>10</v>
      </c>
      <c r="S616">
        <v>1000</v>
      </c>
      <c r="T616" s="4">
        <f t="shared" si="59"/>
        <v>353.43040463596901</v>
      </c>
      <c r="U616">
        <v>92</v>
      </c>
    </row>
    <row r="617" spans="1:21">
      <c r="A617" s="44">
        <f t="shared" si="54"/>
        <v>45864.583333331844</v>
      </c>
      <c r="B617" s="45">
        <f t="shared" si="55"/>
        <v>8000</v>
      </c>
      <c r="C617" s="8">
        <v>25000</v>
      </c>
      <c r="D617" s="8">
        <v>0</v>
      </c>
      <c r="E617" s="8">
        <v>700</v>
      </c>
      <c r="F617" s="8">
        <v>15000</v>
      </c>
      <c r="G617" s="45">
        <f t="shared" si="56"/>
        <v>2400</v>
      </c>
      <c r="H617" s="8">
        <v>25000</v>
      </c>
      <c r="I617" s="45">
        <f t="shared" si="57"/>
        <v>8000</v>
      </c>
      <c r="J617" s="8">
        <v>25000</v>
      </c>
      <c r="K617" s="45">
        <f t="shared" si="58"/>
        <v>8000</v>
      </c>
      <c r="L617" s="8">
        <v>25000</v>
      </c>
      <c r="M617" s="9">
        <v>9</v>
      </c>
      <c r="N617" s="9">
        <v>16.100000000000001</v>
      </c>
      <c r="O617" s="9">
        <v>14</v>
      </c>
      <c r="P617" s="9">
        <v>19.5</v>
      </c>
      <c r="Q617" s="9">
        <v>2.5</v>
      </c>
      <c r="R617">
        <v>10</v>
      </c>
      <c r="S617">
        <v>1000</v>
      </c>
      <c r="T617" s="4">
        <f t="shared" si="59"/>
        <v>587.29100737188094</v>
      </c>
      <c r="U617">
        <v>67</v>
      </c>
    </row>
    <row r="618" spans="1:21">
      <c r="A618" s="44">
        <f t="shared" si="54"/>
        <v>45864.624999998508</v>
      </c>
      <c r="B618" s="45">
        <f t="shared" si="55"/>
        <v>8000</v>
      </c>
      <c r="C618" s="8">
        <v>25000</v>
      </c>
      <c r="D618" s="8">
        <v>0</v>
      </c>
      <c r="E618" s="8">
        <v>700</v>
      </c>
      <c r="F618" s="8">
        <v>15000</v>
      </c>
      <c r="G618" s="45">
        <f t="shared" si="56"/>
        <v>2400</v>
      </c>
      <c r="H618" s="8">
        <v>25000</v>
      </c>
      <c r="I618" s="45">
        <f t="shared" si="57"/>
        <v>8000</v>
      </c>
      <c r="J618" s="8">
        <v>25000</v>
      </c>
      <c r="K618" s="45">
        <f t="shared" si="58"/>
        <v>8000</v>
      </c>
      <c r="L618" s="8">
        <v>25000</v>
      </c>
      <c r="M618" s="9">
        <v>9</v>
      </c>
      <c r="N618" s="9">
        <v>16.100000000000001</v>
      </c>
      <c r="O618" s="9">
        <v>14</v>
      </c>
      <c r="P618" s="9">
        <v>19.5</v>
      </c>
      <c r="Q618" s="9">
        <v>3</v>
      </c>
      <c r="R618">
        <v>10</v>
      </c>
      <c r="S618">
        <v>1000</v>
      </c>
      <c r="T618" s="4">
        <f t="shared" si="59"/>
        <v>604.40284226394715</v>
      </c>
      <c r="U618">
        <v>40</v>
      </c>
    </row>
    <row r="619" spans="1:21">
      <c r="A619" s="44">
        <f t="shared" si="54"/>
        <v>45864.666666665173</v>
      </c>
      <c r="B619" s="45">
        <f t="shared" si="55"/>
        <v>8000</v>
      </c>
      <c r="C619" s="8">
        <v>25000</v>
      </c>
      <c r="D619" s="8">
        <v>0</v>
      </c>
      <c r="E619" s="8">
        <v>700</v>
      </c>
      <c r="F619" s="8">
        <v>15000</v>
      </c>
      <c r="G619" s="45">
        <f t="shared" si="56"/>
        <v>2400</v>
      </c>
      <c r="H619" s="8">
        <v>25000</v>
      </c>
      <c r="I619" s="45">
        <f t="shared" si="57"/>
        <v>8000</v>
      </c>
      <c r="J619" s="8">
        <v>25000</v>
      </c>
      <c r="K619" s="45">
        <f t="shared" si="58"/>
        <v>8000</v>
      </c>
      <c r="L619" s="8">
        <v>25000</v>
      </c>
      <c r="M619" s="9">
        <v>9</v>
      </c>
      <c r="N619" s="9">
        <v>16.100000000000001</v>
      </c>
      <c r="O619" s="9">
        <v>14</v>
      </c>
      <c r="P619" s="9">
        <v>19.5</v>
      </c>
      <c r="Q619" s="9">
        <v>2.9</v>
      </c>
      <c r="R619">
        <v>10</v>
      </c>
      <c r="S619">
        <v>1000</v>
      </c>
      <c r="T619" s="4">
        <f t="shared" si="59"/>
        <v>875.91062255139741</v>
      </c>
      <c r="U619">
        <v>86</v>
      </c>
    </row>
    <row r="620" spans="1:21">
      <c r="A620" s="44">
        <f t="shared" si="54"/>
        <v>45864.708333331837</v>
      </c>
      <c r="B620" s="45">
        <f t="shared" si="55"/>
        <v>8000</v>
      </c>
      <c r="C620" s="8">
        <v>25000</v>
      </c>
      <c r="D620" s="8">
        <v>0</v>
      </c>
      <c r="E620" s="8">
        <v>700</v>
      </c>
      <c r="F620" s="8">
        <v>15000</v>
      </c>
      <c r="G620" s="45">
        <f t="shared" si="56"/>
        <v>2400</v>
      </c>
      <c r="H620" s="8">
        <v>25000</v>
      </c>
      <c r="I620" s="45">
        <f t="shared" si="57"/>
        <v>8000</v>
      </c>
      <c r="J620" s="8">
        <v>25000</v>
      </c>
      <c r="K620" s="45">
        <f t="shared" si="58"/>
        <v>8000</v>
      </c>
      <c r="L620" s="8">
        <v>25000</v>
      </c>
      <c r="M620" s="9">
        <v>9</v>
      </c>
      <c r="N620" s="9">
        <v>16.100000000000001</v>
      </c>
      <c r="O620" s="9">
        <v>14</v>
      </c>
      <c r="P620" s="9">
        <v>19.5</v>
      </c>
      <c r="Q620" s="9">
        <v>2.6</v>
      </c>
      <c r="R620">
        <v>10</v>
      </c>
      <c r="S620">
        <v>1000</v>
      </c>
      <c r="T620" s="4">
        <f t="shared" si="59"/>
        <v>1116.9022972813298</v>
      </c>
      <c r="U620">
        <v>76</v>
      </c>
    </row>
    <row r="621" spans="1:21">
      <c r="A621" s="44">
        <f t="shared" si="54"/>
        <v>45864.749999998501</v>
      </c>
      <c r="B621" s="45">
        <f t="shared" si="55"/>
        <v>5000</v>
      </c>
      <c r="C621" s="8">
        <v>25000</v>
      </c>
      <c r="D621" s="8">
        <v>0</v>
      </c>
      <c r="E621" s="8">
        <v>700</v>
      </c>
      <c r="F621" s="8">
        <v>15000</v>
      </c>
      <c r="G621" s="45">
        <f t="shared" si="56"/>
        <v>2400</v>
      </c>
      <c r="H621" s="8">
        <v>25000</v>
      </c>
      <c r="I621" s="45">
        <f t="shared" si="57"/>
        <v>5000</v>
      </c>
      <c r="J621" s="8">
        <v>25000</v>
      </c>
      <c r="K621" s="45">
        <f t="shared" si="58"/>
        <v>5000</v>
      </c>
      <c r="L621" s="8">
        <v>25000</v>
      </c>
      <c r="M621" s="9">
        <v>9</v>
      </c>
      <c r="N621" s="9">
        <v>16.100000000000001</v>
      </c>
      <c r="O621" s="9">
        <v>14</v>
      </c>
      <c r="P621" s="9">
        <v>19.5</v>
      </c>
      <c r="Q621" s="9">
        <v>2.5</v>
      </c>
      <c r="R621">
        <v>10</v>
      </c>
      <c r="S621">
        <v>1000</v>
      </c>
      <c r="T621" s="4">
        <f t="shared" si="59"/>
        <v>1156.8299120294841</v>
      </c>
      <c r="U621">
        <v>90</v>
      </c>
    </row>
    <row r="622" spans="1:21">
      <c r="A622" s="44">
        <f t="shared" si="54"/>
        <v>45864.791666665165</v>
      </c>
      <c r="B622" s="45">
        <f t="shared" si="55"/>
        <v>5000</v>
      </c>
      <c r="C622" s="8">
        <v>25000</v>
      </c>
      <c r="D622" s="8">
        <v>0</v>
      </c>
      <c r="E622" s="8">
        <v>700</v>
      </c>
      <c r="F622" s="8">
        <v>15000</v>
      </c>
      <c r="G622" s="45">
        <f t="shared" si="56"/>
        <v>2400</v>
      </c>
      <c r="H622" s="8">
        <v>25000</v>
      </c>
      <c r="I622" s="45">
        <f t="shared" si="57"/>
        <v>5000</v>
      </c>
      <c r="J622" s="8">
        <v>25000</v>
      </c>
      <c r="K622" s="45">
        <f t="shared" si="58"/>
        <v>5000</v>
      </c>
      <c r="L622" s="8">
        <v>25000</v>
      </c>
      <c r="M622" s="9">
        <v>9</v>
      </c>
      <c r="N622" s="9">
        <v>16.100000000000001</v>
      </c>
      <c r="O622" s="9">
        <v>14</v>
      </c>
      <c r="P622" s="9">
        <v>19.5</v>
      </c>
      <c r="Q622" s="9">
        <v>3</v>
      </c>
      <c r="R622">
        <v>10</v>
      </c>
      <c r="S622">
        <v>1000</v>
      </c>
      <c r="T622" s="4">
        <f t="shared" si="59"/>
        <v>1156.8299120294841</v>
      </c>
      <c r="U622">
        <v>81</v>
      </c>
    </row>
    <row r="623" spans="1:21">
      <c r="A623" s="44">
        <f t="shared" si="54"/>
        <v>45864.83333333183</v>
      </c>
      <c r="B623" s="45">
        <f t="shared" si="55"/>
        <v>5000</v>
      </c>
      <c r="C623" s="8">
        <v>25000</v>
      </c>
      <c r="D623" s="8">
        <v>0</v>
      </c>
      <c r="E623" s="8">
        <v>700</v>
      </c>
      <c r="F623" s="8">
        <v>15000</v>
      </c>
      <c r="G623" s="45">
        <f t="shared" si="56"/>
        <v>2400</v>
      </c>
      <c r="H623" s="8">
        <v>25000</v>
      </c>
      <c r="I623" s="45">
        <f t="shared" si="57"/>
        <v>5000</v>
      </c>
      <c r="J623" s="8">
        <v>25000</v>
      </c>
      <c r="K623" s="45">
        <f t="shared" si="58"/>
        <v>5000</v>
      </c>
      <c r="L623" s="8">
        <v>25000</v>
      </c>
      <c r="M623" s="9">
        <v>9</v>
      </c>
      <c r="N623" s="9">
        <v>16.100000000000001</v>
      </c>
      <c r="O623" s="9">
        <v>14</v>
      </c>
      <c r="P623" s="9">
        <v>19.5</v>
      </c>
      <c r="Q623" s="9">
        <v>2.6</v>
      </c>
      <c r="R623">
        <v>10</v>
      </c>
      <c r="S623">
        <v>1000</v>
      </c>
      <c r="T623" s="4">
        <f t="shared" si="59"/>
        <v>1114.0503247993186</v>
      </c>
      <c r="U623">
        <v>57</v>
      </c>
    </row>
    <row r="624" spans="1:21">
      <c r="A624" s="44">
        <f t="shared" si="54"/>
        <v>45864.874999998494</v>
      </c>
      <c r="B624" s="45">
        <f t="shared" si="55"/>
        <v>5000</v>
      </c>
      <c r="C624" s="8">
        <v>25000</v>
      </c>
      <c r="D624" s="8">
        <v>0</v>
      </c>
      <c r="E624" s="8">
        <v>700</v>
      </c>
      <c r="F624" s="8">
        <v>15000</v>
      </c>
      <c r="G624" s="45">
        <f t="shared" si="56"/>
        <v>2400</v>
      </c>
      <c r="H624" s="8">
        <v>25000</v>
      </c>
      <c r="I624" s="45">
        <f t="shared" si="57"/>
        <v>5000</v>
      </c>
      <c r="J624" s="8">
        <v>25000</v>
      </c>
      <c r="K624" s="45">
        <f t="shared" si="58"/>
        <v>5000</v>
      </c>
      <c r="L624" s="8">
        <v>25000</v>
      </c>
      <c r="M624" s="9">
        <v>9</v>
      </c>
      <c r="N624" s="9">
        <v>16.100000000000001</v>
      </c>
      <c r="O624" s="9">
        <v>14</v>
      </c>
      <c r="P624" s="9">
        <v>19.5</v>
      </c>
      <c r="Q624" s="9">
        <v>2.4</v>
      </c>
      <c r="R624">
        <v>10</v>
      </c>
      <c r="S624">
        <v>1000</v>
      </c>
      <c r="T624" s="4">
        <f t="shared" si="59"/>
        <v>1034.1950953030096</v>
      </c>
      <c r="U624">
        <v>47</v>
      </c>
    </row>
    <row r="625" spans="1:21">
      <c r="A625" s="44">
        <f t="shared" si="54"/>
        <v>45864.916666665158</v>
      </c>
      <c r="B625" s="45">
        <f t="shared" si="55"/>
        <v>5000</v>
      </c>
      <c r="C625" s="8">
        <v>25000</v>
      </c>
      <c r="D625" s="8">
        <v>0</v>
      </c>
      <c r="E625" s="8">
        <v>700</v>
      </c>
      <c r="F625" s="8">
        <v>15000</v>
      </c>
      <c r="G625" s="45">
        <f t="shared" si="56"/>
        <v>2400</v>
      </c>
      <c r="H625" s="8">
        <v>25000</v>
      </c>
      <c r="I625" s="45">
        <f t="shared" si="57"/>
        <v>5000</v>
      </c>
      <c r="J625" s="8">
        <v>25000</v>
      </c>
      <c r="K625" s="45">
        <f t="shared" si="58"/>
        <v>5000</v>
      </c>
      <c r="L625" s="8">
        <v>25000</v>
      </c>
      <c r="M625" s="9">
        <v>9</v>
      </c>
      <c r="N625" s="9">
        <v>16.100000000000001</v>
      </c>
      <c r="O625" s="9">
        <v>14</v>
      </c>
      <c r="P625" s="9">
        <v>19.5</v>
      </c>
      <c r="Q625" s="9">
        <v>2.9</v>
      </c>
      <c r="R625">
        <v>10</v>
      </c>
      <c r="S625">
        <v>1000</v>
      </c>
      <c r="T625" s="4">
        <f t="shared" si="59"/>
        <v>807.46328298313267</v>
      </c>
      <c r="U625">
        <v>86</v>
      </c>
    </row>
    <row r="626" spans="1:21">
      <c r="A626" s="4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workbookViewId="0">
      <selection activeCell="Z11" sqref="Z11:Z34"/>
    </sheetView>
  </sheetViews>
  <sheetFormatPr defaultRowHeight="14.4"/>
  <cols>
    <col min="1" max="3" width="1.6640625" customWidth="1"/>
    <col min="4" max="4" width="22.44140625" bestFit="1" customWidth="1"/>
    <col min="5" max="5" width="7.21875" bestFit="1" customWidth="1"/>
    <col min="6" max="6" width="7.44140625" bestFit="1" customWidth="1"/>
    <col min="7" max="7" width="7.33203125" bestFit="1" customWidth="1"/>
    <col min="8" max="8" width="17.5546875" bestFit="1" customWidth="1"/>
    <col min="9" max="9" width="17.88671875" bestFit="1" customWidth="1"/>
    <col min="10" max="10" width="15.5546875" bestFit="1" customWidth="1"/>
    <col min="11" max="11" width="21.5546875" bestFit="1" customWidth="1"/>
    <col min="12" max="12" width="19.109375" bestFit="1" customWidth="1"/>
    <col min="13" max="13" width="12" bestFit="1" customWidth="1"/>
    <col min="14" max="14" width="17.44140625" bestFit="1" customWidth="1"/>
    <col min="15" max="15" width="15" bestFit="1" customWidth="1"/>
    <col min="16" max="18" width="12" bestFit="1" customWidth="1"/>
    <col min="19" max="19" width="10.6640625" bestFit="1" customWidth="1"/>
    <col min="20" max="20" width="7.44140625" bestFit="1" customWidth="1"/>
    <col min="21" max="21" width="18" bestFit="1" customWidth="1"/>
    <col min="22" max="22" width="15.6640625" bestFit="1" customWidth="1"/>
    <col min="23" max="23" width="7.44140625" bestFit="1" customWidth="1"/>
    <col min="24" max="24" width="18" bestFit="1" customWidth="1"/>
    <col min="25" max="25" width="15.6640625" bestFit="1" customWidth="1"/>
    <col min="26" max="26" width="12" bestFit="1" customWidth="1"/>
    <col min="27" max="27" width="11.33203125" customWidth="1"/>
  </cols>
  <sheetData>
    <row r="1" spans="1:28" ht="24" thickBot="1">
      <c r="D1" s="23" t="s">
        <v>118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8" ht="18" thickBot="1">
      <c r="D2" s="24" t="s">
        <v>119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8" ht="15" thickTop="1">
      <c r="D3" t="s">
        <v>124</v>
      </c>
      <c r="E3" s="4" t="s">
        <v>263</v>
      </c>
      <c r="F3" t="s">
        <v>117</v>
      </c>
      <c r="G3" s="32" t="str" cm="1">
        <f t="array" aca="1" ref="G3" ca="1">LEFT(CELL("filename", A3), FIND("[", CELL("filename", A3)) - 1) &amp; "Results\" &amp; E3</f>
        <v>C:\Projects\Github\TempRegPy\Results\Week10_WD_alt1</v>
      </c>
      <c r="H3" s="21"/>
    </row>
    <row r="5" spans="1:28" s="31" customFormat="1" ht="18" thickBot="1">
      <c r="A5" s="30"/>
      <c r="B5" s="30"/>
      <c r="C5" s="30"/>
      <c r="D5" s="24" t="s">
        <v>130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</row>
    <row r="6" spans="1:28" s="31" customFormat="1" ht="70.8" thickTop="1" thickBot="1">
      <c r="A6" s="30"/>
      <c r="B6" s="30"/>
      <c r="C6" s="30"/>
      <c r="D6" s="42" t="s">
        <v>243</v>
      </c>
      <c r="E6" s="41" t="s">
        <v>153</v>
      </c>
      <c r="F6" s="40" t="s">
        <v>86</v>
      </c>
      <c r="G6" s="40" t="s">
        <v>248</v>
      </c>
      <c r="H6" s="40" t="s">
        <v>244</v>
      </c>
      <c r="I6" s="40" t="s">
        <v>122</v>
      </c>
      <c r="J6" s="40" t="s">
        <v>123</v>
      </c>
      <c r="K6" s="40" t="s">
        <v>245</v>
      </c>
      <c r="L6" s="40" t="s">
        <v>246</v>
      </c>
      <c r="M6" s="40" t="s">
        <v>247</v>
      </c>
      <c r="N6" s="40" t="s">
        <v>249</v>
      </c>
      <c r="O6" s="40" t="s">
        <v>250</v>
      </c>
      <c r="P6" s="40" t="s">
        <v>251</v>
      </c>
      <c r="Q6" s="40" t="s">
        <v>252</v>
      </c>
      <c r="R6" s="40" t="s">
        <v>253</v>
      </c>
      <c r="S6" s="40" t="s">
        <v>254</v>
      </c>
      <c r="T6" s="40" t="s">
        <v>255</v>
      </c>
      <c r="U6" s="40" t="s">
        <v>135</v>
      </c>
      <c r="V6" s="40" t="s">
        <v>136</v>
      </c>
      <c r="W6" s="40" t="s">
        <v>256</v>
      </c>
      <c r="X6" s="40" t="s">
        <v>137</v>
      </c>
      <c r="Y6" s="40" t="s">
        <v>138</v>
      </c>
      <c r="Z6" s="40" t="s">
        <v>257</v>
      </c>
      <c r="AA6" s="40" t="s">
        <v>131</v>
      </c>
      <c r="AB6" s="40" t="s">
        <v>133</v>
      </c>
    </row>
    <row r="7" spans="1:28" s="33" customFormat="1" ht="18" customHeight="1" thickTop="1" thickBot="1">
      <c r="F7" s="34" t="s">
        <v>120</v>
      </c>
      <c r="G7" s="34" t="s">
        <v>121</v>
      </c>
      <c r="H7" s="34" t="s">
        <v>258</v>
      </c>
      <c r="I7" s="34" t="s">
        <v>121</v>
      </c>
      <c r="J7" s="34" t="s">
        <v>121</v>
      </c>
      <c r="K7" s="34" t="s">
        <v>258</v>
      </c>
      <c r="L7" s="34" t="s">
        <v>258</v>
      </c>
      <c r="M7" s="34" t="s">
        <v>121</v>
      </c>
      <c r="N7" s="34" t="s">
        <v>121</v>
      </c>
      <c r="O7" s="34" t="s">
        <v>121</v>
      </c>
      <c r="P7" s="34" t="s">
        <v>121</v>
      </c>
      <c r="Q7" s="34" t="s">
        <v>121</v>
      </c>
      <c r="R7" s="34" t="s">
        <v>121</v>
      </c>
      <c r="S7" s="34" t="s">
        <v>121</v>
      </c>
      <c r="T7" s="34" t="s">
        <v>121</v>
      </c>
      <c r="U7" s="34" t="s">
        <v>121</v>
      </c>
      <c r="V7" s="34" t="s">
        <v>121</v>
      </c>
      <c r="W7" s="34" t="s">
        <v>121</v>
      </c>
      <c r="X7" s="34" t="s">
        <v>121</v>
      </c>
      <c r="Y7" s="34" t="s">
        <v>121</v>
      </c>
      <c r="Z7" s="34" t="s">
        <v>125</v>
      </c>
      <c r="AA7" s="34" t="s">
        <v>132</v>
      </c>
      <c r="AB7" s="34" t="s">
        <v>134</v>
      </c>
    </row>
    <row r="8" spans="1:28" s="33" customFormat="1" ht="18" customHeight="1" thickBot="1"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</row>
    <row r="9" spans="1:28" ht="15" thickBot="1">
      <c r="F9" s="35">
        <f>SUM(F11:F34)</f>
        <v>0</v>
      </c>
      <c r="G9" s="35">
        <f>SUM(G11:G34)</f>
        <v>0</v>
      </c>
      <c r="H9" s="35">
        <f t="shared" ref="H9:W9" si="0">SUM(H11:H34)</f>
        <v>0</v>
      </c>
      <c r="I9" s="35">
        <f t="shared" ref="I9:J9" si="1">AVERAGE(I11:I34)</f>
        <v>0</v>
      </c>
      <c r="J9" s="35">
        <f t="shared" si="1"/>
        <v>0</v>
      </c>
      <c r="K9" s="35">
        <f t="shared" si="0"/>
        <v>0</v>
      </c>
      <c r="L9" s="35">
        <f t="shared" si="0"/>
        <v>0</v>
      </c>
      <c r="M9" s="35">
        <f t="shared" si="0"/>
        <v>233797.41</v>
      </c>
      <c r="N9" s="35">
        <f t="shared" ref="N9:O9" si="2">AVERAGE(N11:N34)</f>
        <v>0</v>
      </c>
      <c r="O9" s="35">
        <f t="shared" si="2"/>
        <v>0</v>
      </c>
      <c r="P9" s="35">
        <f t="shared" si="0"/>
        <v>233797.41</v>
      </c>
      <c r="Q9" s="35">
        <f t="shared" si="0"/>
        <v>0</v>
      </c>
      <c r="R9" s="35">
        <f t="shared" si="0"/>
        <v>233797.41</v>
      </c>
      <c r="S9" s="35">
        <f t="shared" si="0"/>
        <v>0</v>
      </c>
      <c r="T9" s="35">
        <f t="shared" si="0"/>
        <v>0</v>
      </c>
      <c r="U9" s="35">
        <f t="shared" ref="U9:V9" si="3">AVERAGE(U11:U34)</f>
        <v>0</v>
      </c>
      <c r="V9" s="35">
        <f t="shared" si="3"/>
        <v>0</v>
      </c>
      <c r="W9" s="35">
        <f t="shared" si="0"/>
        <v>0</v>
      </c>
      <c r="X9" s="35">
        <f t="shared" ref="X9:Y9" si="4">AVERAGE(X11:X34)</f>
        <v>0</v>
      </c>
      <c r="Y9" s="35">
        <f t="shared" si="4"/>
        <v>0</v>
      </c>
      <c r="Z9" s="35">
        <f>(SUMPRODUCT(Flows[q_gg],Flows[T_plant])+SUMPRODUCT(Flows[q_tot],Flows[T_plant]))/SUM(Flows[q_gg],T11:T34)</f>
        <v>15.150481342665829</v>
      </c>
      <c r="AA9" s="35">
        <f>AVERAGE(AA11:AA34)</f>
        <v>54.541666666666664</v>
      </c>
      <c r="AB9" s="35">
        <f>SUM(AB11:AB34)</f>
        <v>0</v>
      </c>
    </row>
    <row r="10" spans="1:28">
      <c r="E10" t="s">
        <v>221</v>
      </c>
      <c r="F10" t="s">
        <v>222</v>
      </c>
      <c r="G10" t="s">
        <v>223</v>
      </c>
      <c r="H10" t="s">
        <v>224</v>
      </c>
      <c r="I10" t="s">
        <v>225</v>
      </c>
      <c r="J10" t="s">
        <v>226</v>
      </c>
      <c r="K10" t="s">
        <v>227</v>
      </c>
      <c r="L10" t="s">
        <v>228</v>
      </c>
      <c r="M10" t="s">
        <v>229</v>
      </c>
      <c r="N10" t="s">
        <v>230</v>
      </c>
      <c r="O10" t="s">
        <v>231</v>
      </c>
      <c r="P10" t="s">
        <v>232</v>
      </c>
      <c r="Q10" t="s">
        <v>233</v>
      </c>
      <c r="R10" t="s">
        <v>234</v>
      </c>
      <c r="S10" t="s">
        <v>235</v>
      </c>
      <c r="T10" t="s">
        <v>236</v>
      </c>
      <c r="U10" t="s">
        <v>237</v>
      </c>
      <c r="V10" t="s">
        <v>238</v>
      </c>
      <c r="W10" t="s">
        <v>239</v>
      </c>
      <c r="X10" t="s">
        <v>240</v>
      </c>
      <c r="Y10" t="s">
        <v>241</v>
      </c>
      <c r="Z10" t="s">
        <v>242</v>
      </c>
    </row>
    <row r="11" spans="1:28">
      <c r="E11">
        <v>1</v>
      </c>
      <c r="F11">
        <v>0</v>
      </c>
      <c r="G11">
        <v>0</v>
      </c>
      <c r="H11" s="39">
        <v>0</v>
      </c>
      <c r="I11">
        <v>0</v>
      </c>
      <c r="J11">
        <v>0</v>
      </c>
      <c r="K11">
        <v>0</v>
      </c>
      <c r="L11">
        <v>0</v>
      </c>
      <c r="M11">
        <v>7775.5562482226678</v>
      </c>
      <c r="N11">
        <v>0</v>
      </c>
      <c r="O11">
        <v>0</v>
      </c>
      <c r="P11">
        <v>7775.5562482226678</v>
      </c>
      <c r="Q11">
        <v>0</v>
      </c>
      <c r="R11">
        <v>7775.5562482226678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14.139470585714285</v>
      </c>
      <c r="AA11" cm="1">
        <f t="array" ref="AA11:AA34">TRANSPOSE(Inputs!H80:AE80)</f>
        <v>64</v>
      </c>
      <c r="AB11" s="43">
        <f>AA11*Flows[[#This Row],[p_tur]]</f>
        <v>0</v>
      </c>
    </row>
    <row r="12" spans="1:28">
      <c r="E12">
        <v>2</v>
      </c>
      <c r="F12">
        <v>0</v>
      </c>
      <c r="G12">
        <v>0</v>
      </c>
      <c r="H12" s="39">
        <v>0</v>
      </c>
      <c r="I12">
        <v>0</v>
      </c>
      <c r="J12">
        <v>0</v>
      </c>
      <c r="K12">
        <v>0</v>
      </c>
      <c r="L12">
        <v>0</v>
      </c>
      <c r="M12">
        <v>8053.9932386424234</v>
      </c>
      <c r="N12">
        <v>0</v>
      </c>
      <c r="O12">
        <v>0</v>
      </c>
      <c r="P12">
        <v>8053.9932386424234</v>
      </c>
      <c r="Q12">
        <v>0</v>
      </c>
      <c r="R12">
        <v>8053.9932386424234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14.182102087881942</v>
      </c>
      <c r="AA12">
        <v>59</v>
      </c>
      <c r="AB12" s="43">
        <f>AA12*Flows[[#This Row],[p_tur]]</f>
        <v>0</v>
      </c>
    </row>
    <row r="13" spans="1:28">
      <c r="E13">
        <v>3</v>
      </c>
      <c r="F13">
        <v>0</v>
      </c>
      <c r="G13">
        <v>0</v>
      </c>
      <c r="H13" s="39">
        <v>0</v>
      </c>
      <c r="I13">
        <v>0</v>
      </c>
      <c r="J13">
        <v>0</v>
      </c>
      <c r="K13">
        <v>0</v>
      </c>
      <c r="L13">
        <v>0</v>
      </c>
      <c r="M13">
        <v>8053.9932386424234</v>
      </c>
      <c r="N13">
        <v>0</v>
      </c>
      <c r="O13">
        <v>0</v>
      </c>
      <c r="P13">
        <v>8053.9932386424234</v>
      </c>
      <c r="Q13">
        <v>0</v>
      </c>
      <c r="R13">
        <v>8053.9932386424234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14.261852959310513</v>
      </c>
      <c r="AA13">
        <v>54</v>
      </c>
      <c r="AB13" s="43">
        <f>AA13*Flows[[#This Row],[p_tur]]</f>
        <v>0</v>
      </c>
    </row>
    <row r="14" spans="1:28">
      <c r="E14">
        <v>4</v>
      </c>
      <c r="F14">
        <v>0</v>
      </c>
      <c r="G14">
        <v>0</v>
      </c>
      <c r="H14" s="39">
        <v>0</v>
      </c>
      <c r="I14">
        <v>0</v>
      </c>
      <c r="J14">
        <v>0</v>
      </c>
      <c r="K14">
        <v>0</v>
      </c>
      <c r="L14">
        <v>0</v>
      </c>
      <c r="M14">
        <v>8053.9932386424234</v>
      </c>
      <c r="N14">
        <v>0</v>
      </c>
      <c r="O14">
        <v>0</v>
      </c>
      <c r="P14">
        <v>8053.9932386424234</v>
      </c>
      <c r="Q14">
        <v>0</v>
      </c>
      <c r="R14">
        <v>8053.9932386424234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14.334438816453371</v>
      </c>
      <c r="AA14">
        <v>88</v>
      </c>
      <c r="AB14" s="43">
        <f>AA14*Flows[[#This Row],[p_tur]]</f>
        <v>0</v>
      </c>
    </row>
    <row r="15" spans="1:28">
      <c r="E15">
        <v>5</v>
      </c>
      <c r="F15">
        <v>0</v>
      </c>
      <c r="G15">
        <v>0</v>
      </c>
      <c r="H15" s="39">
        <v>0</v>
      </c>
      <c r="I15">
        <v>0</v>
      </c>
      <c r="J15">
        <v>0</v>
      </c>
      <c r="K15">
        <v>0</v>
      </c>
      <c r="L15">
        <v>0</v>
      </c>
      <c r="M15">
        <v>8053.9932386424234</v>
      </c>
      <c r="N15">
        <v>0</v>
      </c>
      <c r="O15">
        <v>0</v>
      </c>
      <c r="P15">
        <v>8053.9932386424234</v>
      </c>
      <c r="Q15">
        <v>0</v>
      </c>
      <c r="R15">
        <v>8053.9932386424234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14.405464487881941</v>
      </c>
      <c r="AA15">
        <v>51</v>
      </c>
      <c r="AB15" s="43">
        <f>AA15*Flows[[#This Row],[p_tur]]</f>
        <v>0</v>
      </c>
    </row>
    <row r="16" spans="1:28">
      <c r="E16">
        <v>6</v>
      </c>
      <c r="F16">
        <v>0</v>
      </c>
      <c r="G16">
        <v>0</v>
      </c>
      <c r="H16" s="39">
        <v>0</v>
      </c>
      <c r="I16">
        <v>0</v>
      </c>
      <c r="J16">
        <v>0</v>
      </c>
      <c r="K16">
        <v>0</v>
      </c>
      <c r="L16">
        <v>0</v>
      </c>
      <c r="M16">
        <v>8053.9932386424234</v>
      </c>
      <c r="N16">
        <v>0</v>
      </c>
      <c r="O16">
        <v>0</v>
      </c>
      <c r="P16">
        <v>8053.9932386424234</v>
      </c>
      <c r="Q16">
        <v>0</v>
      </c>
      <c r="R16">
        <v>8053.9932386424234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14.484059787881941</v>
      </c>
      <c r="AA16">
        <v>97</v>
      </c>
      <c r="AB16" s="43">
        <f>AA16*Flows[[#This Row],[p_tur]]</f>
        <v>0</v>
      </c>
    </row>
    <row r="17" spans="5:28">
      <c r="E17">
        <v>7</v>
      </c>
      <c r="F17">
        <v>0</v>
      </c>
      <c r="G17">
        <v>0</v>
      </c>
      <c r="H17" s="39">
        <v>0</v>
      </c>
      <c r="I17">
        <v>0</v>
      </c>
      <c r="J17">
        <v>0</v>
      </c>
      <c r="K17">
        <v>0</v>
      </c>
      <c r="L17">
        <v>0</v>
      </c>
      <c r="M17">
        <v>8053.9932386424234</v>
      </c>
      <c r="N17">
        <v>0</v>
      </c>
      <c r="O17">
        <v>0</v>
      </c>
      <c r="P17">
        <v>8053.9932386424234</v>
      </c>
      <c r="Q17">
        <v>0</v>
      </c>
      <c r="R17">
        <v>8053.9932386424234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14.547257345024798</v>
      </c>
      <c r="AA17">
        <v>40</v>
      </c>
      <c r="AB17" s="43">
        <f>AA17*Flows[[#This Row],[p_tur]]</f>
        <v>0</v>
      </c>
    </row>
    <row r="18" spans="5:28">
      <c r="E18">
        <v>8</v>
      </c>
      <c r="F18">
        <v>0</v>
      </c>
      <c r="G18">
        <v>0</v>
      </c>
      <c r="H18" s="39">
        <v>0</v>
      </c>
      <c r="I18">
        <v>0</v>
      </c>
      <c r="J18">
        <v>0</v>
      </c>
      <c r="K18">
        <v>0</v>
      </c>
      <c r="L18">
        <v>0</v>
      </c>
      <c r="M18">
        <v>8053.9932386424234</v>
      </c>
      <c r="N18">
        <v>0</v>
      </c>
      <c r="O18">
        <v>0</v>
      </c>
      <c r="P18">
        <v>8053.9932386424234</v>
      </c>
      <c r="Q18">
        <v>0</v>
      </c>
      <c r="R18">
        <v>8053.9932386424234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14.509401787881941</v>
      </c>
      <c r="AA18">
        <v>33</v>
      </c>
      <c r="AB18" s="43">
        <f>AA18*Flows[[#This Row],[p_tur]]</f>
        <v>0</v>
      </c>
    </row>
    <row r="19" spans="5:28">
      <c r="E19">
        <v>9</v>
      </c>
      <c r="F19">
        <v>0</v>
      </c>
      <c r="G19">
        <v>0</v>
      </c>
      <c r="H19" s="39">
        <v>0</v>
      </c>
      <c r="I19">
        <v>0</v>
      </c>
      <c r="J19">
        <v>0</v>
      </c>
      <c r="K19">
        <v>0</v>
      </c>
      <c r="L19">
        <v>0</v>
      </c>
      <c r="M19">
        <v>8053.9932386424234</v>
      </c>
      <c r="N19">
        <v>0</v>
      </c>
      <c r="O19">
        <v>0</v>
      </c>
      <c r="P19">
        <v>8053.9932386424234</v>
      </c>
      <c r="Q19">
        <v>0</v>
      </c>
      <c r="R19">
        <v>8053.9932386424234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14.378625502167656</v>
      </c>
      <c r="AA19">
        <v>41</v>
      </c>
      <c r="AB19" s="43">
        <f>AA19*Flows[[#This Row],[p_tur]]</f>
        <v>0</v>
      </c>
    </row>
    <row r="20" spans="5:28">
      <c r="E20">
        <v>10</v>
      </c>
      <c r="F20">
        <v>0</v>
      </c>
      <c r="G20">
        <v>0</v>
      </c>
      <c r="H20" s="39">
        <v>0</v>
      </c>
      <c r="I20">
        <v>0</v>
      </c>
      <c r="J20">
        <v>0</v>
      </c>
      <c r="K20">
        <v>0</v>
      </c>
      <c r="L20">
        <v>0</v>
      </c>
      <c r="M20">
        <v>8053.9932386424234</v>
      </c>
      <c r="N20">
        <v>0</v>
      </c>
      <c r="O20">
        <v>0</v>
      </c>
      <c r="P20">
        <v>8053.9932386424234</v>
      </c>
      <c r="Q20">
        <v>0</v>
      </c>
      <c r="R20">
        <v>8053.9932386424234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14.187339673596227</v>
      </c>
      <c r="AA20">
        <v>83</v>
      </c>
      <c r="AB20" s="43">
        <f>AA20*Flows[[#This Row],[p_tur]]</f>
        <v>0</v>
      </c>
    </row>
    <row r="21" spans="5:28">
      <c r="E21">
        <v>11</v>
      </c>
      <c r="F21">
        <v>0</v>
      </c>
      <c r="G21">
        <v>0</v>
      </c>
      <c r="H21" s="39">
        <v>0</v>
      </c>
      <c r="I21">
        <v>0</v>
      </c>
      <c r="J21">
        <v>0</v>
      </c>
      <c r="K21">
        <v>0</v>
      </c>
      <c r="L21">
        <v>0</v>
      </c>
      <c r="M21">
        <v>8057.6833771008323</v>
      </c>
      <c r="N21">
        <v>0</v>
      </c>
      <c r="O21">
        <v>0</v>
      </c>
      <c r="P21">
        <v>8057.6833771008323</v>
      </c>
      <c r="Q21">
        <v>0</v>
      </c>
      <c r="R21">
        <v>8057.6833771008323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14</v>
      </c>
      <c r="AA21">
        <v>50</v>
      </c>
      <c r="AB21" s="43">
        <f>AA21*Flows[[#This Row],[p_tur]]</f>
        <v>0</v>
      </c>
    </row>
    <row r="22" spans="5:28">
      <c r="E22">
        <v>12</v>
      </c>
      <c r="F22">
        <v>0</v>
      </c>
      <c r="G22">
        <v>0</v>
      </c>
      <c r="H22" s="39">
        <v>0</v>
      </c>
      <c r="I22">
        <v>0</v>
      </c>
      <c r="J22">
        <v>0</v>
      </c>
      <c r="K22">
        <v>0</v>
      </c>
      <c r="L22">
        <v>0</v>
      </c>
      <c r="M22">
        <v>8887.5562482226669</v>
      </c>
      <c r="N22">
        <v>0</v>
      </c>
      <c r="O22">
        <v>0</v>
      </c>
      <c r="P22">
        <v>8887.5562482226669</v>
      </c>
      <c r="Q22">
        <v>0</v>
      </c>
      <c r="R22">
        <v>8887.5562482226669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14.365863160537788</v>
      </c>
      <c r="AA22">
        <v>27</v>
      </c>
      <c r="AB22" s="43">
        <f>AA22*Flows[[#This Row],[p_tur]]</f>
        <v>0</v>
      </c>
    </row>
    <row r="23" spans="5:28">
      <c r="E23">
        <v>13</v>
      </c>
      <c r="F23">
        <v>0</v>
      </c>
      <c r="G23">
        <v>0</v>
      </c>
      <c r="H23" s="39">
        <v>0</v>
      </c>
      <c r="I23">
        <v>0</v>
      </c>
      <c r="J23">
        <v>0</v>
      </c>
      <c r="K23">
        <v>0</v>
      </c>
      <c r="L23">
        <v>0</v>
      </c>
      <c r="M23">
        <v>12887.556248222667</v>
      </c>
      <c r="N23">
        <v>0</v>
      </c>
      <c r="O23">
        <v>0</v>
      </c>
      <c r="P23">
        <v>12887.556248222667</v>
      </c>
      <c r="Q23">
        <v>0</v>
      </c>
      <c r="R23">
        <v>12887.556248222667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16.384909354998449</v>
      </c>
      <c r="AA23">
        <v>31</v>
      </c>
      <c r="AB23" s="43">
        <f>AA23*Flows[[#This Row],[p_tur]]</f>
        <v>0</v>
      </c>
    </row>
    <row r="24" spans="5:28">
      <c r="E24">
        <v>14</v>
      </c>
      <c r="F24">
        <v>0</v>
      </c>
      <c r="G24">
        <v>0</v>
      </c>
      <c r="H24" s="39">
        <v>0</v>
      </c>
      <c r="I24">
        <v>0</v>
      </c>
      <c r="J24">
        <v>0</v>
      </c>
      <c r="K24">
        <v>0</v>
      </c>
      <c r="L24">
        <v>0</v>
      </c>
      <c r="M24">
        <v>12887.556248222667</v>
      </c>
      <c r="N24">
        <v>0</v>
      </c>
      <c r="O24">
        <v>0</v>
      </c>
      <c r="P24">
        <v>12887.556248222667</v>
      </c>
      <c r="Q24">
        <v>0</v>
      </c>
      <c r="R24">
        <v>12887.556248222667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16.507652812141306</v>
      </c>
      <c r="AA24">
        <v>59</v>
      </c>
      <c r="AB24" s="43">
        <f>AA24*Flows[[#This Row],[p_tur]]</f>
        <v>0</v>
      </c>
    </row>
    <row r="25" spans="5:28">
      <c r="E25">
        <v>15</v>
      </c>
      <c r="F25">
        <v>0</v>
      </c>
      <c r="G25">
        <v>0</v>
      </c>
      <c r="H25" s="39">
        <v>0</v>
      </c>
      <c r="I25">
        <v>0</v>
      </c>
      <c r="J25">
        <v>0</v>
      </c>
      <c r="K25">
        <v>0</v>
      </c>
      <c r="L25">
        <v>0</v>
      </c>
      <c r="M25">
        <v>12887.556248222667</v>
      </c>
      <c r="N25">
        <v>0</v>
      </c>
      <c r="O25">
        <v>0</v>
      </c>
      <c r="P25">
        <v>12887.556248222667</v>
      </c>
      <c r="Q25">
        <v>0</v>
      </c>
      <c r="R25">
        <v>12887.556248222667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16.56341119785559</v>
      </c>
      <c r="AA25">
        <v>79</v>
      </c>
      <c r="AB25" s="43">
        <f>AA25*Flows[[#This Row],[p_tur]]</f>
        <v>0</v>
      </c>
    </row>
    <row r="26" spans="5:28">
      <c r="E26">
        <v>16</v>
      </c>
      <c r="F26">
        <v>0</v>
      </c>
      <c r="G26">
        <v>0</v>
      </c>
      <c r="H26" s="39">
        <v>0</v>
      </c>
      <c r="I26">
        <v>0</v>
      </c>
      <c r="J26">
        <v>0</v>
      </c>
      <c r="K26">
        <v>0</v>
      </c>
      <c r="L26">
        <v>0</v>
      </c>
      <c r="M26">
        <v>12887.556248222667</v>
      </c>
      <c r="N26">
        <v>0</v>
      </c>
      <c r="O26">
        <v>0</v>
      </c>
      <c r="P26">
        <v>12887.556248222667</v>
      </c>
      <c r="Q26">
        <v>0</v>
      </c>
      <c r="R26">
        <v>12887.556248222667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16.094592583569877</v>
      </c>
      <c r="AA26">
        <v>62</v>
      </c>
      <c r="AB26" s="43">
        <f>AA26*Flows[[#This Row],[p_tur]]</f>
        <v>0</v>
      </c>
    </row>
    <row r="27" spans="5:28">
      <c r="E27">
        <v>17</v>
      </c>
      <c r="F27">
        <v>0</v>
      </c>
      <c r="G27">
        <v>0</v>
      </c>
      <c r="H27" s="39">
        <v>0</v>
      </c>
      <c r="I27">
        <v>0</v>
      </c>
      <c r="J27">
        <v>0</v>
      </c>
      <c r="K27">
        <v>0</v>
      </c>
      <c r="L27">
        <v>0</v>
      </c>
      <c r="M27">
        <v>12887.556248222667</v>
      </c>
      <c r="N27">
        <v>0</v>
      </c>
      <c r="O27">
        <v>0</v>
      </c>
      <c r="P27">
        <v>12887.556248222667</v>
      </c>
      <c r="Q27">
        <v>0</v>
      </c>
      <c r="R27">
        <v>12887.556248222667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16.03082779785559</v>
      </c>
      <c r="AA27">
        <v>83</v>
      </c>
      <c r="AB27" s="43">
        <f>AA27*Flows[[#This Row],[p_tur]]</f>
        <v>0</v>
      </c>
    </row>
    <row r="28" spans="5:28">
      <c r="E28">
        <v>18</v>
      </c>
      <c r="F28">
        <v>0</v>
      </c>
      <c r="G28">
        <v>0</v>
      </c>
      <c r="H28" s="39">
        <v>0</v>
      </c>
      <c r="I28">
        <v>0</v>
      </c>
      <c r="J28">
        <v>0</v>
      </c>
      <c r="K28">
        <v>0</v>
      </c>
      <c r="L28">
        <v>0</v>
      </c>
      <c r="M28">
        <v>12887.556248222667</v>
      </c>
      <c r="N28">
        <v>0</v>
      </c>
      <c r="O28">
        <v>0</v>
      </c>
      <c r="P28">
        <v>12887.556248222667</v>
      </c>
      <c r="Q28">
        <v>0</v>
      </c>
      <c r="R28">
        <v>12887.556248222667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15.960277026427018</v>
      </c>
      <c r="AA28">
        <v>41</v>
      </c>
      <c r="AB28" s="43">
        <f>AA28*Flows[[#This Row],[p_tur]]</f>
        <v>0</v>
      </c>
    </row>
    <row r="29" spans="5:28">
      <c r="E29">
        <v>19</v>
      </c>
      <c r="F29">
        <v>0</v>
      </c>
      <c r="G29">
        <v>0</v>
      </c>
      <c r="H29" s="39">
        <v>0</v>
      </c>
      <c r="I29">
        <v>0</v>
      </c>
      <c r="J29">
        <v>0</v>
      </c>
      <c r="K29">
        <v>0</v>
      </c>
      <c r="L29">
        <v>0</v>
      </c>
      <c r="M29">
        <v>12887.556248222667</v>
      </c>
      <c r="N29">
        <v>0</v>
      </c>
      <c r="O29">
        <v>0</v>
      </c>
      <c r="P29">
        <v>12887.556248222667</v>
      </c>
      <c r="Q29">
        <v>0</v>
      </c>
      <c r="R29">
        <v>12887.556248222667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15.941746283569877</v>
      </c>
      <c r="AA29">
        <v>27</v>
      </c>
      <c r="AB29" s="43">
        <f>AA29*Flows[[#This Row],[p_tur]]</f>
        <v>0</v>
      </c>
    </row>
    <row r="30" spans="5:28">
      <c r="E30">
        <v>20</v>
      </c>
      <c r="F30">
        <v>0</v>
      </c>
      <c r="G30">
        <v>0</v>
      </c>
      <c r="H30" s="39">
        <v>0</v>
      </c>
      <c r="I30">
        <v>0</v>
      </c>
      <c r="J30">
        <v>0</v>
      </c>
      <c r="K30">
        <v>0</v>
      </c>
      <c r="L30">
        <v>0</v>
      </c>
      <c r="M30">
        <v>12775.556248222669</v>
      </c>
      <c r="N30">
        <v>0</v>
      </c>
      <c r="O30">
        <v>0</v>
      </c>
      <c r="P30">
        <v>12775.556248222669</v>
      </c>
      <c r="Q30">
        <v>0</v>
      </c>
      <c r="R30">
        <v>12775.556248222669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15.929441273799283</v>
      </c>
      <c r="AA30">
        <v>62</v>
      </c>
      <c r="AB30" s="43">
        <f>AA30*Flows[[#This Row],[p_tur]]</f>
        <v>0</v>
      </c>
    </row>
    <row r="31" spans="5:28">
      <c r="E31">
        <v>21</v>
      </c>
      <c r="F31">
        <v>0</v>
      </c>
      <c r="G31">
        <v>0</v>
      </c>
      <c r="H31" s="39">
        <v>0</v>
      </c>
      <c r="I31">
        <v>0</v>
      </c>
      <c r="J31">
        <v>0</v>
      </c>
      <c r="K31">
        <v>0</v>
      </c>
      <c r="L31">
        <v>0</v>
      </c>
      <c r="M31">
        <v>10275.556248222667</v>
      </c>
      <c r="N31">
        <v>0</v>
      </c>
      <c r="O31">
        <v>0</v>
      </c>
      <c r="P31">
        <v>10275.556248222667</v>
      </c>
      <c r="Q31">
        <v>0</v>
      </c>
      <c r="R31">
        <v>10275.556248222667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15.335102709194979</v>
      </c>
      <c r="AA31">
        <v>17</v>
      </c>
      <c r="AB31" s="43">
        <f>AA31*Flows[[#This Row],[p_tur]]</f>
        <v>0</v>
      </c>
    </row>
    <row r="32" spans="5:28">
      <c r="E32">
        <v>22</v>
      </c>
      <c r="F32">
        <v>0</v>
      </c>
      <c r="G32">
        <v>0</v>
      </c>
      <c r="H32" s="39">
        <v>0</v>
      </c>
      <c r="I32">
        <v>0</v>
      </c>
      <c r="J32">
        <v>0</v>
      </c>
      <c r="K32">
        <v>0</v>
      </c>
      <c r="L32">
        <v>0</v>
      </c>
      <c r="M32">
        <v>7775.5562482226678</v>
      </c>
      <c r="N32">
        <v>0</v>
      </c>
      <c r="O32">
        <v>0</v>
      </c>
      <c r="P32">
        <v>7775.5562482226678</v>
      </c>
      <c r="Q32">
        <v>0</v>
      </c>
      <c r="R32">
        <v>7775.5562482226678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14.029508371428571</v>
      </c>
      <c r="AA32">
        <v>19</v>
      </c>
      <c r="AB32" s="43">
        <f>AA32*Flows[[#This Row],[p_tur]]</f>
        <v>0</v>
      </c>
    </row>
    <row r="33" spans="5:28">
      <c r="E33">
        <v>23</v>
      </c>
      <c r="F33">
        <v>0</v>
      </c>
      <c r="G33">
        <v>0</v>
      </c>
      <c r="H33" s="39">
        <v>0</v>
      </c>
      <c r="I33">
        <v>0</v>
      </c>
      <c r="J33">
        <v>0</v>
      </c>
      <c r="K33">
        <v>0</v>
      </c>
      <c r="L33">
        <v>0</v>
      </c>
      <c r="M33">
        <v>7775.5562482226678</v>
      </c>
      <c r="N33">
        <v>0</v>
      </c>
      <c r="O33">
        <v>0</v>
      </c>
      <c r="P33">
        <v>7775.5562482226678</v>
      </c>
      <c r="Q33">
        <v>0</v>
      </c>
      <c r="R33">
        <v>7775.5562482226678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14</v>
      </c>
      <c r="AA33">
        <v>84</v>
      </c>
      <c r="AB33" s="43">
        <f>AA33*Flows[[#This Row],[p_tur]]</f>
        <v>0</v>
      </c>
    </row>
    <row r="34" spans="5:28">
      <c r="E34">
        <v>24</v>
      </c>
      <c r="F34">
        <v>0</v>
      </c>
      <c r="G34">
        <v>0</v>
      </c>
      <c r="H34" s="39">
        <v>0</v>
      </c>
      <c r="I34">
        <v>0</v>
      </c>
      <c r="J34">
        <v>0</v>
      </c>
      <c r="K34">
        <v>0</v>
      </c>
      <c r="L34">
        <v>0</v>
      </c>
      <c r="M34">
        <v>7775.5562482226678</v>
      </c>
      <c r="N34">
        <v>0</v>
      </c>
      <c r="O34">
        <v>0</v>
      </c>
      <c r="P34">
        <v>7775.5562482226678</v>
      </c>
      <c r="Q34">
        <v>0</v>
      </c>
      <c r="R34">
        <v>7775.5562482226678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14</v>
      </c>
      <c r="AA34">
        <v>58</v>
      </c>
      <c r="AB34" s="43">
        <f>AA34*Flows[[#This Row],[p_tur]]</f>
        <v>0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220980</xdr:colOff>
                    <xdr:row>6</xdr:row>
                    <xdr:rowOff>60960</xdr:rowOff>
                  </from>
                  <to>
                    <xdr:col>3</xdr:col>
                    <xdr:colOff>1188720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D81DD16-0C21-423A-8D9E-E94CEF1B639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629FDA7C-1D92-4A2C-A68E-69BF6396435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Inputs</vt:lpstr>
      <vt:lpstr>Timeseries</vt:lpstr>
      <vt:lpstr>Results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2025-05-02T15:13:14Z</dcterms:modified>
</cp:coreProperties>
</file>