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1" codeName="{F4499BBC-C50B-8ECA-441A-04C5B9BE717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risusis/Documents/ANL/wapalib/weekly_model/TempRegPy/"/>
    </mc:Choice>
  </mc:AlternateContent>
  <xr:revisionPtr revIDLastSave="0" documentId="13_ncr:1_{4D514650-C3DB-664E-B2E1-749B3BDD1319}" xr6:coauthVersionLast="47" xr6:coauthVersionMax="47" xr10:uidLastSave="{00000000-0000-0000-0000-000000000000}"/>
  <bookViews>
    <workbookView xWindow="20" yWindow="760" windowWidth="34560" windowHeight="21580" activeTab="3" xr2:uid="{EDE72A4E-5E83-4998-A3FD-57974B6FA13E}"/>
  </bookViews>
  <sheets>
    <sheet name="Inputs" sheetId="1" r:id="rId1"/>
    <sheet name="HourlyTimeseries" sheetId="8" r:id="rId2"/>
    <sheet name="DailyTimeseries" sheetId="9" r:id="rId3"/>
    <sheet name="Results" sheetId="7" r:id="rId4"/>
    <sheet name="Settings" sheetId="10" r:id="rId5"/>
  </sheets>
  <definedNames>
    <definedName name="_xleta.N" hidden="1" xlm="1">#NAME?</definedName>
    <definedName name="_xleta.T" hidden="1" xlm="1">#NAME?</definedName>
    <definedName name="ExternalData_1" localSheetId="3" hidden="1">Results!$E$10:$Z$178</definedName>
    <definedName name="FolderPath">Results!$G$3</definedName>
    <definedName name="PlantName">Results!$E$6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" i="7" l="1" a="1"/>
  <c r="G3" i="7" s="1"/>
  <c r="B627" i="8"/>
  <c r="G627" i="8"/>
  <c r="I627" i="8"/>
  <c r="K627" i="8"/>
  <c r="B628" i="8"/>
  <c r="G628" i="8"/>
  <c r="I628" i="8"/>
  <c r="K628" i="8"/>
  <c r="B629" i="8"/>
  <c r="G629" i="8"/>
  <c r="I629" i="8"/>
  <c r="K629" i="8"/>
  <c r="B630" i="8"/>
  <c r="G630" i="8"/>
  <c r="I630" i="8"/>
  <c r="I654" i="8" s="1"/>
  <c r="I678" i="8" s="1"/>
  <c r="I702" i="8" s="1"/>
  <c r="I726" i="8" s="1"/>
  <c r="K630" i="8"/>
  <c r="K654" i="8" s="1"/>
  <c r="K678" i="8" s="1"/>
  <c r="K702" i="8" s="1"/>
  <c r="K726" i="8" s="1"/>
  <c r="B631" i="8"/>
  <c r="B655" i="8" s="1"/>
  <c r="B679" i="8" s="1"/>
  <c r="B703" i="8" s="1"/>
  <c r="B727" i="8" s="1"/>
  <c r="G631" i="8"/>
  <c r="G655" i="8" s="1"/>
  <c r="G679" i="8" s="1"/>
  <c r="G703" i="8" s="1"/>
  <c r="G727" i="8" s="1"/>
  <c r="I631" i="8"/>
  <c r="I655" i="8" s="1"/>
  <c r="I679" i="8" s="1"/>
  <c r="I703" i="8" s="1"/>
  <c r="I727" i="8" s="1"/>
  <c r="K631" i="8"/>
  <c r="K655" i="8" s="1"/>
  <c r="K679" i="8" s="1"/>
  <c r="K703" i="8" s="1"/>
  <c r="K727" i="8" s="1"/>
  <c r="B632" i="8"/>
  <c r="B656" i="8" s="1"/>
  <c r="B680" i="8" s="1"/>
  <c r="B704" i="8" s="1"/>
  <c r="B728" i="8" s="1"/>
  <c r="G632" i="8"/>
  <c r="G656" i="8" s="1"/>
  <c r="G680" i="8" s="1"/>
  <c r="G704" i="8" s="1"/>
  <c r="G728" i="8" s="1"/>
  <c r="I632" i="8"/>
  <c r="K632" i="8"/>
  <c r="B633" i="8"/>
  <c r="G633" i="8"/>
  <c r="I633" i="8"/>
  <c r="K633" i="8"/>
  <c r="B634" i="8"/>
  <c r="G634" i="8"/>
  <c r="I634" i="8"/>
  <c r="K634" i="8"/>
  <c r="B635" i="8"/>
  <c r="G635" i="8"/>
  <c r="I635" i="8"/>
  <c r="K635" i="8"/>
  <c r="K659" i="8" s="1"/>
  <c r="K683" i="8" s="1"/>
  <c r="K707" i="8" s="1"/>
  <c r="K731" i="8" s="1"/>
  <c r="B636" i="8"/>
  <c r="B660" i="8" s="1"/>
  <c r="B684" i="8" s="1"/>
  <c r="G636" i="8"/>
  <c r="G660" i="8" s="1"/>
  <c r="G684" i="8" s="1"/>
  <c r="I636" i="8"/>
  <c r="I660" i="8" s="1"/>
  <c r="I684" i="8" s="1"/>
  <c r="K636" i="8"/>
  <c r="K660" i="8" s="1"/>
  <c r="K684" i="8" s="1"/>
  <c r="B637" i="8"/>
  <c r="B661" i="8" s="1"/>
  <c r="B685" i="8" s="1"/>
  <c r="G637" i="8"/>
  <c r="G661" i="8" s="1"/>
  <c r="I637" i="8"/>
  <c r="I661" i="8" s="1"/>
  <c r="I685" i="8" s="1"/>
  <c r="I709" i="8" s="1"/>
  <c r="I733" i="8" s="1"/>
  <c r="K637" i="8"/>
  <c r="K661" i="8" s="1"/>
  <c r="K685" i="8" s="1"/>
  <c r="K709" i="8" s="1"/>
  <c r="K733" i="8" s="1"/>
  <c r="B638" i="8"/>
  <c r="G638" i="8"/>
  <c r="I638" i="8"/>
  <c r="K638" i="8"/>
  <c r="B639" i="8"/>
  <c r="G639" i="8"/>
  <c r="I639" i="8"/>
  <c r="K639" i="8"/>
  <c r="B640" i="8"/>
  <c r="G640" i="8"/>
  <c r="I640" i="8"/>
  <c r="K640" i="8"/>
  <c r="B641" i="8"/>
  <c r="G641" i="8"/>
  <c r="G665" i="8" s="1"/>
  <c r="G689" i="8" s="1"/>
  <c r="G713" i="8" s="1"/>
  <c r="G737" i="8" s="1"/>
  <c r="I641" i="8"/>
  <c r="I665" i="8" s="1"/>
  <c r="I689" i="8" s="1"/>
  <c r="I713" i="8" s="1"/>
  <c r="I737" i="8" s="1"/>
  <c r="K641" i="8"/>
  <c r="K665" i="8" s="1"/>
  <c r="K689" i="8" s="1"/>
  <c r="K713" i="8" s="1"/>
  <c r="K737" i="8" s="1"/>
  <c r="B642" i="8"/>
  <c r="B666" i="8" s="1"/>
  <c r="B690" i="8" s="1"/>
  <c r="B714" i="8" s="1"/>
  <c r="B738" i="8" s="1"/>
  <c r="G642" i="8"/>
  <c r="G666" i="8" s="1"/>
  <c r="G690" i="8" s="1"/>
  <c r="G714" i="8" s="1"/>
  <c r="G738" i="8" s="1"/>
  <c r="I642" i="8"/>
  <c r="I666" i="8" s="1"/>
  <c r="I690" i="8" s="1"/>
  <c r="I714" i="8" s="1"/>
  <c r="I738" i="8" s="1"/>
  <c r="K642" i="8"/>
  <c r="K666" i="8" s="1"/>
  <c r="K690" i="8" s="1"/>
  <c r="K714" i="8" s="1"/>
  <c r="K738" i="8" s="1"/>
  <c r="B643" i="8"/>
  <c r="B667" i="8" s="1"/>
  <c r="B691" i="8" s="1"/>
  <c r="B715" i="8" s="1"/>
  <c r="B739" i="8" s="1"/>
  <c r="G643" i="8"/>
  <c r="G667" i="8" s="1"/>
  <c r="G691" i="8" s="1"/>
  <c r="G715" i="8" s="1"/>
  <c r="G739" i="8" s="1"/>
  <c r="I643" i="8"/>
  <c r="K643" i="8"/>
  <c r="B644" i="8"/>
  <c r="G644" i="8"/>
  <c r="I644" i="8"/>
  <c r="K644" i="8"/>
  <c r="B645" i="8"/>
  <c r="G645" i="8"/>
  <c r="I645" i="8"/>
  <c r="K645" i="8"/>
  <c r="B646" i="8"/>
  <c r="G646" i="8"/>
  <c r="I646" i="8"/>
  <c r="K646" i="8"/>
  <c r="B647" i="8"/>
  <c r="B671" i="8" s="1"/>
  <c r="B695" i="8" s="1"/>
  <c r="B719" i="8" s="1"/>
  <c r="B743" i="8" s="1"/>
  <c r="G647" i="8"/>
  <c r="G671" i="8" s="1"/>
  <c r="G695" i="8" s="1"/>
  <c r="G719" i="8" s="1"/>
  <c r="G743" i="8" s="1"/>
  <c r="I647" i="8"/>
  <c r="I671" i="8" s="1"/>
  <c r="I695" i="8" s="1"/>
  <c r="I719" i="8" s="1"/>
  <c r="I743" i="8" s="1"/>
  <c r="K647" i="8"/>
  <c r="K671" i="8" s="1"/>
  <c r="K695" i="8" s="1"/>
  <c r="K719" i="8" s="1"/>
  <c r="K743" i="8" s="1"/>
  <c r="B648" i="8"/>
  <c r="B672" i="8" s="1"/>
  <c r="B696" i="8" s="1"/>
  <c r="B720" i="8" s="1"/>
  <c r="B744" i="8" s="1"/>
  <c r="G648" i="8"/>
  <c r="G672" i="8" s="1"/>
  <c r="G696" i="8" s="1"/>
  <c r="G720" i="8" s="1"/>
  <c r="G744" i="8" s="1"/>
  <c r="I648" i="8"/>
  <c r="I672" i="8" s="1"/>
  <c r="I696" i="8" s="1"/>
  <c r="I720" i="8" s="1"/>
  <c r="I744" i="8" s="1"/>
  <c r="K648" i="8"/>
  <c r="K672" i="8" s="1"/>
  <c r="K696" i="8" s="1"/>
  <c r="K720" i="8" s="1"/>
  <c r="K744" i="8" s="1"/>
  <c r="B649" i="8"/>
  <c r="G649" i="8"/>
  <c r="I649" i="8"/>
  <c r="K649" i="8"/>
  <c r="B650" i="8"/>
  <c r="G650" i="8"/>
  <c r="I650" i="8"/>
  <c r="K650" i="8"/>
  <c r="B651" i="8"/>
  <c r="G651" i="8"/>
  <c r="I651" i="8"/>
  <c r="K651" i="8"/>
  <c r="B652" i="8"/>
  <c r="G652" i="8"/>
  <c r="G676" i="8" s="1"/>
  <c r="G700" i="8" s="1"/>
  <c r="G724" i="8" s="1"/>
  <c r="I652" i="8"/>
  <c r="I676" i="8" s="1"/>
  <c r="I700" i="8" s="1"/>
  <c r="I724" i="8" s="1"/>
  <c r="K652" i="8"/>
  <c r="K676" i="8" s="1"/>
  <c r="K700" i="8" s="1"/>
  <c r="K724" i="8" s="1"/>
  <c r="B653" i="8"/>
  <c r="B677" i="8" s="1"/>
  <c r="B701" i="8" s="1"/>
  <c r="B725" i="8" s="1"/>
  <c r="G653" i="8"/>
  <c r="G677" i="8" s="1"/>
  <c r="G701" i="8" s="1"/>
  <c r="G725" i="8" s="1"/>
  <c r="I653" i="8"/>
  <c r="I677" i="8" s="1"/>
  <c r="I701" i="8" s="1"/>
  <c r="I725" i="8" s="1"/>
  <c r="K653" i="8"/>
  <c r="K677" i="8" s="1"/>
  <c r="K701" i="8" s="1"/>
  <c r="K725" i="8" s="1"/>
  <c r="B654" i="8"/>
  <c r="B678" i="8" s="1"/>
  <c r="B702" i="8" s="1"/>
  <c r="B726" i="8" s="1"/>
  <c r="G654" i="8"/>
  <c r="G678" i="8" s="1"/>
  <c r="G702" i="8" s="1"/>
  <c r="G726" i="8" s="1"/>
  <c r="I656" i="8"/>
  <c r="K656" i="8"/>
  <c r="B657" i="8"/>
  <c r="G657" i="8"/>
  <c r="I657" i="8"/>
  <c r="K657" i="8"/>
  <c r="B658" i="8"/>
  <c r="B682" i="8" s="1"/>
  <c r="B706" i="8" s="1"/>
  <c r="G658" i="8"/>
  <c r="G682" i="8" s="1"/>
  <c r="G706" i="8" s="1"/>
  <c r="I658" i="8"/>
  <c r="I682" i="8" s="1"/>
  <c r="I706" i="8" s="1"/>
  <c r="K658" i="8"/>
  <c r="K682" i="8" s="1"/>
  <c r="K706" i="8" s="1"/>
  <c r="B659" i="8"/>
  <c r="B683" i="8" s="1"/>
  <c r="B707" i="8" s="1"/>
  <c r="G659" i="8"/>
  <c r="G683" i="8" s="1"/>
  <c r="I659" i="8"/>
  <c r="I683" i="8" s="1"/>
  <c r="B662" i="8"/>
  <c r="G662" i="8"/>
  <c r="I662" i="8"/>
  <c r="K662" i="8"/>
  <c r="B663" i="8"/>
  <c r="G663" i="8"/>
  <c r="G687" i="8" s="1"/>
  <c r="G711" i="8" s="1"/>
  <c r="G735" i="8" s="1"/>
  <c r="I663" i="8"/>
  <c r="I687" i="8" s="1"/>
  <c r="I711" i="8" s="1"/>
  <c r="K663" i="8"/>
  <c r="K687" i="8" s="1"/>
  <c r="K711" i="8" s="1"/>
  <c r="K735" i="8" s="1"/>
  <c r="B664" i="8"/>
  <c r="B688" i="8" s="1"/>
  <c r="B712" i="8" s="1"/>
  <c r="G664" i="8"/>
  <c r="G688" i="8" s="1"/>
  <c r="G712" i="8" s="1"/>
  <c r="I664" i="8"/>
  <c r="I688" i="8" s="1"/>
  <c r="I712" i="8" s="1"/>
  <c r="K664" i="8"/>
  <c r="K688" i="8" s="1"/>
  <c r="K712" i="8" s="1"/>
  <c r="K736" i="8" s="1"/>
  <c r="B665" i="8"/>
  <c r="B689" i="8" s="1"/>
  <c r="B713" i="8" s="1"/>
  <c r="B737" i="8" s="1"/>
  <c r="I667" i="8"/>
  <c r="K667" i="8"/>
  <c r="B668" i="8"/>
  <c r="G668" i="8"/>
  <c r="I668" i="8"/>
  <c r="K668" i="8"/>
  <c r="B669" i="8"/>
  <c r="B693" i="8" s="1"/>
  <c r="B717" i="8" s="1"/>
  <c r="B741" i="8" s="1"/>
  <c r="G669" i="8"/>
  <c r="G693" i="8" s="1"/>
  <c r="G717" i="8" s="1"/>
  <c r="G741" i="8" s="1"/>
  <c r="I669" i="8"/>
  <c r="I693" i="8" s="1"/>
  <c r="I717" i="8" s="1"/>
  <c r="I741" i="8" s="1"/>
  <c r="K669" i="8"/>
  <c r="K693" i="8" s="1"/>
  <c r="K717" i="8" s="1"/>
  <c r="K741" i="8" s="1"/>
  <c r="B670" i="8"/>
  <c r="B694" i="8" s="1"/>
  <c r="B718" i="8" s="1"/>
  <c r="B742" i="8" s="1"/>
  <c r="G670" i="8"/>
  <c r="G694" i="8" s="1"/>
  <c r="G718" i="8" s="1"/>
  <c r="G742" i="8" s="1"/>
  <c r="I670" i="8"/>
  <c r="I694" i="8" s="1"/>
  <c r="I718" i="8" s="1"/>
  <c r="I742" i="8" s="1"/>
  <c r="K670" i="8"/>
  <c r="K694" i="8" s="1"/>
  <c r="K718" i="8" s="1"/>
  <c r="K742" i="8" s="1"/>
  <c r="B673" i="8"/>
  <c r="G673" i="8"/>
  <c r="I673" i="8"/>
  <c r="K673" i="8"/>
  <c r="B674" i="8"/>
  <c r="G674" i="8"/>
  <c r="I674" i="8"/>
  <c r="I698" i="8" s="1"/>
  <c r="I722" i="8" s="1"/>
  <c r="K674" i="8"/>
  <c r="K698" i="8" s="1"/>
  <c r="K722" i="8" s="1"/>
  <c r="B675" i="8"/>
  <c r="B699" i="8" s="1"/>
  <c r="B723" i="8" s="1"/>
  <c r="G675" i="8"/>
  <c r="G699" i="8" s="1"/>
  <c r="G723" i="8" s="1"/>
  <c r="I675" i="8"/>
  <c r="I699" i="8" s="1"/>
  <c r="K675" i="8"/>
  <c r="K699" i="8" s="1"/>
  <c r="B676" i="8"/>
  <c r="B700" i="8" s="1"/>
  <c r="I680" i="8"/>
  <c r="I704" i="8" s="1"/>
  <c r="I728" i="8" s="1"/>
  <c r="K680" i="8"/>
  <c r="K704" i="8" s="1"/>
  <c r="K728" i="8" s="1"/>
  <c r="B681" i="8"/>
  <c r="B705" i="8" s="1"/>
  <c r="B729" i="8" s="1"/>
  <c r="G681" i="8"/>
  <c r="G705" i="8" s="1"/>
  <c r="G729" i="8" s="1"/>
  <c r="I681" i="8"/>
  <c r="I705" i="8" s="1"/>
  <c r="I729" i="8" s="1"/>
  <c r="K681" i="8"/>
  <c r="K705" i="8" s="1"/>
  <c r="K729" i="8" s="1"/>
  <c r="G685" i="8"/>
  <c r="B686" i="8"/>
  <c r="B710" i="8" s="1"/>
  <c r="B734" i="8" s="1"/>
  <c r="G686" i="8"/>
  <c r="G710" i="8" s="1"/>
  <c r="G734" i="8" s="1"/>
  <c r="I686" i="8"/>
  <c r="I710" i="8" s="1"/>
  <c r="K686" i="8"/>
  <c r="K710" i="8" s="1"/>
  <c r="B687" i="8"/>
  <c r="B711" i="8" s="1"/>
  <c r="I691" i="8"/>
  <c r="I715" i="8" s="1"/>
  <c r="I739" i="8" s="1"/>
  <c r="K691" i="8"/>
  <c r="K715" i="8" s="1"/>
  <c r="K739" i="8" s="1"/>
  <c r="B692" i="8"/>
  <c r="B716" i="8" s="1"/>
  <c r="B740" i="8" s="1"/>
  <c r="G692" i="8"/>
  <c r="G716" i="8" s="1"/>
  <c r="G740" i="8" s="1"/>
  <c r="I692" i="8"/>
  <c r="I716" i="8" s="1"/>
  <c r="I740" i="8" s="1"/>
  <c r="K692" i="8"/>
  <c r="K716" i="8" s="1"/>
  <c r="K740" i="8" s="1"/>
  <c r="B697" i="8"/>
  <c r="B721" i="8" s="1"/>
  <c r="B745" i="8" s="1"/>
  <c r="G697" i="8"/>
  <c r="G721" i="8" s="1"/>
  <c r="G745" i="8" s="1"/>
  <c r="I697" i="8"/>
  <c r="I721" i="8" s="1"/>
  <c r="K697" i="8"/>
  <c r="K721" i="8" s="1"/>
  <c r="B698" i="8"/>
  <c r="B722" i="8" s="1"/>
  <c r="G698" i="8"/>
  <c r="G722" i="8" s="1"/>
  <c r="G707" i="8"/>
  <c r="I707" i="8"/>
  <c r="I731" i="8" s="1"/>
  <c r="B708" i="8"/>
  <c r="B732" i="8" s="1"/>
  <c r="G708" i="8"/>
  <c r="G732" i="8" s="1"/>
  <c r="I708" i="8"/>
  <c r="I732" i="8" s="1"/>
  <c r="K708" i="8"/>
  <c r="K732" i="8" s="1"/>
  <c r="B709" i="8"/>
  <c r="B733" i="8" s="1"/>
  <c r="G709" i="8"/>
  <c r="G733" i="8" s="1"/>
  <c r="I723" i="8"/>
  <c r="K723" i="8"/>
  <c r="B724" i="8"/>
  <c r="B730" i="8"/>
  <c r="G730" i="8"/>
  <c r="I730" i="8"/>
  <c r="K730" i="8"/>
  <c r="B731" i="8"/>
  <c r="G731" i="8"/>
  <c r="I734" i="8"/>
  <c r="K734" i="8"/>
  <c r="B735" i="8"/>
  <c r="I735" i="8"/>
  <c r="B736" i="8"/>
  <c r="G736" i="8"/>
  <c r="I736" i="8"/>
  <c r="I745" i="8"/>
  <c r="K745" i="8"/>
  <c r="B746" i="8"/>
  <c r="G746" i="8"/>
  <c r="I746" i="8"/>
  <c r="K746" i="8"/>
  <c r="A627" i="8"/>
  <c r="A628" i="8" s="1"/>
  <c r="A629" i="8" s="1"/>
  <c r="A630" i="8" s="1"/>
  <c r="A631" i="8" s="1"/>
  <c r="A632" i="8" s="1"/>
  <c r="A633" i="8" s="1"/>
  <c r="A634" i="8" s="1"/>
  <c r="A635" i="8" s="1"/>
  <c r="A636" i="8" s="1"/>
  <c r="A637" i="8" s="1"/>
  <c r="A638" i="8" s="1"/>
  <c r="A639" i="8" s="1"/>
  <c r="A640" i="8" s="1"/>
  <c r="A641" i="8" s="1"/>
  <c r="A642" i="8" s="1"/>
  <c r="A643" i="8" s="1"/>
  <c r="A644" i="8" s="1"/>
  <c r="A645" i="8" s="1"/>
  <c r="A646" i="8" s="1"/>
  <c r="A647" i="8" s="1"/>
  <c r="A648" i="8" s="1"/>
  <c r="A649" i="8" s="1"/>
  <c r="A650" i="8" s="1"/>
  <c r="A651" i="8" s="1"/>
  <c r="A652" i="8" s="1"/>
  <c r="A653" i="8" s="1"/>
  <c r="A654" i="8" s="1"/>
  <c r="A655" i="8" s="1"/>
  <c r="A656" i="8" s="1"/>
  <c r="A657" i="8" s="1"/>
  <c r="A658" i="8" s="1"/>
  <c r="A659" i="8" s="1"/>
  <c r="A660" i="8" s="1"/>
  <c r="A661" i="8" s="1"/>
  <c r="A662" i="8" s="1"/>
  <c r="A663" i="8" s="1"/>
  <c r="A664" i="8" s="1"/>
  <c r="A665" i="8" s="1"/>
  <c r="A666" i="8" s="1"/>
  <c r="A667" i="8" s="1"/>
  <c r="A668" i="8" s="1"/>
  <c r="A669" i="8" s="1"/>
  <c r="A670" i="8" s="1"/>
  <c r="A671" i="8" s="1"/>
  <c r="A672" i="8" s="1"/>
  <c r="A673" i="8" s="1"/>
  <c r="A674" i="8" s="1"/>
  <c r="A675" i="8" s="1"/>
  <c r="A676" i="8" s="1"/>
  <c r="A677" i="8" s="1"/>
  <c r="A678" i="8" s="1"/>
  <c r="A679" i="8" s="1"/>
  <c r="A680" i="8" s="1"/>
  <c r="A681" i="8" s="1"/>
  <c r="A682" i="8" s="1"/>
  <c r="A683" i="8" s="1"/>
  <c r="A684" i="8" s="1"/>
  <c r="A685" i="8" s="1"/>
  <c r="A686" i="8" s="1"/>
  <c r="A687" i="8" s="1"/>
  <c r="A688" i="8" s="1"/>
  <c r="A689" i="8" s="1"/>
  <c r="A690" i="8" s="1"/>
  <c r="A691" i="8" s="1"/>
  <c r="A692" i="8" s="1"/>
  <c r="A693" i="8" s="1"/>
  <c r="A694" i="8" s="1"/>
  <c r="A695" i="8" s="1"/>
  <c r="A696" i="8" s="1"/>
  <c r="A697" i="8" s="1"/>
  <c r="A698" i="8" s="1"/>
  <c r="A699" i="8" s="1"/>
  <c r="A700" i="8" s="1"/>
  <c r="A701" i="8" s="1"/>
  <c r="A702" i="8" s="1"/>
  <c r="A703" i="8" s="1"/>
  <c r="A704" i="8" s="1"/>
  <c r="A705" i="8" s="1"/>
  <c r="A706" i="8" s="1"/>
  <c r="A707" i="8" s="1"/>
  <c r="A708" i="8" s="1"/>
  <c r="A709" i="8" s="1"/>
  <c r="A710" i="8" s="1"/>
  <c r="A711" i="8" s="1"/>
  <c r="A712" i="8" s="1"/>
  <c r="A713" i="8" s="1"/>
  <c r="A714" i="8" s="1"/>
  <c r="A715" i="8" s="1"/>
  <c r="A716" i="8" s="1"/>
  <c r="A717" i="8" s="1"/>
  <c r="A718" i="8" s="1"/>
  <c r="A719" i="8" s="1"/>
  <c r="A720" i="8" s="1"/>
  <c r="A721" i="8" s="1"/>
  <c r="A722" i="8" s="1"/>
  <c r="A723" i="8" s="1"/>
  <c r="A724" i="8" s="1"/>
  <c r="A725" i="8" s="1"/>
  <c r="A726" i="8" s="1"/>
  <c r="A727" i="8" s="1"/>
  <c r="A728" i="8" s="1"/>
  <c r="A729" i="8" s="1"/>
  <c r="A730" i="8" s="1"/>
  <c r="A731" i="8" s="1"/>
  <c r="A732" i="8" s="1"/>
  <c r="A733" i="8" s="1"/>
  <c r="A734" i="8" s="1"/>
  <c r="A735" i="8" s="1"/>
  <c r="A736" i="8" s="1"/>
  <c r="A737" i="8" s="1"/>
  <c r="A738" i="8" s="1"/>
  <c r="A739" i="8" s="1"/>
  <c r="A740" i="8" s="1"/>
  <c r="A741" i="8" s="1"/>
  <c r="A742" i="8" s="1"/>
  <c r="A743" i="8" s="1"/>
  <c r="A744" i="8" s="1"/>
  <c r="A745" i="8" s="1"/>
  <c r="A746" i="8" s="1"/>
  <c r="V28" i="8"/>
  <c r="V52" i="8" s="1"/>
  <c r="V76" i="8" s="1"/>
  <c r="W28" i="8"/>
  <c r="W52" i="8" s="1"/>
  <c r="V29" i="8"/>
  <c r="W29" i="8"/>
  <c r="V30" i="8"/>
  <c r="W30" i="8"/>
  <c r="V31" i="8"/>
  <c r="V55" i="8" s="1"/>
  <c r="W31" i="8"/>
  <c r="V32" i="8"/>
  <c r="W32" i="8"/>
  <c r="W56" i="8" s="1"/>
  <c r="W80" i="8" s="1"/>
  <c r="W104" i="8" s="1"/>
  <c r="W128" i="8" s="1"/>
  <c r="W152" i="8" s="1"/>
  <c r="W176" i="8" s="1"/>
  <c r="W200" i="8" s="1"/>
  <c r="W224" i="8" s="1"/>
  <c r="W248" i="8" s="1"/>
  <c r="W272" i="8" s="1"/>
  <c r="W296" i="8" s="1"/>
  <c r="W320" i="8" s="1"/>
  <c r="W344" i="8" s="1"/>
  <c r="V33" i="8"/>
  <c r="W33" i="8"/>
  <c r="W57" i="8" s="1"/>
  <c r="W81" i="8" s="1"/>
  <c r="W105" i="8" s="1"/>
  <c r="W129" i="8" s="1"/>
  <c r="W153" i="8" s="1"/>
  <c r="W177" i="8" s="1"/>
  <c r="W201" i="8" s="1"/>
  <c r="W225" i="8" s="1"/>
  <c r="W249" i="8" s="1"/>
  <c r="W273" i="8" s="1"/>
  <c r="W297" i="8" s="1"/>
  <c r="W321" i="8" s="1"/>
  <c r="W345" i="8" s="1"/>
  <c r="W369" i="8" s="1"/>
  <c r="W393" i="8" s="1"/>
  <c r="W417" i="8" s="1"/>
  <c r="W441" i="8" s="1"/>
  <c r="W465" i="8" s="1"/>
  <c r="W489" i="8" s="1"/>
  <c r="W513" i="8" s="1"/>
  <c r="W537" i="8" s="1"/>
  <c r="W561" i="8" s="1"/>
  <c r="W585" i="8" s="1"/>
  <c r="W609" i="8" s="1"/>
  <c r="W633" i="8" s="1"/>
  <c r="W657" i="8" s="1"/>
  <c r="W681" i="8" s="1"/>
  <c r="W705" i="8" s="1"/>
  <c r="W729" i="8" s="1"/>
  <c r="V34" i="8"/>
  <c r="V58" i="8" s="1"/>
  <c r="V82" i="8" s="1"/>
  <c r="V106" i="8" s="1"/>
  <c r="V130" i="8" s="1"/>
  <c r="V154" i="8" s="1"/>
  <c r="V178" i="8" s="1"/>
  <c r="V202" i="8" s="1"/>
  <c r="V226" i="8" s="1"/>
  <c r="V250" i="8" s="1"/>
  <c r="V274" i="8" s="1"/>
  <c r="V298" i="8" s="1"/>
  <c r="V322" i="8" s="1"/>
  <c r="V346" i="8" s="1"/>
  <c r="V370" i="8" s="1"/>
  <c r="V394" i="8" s="1"/>
  <c r="V418" i="8" s="1"/>
  <c r="V442" i="8" s="1"/>
  <c r="V466" i="8" s="1"/>
  <c r="V490" i="8" s="1"/>
  <c r="V514" i="8" s="1"/>
  <c r="V538" i="8" s="1"/>
  <c r="V562" i="8" s="1"/>
  <c r="V586" i="8" s="1"/>
  <c r="V610" i="8" s="1"/>
  <c r="V634" i="8" s="1"/>
  <c r="V658" i="8" s="1"/>
  <c r="V682" i="8" s="1"/>
  <c r="V706" i="8" s="1"/>
  <c r="V730" i="8" s="1"/>
  <c r="W34" i="8"/>
  <c r="W58" i="8" s="1"/>
  <c r="W82" i="8" s="1"/>
  <c r="W106" i="8" s="1"/>
  <c r="W130" i="8" s="1"/>
  <c r="W154" i="8" s="1"/>
  <c r="W178" i="8" s="1"/>
  <c r="W202" i="8" s="1"/>
  <c r="W226" i="8" s="1"/>
  <c r="W250" i="8" s="1"/>
  <c r="W274" i="8" s="1"/>
  <c r="W298" i="8" s="1"/>
  <c r="W322" i="8" s="1"/>
  <c r="W346" i="8" s="1"/>
  <c r="W370" i="8" s="1"/>
  <c r="W394" i="8" s="1"/>
  <c r="W418" i="8" s="1"/>
  <c r="W442" i="8" s="1"/>
  <c r="W466" i="8" s="1"/>
  <c r="W490" i="8" s="1"/>
  <c r="W514" i="8" s="1"/>
  <c r="W538" i="8" s="1"/>
  <c r="W562" i="8" s="1"/>
  <c r="W586" i="8" s="1"/>
  <c r="W610" i="8" s="1"/>
  <c r="W634" i="8" s="1"/>
  <c r="W658" i="8" s="1"/>
  <c r="W682" i="8" s="1"/>
  <c r="W706" i="8" s="1"/>
  <c r="W730" i="8" s="1"/>
  <c r="V35" i="8"/>
  <c r="V59" i="8" s="1"/>
  <c r="V83" i="8" s="1"/>
  <c r="V107" i="8" s="1"/>
  <c r="V131" i="8" s="1"/>
  <c r="V155" i="8" s="1"/>
  <c r="V179" i="8" s="1"/>
  <c r="V203" i="8" s="1"/>
  <c r="V227" i="8" s="1"/>
  <c r="V251" i="8" s="1"/>
  <c r="V275" i="8" s="1"/>
  <c r="V299" i="8" s="1"/>
  <c r="V323" i="8" s="1"/>
  <c r="V347" i="8" s="1"/>
  <c r="V371" i="8" s="1"/>
  <c r="V395" i="8" s="1"/>
  <c r="V419" i="8" s="1"/>
  <c r="V443" i="8" s="1"/>
  <c r="V467" i="8" s="1"/>
  <c r="V491" i="8" s="1"/>
  <c r="V515" i="8" s="1"/>
  <c r="V539" i="8" s="1"/>
  <c r="V563" i="8" s="1"/>
  <c r="V587" i="8" s="1"/>
  <c r="V611" i="8" s="1"/>
  <c r="V635" i="8" s="1"/>
  <c r="V659" i="8" s="1"/>
  <c r="V683" i="8" s="1"/>
  <c r="V707" i="8" s="1"/>
  <c r="V731" i="8" s="1"/>
  <c r="W35" i="8"/>
  <c r="V36" i="8"/>
  <c r="V60" i="8" s="1"/>
  <c r="V84" i="8" s="1"/>
  <c r="V108" i="8" s="1"/>
  <c r="V132" i="8" s="1"/>
  <c r="V156" i="8" s="1"/>
  <c r="V180" i="8" s="1"/>
  <c r="V204" i="8" s="1"/>
  <c r="V228" i="8" s="1"/>
  <c r="V252" i="8" s="1"/>
  <c r="V276" i="8" s="1"/>
  <c r="V300" i="8" s="1"/>
  <c r="V324" i="8" s="1"/>
  <c r="V348" i="8" s="1"/>
  <c r="V372" i="8" s="1"/>
  <c r="V396" i="8" s="1"/>
  <c r="V420" i="8" s="1"/>
  <c r="V444" i="8" s="1"/>
  <c r="V468" i="8" s="1"/>
  <c r="V492" i="8" s="1"/>
  <c r="V516" i="8" s="1"/>
  <c r="V540" i="8" s="1"/>
  <c r="V564" i="8" s="1"/>
  <c r="V588" i="8" s="1"/>
  <c r="V612" i="8" s="1"/>
  <c r="V636" i="8" s="1"/>
  <c r="V660" i="8" s="1"/>
  <c r="V684" i="8" s="1"/>
  <c r="V708" i="8" s="1"/>
  <c r="V732" i="8" s="1"/>
  <c r="W36" i="8"/>
  <c r="W60" i="8" s="1"/>
  <c r="W84" i="8" s="1"/>
  <c r="W108" i="8" s="1"/>
  <c r="W132" i="8" s="1"/>
  <c r="W156" i="8" s="1"/>
  <c r="W180" i="8" s="1"/>
  <c r="W204" i="8" s="1"/>
  <c r="W228" i="8" s="1"/>
  <c r="W252" i="8" s="1"/>
  <c r="W276" i="8" s="1"/>
  <c r="W300" i="8" s="1"/>
  <c r="W324" i="8" s="1"/>
  <c r="W348" i="8" s="1"/>
  <c r="W372" i="8" s="1"/>
  <c r="W396" i="8" s="1"/>
  <c r="W420" i="8" s="1"/>
  <c r="W444" i="8" s="1"/>
  <c r="W468" i="8" s="1"/>
  <c r="W492" i="8" s="1"/>
  <c r="W516" i="8" s="1"/>
  <c r="W540" i="8" s="1"/>
  <c r="W564" i="8" s="1"/>
  <c r="W588" i="8" s="1"/>
  <c r="W612" i="8" s="1"/>
  <c r="W636" i="8" s="1"/>
  <c r="W660" i="8" s="1"/>
  <c r="W684" i="8" s="1"/>
  <c r="W708" i="8" s="1"/>
  <c r="W732" i="8" s="1"/>
  <c r="V37" i="8"/>
  <c r="V61" i="8" s="1"/>
  <c r="V85" i="8" s="1"/>
  <c r="V109" i="8" s="1"/>
  <c r="V133" i="8" s="1"/>
  <c r="V157" i="8" s="1"/>
  <c r="V181" i="8" s="1"/>
  <c r="V205" i="8" s="1"/>
  <c r="V229" i="8" s="1"/>
  <c r="V253" i="8" s="1"/>
  <c r="V277" i="8" s="1"/>
  <c r="V301" i="8" s="1"/>
  <c r="V325" i="8" s="1"/>
  <c r="V349" i="8" s="1"/>
  <c r="V373" i="8" s="1"/>
  <c r="V397" i="8" s="1"/>
  <c r="V421" i="8" s="1"/>
  <c r="V445" i="8" s="1"/>
  <c r="V469" i="8" s="1"/>
  <c r="V493" i="8" s="1"/>
  <c r="V517" i="8" s="1"/>
  <c r="V541" i="8" s="1"/>
  <c r="V565" i="8" s="1"/>
  <c r="V589" i="8" s="1"/>
  <c r="V613" i="8" s="1"/>
  <c r="V637" i="8" s="1"/>
  <c r="V661" i="8" s="1"/>
  <c r="V685" i="8" s="1"/>
  <c r="V709" i="8" s="1"/>
  <c r="V733" i="8" s="1"/>
  <c r="W37" i="8"/>
  <c r="W61" i="8" s="1"/>
  <c r="W85" i="8" s="1"/>
  <c r="W109" i="8" s="1"/>
  <c r="W133" i="8" s="1"/>
  <c r="W157" i="8" s="1"/>
  <c r="W181" i="8" s="1"/>
  <c r="W205" i="8" s="1"/>
  <c r="W229" i="8" s="1"/>
  <c r="W253" i="8" s="1"/>
  <c r="W277" i="8" s="1"/>
  <c r="W301" i="8" s="1"/>
  <c r="W325" i="8" s="1"/>
  <c r="W349" i="8" s="1"/>
  <c r="W373" i="8" s="1"/>
  <c r="W397" i="8" s="1"/>
  <c r="W421" i="8" s="1"/>
  <c r="W445" i="8" s="1"/>
  <c r="W469" i="8" s="1"/>
  <c r="W493" i="8" s="1"/>
  <c r="W517" i="8" s="1"/>
  <c r="W541" i="8" s="1"/>
  <c r="W565" i="8" s="1"/>
  <c r="W589" i="8" s="1"/>
  <c r="W613" i="8" s="1"/>
  <c r="W637" i="8" s="1"/>
  <c r="W661" i="8" s="1"/>
  <c r="W685" i="8" s="1"/>
  <c r="W709" i="8" s="1"/>
  <c r="W733" i="8" s="1"/>
  <c r="V38" i="8"/>
  <c r="V62" i="8" s="1"/>
  <c r="V86" i="8" s="1"/>
  <c r="V110" i="8" s="1"/>
  <c r="V134" i="8" s="1"/>
  <c r="V158" i="8" s="1"/>
  <c r="V182" i="8" s="1"/>
  <c r="V206" i="8" s="1"/>
  <c r="V230" i="8" s="1"/>
  <c r="V254" i="8" s="1"/>
  <c r="V278" i="8" s="1"/>
  <c r="V302" i="8" s="1"/>
  <c r="V326" i="8" s="1"/>
  <c r="V350" i="8" s="1"/>
  <c r="V374" i="8" s="1"/>
  <c r="V398" i="8" s="1"/>
  <c r="V422" i="8" s="1"/>
  <c r="V446" i="8" s="1"/>
  <c r="V470" i="8" s="1"/>
  <c r="V494" i="8" s="1"/>
  <c r="V518" i="8" s="1"/>
  <c r="V542" i="8" s="1"/>
  <c r="V566" i="8" s="1"/>
  <c r="V590" i="8" s="1"/>
  <c r="V614" i="8" s="1"/>
  <c r="V638" i="8" s="1"/>
  <c r="V662" i="8" s="1"/>
  <c r="V686" i="8" s="1"/>
  <c r="V710" i="8" s="1"/>
  <c r="V734" i="8" s="1"/>
  <c r="W38" i="8"/>
  <c r="W62" i="8" s="1"/>
  <c r="W86" i="8" s="1"/>
  <c r="W110" i="8" s="1"/>
  <c r="W134" i="8" s="1"/>
  <c r="W158" i="8" s="1"/>
  <c r="W182" i="8" s="1"/>
  <c r="W206" i="8" s="1"/>
  <c r="W230" i="8" s="1"/>
  <c r="W254" i="8" s="1"/>
  <c r="W278" i="8" s="1"/>
  <c r="W302" i="8" s="1"/>
  <c r="W326" i="8" s="1"/>
  <c r="W350" i="8" s="1"/>
  <c r="W374" i="8" s="1"/>
  <c r="W398" i="8" s="1"/>
  <c r="W422" i="8" s="1"/>
  <c r="W446" i="8" s="1"/>
  <c r="W470" i="8" s="1"/>
  <c r="W494" i="8" s="1"/>
  <c r="W518" i="8" s="1"/>
  <c r="W542" i="8" s="1"/>
  <c r="W566" i="8" s="1"/>
  <c r="W590" i="8" s="1"/>
  <c r="W614" i="8" s="1"/>
  <c r="W638" i="8" s="1"/>
  <c r="W662" i="8" s="1"/>
  <c r="W686" i="8" s="1"/>
  <c r="W710" i="8" s="1"/>
  <c r="W734" i="8" s="1"/>
  <c r="V39" i="8"/>
  <c r="V63" i="8" s="1"/>
  <c r="W39" i="8"/>
  <c r="W63" i="8" s="1"/>
  <c r="W87" i="8" s="1"/>
  <c r="W111" i="8" s="1"/>
  <c r="W135" i="8" s="1"/>
  <c r="W159" i="8" s="1"/>
  <c r="V40" i="8"/>
  <c r="W40" i="8"/>
  <c r="V41" i="8"/>
  <c r="W41" i="8"/>
  <c r="V42" i="8"/>
  <c r="V66" i="8" s="1"/>
  <c r="W42" i="8"/>
  <c r="W66" i="8" s="1"/>
  <c r="W90" i="8" s="1"/>
  <c r="V43" i="8"/>
  <c r="W43" i="8"/>
  <c r="W67" i="8" s="1"/>
  <c r="W91" i="8" s="1"/>
  <c r="V44" i="8"/>
  <c r="W44" i="8"/>
  <c r="W68" i="8" s="1"/>
  <c r="W92" i="8" s="1"/>
  <c r="V45" i="8"/>
  <c r="V69" i="8" s="1"/>
  <c r="V93" i="8" s="1"/>
  <c r="V117" i="8" s="1"/>
  <c r="V141" i="8" s="1"/>
  <c r="V165" i="8" s="1"/>
  <c r="V189" i="8" s="1"/>
  <c r="V213" i="8" s="1"/>
  <c r="V237" i="8" s="1"/>
  <c r="V261" i="8" s="1"/>
  <c r="V285" i="8" s="1"/>
  <c r="V309" i="8" s="1"/>
  <c r="V333" i="8" s="1"/>
  <c r="V357" i="8" s="1"/>
  <c r="V381" i="8" s="1"/>
  <c r="V405" i="8" s="1"/>
  <c r="V429" i="8" s="1"/>
  <c r="V453" i="8" s="1"/>
  <c r="V477" i="8" s="1"/>
  <c r="V501" i="8" s="1"/>
  <c r="V525" i="8" s="1"/>
  <c r="V549" i="8" s="1"/>
  <c r="V573" i="8" s="1"/>
  <c r="V597" i="8" s="1"/>
  <c r="V621" i="8" s="1"/>
  <c r="V645" i="8" s="1"/>
  <c r="V669" i="8" s="1"/>
  <c r="V693" i="8" s="1"/>
  <c r="V717" i="8" s="1"/>
  <c r="V741" i="8" s="1"/>
  <c r="W45" i="8"/>
  <c r="W69" i="8" s="1"/>
  <c r="W93" i="8" s="1"/>
  <c r="V46" i="8"/>
  <c r="V70" i="8" s="1"/>
  <c r="V94" i="8" s="1"/>
  <c r="V118" i="8" s="1"/>
  <c r="V142" i="8" s="1"/>
  <c r="V166" i="8" s="1"/>
  <c r="V190" i="8" s="1"/>
  <c r="V214" i="8" s="1"/>
  <c r="V238" i="8" s="1"/>
  <c r="V262" i="8" s="1"/>
  <c r="V286" i="8" s="1"/>
  <c r="V310" i="8" s="1"/>
  <c r="V334" i="8" s="1"/>
  <c r="V358" i="8" s="1"/>
  <c r="V382" i="8" s="1"/>
  <c r="V406" i="8" s="1"/>
  <c r="V430" i="8" s="1"/>
  <c r="V454" i="8" s="1"/>
  <c r="V478" i="8" s="1"/>
  <c r="V502" i="8" s="1"/>
  <c r="V526" i="8" s="1"/>
  <c r="V550" i="8" s="1"/>
  <c r="V574" i="8" s="1"/>
  <c r="V598" i="8" s="1"/>
  <c r="V622" i="8" s="1"/>
  <c r="V646" i="8" s="1"/>
  <c r="V670" i="8" s="1"/>
  <c r="V694" i="8" s="1"/>
  <c r="V718" i="8" s="1"/>
  <c r="V742" i="8" s="1"/>
  <c r="W46" i="8"/>
  <c r="V47" i="8"/>
  <c r="V71" i="8" s="1"/>
  <c r="V95" i="8" s="1"/>
  <c r="W47" i="8"/>
  <c r="W71" i="8" s="1"/>
  <c r="W95" i="8" s="1"/>
  <c r="V48" i="8"/>
  <c r="V72" i="8" s="1"/>
  <c r="V96" i="8" s="1"/>
  <c r="V120" i="8" s="1"/>
  <c r="V144" i="8" s="1"/>
  <c r="V168" i="8" s="1"/>
  <c r="V192" i="8" s="1"/>
  <c r="V216" i="8" s="1"/>
  <c r="V240" i="8" s="1"/>
  <c r="V264" i="8" s="1"/>
  <c r="V288" i="8" s="1"/>
  <c r="V312" i="8" s="1"/>
  <c r="V336" i="8" s="1"/>
  <c r="V360" i="8" s="1"/>
  <c r="V384" i="8" s="1"/>
  <c r="V408" i="8" s="1"/>
  <c r="V432" i="8" s="1"/>
  <c r="V456" i="8" s="1"/>
  <c r="V480" i="8" s="1"/>
  <c r="V504" i="8" s="1"/>
  <c r="V528" i="8" s="1"/>
  <c r="V552" i="8" s="1"/>
  <c r="V576" i="8" s="1"/>
  <c r="V600" i="8" s="1"/>
  <c r="V624" i="8" s="1"/>
  <c r="V648" i="8" s="1"/>
  <c r="V672" i="8" s="1"/>
  <c r="V696" i="8" s="1"/>
  <c r="V720" i="8" s="1"/>
  <c r="V744" i="8" s="1"/>
  <c r="W48" i="8"/>
  <c r="W72" i="8" s="1"/>
  <c r="W96" i="8" s="1"/>
  <c r="W120" i="8" s="1"/>
  <c r="W144" i="8" s="1"/>
  <c r="W168" i="8" s="1"/>
  <c r="W192" i="8" s="1"/>
  <c r="W216" i="8" s="1"/>
  <c r="W240" i="8" s="1"/>
  <c r="W264" i="8" s="1"/>
  <c r="W288" i="8" s="1"/>
  <c r="W312" i="8" s="1"/>
  <c r="W336" i="8" s="1"/>
  <c r="W360" i="8" s="1"/>
  <c r="W384" i="8" s="1"/>
  <c r="W408" i="8" s="1"/>
  <c r="W432" i="8" s="1"/>
  <c r="W456" i="8" s="1"/>
  <c r="W480" i="8" s="1"/>
  <c r="W504" i="8" s="1"/>
  <c r="W528" i="8" s="1"/>
  <c r="W552" i="8" s="1"/>
  <c r="W576" i="8" s="1"/>
  <c r="W600" i="8" s="1"/>
  <c r="W624" i="8" s="1"/>
  <c r="W648" i="8" s="1"/>
  <c r="W672" i="8" s="1"/>
  <c r="W696" i="8" s="1"/>
  <c r="W720" i="8" s="1"/>
  <c r="W744" i="8" s="1"/>
  <c r="V49" i="8"/>
  <c r="V73" i="8" s="1"/>
  <c r="W49" i="8"/>
  <c r="W73" i="8" s="1"/>
  <c r="V50" i="8"/>
  <c r="V74" i="8" s="1"/>
  <c r="V98" i="8" s="1"/>
  <c r="V122" i="8" s="1"/>
  <c r="V146" i="8" s="1"/>
  <c r="V170" i="8" s="1"/>
  <c r="V194" i="8" s="1"/>
  <c r="W50" i="8"/>
  <c r="W74" i="8" s="1"/>
  <c r="V51" i="8"/>
  <c r="W51" i="8"/>
  <c r="V53" i="8"/>
  <c r="V77" i="8" s="1"/>
  <c r="W53" i="8"/>
  <c r="V54" i="8"/>
  <c r="W54" i="8"/>
  <c r="W55" i="8"/>
  <c r="W79" i="8" s="1"/>
  <c r="V56" i="8"/>
  <c r="V80" i="8" s="1"/>
  <c r="V57" i="8"/>
  <c r="V81" i="8" s="1"/>
  <c r="V105" i="8" s="1"/>
  <c r="V129" i="8" s="1"/>
  <c r="V153" i="8" s="1"/>
  <c r="V177" i="8" s="1"/>
  <c r="V201" i="8" s="1"/>
  <c r="V225" i="8" s="1"/>
  <c r="V249" i="8" s="1"/>
  <c r="V273" i="8" s="1"/>
  <c r="V297" i="8" s="1"/>
  <c r="W59" i="8"/>
  <c r="W83" i="8" s="1"/>
  <c r="W107" i="8" s="1"/>
  <c r="W131" i="8" s="1"/>
  <c r="V64" i="8"/>
  <c r="V88" i="8" s="1"/>
  <c r="V112" i="8" s="1"/>
  <c r="V136" i="8" s="1"/>
  <c r="V160" i="8" s="1"/>
  <c r="V184" i="8" s="1"/>
  <c r="V208" i="8" s="1"/>
  <c r="V232" i="8" s="1"/>
  <c r="V256" i="8" s="1"/>
  <c r="V280" i="8" s="1"/>
  <c r="V304" i="8" s="1"/>
  <c r="V328" i="8" s="1"/>
  <c r="V352" i="8" s="1"/>
  <c r="V376" i="8" s="1"/>
  <c r="V400" i="8" s="1"/>
  <c r="V424" i="8" s="1"/>
  <c r="V448" i="8" s="1"/>
  <c r="V472" i="8" s="1"/>
  <c r="V496" i="8" s="1"/>
  <c r="V520" i="8" s="1"/>
  <c r="V544" i="8" s="1"/>
  <c r="V568" i="8" s="1"/>
  <c r="V592" i="8" s="1"/>
  <c r="V616" i="8" s="1"/>
  <c r="V640" i="8" s="1"/>
  <c r="V664" i="8" s="1"/>
  <c r="V688" i="8" s="1"/>
  <c r="V712" i="8" s="1"/>
  <c r="V736" i="8" s="1"/>
  <c r="W64" i="8"/>
  <c r="W88" i="8" s="1"/>
  <c r="W112" i="8" s="1"/>
  <c r="W136" i="8" s="1"/>
  <c r="W160" i="8" s="1"/>
  <c r="W184" i="8" s="1"/>
  <c r="W208" i="8" s="1"/>
  <c r="W232" i="8" s="1"/>
  <c r="W256" i="8" s="1"/>
  <c r="W280" i="8" s="1"/>
  <c r="W304" i="8" s="1"/>
  <c r="W328" i="8" s="1"/>
  <c r="W352" i="8" s="1"/>
  <c r="W376" i="8" s="1"/>
  <c r="W400" i="8" s="1"/>
  <c r="W424" i="8" s="1"/>
  <c r="W448" i="8" s="1"/>
  <c r="W472" i="8" s="1"/>
  <c r="W496" i="8" s="1"/>
  <c r="W520" i="8" s="1"/>
  <c r="W544" i="8" s="1"/>
  <c r="W568" i="8" s="1"/>
  <c r="W592" i="8" s="1"/>
  <c r="W616" i="8" s="1"/>
  <c r="W640" i="8" s="1"/>
  <c r="W664" i="8" s="1"/>
  <c r="W688" i="8" s="1"/>
  <c r="W712" i="8" s="1"/>
  <c r="W736" i="8" s="1"/>
  <c r="V65" i="8"/>
  <c r="W65" i="8"/>
  <c r="V67" i="8"/>
  <c r="V68" i="8"/>
  <c r="W70" i="8"/>
  <c r="W94" i="8" s="1"/>
  <c r="W118" i="8" s="1"/>
  <c r="V75" i="8"/>
  <c r="V99" i="8" s="1"/>
  <c r="V123" i="8" s="1"/>
  <c r="V147" i="8" s="1"/>
  <c r="V171" i="8" s="1"/>
  <c r="V195" i="8" s="1"/>
  <c r="V219" i="8" s="1"/>
  <c r="V243" i="8" s="1"/>
  <c r="V267" i="8" s="1"/>
  <c r="W75" i="8"/>
  <c r="W76" i="8"/>
  <c r="W77" i="8"/>
  <c r="W101" i="8" s="1"/>
  <c r="W125" i="8" s="1"/>
  <c r="W149" i="8" s="1"/>
  <c r="W173" i="8" s="1"/>
  <c r="W197" i="8" s="1"/>
  <c r="W221" i="8" s="1"/>
  <c r="W245" i="8" s="1"/>
  <c r="W269" i="8" s="1"/>
  <c r="W293" i="8" s="1"/>
  <c r="W317" i="8" s="1"/>
  <c r="W341" i="8" s="1"/>
  <c r="W365" i="8" s="1"/>
  <c r="W389" i="8" s="1"/>
  <c r="W413" i="8" s="1"/>
  <c r="W437" i="8" s="1"/>
  <c r="W461" i="8" s="1"/>
  <c r="W485" i="8" s="1"/>
  <c r="W509" i="8" s="1"/>
  <c r="W533" i="8" s="1"/>
  <c r="W557" i="8" s="1"/>
  <c r="W581" i="8" s="1"/>
  <c r="W605" i="8" s="1"/>
  <c r="W629" i="8" s="1"/>
  <c r="W653" i="8" s="1"/>
  <c r="W677" i="8" s="1"/>
  <c r="W701" i="8" s="1"/>
  <c r="W725" i="8" s="1"/>
  <c r="V78" i="8"/>
  <c r="V102" i="8" s="1"/>
  <c r="V126" i="8" s="1"/>
  <c r="V150" i="8" s="1"/>
  <c r="V174" i="8" s="1"/>
  <c r="V198" i="8" s="1"/>
  <c r="V222" i="8" s="1"/>
  <c r="V246" i="8" s="1"/>
  <c r="V270" i="8" s="1"/>
  <c r="V294" i="8" s="1"/>
  <c r="V318" i="8" s="1"/>
  <c r="V342" i="8" s="1"/>
  <c r="V366" i="8" s="1"/>
  <c r="V390" i="8" s="1"/>
  <c r="V414" i="8" s="1"/>
  <c r="V438" i="8" s="1"/>
  <c r="V462" i="8" s="1"/>
  <c r="V486" i="8" s="1"/>
  <c r="V510" i="8" s="1"/>
  <c r="V534" i="8" s="1"/>
  <c r="V558" i="8" s="1"/>
  <c r="V582" i="8" s="1"/>
  <c r="V606" i="8" s="1"/>
  <c r="V630" i="8" s="1"/>
  <c r="V654" i="8" s="1"/>
  <c r="V678" i="8" s="1"/>
  <c r="V702" i="8" s="1"/>
  <c r="V726" i="8" s="1"/>
  <c r="W78" i="8"/>
  <c r="W102" i="8" s="1"/>
  <c r="W126" i="8" s="1"/>
  <c r="W150" i="8" s="1"/>
  <c r="W174" i="8" s="1"/>
  <c r="W198" i="8" s="1"/>
  <c r="W222" i="8" s="1"/>
  <c r="W246" i="8" s="1"/>
  <c r="W270" i="8" s="1"/>
  <c r="W294" i="8" s="1"/>
  <c r="W318" i="8" s="1"/>
  <c r="W342" i="8" s="1"/>
  <c r="W366" i="8" s="1"/>
  <c r="W390" i="8" s="1"/>
  <c r="W414" i="8" s="1"/>
  <c r="W438" i="8" s="1"/>
  <c r="W462" i="8" s="1"/>
  <c r="W486" i="8" s="1"/>
  <c r="W510" i="8" s="1"/>
  <c r="W534" i="8" s="1"/>
  <c r="W558" i="8" s="1"/>
  <c r="W582" i="8" s="1"/>
  <c r="W606" i="8" s="1"/>
  <c r="W630" i="8" s="1"/>
  <c r="W654" i="8" s="1"/>
  <c r="W678" i="8" s="1"/>
  <c r="W702" i="8" s="1"/>
  <c r="W726" i="8" s="1"/>
  <c r="V79" i="8"/>
  <c r="V103" i="8" s="1"/>
  <c r="V127" i="8" s="1"/>
  <c r="V151" i="8" s="1"/>
  <c r="V175" i="8" s="1"/>
  <c r="V87" i="8"/>
  <c r="V111" i="8" s="1"/>
  <c r="V135" i="8" s="1"/>
  <c r="V89" i="8"/>
  <c r="W89" i="8"/>
  <c r="V90" i="8"/>
  <c r="V91" i="8"/>
  <c r="V92" i="8"/>
  <c r="V97" i="8"/>
  <c r="V121" i="8" s="1"/>
  <c r="V145" i="8" s="1"/>
  <c r="V169" i="8" s="1"/>
  <c r="V193" i="8" s="1"/>
  <c r="V217" i="8" s="1"/>
  <c r="V241" i="8" s="1"/>
  <c r="V265" i="8" s="1"/>
  <c r="V289" i="8" s="1"/>
  <c r="V313" i="8" s="1"/>
  <c r="V337" i="8" s="1"/>
  <c r="V361" i="8" s="1"/>
  <c r="V385" i="8" s="1"/>
  <c r="V409" i="8" s="1"/>
  <c r="V433" i="8" s="1"/>
  <c r="V457" i="8" s="1"/>
  <c r="V481" i="8" s="1"/>
  <c r="V505" i="8" s="1"/>
  <c r="V529" i="8" s="1"/>
  <c r="V553" i="8" s="1"/>
  <c r="V577" i="8" s="1"/>
  <c r="V601" i="8" s="1"/>
  <c r="V625" i="8" s="1"/>
  <c r="V649" i="8" s="1"/>
  <c r="V673" i="8" s="1"/>
  <c r="V697" i="8" s="1"/>
  <c r="V721" i="8" s="1"/>
  <c r="V745" i="8" s="1"/>
  <c r="W97" i="8"/>
  <c r="W121" i="8" s="1"/>
  <c r="W145" i="8" s="1"/>
  <c r="W169" i="8" s="1"/>
  <c r="W193" i="8" s="1"/>
  <c r="W217" i="8" s="1"/>
  <c r="W241" i="8" s="1"/>
  <c r="W265" i="8" s="1"/>
  <c r="W289" i="8" s="1"/>
  <c r="W313" i="8" s="1"/>
  <c r="W337" i="8" s="1"/>
  <c r="W361" i="8" s="1"/>
  <c r="W385" i="8" s="1"/>
  <c r="W409" i="8" s="1"/>
  <c r="W433" i="8" s="1"/>
  <c r="W457" i="8" s="1"/>
  <c r="W481" i="8" s="1"/>
  <c r="W505" i="8" s="1"/>
  <c r="W529" i="8" s="1"/>
  <c r="W553" i="8" s="1"/>
  <c r="W577" i="8" s="1"/>
  <c r="W601" i="8" s="1"/>
  <c r="W625" i="8" s="1"/>
  <c r="W649" i="8" s="1"/>
  <c r="W673" i="8" s="1"/>
  <c r="W697" i="8" s="1"/>
  <c r="W721" i="8" s="1"/>
  <c r="W745" i="8" s="1"/>
  <c r="W98" i="8"/>
  <c r="W122" i="8" s="1"/>
  <c r="W146" i="8" s="1"/>
  <c r="W170" i="8" s="1"/>
  <c r="W99" i="8"/>
  <c r="V100" i="8"/>
  <c r="V124" i="8" s="1"/>
  <c r="V148" i="8" s="1"/>
  <c r="V172" i="8" s="1"/>
  <c r="V196" i="8" s="1"/>
  <c r="V220" i="8" s="1"/>
  <c r="V244" i="8" s="1"/>
  <c r="V268" i="8" s="1"/>
  <c r="V292" i="8" s="1"/>
  <c r="V316" i="8" s="1"/>
  <c r="V340" i="8" s="1"/>
  <c r="V364" i="8" s="1"/>
  <c r="V388" i="8" s="1"/>
  <c r="V412" i="8" s="1"/>
  <c r="V436" i="8" s="1"/>
  <c r="V460" i="8" s="1"/>
  <c r="V484" i="8" s="1"/>
  <c r="V508" i="8" s="1"/>
  <c r="V532" i="8" s="1"/>
  <c r="V556" i="8" s="1"/>
  <c r="V580" i="8" s="1"/>
  <c r="V604" i="8" s="1"/>
  <c r="V628" i="8" s="1"/>
  <c r="V652" i="8" s="1"/>
  <c r="V676" i="8" s="1"/>
  <c r="V700" i="8" s="1"/>
  <c r="V724" i="8" s="1"/>
  <c r="W100" i="8"/>
  <c r="W124" i="8" s="1"/>
  <c r="W148" i="8" s="1"/>
  <c r="V101" i="8"/>
  <c r="V125" i="8" s="1"/>
  <c r="V149" i="8" s="1"/>
  <c r="V173" i="8" s="1"/>
  <c r="W103" i="8"/>
  <c r="W127" i="8" s="1"/>
  <c r="W151" i="8" s="1"/>
  <c r="W175" i="8" s="1"/>
  <c r="V104" i="8"/>
  <c r="V128" i="8" s="1"/>
  <c r="V152" i="8" s="1"/>
  <c r="V176" i="8" s="1"/>
  <c r="V113" i="8"/>
  <c r="W113" i="8"/>
  <c r="W137" i="8" s="1"/>
  <c r="W161" i="8" s="1"/>
  <c r="W185" i="8" s="1"/>
  <c r="W209" i="8" s="1"/>
  <c r="W233" i="8" s="1"/>
  <c r="W257" i="8" s="1"/>
  <c r="W281" i="8" s="1"/>
  <c r="W305" i="8" s="1"/>
  <c r="W329" i="8" s="1"/>
  <c r="W353" i="8" s="1"/>
  <c r="W377" i="8" s="1"/>
  <c r="W401" i="8" s="1"/>
  <c r="W425" i="8" s="1"/>
  <c r="W449" i="8" s="1"/>
  <c r="W473" i="8" s="1"/>
  <c r="W497" i="8" s="1"/>
  <c r="W521" i="8" s="1"/>
  <c r="W545" i="8" s="1"/>
  <c r="W569" i="8" s="1"/>
  <c r="W593" i="8" s="1"/>
  <c r="W617" i="8" s="1"/>
  <c r="W641" i="8" s="1"/>
  <c r="W665" i="8" s="1"/>
  <c r="W689" i="8" s="1"/>
  <c r="W713" i="8" s="1"/>
  <c r="W737" i="8" s="1"/>
  <c r="V114" i="8"/>
  <c r="W114" i="8"/>
  <c r="W138" i="8" s="1"/>
  <c r="W162" i="8" s="1"/>
  <c r="W186" i="8" s="1"/>
  <c r="W210" i="8" s="1"/>
  <c r="W234" i="8" s="1"/>
  <c r="W258" i="8" s="1"/>
  <c r="W282" i="8" s="1"/>
  <c r="W306" i="8" s="1"/>
  <c r="W330" i="8" s="1"/>
  <c r="W354" i="8" s="1"/>
  <c r="W378" i="8" s="1"/>
  <c r="W402" i="8" s="1"/>
  <c r="W426" i="8" s="1"/>
  <c r="W450" i="8" s="1"/>
  <c r="W474" i="8" s="1"/>
  <c r="W498" i="8" s="1"/>
  <c r="W522" i="8" s="1"/>
  <c r="W546" i="8" s="1"/>
  <c r="W570" i="8" s="1"/>
  <c r="W594" i="8" s="1"/>
  <c r="W618" i="8" s="1"/>
  <c r="W642" i="8" s="1"/>
  <c r="W666" i="8" s="1"/>
  <c r="W690" i="8" s="1"/>
  <c r="W714" i="8" s="1"/>
  <c r="W738" i="8" s="1"/>
  <c r="V115" i="8"/>
  <c r="V139" i="8" s="1"/>
  <c r="V163" i="8" s="1"/>
  <c r="V187" i="8" s="1"/>
  <c r="V211" i="8" s="1"/>
  <c r="W115" i="8"/>
  <c r="W139" i="8" s="1"/>
  <c r="W163" i="8" s="1"/>
  <c r="W187" i="8" s="1"/>
  <c r="W211" i="8" s="1"/>
  <c r="W235" i="8" s="1"/>
  <c r="W259" i="8" s="1"/>
  <c r="W283" i="8" s="1"/>
  <c r="W307" i="8" s="1"/>
  <c r="W331" i="8" s="1"/>
  <c r="W355" i="8" s="1"/>
  <c r="W379" i="8" s="1"/>
  <c r="W403" i="8" s="1"/>
  <c r="W427" i="8" s="1"/>
  <c r="W451" i="8" s="1"/>
  <c r="W475" i="8" s="1"/>
  <c r="W499" i="8" s="1"/>
  <c r="W523" i="8" s="1"/>
  <c r="W547" i="8" s="1"/>
  <c r="W571" i="8" s="1"/>
  <c r="W595" i="8" s="1"/>
  <c r="W619" i="8" s="1"/>
  <c r="W643" i="8" s="1"/>
  <c r="W667" i="8" s="1"/>
  <c r="W691" i="8" s="1"/>
  <c r="W715" i="8" s="1"/>
  <c r="W739" i="8" s="1"/>
  <c r="V116" i="8"/>
  <c r="V140" i="8" s="1"/>
  <c r="V164" i="8" s="1"/>
  <c r="V188" i="8" s="1"/>
  <c r="V212" i="8" s="1"/>
  <c r="V236" i="8" s="1"/>
  <c r="V260" i="8" s="1"/>
  <c r="V284" i="8" s="1"/>
  <c r="V308" i="8" s="1"/>
  <c r="V332" i="8" s="1"/>
  <c r="V356" i="8" s="1"/>
  <c r="V380" i="8" s="1"/>
  <c r="V404" i="8" s="1"/>
  <c r="V428" i="8" s="1"/>
  <c r="V452" i="8" s="1"/>
  <c r="V476" i="8" s="1"/>
  <c r="V500" i="8" s="1"/>
  <c r="V524" i="8" s="1"/>
  <c r="V548" i="8" s="1"/>
  <c r="V572" i="8" s="1"/>
  <c r="V596" i="8" s="1"/>
  <c r="V620" i="8" s="1"/>
  <c r="V644" i="8" s="1"/>
  <c r="V668" i="8" s="1"/>
  <c r="V692" i="8" s="1"/>
  <c r="V716" i="8" s="1"/>
  <c r="V740" i="8" s="1"/>
  <c r="W116" i="8"/>
  <c r="W140" i="8" s="1"/>
  <c r="W164" i="8" s="1"/>
  <c r="W188" i="8" s="1"/>
  <c r="W212" i="8" s="1"/>
  <c r="W236" i="8" s="1"/>
  <c r="W260" i="8" s="1"/>
  <c r="W284" i="8" s="1"/>
  <c r="W308" i="8" s="1"/>
  <c r="W332" i="8" s="1"/>
  <c r="W356" i="8" s="1"/>
  <c r="W380" i="8" s="1"/>
  <c r="W404" i="8" s="1"/>
  <c r="W428" i="8" s="1"/>
  <c r="W452" i="8" s="1"/>
  <c r="W476" i="8" s="1"/>
  <c r="W500" i="8" s="1"/>
  <c r="W524" i="8" s="1"/>
  <c r="W548" i="8" s="1"/>
  <c r="W572" i="8" s="1"/>
  <c r="W596" i="8" s="1"/>
  <c r="W620" i="8" s="1"/>
  <c r="W644" i="8" s="1"/>
  <c r="W668" i="8" s="1"/>
  <c r="W692" i="8" s="1"/>
  <c r="W716" i="8" s="1"/>
  <c r="W740" i="8" s="1"/>
  <c r="W117" i="8"/>
  <c r="W141" i="8" s="1"/>
  <c r="W165" i="8" s="1"/>
  <c r="W189" i="8" s="1"/>
  <c r="W213" i="8" s="1"/>
  <c r="W237" i="8" s="1"/>
  <c r="W261" i="8" s="1"/>
  <c r="W285" i="8" s="1"/>
  <c r="W309" i="8" s="1"/>
  <c r="W333" i="8" s="1"/>
  <c r="W357" i="8" s="1"/>
  <c r="W381" i="8" s="1"/>
  <c r="W405" i="8" s="1"/>
  <c r="W429" i="8" s="1"/>
  <c r="W453" i="8" s="1"/>
  <c r="W477" i="8" s="1"/>
  <c r="W501" i="8" s="1"/>
  <c r="W525" i="8" s="1"/>
  <c r="W549" i="8" s="1"/>
  <c r="W573" i="8" s="1"/>
  <c r="W597" i="8" s="1"/>
  <c r="W621" i="8" s="1"/>
  <c r="W645" i="8" s="1"/>
  <c r="W669" i="8" s="1"/>
  <c r="W693" i="8" s="1"/>
  <c r="W717" i="8" s="1"/>
  <c r="W741" i="8" s="1"/>
  <c r="V119" i="8"/>
  <c r="V143" i="8" s="1"/>
  <c r="V167" i="8" s="1"/>
  <c r="V191" i="8" s="1"/>
  <c r="V215" i="8" s="1"/>
  <c r="V239" i="8" s="1"/>
  <c r="V263" i="8" s="1"/>
  <c r="V287" i="8" s="1"/>
  <c r="V311" i="8" s="1"/>
  <c r="V335" i="8" s="1"/>
  <c r="V359" i="8" s="1"/>
  <c r="V383" i="8" s="1"/>
  <c r="V407" i="8" s="1"/>
  <c r="V431" i="8" s="1"/>
  <c r="V455" i="8" s="1"/>
  <c r="V479" i="8" s="1"/>
  <c r="V503" i="8" s="1"/>
  <c r="V527" i="8" s="1"/>
  <c r="V551" i="8" s="1"/>
  <c r="V575" i="8" s="1"/>
  <c r="V599" i="8" s="1"/>
  <c r="V623" i="8" s="1"/>
  <c r="V647" i="8" s="1"/>
  <c r="V671" i="8" s="1"/>
  <c r="V695" i="8" s="1"/>
  <c r="V719" i="8" s="1"/>
  <c r="V743" i="8" s="1"/>
  <c r="W119" i="8"/>
  <c r="W143" i="8" s="1"/>
  <c r="W167" i="8" s="1"/>
  <c r="W191" i="8" s="1"/>
  <c r="W215" i="8" s="1"/>
  <c r="W239" i="8" s="1"/>
  <c r="W263" i="8" s="1"/>
  <c r="W287" i="8" s="1"/>
  <c r="W311" i="8" s="1"/>
  <c r="W335" i="8" s="1"/>
  <c r="W359" i="8" s="1"/>
  <c r="W383" i="8" s="1"/>
  <c r="W407" i="8" s="1"/>
  <c r="W431" i="8" s="1"/>
  <c r="W455" i="8" s="1"/>
  <c r="W479" i="8" s="1"/>
  <c r="W503" i="8" s="1"/>
  <c r="W527" i="8" s="1"/>
  <c r="W551" i="8" s="1"/>
  <c r="W575" i="8" s="1"/>
  <c r="W599" i="8" s="1"/>
  <c r="W623" i="8" s="1"/>
  <c r="W647" i="8" s="1"/>
  <c r="W671" i="8" s="1"/>
  <c r="W695" i="8" s="1"/>
  <c r="W719" i="8" s="1"/>
  <c r="W743" i="8" s="1"/>
  <c r="W123" i="8"/>
  <c r="W147" i="8" s="1"/>
  <c r="W171" i="8" s="1"/>
  <c r="W195" i="8" s="1"/>
  <c r="W219" i="8" s="1"/>
  <c r="W243" i="8" s="1"/>
  <c r="W267" i="8" s="1"/>
  <c r="W291" i="8" s="1"/>
  <c r="W315" i="8" s="1"/>
  <c r="W339" i="8" s="1"/>
  <c r="W363" i="8" s="1"/>
  <c r="W387" i="8" s="1"/>
  <c r="W411" i="8" s="1"/>
  <c r="W435" i="8" s="1"/>
  <c r="W459" i="8" s="1"/>
  <c r="W483" i="8" s="1"/>
  <c r="W507" i="8" s="1"/>
  <c r="W531" i="8" s="1"/>
  <c r="W555" i="8" s="1"/>
  <c r="W579" i="8" s="1"/>
  <c r="W603" i="8" s="1"/>
  <c r="W627" i="8" s="1"/>
  <c r="W651" i="8" s="1"/>
  <c r="W675" i="8" s="1"/>
  <c r="W699" i="8" s="1"/>
  <c r="W723" i="8" s="1"/>
  <c r="V137" i="8"/>
  <c r="V161" i="8" s="1"/>
  <c r="V185" i="8" s="1"/>
  <c r="V209" i="8" s="1"/>
  <c r="V233" i="8" s="1"/>
  <c r="V257" i="8" s="1"/>
  <c r="V281" i="8" s="1"/>
  <c r="V305" i="8" s="1"/>
  <c r="V329" i="8" s="1"/>
  <c r="V138" i="8"/>
  <c r="V162" i="8" s="1"/>
  <c r="V186" i="8" s="1"/>
  <c r="V210" i="8" s="1"/>
  <c r="W142" i="8"/>
  <c r="W155" i="8"/>
  <c r="W179" i="8" s="1"/>
  <c r="W203" i="8" s="1"/>
  <c r="W227" i="8" s="1"/>
  <c r="W251" i="8" s="1"/>
  <c r="W275" i="8" s="1"/>
  <c r="W299" i="8" s="1"/>
  <c r="W323" i="8" s="1"/>
  <c r="W347" i="8" s="1"/>
  <c r="W371" i="8" s="1"/>
  <c r="W395" i="8" s="1"/>
  <c r="W419" i="8" s="1"/>
  <c r="W443" i="8" s="1"/>
  <c r="W467" i="8" s="1"/>
  <c r="W491" i="8" s="1"/>
  <c r="W515" i="8" s="1"/>
  <c r="W539" i="8" s="1"/>
  <c r="W563" i="8" s="1"/>
  <c r="W587" i="8" s="1"/>
  <c r="W611" i="8" s="1"/>
  <c r="W635" i="8" s="1"/>
  <c r="W659" i="8" s="1"/>
  <c r="W683" i="8" s="1"/>
  <c r="W707" i="8" s="1"/>
  <c r="W731" i="8" s="1"/>
  <c r="V159" i="8"/>
  <c r="V183" i="8" s="1"/>
  <c r="V207" i="8" s="1"/>
  <c r="V231" i="8" s="1"/>
  <c r="V255" i="8" s="1"/>
  <c r="V279" i="8" s="1"/>
  <c r="V303" i="8" s="1"/>
  <c r="V327" i="8" s="1"/>
  <c r="V351" i="8" s="1"/>
  <c r="V375" i="8" s="1"/>
  <c r="V399" i="8" s="1"/>
  <c r="V423" i="8" s="1"/>
  <c r="V447" i="8" s="1"/>
  <c r="V471" i="8" s="1"/>
  <c r="V495" i="8" s="1"/>
  <c r="V519" i="8" s="1"/>
  <c r="V543" i="8" s="1"/>
  <c r="V567" i="8" s="1"/>
  <c r="V591" i="8" s="1"/>
  <c r="V615" i="8" s="1"/>
  <c r="V639" i="8" s="1"/>
  <c r="V663" i="8" s="1"/>
  <c r="V687" i="8" s="1"/>
  <c r="V711" i="8" s="1"/>
  <c r="V735" i="8" s="1"/>
  <c r="W166" i="8"/>
  <c r="W190" i="8" s="1"/>
  <c r="W214" i="8" s="1"/>
  <c r="W172" i="8"/>
  <c r="W183" i="8"/>
  <c r="W207" i="8" s="1"/>
  <c r="W231" i="8" s="1"/>
  <c r="W255" i="8" s="1"/>
  <c r="W279" i="8" s="1"/>
  <c r="W303" i="8" s="1"/>
  <c r="W327" i="8" s="1"/>
  <c r="W351" i="8" s="1"/>
  <c r="W375" i="8" s="1"/>
  <c r="W399" i="8" s="1"/>
  <c r="W194" i="8"/>
  <c r="W218" i="8" s="1"/>
  <c r="W242" i="8" s="1"/>
  <c r="W266" i="8" s="1"/>
  <c r="W290" i="8" s="1"/>
  <c r="W314" i="8" s="1"/>
  <c r="W338" i="8" s="1"/>
  <c r="W362" i="8" s="1"/>
  <c r="W386" i="8" s="1"/>
  <c r="W410" i="8" s="1"/>
  <c r="W434" i="8" s="1"/>
  <c r="W458" i="8" s="1"/>
  <c r="W482" i="8" s="1"/>
  <c r="W506" i="8" s="1"/>
  <c r="W530" i="8" s="1"/>
  <c r="W554" i="8" s="1"/>
  <c r="W578" i="8" s="1"/>
  <c r="W602" i="8" s="1"/>
  <c r="W626" i="8" s="1"/>
  <c r="W650" i="8" s="1"/>
  <c r="W674" i="8" s="1"/>
  <c r="W698" i="8" s="1"/>
  <c r="W722" i="8" s="1"/>
  <c r="W746" i="8" s="1"/>
  <c r="W196" i="8"/>
  <c r="W220" i="8" s="1"/>
  <c r="W244" i="8" s="1"/>
  <c r="W268" i="8" s="1"/>
  <c r="W292" i="8" s="1"/>
  <c r="W316" i="8" s="1"/>
  <c r="W340" i="8" s="1"/>
  <c r="W364" i="8" s="1"/>
  <c r="W388" i="8" s="1"/>
  <c r="W412" i="8" s="1"/>
  <c r="W436" i="8" s="1"/>
  <c r="W460" i="8" s="1"/>
  <c r="W484" i="8" s="1"/>
  <c r="W508" i="8" s="1"/>
  <c r="W532" i="8" s="1"/>
  <c r="W556" i="8" s="1"/>
  <c r="W580" i="8" s="1"/>
  <c r="W604" i="8" s="1"/>
  <c r="W628" i="8" s="1"/>
  <c r="W652" i="8" s="1"/>
  <c r="W676" i="8" s="1"/>
  <c r="W700" i="8" s="1"/>
  <c r="W724" i="8" s="1"/>
  <c r="V197" i="8"/>
  <c r="V221" i="8" s="1"/>
  <c r="V245" i="8" s="1"/>
  <c r="V269" i="8" s="1"/>
  <c r="V293" i="8" s="1"/>
  <c r="V317" i="8" s="1"/>
  <c r="V341" i="8" s="1"/>
  <c r="V365" i="8" s="1"/>
  <c r="V389" i="8" s="1"/>
  <c r="V413" i="8" s="1"/>
  <c r="V437" i="8" s="1"/>
  <c r="V461" i="8" s="1"/>
  <c r="V485" i="8" s="1"/>
  <c r="V509" i="8" s="1"/>
  <c r="V533" i="8" s="1"/>
  <c r="V557" i="8" s="1"/>
  <c r="V581" i="8" s="1"/>
  <c r="V605" i="8" s="1"/>
  <c r="V629" i="8" s="1"/>
  <c r="V653" i="8" s="1"/>
  <c r="V677" i="8" s="1"/>
  <c r="V701" i="8" s="1"/>
  <c r="V725" i="8" s="1"/>
  <c r="V199" i="8"/>
  <c r="V223" i="8" s="1"/>
  <c r="V247" i="8" s="1"/>
  <c r="V271" i="8" s="1"/>
  <c r="V295" i="8" s="1"/>
  <c r="V319" i="8" s="1"/>
  <c r="V343" i="8" s="1"/>
  <c r="V367" i="8" s="1"/>
  <c r="V391" i="8" s="1"/>
  <c r="V415" i="8" s="1"/>
  <c r="V439" i="8" s="1"/>
  <c r="V463" i="8" s="1"/>
  <c r="V487" i="8" s="1"/>
  <c r="V511" i="8" s="1"/>
  <c r="V535" i="8" s="1"/>
  <c r="V559" i="8" s="1"/>
  <c r="V583" i="8" s="1"/>
  <c r="V607" i="8" s="1"/>
  <c r="V631" i="8" s="1"/>
  <c r="V655" i="8" s="1"/>
  <c r="V679" i="8" s="1"/>
  <c r="V703" i="8" s="1"/>
  <c r="V727" i="8" s="1"/>
  <c r="W199" i="8"/>
  <c r="W223" i="8" s="1"/>
  <c r="W247" i="8" s="1"/>
  <c r="W271" i="8" s="1"/>
  <c r="W295" i="8" s="1"/>
  <c r="W319" i="8" s="1"/>
  <c r="W343" i="8" s="1"/>
  <c r="W367" i="8" s="1"/>
  <c r="W391" i="8" s="1"/>
  <c r="W415" i="8" s="1"/>
  <c r="W439" i="8" s="1"/>
  <c r="W463" i="8" s="1"/>
  <c r="W487" i="8" s="1"/>
  <c r="W511" i="8" s="1"/>
  <c r="W535" i="8" s="1"/>
  <c r="W559" i="8" s="1"/>
  <c r="W583" i="8" s="1"/>
  <c r="W607" i="8" s="1"/>
  <c r="W631" i="8" s="1"/>
  <c r="W655" i="8" s="1"/>
  <c r="W679" i="8" s="1"/>
  <c r="W703" i="8" s="1"/>
  <c r="W727" i="8" s="1"/>
  <c r="V200" i="8"/>
  <c r="V224" i="8" s="1"/>
  <c r="V248" i="8" s="1"/>
  <c r="V272" i="8" s="1"/>
  <c r="V296" i="8" s="1"/>
  <c r="V320" i="8" s="1"/>
  <c r="V344" i="8" s="1"/>
  <c r="V218" i="8"/>
  <c r="V242" i="8" s="1"/>
  <c r="V266" i="8" s="1"/>
  <c r="V290" i="8" s="1"/>
  <c r="V234" i="8"/>
  <c r="V258" i="8" s="1"/>
  <c r="V282" i="8" s="1"/>
  <c r="V306" i="8" s="1"/>
  <c r="V330" i="8" s="1"/>
  <c r="V354" i="8" s="1"/>
  <c r="V378" i="8" s="1"/>
  <c r="V402" i="8" s="1"/>
  <c r="V426" i="8" s="1"/>
  <c r="V450" i="8" s="1"/>
  <c r="V474" i="8" s="1"/>
  <c r="V498" i="8" s="1"/>
  <c r="V522" i="8" s="1"/>
  <c r="V546" i="8" s="1"/>
  <c r="V570" i="8" s="1"/>
  <c r="V594" i="8" s="1"/>
  <c r="V618" i="8" s="1"/>
  <c r="V642" i="8" s="1"/>
  <c r="V666" i="8" s="1"/>
  <c r="V690" i="8" s="1"/>
  <c r="V714" i="8" s="1"/>
  <c r="V738" i="8" s="1"/>
  <c r="V235" i="8"/>
  <c r="V259" i="8" s="1"/>
  <c r="V283" i="8" s="1"/>
  <c r="V307" i="8" s="1"/>
  <c r="V331" i="8" s="1"/>
  <c r="V355" i="8" s="1"/>
  <c r="V379" i="8" s="1"/>
  <c r="V403" i="8" s="1"/>
  <c r="V427" i="8" s="1"/>
  <c r="V451" i="8" s="1"/>
  <c r="V475" i="8" s="1"/>
  <c r="V499" i="8" s="1"/>
  <c r="V523" i="8" s="1"/>
  <c r="V547" i="8" s="1"/>
  <c r="V571" i="8" s="1"/>
  <c r="V595" i="8" s="1"/>
  <c r="V619" i="8" s="1"/>
  <c r="V643" i="8" s="1"/>
  <c r="V667" i="8" s="1"/>
  <c r="V691" i="8" s="1"/>
  <c r="V715" i="8" s="1"/>
  <c r="V739" i="8" s="1"/>
  <c r="W238" i="8"/>
  <c r="W262" i="8" s="1"/>
  <c r="W286" i="8" s="1"/>
  <c r="W310" i="8" s="1"/>
  <c r="W334" i="8" s="1"/>
  <c r="W358" i="8" s="1"/>
  <c r="W382" i="8" s="1"/>
  <c r="W406" i="8" s="1"/>
  <c r="W430" i="8" s="1"/>
  <c r="W454" i="8" s="1"/>
  <c r="W478" i="8" s="1"/>
  <c r="W502" i="8" s="1"/>
  <c r="W526" i="8" s="1"/>
  <c r="W550" i="8" s="1"/>
  <c r="W574" i="8" s="1"/>
  <c r="W598" i="8" s="1"/>
  <c r="W622" i="8" s="1"/>
  <c r="W646" i="8" s="1"/>
  <c r="W670" i="8" s="1"/>
  <c r="W694" i="8" s="1"/>
  <c r="W718" i="8" s="1"/>
  <c r="W742" i="8" s="1"/>
  <c r="V291" i="8"/>
  <c r="V315" i="8" s="1"/>
  <c r="V339" i="8" s="1"/>
  <c r="V363" i="8" s="1"/>
  <c r="V387" i="8" s="1"/>
  <c r="V411" i="8" s="1"/>
  <c r="V435" i="8" s="1"/>
  <c r="V459" i="8" s="1"/>
  <c r="V483" i="8" s="1"/>
  <c r="V507" i="8" s="1"/>
  <c r="V531" i="8" s="1"/>
  <c r="V555" i="8" s="1"/>
  <c r="V579" i="8" s="1"/>
  <c r="V603" i="8" s="1"/>
  <c r="V627" i="8" s="1"/>
  <c r="V651" i="8" s="1"/>
  <c r="V675" i="8" s="1"/>
  <c r="V699" i="8" s="1"/>
  <c r="V723" i="8" s="1"/>
  <c r="V314" i="8"/>
  <c r="V338" i="8" s="1"/>
  <c r="V362" i="8" s="1"/>
  <c r="V386" i="8" s="1"/>
  <c r="V410" i="8" s="1"/>
  <c r="V434" i="8" s="1"/>
  <c r="V458" i="8" s="1"/>
  <c r="V482" i="8" s="1"/>
  <c r="V506" i="8" s="1"/>
  <c r="V530" i="8" s="1"/>
  <c r="V554" i="8" s="1"/>
  <c r="V578" i="8" s="1"/>
  <c r="V602" i="8" s="1"/>
  <c r="V626" i="8" s="1"/>
  <c r="V650" i="8" s="1"/>
  <c r="V674" i="8" s="1"/>
  <c r="V698" i="8" s="1"/>
  <c r="V722" i="8" s="1"/>
  <c r="V746" i="8" s="1"/>
  <c r="V321" i="8"/>
  <c r="V345" i="8" s="1"/>
  <c r="V369" i="8" s="1"/>
  <c r="V393" i="8" s="1"/>
  <c r="V417" i="8" s="1"/>
  <c r="V441" i="8" s="1"/>
  <c r="V465" i="8" s="1"/>
  <c r="V489" i="8" s="1"/>
  <c r="V513" i="8" s="1"/>
  <c r="V537" i="8" s="1"/>
  <c r="V561" i="8" s="1"/>
  <c r="V585" i="8" s="1"/>
  <c r="V609" i="8" s="1"/>
  <c r="V633" i="8" s="1"/>
  <c r="V657" i="8" s="1"/>
  <c r="V681" i="8" s="1"/>
  <c r="V705" i="8" s="1"/>
  <c r="V729" i="8" s="1"/>
  <c r="V353" i="8"/>
  <c r="V377" i="8" s="1"/>
  <c r="V401" i="8" s="1"/>
  <c r="V425" i="8" s="1"/>
  <c r="V449" i="8" s="1"/>
  <c r="V473" i="8" s="1"/>
  <c r="V497" i="8" s="1"/>
  <c r="V521" i="8" s="1"/>
  <c r="V545" i="8" s="1"/>
  <c r="V569" i="8" s="1"/>
  <c r="V593" i="8" s="1"/>
  <c r="V617" i="8" s="1"/>
  <c r="V641" i="8" s="1"/>
  <c r="V665" i="8" s="1"/>
  <c r="V689" i="8" s="1"/>
  <c r="V713" i="8" s="1"/>
  <c r="V737" i="8" s="1"/>
  <c r="V368" i="8"/>
  <c r="V392" i="8" s="1"/>
  <c r="V416" i="8" s="1"/>
  <c r="V440" i="8" s="1"/>
  <c r="V464" i="8" s="1"/>
  <c r="V488" i="8" s="1"/>
  <c r="W368" i="8"/>
  <c r="W392" i="8"/>
  <c r="W416" i="8" s="1"/>
  <c r="W440" i="8" s="1"/>
  <c r="W464" i="8" s="1"/>
  <c r="W488" i="8" s="1"/>
  <c r="W512" i="8" s="1"/>
  <c r="W536" i="8" s="1"/>
  <c r="W560" i="8" s="1"/>
  <c r="W584" i="8" s="1"/>
  <c r="W608" i="8" s="1"/>
  <c r="W632" i="8" s="1"/>
  <c r="W656" i="8" s="1"/>
  <c r="W680" i="8" s="1"/>
  <c r="W704" i="8" s="1"/>
  <c r="W728" i="8" s="1"/>
  <c r="W423" i="8"/>
  <c r="W447" i="8" s="1"/>
  <c r="W471" i="8" s="1"/>
  <c r="W495" i="8" s="1"/>
  <c r="W519" i="8" s="1"/>
  <c r="W543" i="8" s="1"/>
  <c r="W567" i="8" s="1"/>
  <c r="W591" i="8" s="1"/>
  <c r="W615" i="8" s="1"/>
  <c r="W639" i="8" s="1"/>
  <c r="W663" i="8" s="1"/>
  <c r="W687" i="8" s="1"/>
  <c r="W711" i="8" s="1"/>
  <c r="W735" i="8" s="1"/>
  <c r="V512" i="8"/>
  <c r="V536" i="8" s="1"/>
  <c r="V560" i="8" s="1"/>
  <c r="V584" i="8"/>
  <c r="V608" i="8" s="1"/>
  <c r="V632" i="8" s="1"/>
  <c r="V656" i="8" s="1"/>
  <c r="V680" i="8" s="1"/>
  <c r="V704" i="8" s="1"/>
  <c r="V728" i="8" s="1"/>
  <c r="W27" i="8"/>
  <c r="V27" i="8"/>
  <c r="V2" i="8" l="1"/>
  <c r="W2" i="8"/>
  <c r="U626" i="8"/>
  <c r="U4" i="8" l="1"/>
  <c r="U5" i="8"/>
  <c r="U6" i="8"/>
  <c r="U7" i="8"/>
  <c r="U8" i="8"/>
  <c r="U9" i="8"/>
  <c r="U10" i="8"/>
  <c r="U11" i="8"/>
  <c r="U12" i="8"/>
  <c r="U13" i="8"/>
  <c r="U14" i="8"/>
  <c r="U15" i="8"/>
  <c r="U16" i="8"/>
  <c r="U17" i="8"/>
  <c r="U18" i="8"/>
  <c r="U19" i="8"/>
  <c r="U20" i="8"/>
  <c r="U21" i="8"/>
  <c r="U22" i="8"/>
  <c r="U23" i="8"/>
  <c r="U24" i="8"/>
  <c r="U25" i="8"/>
  <c r="U26" i="8"/>
  <c r="U55" i="8"/>
  <c r="U57" i="8"/>
  <c r="U58" i="8"/>
  <c r="U123" i="8"/>
  <c r="U124" i="8"/>
  <c r="U125" i="8"/>
  <c r="U126" i="8"/>
  <c r="U127" i="8"/>
  <c r="U128" i="8"/>
  <c r="U129" i="8"/>
  <c r="U130" i="8"/>
  <c r="U131" i="8"/>
  <c r="U132" i="8"/>
  <c r="U133" i="8"/>
  <c r="U134" i="8"/>
  <c r="U135" i="8"/>
  <c r="U136" i="8"/>
  <c r="U137" i="8"/>
  <c r="U138" i="8"/>
  <c r="U139" i="8"/>
  <c r="U140" i="8"/>
  <c r="U141" i="8"/>
  <c r="U142" i="8"/>
  <c r="U143" i="8"/>
  <c r="U144" i="8"/>
  <c r="U145" i="8"/>
  <c r="U146" i="8"/>
  <c r="U147" i="8"/>
  <c r="U148" i="8"/>
  <c r="U149" i="8"/>
  <c r="U150" i="8"/>
  <c r="U151" i="8"/>
  <c r="U152" i="8"/>
  <c r="U153" i="8"/>
  <c r="U154" i="8"/>
  <c r="U155" i="8"/>
  <c r="U156" i="8"/>
  <c r="U157" i="8"/>
  <c r="U158" i="8"/>
  <c r="U159" i="8"/>
  <c r="U160" i="8"/>
  <c r="U161" i="8"/>
  <c r="U162" i="8"/>
  <c r="U163" i="8"/>
  <c r="U164" i="8"/>
  <c r="U165" i="8"/>
  <c r="U166" i="8"/>
  <c r="U167" i="8"/>
  <c r="U168" i="8"/>
  <c r="U169" i="8"/>
  <c r="U170" i="8"/>
  <c r="U171" i="8"/>
  <c r="U172" i="8"/>
  <c r="U173" i="8"/>
  <c r="U174" i="8"/>
  <c r="U175" i="8"/>
  <c r="U176" i="8"/>
  <c r="U177" i="8"/>
  <c r="U178" i="8"/>
  <c r="U179" i="8"/>
  <c r="U180" i="8"/>
  <c r="U181" i="8"/>
  <c r="U182" i="8"/>
  <c r="U183" i="8"/>
  <c r="U184" i="8"/>
  <c r="U185" i="8"/>
  <c r="U186" i="8"/>
  <c r="U187" i="8"/>
  <c r="U188" i="8"/>
  <c r="U189" i="8"/>
  <c r="U190" i="8"/>
  <c r="U191" i="8"/>
  <c r="U192" i="8"/>
  <c r="U193" i="8"/>
  <c r="U194" i="8"/>
  <c r="U195" i="8"/>
  <c r="U196" i="8"/>
  <c r="U197" i="8"/>
  <c r="U198" i="8"/>
  <c r="U199" i="8"/>
  <c r="U200" i="8"/>
  <c r="U201" i="8"/>
  <c r="U202" i="8"/>
  <c r="U203" i="8"/>
  <c r="U204" i="8"/>
  <c r="U205" i="8"/>
  <c r="U206" i="8"/>
  <c r="U207" i="8"/>
  <c r="U208" i="8"/>
  <c r="U209" i="8"/>
  <c r="U210" i="8"/>
  <c r="U211" i="8"/>
  <c r="U212" i="8"/>
  <c r="U213" i="8"/>
  <c r="U214" i="8"/>
  <c r="U215" i="8"/>
  <c r="U216" i="8"/>
  <c r="U217" i="8"/>
  <c r="U218" i="8"/>
  <c r="U219" i="8"/>
  <c r="U220" i="8"/>
  <c r="U221" i="8"/>
  <c r="U222" i="8"/>
  <c r="U223" i="8"/>
  <c r="U224" i="8"/>
  <c r="U225" i="8"/>
  <c r="U226" i="8"/>
  <c r="U227" i="8"/>
  <c r="U228" i="8"/>
  <c r="U229" i="8"/>
  <c r="U230" i="8"/>
  <c r="U231" i="8"/>
  <c r="U232" i="8"/>
  <c r="U233" i="8"/>
  <c r="U234" i="8"/>
  <c r="U235" i="8"/>
  <c r="U236" i="8"/>
  <c r="U237" i="8"/>
  <c r="U238" i="8"/>
  <c r="U239" i="8"/>
  <c r="U240" i="8"/>
  <c r="U241" i="8"/>
  <c r="U242" i="8"/>
  <c r="U243" i="8"/>
  <c r="U244" i="8"/>
  <c r="U245" i="8"/>
  <c r="U246" i="8"/>
  <c r="U247" i="8"/>
  <c r="U248" i="8"/>
  <c r="U249" i="8"/>
  <c r="U250" i="8"/>
  <c r="U251" i="8"/>
  <c r="U252" i="8"/>
  <c r="U253" i="8"/>
  <c r="U254" i="8"/>
  <c r="U255" i="8"/>
  <c r="U256" i="8"/>
  <c r="U257" i="8"/>
  <c r="U258" i="8"/>
  <c r="U259" i="8"/>
  <c r="U260" i="8"/>
  <c r="U261" i="8"/>
  <c r="U262" i="8"/>
  <c r="U263" i="8"/>
  <c r="U264" i="8"/>
  <c r="U265" i="8"/>
  <c r="U266" i="8"/>
  <c r="U267" i="8"/>
  <c r="U268" i="8"/>
  <c r="U269" i="8"/>
  <c r="U270" i="8"/>
  <c r="U271" i="8"/>
  <c r="U272" i="8"/>
  <c r="U273" i="8"/>
  <c r="U274" i="8"/>
  <c r="U275" i="8"/>
  <c r="U276" i="8"/>
  <c r="U277" i="8"/>
  <c r="U278" i="8"/>
  <c r="U279" i="8"/>
  <c r="U280" i="8"/>
  <c r="U281" i="8"/>
  <c r="U282" i="8"/>
  <c r="U283" i="8"/>
  <c r="U284" i="8"/>
  <c r="U285" i="8"/>
  <c r="U286" i="8"/>
  <c r="U287" i="8"/>
  <c r="U288" i="8"/>
  <c r="U289" i="8"/>
  <c r="U290" i="8"/>
  <c r="U291" i="8"/>
  <c r="U292" i="8"/>
  <c r="U296" i="8"/>
  <c r="U297" i="8"/>
  <c r="U298" i="8"/>
  <c r="U299" i="8"/>
  <c r="U300" i="8"/>
  <c r="U301" i="8"/>
  <c r="U302" i="8"/>
  <c r="U315" i="8"/>
  <c r="U316" i="8"/>
  <c r="U319" i="8"/>
  <c r="U320" i="8"/>
  <c r="U321" i="8"/>
  <c r="U322" i="8"/>
  <c r="U323" i="8"/>
  <c r="U324" i="8"/>
  <c r="U334" i="8"/>
  <c r="U335" i="8"/>
  <c r="U340" i="8"/>
  <c r="U343" i="8"/>
  <c r="U344" i="8"/>
  <c r="U345" i="8"/>
  <c r="U346" i="8"/>
  <c r="U358" i="8"/>
  <c r="U359" i="8"/>
  <c r="U360" i="8"/>
  <c r="U363" i="8"/>
  <c r="U364" i="8"/>
  <c r="U367" i="8"/>
  <c r="U368" i="8"/>
  <c r="U377" i="8"/>
  <c r="U382" i="8"/>
  <c r="U387" i="8"/>
  <c r="U388" i="8"/>
  <c r="U389" i="8"/>
  <c r="U390" i="8"/>
  <c r="U400" i="8"/>
  <c r="U401" i="8"/>
  <c r="U402" i="8"/>
  <c r="U403" i="8"/>
  <c r="U404" i="8"/>
  <c r="U406" i="8"/>
  <c r="U407" i="8"/>
  <c r="U408" i="8"/>
  <c r="U409" i="8"/>
  <c r="U410" i="8"/>
  <c r="U411" i="8"/>
  <c r="U412" i="8"/>
  <c r="U424" i="8"/>
  <c r="U425" i="8"/>
  <c r="U426" i="8"/>
  <c r="U430" i="8"/>
  <c r="U431" i="8"/>
  <c r="U432" i="8"/>
  <c r="U433" i="8"/>
  <c r="U434" i="8"/>
  <c r="U440" i="8"/>
  <c r="U446" i="8"/>
  <c r="U447" i="8"/>
  <c r="U448" i="8"/>
  <c r="U451" i="8"/>
  <c r="U452" i="8"/>
  <c r="U453" i="8"/>
  <c r="U454" i="8"/>
  <c r="U455" i="8"/>
  <c r="U456" i="8"/>
  <c r="U487" i="8"/>
  <c r="U495" i="8"/>
  <c r="U518" i="8"/>
  <c r="U580" i="8"/>
  <c r="U604" i="8"/>
  <c r="U3" i="8"/>
  <c r="H17" i="1"/>
  <c r="H74" i="1" s="1"/>
  <c r="G13" i="1"/>
  <c r="H13" i="1" s="1"/>
  <c r="T28" i="8"/>
  <c r="U28" i="8" s="1"/>
  <c r="T29" i="8"/>
  <c r="T53" i="8" s="1"/>
  <c r="T30" i="8"/>
  <c r="T54" i="8" s="1"/>
  <c r="T31" i="8"/>
  <c r="U31" i="8" s="1"/>
  <c r="T32" i="8"/>
  <c r="T56" i="8" s="1"/>
  <c r="T33" i="8"/>
  <c r="T57" i="8" s="1"/>
  <c r="T81" i="8" s="1"/>
  <c r="T105" i="8" s="1"/>
  <c r="U105" i="8" s="1"/>
  <c r="T34" i="8"/>
  <c r="T58" i="8" s="1"/>
  <c r="T82" i="8" s="1"/>
  <c r="T106" i="8" s="1"/>
  <c r="U106" i="8" s="1"/>
  <c r="T35" i="8"/>
  <c r="U35" i="8" s="1"/>
  <c r="T36" i="8"/>
  <c r="T60" i="8" s="1"/>
  <c r="T37" i="8"/>
  <c r="U37" i="8" s="1"/>
  <c r="T38" i="8"/>
  <c r="T62" i="8" s="1"/>
  <c r="T39" i="8"/>
  <c r="U39" i="8" s="1"/>
  <c r="T40" i="8"/>
  <c r="U40" i="8" s="1"/>
  <c r="T41" i="8"/>
  <c r="U41" i="8" s="1"/>
  <c r="T42" i="8"/>
  <c r="U42" i="8" s="1"/>
  <c r="T43" i="8"/>
  <c r="U43" i="8" s="1"/>
  <c r="T44" i="8"/>
  <c r="T68" i="8" s="1"/>
  <c r="T92" i="8" s="1"/>
  <c r="T116" i="8" s="1"/>
  <c r="U620" i="8" s="1"/>
  <c r="T45" i="8"/>
  <c r="U45" i="8" s="1"/>
  <c r="T46" i="8"/>
  <c r="T70" i="8" s="1"/>
  <c r="T94" i="8" s="1"/>
  <c r="T118" i="8" s="1"/>
  <c r="U622" i="8" s="1"/>
  <c r="T47" i="8"/>
  <c r="T71" i="8" s="1"/>
  <c r="T95" i="8" s="1"/>
  <c r="T119" i="8" s="1"/>
  <c r="U623" i="8" s="1"/>
  <c r="T48" i="8"/>
  <c r="T72" i="8" s="1"/>
  <c r="T96" i="8" s="1"/>
  <c r="T120" i="8" s="1"/>
  <c r="U624" i="8" s="1"/>
  <c r="T49" i="8"/>
  <c r="T73" i="8" s="1"/>
  <c r="T97" i="8" s="1"/>
  <c r="T121" i="8" s="1"/>
  <c r="U625" i="8" s="1"/>
  <c r="T50" i="8"/>
  <c r="U50" i="8" s="1"/>
  <c r="T52" i="8"/>
  <c r="U52" i="8" s="1"/>
  <c r="T55" i="8"/>
  <c r="T79" i="8" s="1"/>
  <c r="T103" i="8" s="1"/>
  <c r="U607" i="8" s="1"/>
  <c r="T64" i="8"/>
  <c r="T88" i="8" s="1"/>
  <c r="T65" i="8"/>
  <c r="T89" i="8" s="1"/>
  <c r="T66" i="8"/>
  <c r="T90" i="8" s="1"/>
  <c r="T114" i="8" s="1"/>
  <c r="U618" i="8" s="1"/>
  <c r="T69" i="8"/>
  <c r="T93" i="8" s="1"/>
  <c r="T117" i="8" s="1"/>
  <c r="U621" i="8" s="1"/>
  <c r="U612" i="8"/>
  <c r="U613" i="8"/>
  <c r="U608" i="8"/>
  <c r="U609" i="8"/>
  <c r="U610" i="8"/>
  <c r="U611" i="8"/>
  <c r="U602" i="8"/>
  <c r="U605" i="8"/>
  <c r="U606" i="8"/>
  <c r="T27" i="8"/>
  <c r="T51" i="8" s="1"/>
  <c r="U51" i="8" s="1"/>
  <c r="H15" i="1"/>
  <c r="H16" i="1" s="1"/>
  <c r="H12" i="1"/>
  <c r="K28" i="8"/>
  <c r="K52" i="8" s="1"/>
  <c r="K76" i="8" s="1"/>
  <c r="K100" i="8" s="1"/>
  <c r="K124" i="8" s="1"/>
  <c r="K148" i="8" s="1"/>
  <c r="K172" i="8" s="1"/>
  <c r="K196" i="8" s="1"/>
  <c r="K220" i="8" s="1"/>
  <c r="K244" i="8" s="1"/>
  <c r="K268" i="8" s="1"/>
  <c r="K292" i="8" s="1"/>
  <c r="K316" i="8" s="1"/>
  <c r="K340" i="8" s="1"/>
  <c r="K364" i="8" s="1"/>
  <c r="K388" i="8" s="1"/>
  <c r="K412" i="8" s="1"/>
  <c r="K436" i="8" s="1"/>
  <c r="K460" i="8" s="1"/>
  <c r="K484" i="8" s="1"/>
  <c r="K508" i="8" s="1"/>
  <c r="K532" i="8" s="1"/>
  <c r="K556" i="8" s="1"/>
  <c r="K580" i="8" s="1"/>
  <c r="K604" i="8" s="1"/>
  <c r="K29" i="8"/>
  <c r="K30" i="8"/>
  <c r="K54" i="8" s="1"/>
  <c r="K78" i="8" s="1"/>
  <c r="K102" i="8" s="1"/>
  <c r="K126" i="8" s="1"/>
  <c r="K150" i="8" s="1"/>
  <c r="K174" i="8" s="1"/>
  <c r="K198" i="8" s="1"/>
  <c r="K222" i="8" s="1"/>
  <c r="K246" i="8" s="1"/>
  <c r="K270" i="8" s="1"/>
  <c r="K294" i="8" s="1"/>
  <c r="K318" i="8" s="1"/>
  <c r="K342" i="8" s="1"/>
  <c r="K366" i="8" s="1"/>
  <c r="K390" i="8" s="1"/>
  <c r="K414" i="8" s="1"/>
  <c r="K438" i="8" s="1"/>
  <c r="K462" i="8" s="1"/>
  <c r="K486" i="8" s="1"/>
  <c r="K510" i="8" s="1"/>
  <c r="K534" i="8" s="1"/>
  <c r="K558" i="8" s="1"/>
  <c r="K582" i="8" s="1"/>
  <c r="K606" i="8" s="1"/>
  <c r="K31" i="8"/>
  <c r="K55" i="8" s="1"/>
  <c r="K79" i="8" s="1"/>
  <c r="K103" i="8" s="1"/>
  <c r="K127" i="8" s="1"/>
  <c r="K151" i="8" s="1"/>
  <c r="K175" i="8" s="1"/>
  <c r="K199" i="8" s="1"/>
  <c r="K223" i="8" s="1"/>
  <c r="K247" i="8" s="1"/>
  <c r="K271" i="8" s="1"/>
  <c r="K295" i="8" s="1"/>
  <c r="K319" i="8" s="1"/>
  <c r="K343" i="8" s="1"/>
  <c r="K367" i="8" s="1"/>
  <c r="K391" i="8" s="1"/>
  <c r="K415" i="8" s="1"/>
  <c r="K439" i="8" s="1"/>
  <c r="K463" i="8" s="1"/>
  <c r="K487" i="8" s="1"/>
  <c r="K511" i="8" s="1"/>
  <c r="K535" i="8" s="1"/>
  <c r="K559" i="8" s="1"/>
  <c r="K583" i="8" s="1"/>
  <c r="K607" i="8" s="1"/>
  <c r="K32" i="8"/>
  <c r="K56" i="8" s="1"/>
  <c r="K80" i="8" s="1"/>
  <c r="K104" i="8" s="1"/>
  <c r="K128" i="8" s="1"/>
  <c r="K152" i="8" s="1"/>
  <c r="K176" i="8" s="1"/>
  <c r="K200" i="8" s="1"/>
  <c r="K224" i="8" s="1"/>
  <c r="K248" i="8" s="1"/>
  <c r="K272" i="8" s="1"/>
  <c r="K296" i="8" s="1"/>
  <c r="K320" i="8" s="1"/>
  <c r="K344" i="8" s="1"/>
  <c r="K368" i="8" s="1"/>
  <c r="K392" i="8" s="1"/>
  <c r="K416" i="8" s="1"/>
  <c r="K440" i="8" s="1"/>
  <c r="K464" i="8" s="1"/>
  <c r="K488" i="8" s="1"/>
  <c r="K512" i="8" s="1"/>
  <c r="K536" i="8" s="1"/>
  <c r="K560" i="8" s="1"/>
  <c r="K584" i="8" s="1"/>
  <c r="K608" i="8" s="1"/>
  <c r="K33" i="8"/>
  <c r="K57" i="8" s="1"/>
  <c r="K81" i="8" s="1"/>
  <c r="K105" i="8" s="1"/>
  <c r="K129" i="8" s="1"/>
  <c r="K153" i="8" s="1"/>
  <c r="K177" i="8" s="1"/>
  <c r="K201" i="8" s="1"/>
  <c r="K225" i="8" s="1"/>
  <c r="K249" i="8" s="1"/>
  <c r="K273" i="8" s="1"/>
  <c r="K297" i="8" s="1"/>
  <c r="K321" i="8" s="1"/>
  <c r="K345" i="8" s="1"/>
  <c r="K369" i="8" s="1"/>
  <c r="K393" i="8" s="1"/>
  <c r="K417" i="8" s="1"/>
  <c r="K441" i="8" s="1"/>
  <c r="K465" i="8" s="1"/>
  <c r="K489" i="8" s="1"/>
  <c r="K513" i="8" s="1"/>
  <c r="K537" i="8" s="1"/>
  <c r="K561" i="8" s="1"/>
  <c r="K585" i="8" s="1"/>
  <c r="K609" i="8" s="1"/>
  <c r="K34" i="8"/>
  <c r="K58" i="8" s="1"/>
  <c r="K82" i="8" s="1"/>
  <c r="K106" i="8" s="1"/>
  <c r="K130" i="8" s="1"/>
  <c r="K154" i="8" s="1"/>
  <c r="K178" i="8" s="1"/>
  <c r="K202" i="8" s="1"/>
  <c r="K226" i="8" s="1"/>
  <c r="K250" i="8" s="1"/>
  <c r="K274" i="8" s="1"/>
  <c r="K298" i="8" s="1"/>
  <c r="K322" i="8" s="1"/>
  <c r="K346" i="8" s="1"/>
  <c r="K370" i="8" s="1"/>
  <c r="K394" i="8" s="1"/>
  <c r="K418" i="8" s="1"/>
  <c r="K442" i="8" s="1"/>
  <c r="K466" i="8" s="1"/>
  <c r="K490" i="8" s="1"/>
  <c r="K514" i="8" s="1"/>
  <c r="K538" i="8" s="1"/>
  <c r="K562" i="8" s="1"/>
  <c r="K586" i="8" s="1"/>
  <c r="K610" i="8" s="1"/>
  <c r="K35" i="8"/>
  <c r="K59" i="8" s="1"/>
  <c r="K83" i="8" s="1"/>
  <c r="K107" i="8" s="1"/>
  <c r="K131" i="8" s="1"/>
  <c r="K155" i="8" s="1"/>
  <c r="K179" i="8" s="1"/>
  <c r="K203" i="8" s="1"/>
  <c r="K227" i="8" s="1"/>
  <c r="K251" i="8" s="1"/>
  <c r="K275" i="8" s="1"/>
  <c r="K299" i="8" s="1"/>
  <c r="K323" i="8" s="1"/>
  <c r="K347" i="8" s="1"/>
  <c r="K371" i="8" s="1"/>
  <c r="K395" i="8" s="1"/>
  <c r="K419" i="8" s="1"/>
  <c r="K443" i="8" s="1"/>
  <c r="K467" i="8" s="1"/>
  <c r="K491" i="8" s="1"/>
  <c r="K515" i="8" s="1"/>
  <c r="K539" i="8" s="1"/>
  <c r="K563" i="8" s="1"/>
  <c r="K587" i="8" s="1"/>
  <c r="K611" i="8" s="1"/>
  <c r="K36" i="8"/>
  <c r="K60" i="8" s="1"/>
  <c r="K84" i="8" s="1"/>
  <c r="K108" i="8" s="1"/>
  <c r="K132" i="8" s="1"/>
  <c r="K156" i="8" s="1"/>
  <c r="K180" i="8" s="1"/>
  <c r="K204" i="8" s="1"/>
  <c r="K228" i="8" s="1"/>
  <c r="K252" i="8" s="1"/>
  <c r="K276" i="8" s="1"/>
  <c r="K300" i="8" s="1"/>
  <c r="K324" i="8" s="1"/>
  <c r="K348" i="8" s="1"/>
  <c r="K372" i="8" s="1"/>
  <c r="K396" i="8" s="1"/>
  <c r="K420" i="8" s="1"/>
  <c r="K444" i="8" s="1"/>
  <c r="K468" i="8" s="1"/>
  <c r="K492" i="8" s="1"/>
  <c r="K516" i="8" s="1"/>
  <c r="K540" i="8" s="1"/>
  <c r="K564" i="8" s="1"/>
  <c r="K588" i="8" s="1"/>
  <c r="K612" i="8" s="1"/>
  <c r="K37" i="8"/>
  <c r="K61" i="8" s="1"/>
  <c r="K85" i="8" s="1"/>
  <c r="K109" i="8" s="1"/>
  <c r="K133" i="8" s="1"/>
  <c r="K157" i="8" s="1"/>
  <c r="K181" i="8" s="1"/>
  <c r="K205" i="8" s="1"/>
  <c r="K229" i="8" s="1"/>
  <c r="K253" i="8" s="1"/>
  <c r="K277" i="8" s="1"/>
  <c r="K301" i="8" s="1"/>
  <c r="K325" i="8" s="1"/>
  <c r="K349" i="8" s="1"/>
  <c r="K373" i="8" s="1"/>
  <c r="K397" i="8" s="1"/>
  <c r="K421" i="8" s="1"/>
  <c r="K445" i="8" s="1"/>
  <c r="K469" i="8" s="1"/>
  <c r="K493" i="8" s="1"/>
  <c r="K517" i="8" s="1"/>
  <c r="K541" i="8" s="1"/>
  <c r="K565" i="8" s="1"/>
  <c r="K589" i="8" s="1"/>
  <c r="K613" i="8" s="1"/>
  <c r="K38" i="8"/>
  <c r="K62" i="8" s="1"/>
  <c r="K86" i="8" s="1"/>
  <c r="K110" i="8" s="1"/>
  <c r="K134" i="8" s="1"/>
  <c r="K158" i="8" s="1"/>
  <c r="K182" i="8" s="1"/>
  <c r="K206" i="8" s="1"/>
  <c r="K230" i="8" s="1"/>
  <c r="K254" i="8" s="1"/>
  <c r="K278" i="8" s="1"/>
  <c r="K302" i="8" s="1"/>
  <c r="K326" i="8" s="1"/>
  <c r="K350" i="8" s="1"/>
  <c r="K374" i="8" s="1"/>
  <c r="K398" i="8" s="1"/>
  <c r="K422" i="8" s="1"/>
  <c r="K446" i="8" s="1"/>
  <c r="K470" i="8" s="1"/>
  <c r="K494" i="8" s="1"/>
  <c r="K518" i="8" s="1"/>
  <c r="K542" i="8" s="1"/>
  <c r="K566" i="8" s="1"/>
  <c r="K590" i="8" s="1"/>
  <c r="K614" i="8" s="1"/>
  <c r="K39" i="8"/>
  <c r="K63" i="8" s="1"/>
  <c r="K87" i="8" s="1"/>
  <c r="K111" i="8" s="1"/>
  <c r="K135" i="8" s="1"/>
  <c r="K159" i="8" s="1"/>
  <c r="K183" i="8" s="1"/>
  <c r="K207" i="8" s="1"/>
  <c r="K231" i="8" s="1"/>
  <c r="K255" i="8" s="1"/>
  <c r="K279" i="8" s="1"/>
  <c r="K303" i="8" s="1"/>
  <c r="K327" i="8" s="1"/>
  <c r="K351" i="8" s="1"/>
  <c r="K375" i="8" s="1"/>
  <c r="K399" i="8" s="1"/>
  <c r="K423" i="8" s="1"/>
  <c r="K447" i="8" s="1"/>
  <c r="K471" i="8" s="1"/>
  <c r="K495" i="8" s="1"/>
  <c r="K519" i="8" s="1"/>
  <c r="K543" i="8" s="1"/>
  <c r="K567" i="8" s="1"/>
  <c r="K591" i="8" s="1"/>
  <c r="K615" i="8" s="1"/>
  <c r="K40" i="8"/>
  <c r="K64" i="8" s="1"/>
  <c r="K88" i="8" s="1"/>
  <c r="K112" i="8" s="1"/>
  <c r="K136" i="8" s="1"/>
  <c r="K160" i="8" s="1"/>
  <c r="K184" i="8" s="1"/>
  <c r="K208" i="8" s="1"/>
  <c r="K232" i="8" s="1"/>
  <c r="K256" i="8" s="1"/>
  <c r="K280" i="8" s="1"/>
  <c r="K304" i="8" s="1"/>
  <c r="K328" i="8" s="1"/>
  <c r="K352" i="8" s="1"/>
  <c r="K376" i="8" s="1"/>
  <c r="K400" i="8" s="1"/>
  <c r="K424" i="8" s="1"/>
  <c r="K448" i="8" s="1"/>
  <c r="K472" i="8" s="1"/>
  <c r="K496" i="8" s="1"/>
  <c r="K520" i="8" s="1"/>
  <c r="K544" i="8" s="1"/>
  <c r="K568" i="8" s="1"/>
  <c r="K592" i="8" s="1"/>
  <c r="K616" i="8" s="1"/>
  <c r="K41" i="8"/>
  <c r="K65" i="8" s="1"/>
  <c r="K89" i="8" s="1"/>
  <c r="K113" i="8" s="1"/>
  <c r="K137" i="8" s="1"/>
  <c r="K161" i="8" s="1"/>
  <c r="K185" i="8" s="1"/>
  <c r="K209" i="8" s="1"/>
  <c r="K233" i="8" s="1"/>
  <c r="K257" i="8" s="1"/>
  <c r="K281" i="8" s="1"/>
  <c r="K305" i="8" s="1"/>
  <c r="K329" i="8" s="1"/>
  <c r="K353" i="8" s="1"/>
  <c r="K377" i="8" s="1"/>
  <c r="K401" i="8" s="1"/>
  <c r="K425" i="8" s="1"/>
  <c r="K449" i="8" s="1"/>
  <c r="K473" i="8" s="1"/>
  <c r="K497" i="8" s="1"/>
  <c r="K521" i="8" s="1"/>
  <c r="K545" i="8" s="1"/>
  <c r="K569" i="8" s="1"/>
  <c r="K593" i="8" s="1"/>
  <c r="K617" i="8" s="1"/>
  <c r="K42" i="8"/>
  <c r="K66" i="8" s="1"/>
  <c r="K90" i="8" s="1"/>
  <c r="K114" i="8" s="1"/>
  <c r="K138" i="8" s="1"/>
  <c r="K162" i="8" s="1"/>
  <c r="K186" i="8" s="1"/>
  <c r="K210" i="8" s="1"/>
  <c r="K234" i="8" s="1"/>
  <c r="K258" i="8" s="1"/>
  <c r="K282" i="8" s="1"/>
  <c r="K306" i="8" s="1"/>
  <c r="K330" i="8" s="1"/>
  <c r="K354" i="8" s="1"/>
  <c r="K378" i="8" s="1"/>
  <c r="K402" i="8" s="1"/>
  <c r="K426" i="8" s="1"/>
  <c r="K450" i="8" s="1"/>
  <c r="K474" i="8" s="1"/>
  <c r="K498" i="8" s="1"/>
  <c r="K522" i="8" s="1"/>
  <c r="K546" i="8" s="1"/>
  <c r="K570" i="8" s="1"/>
  <c r="K594" i="8" s="1"/>
  <c r="K618" i="8" s="1"/>
  <c r="K43" i="8"/>
  <c r="K67" i="8" s="1"/>
  <c r="K91" i="8" s="1"/>
  <c r="K115" i="8" s="1"/>
  <c r="K139" i="8" s="1"/>
  <c r="K163" i="8" s="1"/>
  <c r="K187" i="8" s="1"/>
  <c r="K211" i="8" s="1"/>
  <c r="K235" i="8" s="1"/>
  <c r="K259" i="8" s="1"/>
  <c r="K283" i="8" s="1"/>
  <c r="K307" i="8" s="1"/>
  <c r="K331" i="8" s="1"/>
  <c r="K355" i="8" s="1"/>
  <c r="K379" i="8" s="1"/>
  <c r="K403" i="8" s="1"/>
  <c r="K427" i="8" s="1"/>
  <c r="K451" i="8" s="1"/>
  <c r="K475" i="8" s="1"/>
  <c r="K499" i="8" s="1"/>
  <c r="K523" i="8" s="1"/>
  <c r="K547" i="8" s="1"/>
  <c r="K571" i="8" s="1"/>
  <c r="K595" i="8" s="1"/>
  <c r="K619" i="8" s="1"/>
  <c r="K44" i="8"/>
  <c r="K68" i="8" s="1"/>
  <c r="K92" i="8" s="1"/>
  <c r="K116" i="8" s="1"/>
  <c r="K140" i="8" s="1"/>
  <c r="K164" i="8" s="1"/>
  <c r="K188" i="8" s="1"/>
  <c r="K212" i="8" s="1"/>
  <c r="K236" i="8" s="1"/>
  <c r="K260" i="8" s="1"/>
  <c r="K284" i="8" s="1"/>
  <c r="K308" i="8" s="1"/>
  <c r="K332" i="8" s="1"/>
  <c r="K356" i="8" s="1"/>
  <c r="K380" i="8" s="1"/>
  <c r="K404" i="8" s="1"/>
  <c r="K428" i="8" s="1"/>
  <c r="K452" i="8" s="1"/>
  <c r="K476" i="8" s="1"/>
  <c r="K500" i="8" s="1"/>
  <c r="K524" i="8" s="1"/>
  <c r="K548" i="8" s="1"/>
  <c r="K572" i="8" s="1"/>
  <c r="K596" i="8" s="1"/>
  <c r="K620" i="8" s="1"/>
  <c r="K45" i="8"/>
  <c r="K69" i="8" s="1"/>
  <c r="K93" i="8" s="1"/>
  <c r="K117" i="8" s="1"/>
  <c r="K141" i="8" s="1"/>
  <c r="K165" i="8" s="1"/>
  <c r="K189" i="8" s="1"/>
  <c r="K213" i="8" s="1"/>
  <c r="K237" i="8" s="1"/>
  <c r="K261" i="8" s="1"/>
  <c r="K285" i="8" s="1"/>
  <c r="K309" i="8" s="1"/>
  <c r="K333" i="8" s="1"/>
  <c r="K357" i="8" s="1"/>
  <c r="K381" i="8" s="1"/>
  <c r="K405" i="8" s="1"/>
  <c r="K429" i="8" s="1"/>
  <c r="K453" i="8" s="1"/>
  <c r="K477" i="8" s="1"/>
  <c r="K501" i="8" s="1"/>
  <c r="K525" i="8" s="1"/>
  <c r="K549" i="8" s="1"/>
  <c r="K573" i="8" s="1"/>
  <c r="K597" i="8" s="1"/>
  <c r="K621" i="8" s="1"/>
  <c r="K46" i="8"/>
  <c r="K70" i="8" s="1"/>
  <c r="K94" i="8" s="1"/>
  <c r="K118" i="8" s="1"/>
  <c r="K142" i="8" s="1"/>
  <c r="K166" i="8" s="1"/>
  <c r="K190" i="8" s="1"/>
  <c r="K214" i="8" s="1"/>
  <c r="K238" i="8" s="1"/>
  <c r="K262" i="8" s="1"/>
  <c r="K286" i="8" s="1"/>
  <c r="K310" i="8" s="1"/>
  <c r="K334" i="8" s="1"/>
  <c r="K358" i="8" s="1"/>
  <c r="K382" i="8" s="1"/>
  <c r="K406" i="8" s="1"/>
  <c r="K430" i="8" s="1"/>
  <c r="K454" i="8" s="1"/>
  <c r="K478" i="8" s="1"/>
  <c r="K502" i="8" s="1"/>
  <c r="K526" i="8" s="1"/>
  <c r="K550" i="8" s="1"/>
  <c r="K574" i="8" s="1"/>
  <c r="K598" i="8" s="1"/>
  <c r="K622" i="8" s="1"/>
  <c r="K47" i="8"/>
  <c r="K71" i="8" s="1"/>
  <c r="K95" i="8" s="1"/>
  <c r="K119" i="8" s="1"/>
  <c r="K143" i="8" s="1"/>
  <c r="K167" i="8" s="1"/>
  <c r="K191" i="8" s="1"/>
  <c r="K215" i="8" s="1"/>
  <c r="K239" i="8" s="1"/>
  <c r="K263" i="8" s="1"/>
  <c r="K287" i="8" s="1"/>
  <c r="K311" i="8" s="1"/>
  <c r="K335" i="8" s="1"/>
  <c r="K359" i="8" s="1"/>
  <c r="K383" i="8" s="1"/>
  <c r="K407" i="8" s="1"/>
  <c r="K431" i="8" s="1"/>
  <c r="K455" i="8" s="1"/>
  <c r="K479" i="8" s="1"/>
  <c r="K503" i="8" s="1"/>
  <c r="K527" i="8" s="1"/>
  <c r="K551" i="8" s="1"/>
  <c r="K575" i="8" s="1"/>
  <c r="K599" i="8" s="1"/>
  <c r="K623" i="8" s="1"/>
  <c r="K48" i="8"/>
  <c r="K72" i="8" s="1"/>
  <c r="K96" i="8" s="1"/>
  <c r="K120" i="8" s="1"/>
  <c r="K144" i="8" s="1"/>
  <c r="K168" i="8" s="1"/>
  <c r="K192" i="8" s="1"/>
  <c r="K216" i="8" s="1"/>
  <c r="K240" i="8" s="1"/>
  <c r="K264" i="8" s="1"/>
  <c r="K288" i="8" s="1"/>
  <c r="K312" i="8" s="1"/>
  <c r="K336" i="8" s="1"/>
  <c r="K360" i="8" s="1"/>
  <c r="K384" i="8" s="1"/>
  <c r="K408" i="8" s="1"/>
  <c r="K432" i="8" s="1"/>
  <c r="K456" i="8" s="1"/>
  <c r="K480" i="8" s="1"/>
  <c r="K504" i="8" s="1"/>
  <c r="K528" i="8" s="1"/>
  <c r="K552" i="8" s="1"/>
  <c r="K576" i="8" s="1"/>
  <c r="K600" i="8" s="1"/>
  <c r="K624" i="8" s="1"/>
  <c r="K49" i="8"/>
  <c r="K73" i="8" s="1"/>
  <c r="K97" i="8" s="1"/>
  <c r="K121" i="8" s="1"/>
  <c r="K145" i="8" s="1"/>
  <c r="K169" i="8" s="1"/>
  <c r="K193" i="8" s="1"/>
  <c r="K217" i="8" s="1"/>
  <c r="K241" i="8" s="1"/>
  <c r="K265" i="8" s="1"/>
  <c r="K289" i="8" s="1"/>
  <c r="K313" i="8" s="1"/>
  <c r="K337" i="8" s="1"/>
  <c r="K361" i="8" s="1"/>
  <c r="K385" i="8" s="1"/>
  <c r="K409" i="8" s="1"/>
  <c r="K433" i="8" s="1"/>
  <c r="K457" i="8" s="1"/>
  <c r="K481" i="8" s="1"/>
  <c r="K505" i="8" s="1"/>
  <c r="K529" i="8" s="1"/>
  <c r="K553" i="8" s="1"/>
  <c r="K577" i="8" s="1"/>
  <c r="K601" i="8" s="1"/>
  <c r="K625" i="8" s="1"/>
  <c r="K50" i="8"/>
  <c r="K74" i="8" s="1"/>
  <c r="K98" i="8" s="1"/>
  <c r="K122" i="8" s="1"/>
  <c r="K146" i="8" s="1"/>
  <c r="K170" i="8" s="1"/>
  <c r="K194" i="8" s="1"/>
  <c r="K218" i="8" s="1"/>
  <c r="K242" i="8" s="1"/>
  <c r="K266" i="8" s="1"/>
  <c r="K290" i="8" s="1"/>
  <c r="K314" i="8" s="1"/>
  <c r="K338" i="8" s="1"/>
  <c r="K362" i="8" s="1"/>
  <c r="K386" i="8" s="1"/>
  <c r="K410" i="8" s="1"/>
  <c r="K434" i="8" s="1"/>
  <c r="K458" i="8" s="1"/>
  <c r="K482" i="8" s="1"/>
  <c r="K506" i="8" s="1"/>
  <c r="K530" i="8" s="1"/>
  <c r="K554" i="8" s="1"/>
  <c r="K578" i="8" s="1"/>
  <c r="K602" i="8" s="1"/>
  <c r="K626" i="8" s="1"/>
  <c r="K53" i="8"/>
  <c r="K77" i="8" s="1"/>
  <c r="K101" i="8" s="1"/>
  <c r="K125" i="8" s="1"/>
  <c r="K149" i="8" s="1"/>
  <c r="K173" i="8" s="1"/>
  <c r="K197" i="8"/>
  <c r="K221" i="8" s="1"/>
  <c r="K245" i="8" s="1"/>
  <c r="K269" i="8" s="1"/>
  <c r="K293" i="8" s="1"/>
  <c r="K317" i="8" s="1"/>
  <c r="K341" i="8" s="1"/>
  <c r="K365" i="8" s="1"/>
  <c r="K389" i="8" s="1"/>
  <c r="K413" i="8" s="1"/>
  <c r="K437" i="8" s="1"/>
  <c r="K461" i="8" s="1"/>
  <c r="K485" i="8" s="1"/>
  <c r="K509" i="8" s="1"/>
  <c r="K533" i="8" s="1"/>
  <c r="K557" i="8" s="1"/>
  <c r="K581" i="8" s="1"/>
  <c r="K605" i="8" s="1"/>
  <c r="K27" i="8"/>
  <c r="K51" i="8" s="1"/>
  <c r="K75" i="8" s="1"/>
  <c r="K99" i="8" s="1"/>
  <c r="K123" i="8" s="1"/>
  <c r="K147" i="8" s="1"/>
  <c r="K171" i="8" s="1"/>
  <c r="K195" i="8" s="1"/>
  <c r="K219" i="8" s="1"/>
  <c r="K243" i="8" s="1"/>
  <c r="K267" i="8" s="1"/>
  <c r="K291" i="8" s="1"/>
  <c r="K315" i="8" s="1"/>
  <c r="K339" i="8" s="1"/>
  <c r="K363" i="8" s="1"/>
  <c r="K387" i="8" s="1"/>
  <c r="K411" i="8" s="1"/>
  <c r="K435" i="8" s="1"/>
  <c r="K459" i="8" s="1"/>
  <c r="K483" i="8" s="1"/>
  <c r="K507" i="8" s="1"/>
  <c r="K531" i="8" s="1"/>
  <c r="K555" i="8" s="1"/>
  <c r="K579" i="8" s="1"/>
  <c r="K603" i="8" s="1"/>
  <c r="I28" i="8"/>
  <c r="I52" i="8" s="1"/>
  <c r="I76" i="8" s="1"/>
  <c r="I100" i="8" s="1"/>
  <c r="I124" i="8" s="1"/>
  <c r="I148" i="8" s="1"/>
  <c r="I172" i="8" s="1"/>
  <c r="I196" i="8" s="1"/>
  <c r="I220" i="8" s="1"/>
  <c r="I244" i="8" s="1"/>
  <c r="I268" i="8" s="1"/>
  <c r="I292" i="8" s="1"/>
  <c r="I316" i="8" s="1"/>
  <c r="I340" i="8" s="1"/>
  <c r="I364" i="8" s="1"/>
  <c r="I388" i="8" s="1"/>
  <c r="I412" i="8" s="1"/>
  <c r="I436" i="8" s="1"/>
  <c r="I460" i="8" s="1"/>
  <c r="I484" i="8" s="1"/>
  <c r="I508" i="8" s="1"/>
  <c r="I532" i="8" s="1"/>
  <c r="I556" i="8" s="1"/>
  <c r="I580" i="8" s="1"/>
  <c r="I604" i="8" s="1"/>
  <c r="I29" i="8"/>
  <c r="I53" i="8" s="1"/>
  <c r="I77" i="8" s="1"/>
  <c r="I101" i="8" s="1"/>
  <c r="I125" i="8" s="1"/>
  <c r="I149" i="8" s="1"/>
  <c r="I173" i="8" s="1"/>
  <c r="I197" i="8" s="1"/>
  <c r="I221" i="8" s="1"/>
  <c r="I245" i="8" s="1"/>
  <c r="I269" i="8" s="1"/>
  <c r="I293" i="8" s="1"/>
  <c r="I317" i="8" s="1"/>
  <c r="I341" i="8" s="1"/>
  <c r="I365" i="8" s="1"/>
  <c r="I389" i="8" s="1"/>
  <c r="I413" i="8" s="1"/>
  <c r="I437" i="8" s="1"/>
  <c r="I461" i="8" s="1"/>
  <c r="I485" i="8" s="1"/>
  <c r="I509" i="8" s="1"/>
  <c r="I533" i="8" s="1"/>
  <c r="I557" i="8" s="1"/>
  <c r="I581" i="8" s="1"/>
  <c r="I605" i="8" s="1"/>
  <c r="I30" i="8"/>
  <c r="I31" i="8"/>
  <c r="I55" i="8" s="1"/>
  <c r="I79" i="8" s="1"/>
  <c r="I103" i="8" s="1"/>
  <c r="I127" i="8" s="1"/>
  <c r="I151" i="8" s="1"/>
  <c r="I175" i="8" s="1"/>
  <c r="I199" i="8" s="1"/>
  <c r="I223" i="8" s="1"/>
  <c r="I247" i="8" s="1"/>
  <c r="I271" i="8" s="1"/>
  <c r="I295" i="8" s="1"/>
  <c r="I319" i="8" s="1"/>
  <c r="I343" i="8" s="1"/>
  <c r="I367" i="8" s="1"/>
  <c r="I391" i="8" s="1"/>
  <c r="I415" i="8" s="1"/>
  <c r="I439" i="8" s="1"/>
  <c r="I463" i="8" s="1"/>
  <c r="I487" i="8" s="1"/>
  <c r="I511" i="8" s="1"/>
  <c r="I535" i="8" s="1"/>
  <c r="I559" i="8" s="1"/>
  <c r="I583" i="8" s="1"/>
  <c r="I607" i="8" s="1"/>
  <c r="I32" i="8"/>
  <c r="I56" i="8" s="1"/>
  <c r="I80" i="8" s="1"/>
  <c r="I104" i="8" s="1"/>
  <c r="I128" i="8" s="1"/>
  <c r="I152" i="8" s="1"/>
  <c r="I176" i="8" s="1"/>
  <c r="I200" i="8" s="1"/>
  <c r="I224" i="8" s="1"/>
  <c r="I248" i="8" s="1"/>
  <c r="I272" i="8" s="1"/>
  <c r="I296" i="8" s="1"/>
  <c r="I320" i="8" s="1"/>
  <c r="I344" i="8" s="1"/>
  <c r="I368" i="8" s="1"/>
  <c r="I392" i="8" s="1"/>
  <c r="I416" i="8" s="1"/>
  <c r="I440" i="8" s="1"/>
  <c r="I464" i="8" s="1"/>
  <c r="I488" i="8" s="1"/>
  <c r="I512" i="8" s="1"/>
  <c r="I536" i="8" s="1"/>
  <c r="I560" i="8" s="1"/>
  <c r="I584" i="8" s="1"/>
  <c r="I608" i="8" s="1"/>
  <c r="I33" i="8"/>
  <c r="I57" i="8" s="1"/>
  <c r="I81" i="8" s="1"/>
  <c r="I105" i="8" s="1"/>
  <c r="I129" i="8" s="1"/>
  <c r="I153" i="8" s="1"/>
  <c r="I177" i="8" s="1"/>
  <c r="I201" i="8" s="1"/>
  <c r="I225" i="8" s="1"/>
  <c r="I249" i="8" s="1"/>
  <c r="I273" i="8" s="1"/>
  <c r="I297" i="8" s="1"/>
  <c r="I321" i="8" s="1"/>
  <c r="I345" i="8" s="1"/>
  <c r="I369" i="8" s="1"/>
  <c r="I393" i="8" s="1"/>
  <c r="I417" i="8" s="1"/>
  <c r="I441" i="8" s="1"/>
  <c r="I465" i="8" s="1"/>
  <c r="I489" i="8" s="1"/>
  <c r="I513" i="8" s="1"/>
  <c r="I537" i="8" s="1"/>
  <c r="I561" i="8" s="1"/>
  <c r="I585" i="8" s="1"/>
  <c r="I609" i="8" s="1"/>
  <c r="I34" i="8"/>
  <c r="I58" i="8" s="1"/>
  <c r="I82" i="8" s="1"/>
  <c r="I106" i="8" s="1"/>
  <c r="I130" i="8" s="1"/>
  <c r="I154" i="8" s="1"/>
  <c r="I178" i="8" s="1"/>
  <c r="I202" i="8" s="1"/>
  <c r="I226" i="8" s="1"/>
  <c r="I250" i="8" s="1"/>
  <c r="I274" i="8" s="1"/>
  <c r="I298" i="8" s="1"/>
  <c r="I322" i="8" s="1"/>
  <c r="I35" i="8"/>
  <c r="I59" i="8" s="1"/>
  <c r="I83" i="8" s="1"/>
  <c r="I107" i="8" s="1"/>
  <c r="I131" i="8" s="1"/>
  <c r="I155" i="8" s="1"/>
  <c r="I179" i="8" s="1"/>
  <c r="I203" i="8" s="1"/>
  <c r="I227" i="8" s="1"/>
  <c r="I251" i="8" s="1"/>
  <c r="I275" i="8" s="1"/>
  <c r="I299" i="8" s="1"/>
  <c r="I323" i="8" s="1"/>
  <c r="I36" i="8"/>
  <c r="I60" i="8" s="1"/>
  <c r="I84" i="8" s="1"/>
  <c r="I108" i="8" s="1"/>
  <c r="I132" i="8" s="1"/>
  <c r="I156" i="8" s="1"/>
  <c r="I180" i="8" s="1"/>
  <c r="I204" i="8" s="1"/>
  <c r="I228" i="8" s="1"/>
  <c r="I252" i="8" s="1"/>
  <c r="I276" i="8" s="1"/>
  <c r="I300" i="8" s="1"/>
  <c r="I324" i="8" s="1"/>
  <c r="I348" i="8" s="1"/>
  <c r="I372" i="8" s="1"/>
  <c r="I396" i="8" s="1"/>
  <c r="I420" i="8" s="1"/>
  <c r="I444" i="8" s="1"/>
  <c r="I468" i="8" s="1"/>
  <c r="I492" i="8" s="1"/>
  <c r="I516" i="8" s="1"/>
  <c r="I540" i="8" s="1"/>
  <c r="I564" i="8" s="1"/>
  <c r="I588" i="8" s="1"/>
  <c r="I612" i="8" s="1"/>
  <c r="I37" i="8"/>
  <c r="I61" i="8" s="1"/>
  <c r="I85" i="8" s="1"/>
  <c r="I109" i="8" s="1"/>
  <c r="I133" i="8" s="1"/>
  <c r="I157" i="8" s="1"/>
  <c r="I181" i="8" s="1"/>
  <c r="I205" i="8" s="1"/>
  <c r="I229" i="8" s="1"/>
  <c r="I253" i="8" s="1"/>
  <c r="I277" i="8" s="1"/>
  <c r="I301" i="8" s="1"/>
  <c r="I325" i="8" s="1"/>
  <c r="I349" i="8" s="1"/>
  <c r="I373" i="8" s="1"/>
  <c r="I397" i="8" s="1"/>
  <c r="I421" i="8" s="1"/>
  <c r="I445" i="8" s="1"/>
  <c r="I469" i="8" s="1"/>
  <c r="I493" i="8" s="1"/>
  <c r="I517" i="8" s="1"/>
  <c r="I541" i="8" s="1"/>
  <c r="I565" i="8" s="1"/>
  <c r="I589" i="8" s="1"/>
  <c r="I613" i="8" s="1"/>
  <c r="I38" i="8"/>
  <c r="I62" i="8" s="1"/>
  <c r="I86" i="8" s="1"/>
  <c r="I110" i="8" s="1"/>
  <c r="I134" i="8" s="1"/>
  <c r="I158" i="8" s="1"/>
  <c r="I182" i="8" s="1"/>
  <c r="I206" i="8" s="1"/>
  <c r="I230" i="8" s="1"/>
  <c r="I254" i="8" s="1"/>
  <c r="I278" i="8" s="1"/>
  <c r="I302" i="8" s="1"/>
  <c r="I326" i="8" s="1"/>
  <c r="I350" i="8" s="1"/>
  <c r="I374" i="8" s="1"/>
  <c r="I398" i="8" s="1"/>
  <c r="I422" i="8" s="1"/>
  <c r="I446" i="8" s="1"/>
  <c r="I470" i="8" s="1"/>
  <c r="I494" i="8" s="1"/>
  <c r="I518" i="8" s="1"/>
  <c r="I542" i="8" s="1"/>
  <c r="I566" i="8" s="1"/>
  <c r="I590" i="8" s="1"/>
  <c r="I614" i="8" s="1"/>
  <c r="I39" i="8"/>
  <c r="I63" i="8" s="1"/>
  <c r="I87" i="8" s="1"/>
  <c r="I111" i="8" s="1"/>
  <c r="I135" i="8" s="1"/>
  <c r="I159" i="8" s="1"/>
  <c r="I183" i="8" s="1"/>
  <c r="I207" i="8" s="1"/>
  <c r="I231" i="8" s="1"/>
  <c r="I255" i="8" s="1"/>
  <c r="I279" i="8" s="1"/>
  <c r="I303" i="8" s="1"/>
  <c r="I327" i="8" s="1"/>
  <c r="I351" i="8" s="1"/>
  <c r="I375" i="8" s="1"/>
  <c r="I399" i="8" s="1"/>
  <c r="I423" i="8" s="1"/>
  <c r="I447" i="8" s="1"/>
  <c r="I471" i="8" s="1"/>
  <c r="I495" i="8" s="1"/>
  <c r="I519" i="8" s="1"/>
  <c r="I543" i="8" s="1"/>
  <c r="I567" i="8" s="1"/>
  <c r="I591" i="8" s="1"/>
  <c r="I615" i="8" s="1"/>
  <c r="I40" i="8"/>
  <c r="I64" i="8" s="1"/>
  <c r="I88" i="8" s="1"/>
  <c r="I112" i="8" s="1"/>
  <c r="I136" i="8" s="1"/>
  <c r="I160" i="8" s="1"/>
  <c r="I184" i="8" s="1"/>
  <c r="I208" i="8" s="1"/>
  <c r="I232" i="8" s="1"/>
  <c r="I256" i="8" s="1"/>
  <c r="I280" i="8" s="1"/>
  <c r="I304" i="8" s="1"/>
  <c r="I328" i="8" s="1"/>
  <c r="I352" i="8" s="1"/>
  <c r="I376" i="8" s="1"/>
  <c r="I400" i="8" s="1"/>
  <c r="I424" i="8" s="1"/>
  <c r="I448" i="8" s="1"/>
  <c r="I472" i="8" s="1"/>
  <c r="I496" i="8" s="1"/>
  <c r="I520" i="8" s="1"/>
  <c r="I544" i="8" s="1"/>
  <c r="I568" i="8" s="1"/>
  <c r="I592" i="8" s="1"/>
  <c r="I616" i="8" s="1"/>
  <c r="I41" i="8"/>
  <c r="I65" i="8" s="1"/>
  <c r="I89" i="8" s="1"/>
  <c r="I113" i="8" s="1"/>
  <c r="I137" i="8" s="1"/>
  <c r="I161" i="8" s="1"/>
  <c r="I185" i="8" s="1"/>
  <c r="I209" i="8" s="1"/>
  <c r="I233" i="8" s="1"/>
  <c r="I257" i="8" s="1"/>
  <c r="I281" i="8" s="1"/>
  <c r="I305" i="8" s="1"/>
  <c r="I329" i="8" s="1"/>
  <c r="I353" i="8" s="1"/>
  <c r="I377" i="8" s="1"/>
  <c r="I401" i="8" s="1"/>
  <c r="I425" i="8" s="1"/>
  <c r="I449" i="8" s="1"/>
  <c r="I473" i="8" s="1"/>
  <c r="I497" i="8" s="1"/>
  <c r="I521" i="8" s="1"/>
  <c r="I545" i="8" s="1"/>
  <c r="I569" i="8" s="1"/>
  <c r="I593" i="8" s="1"/>
  <c r="I617" i="8" s="1"/>
  <c r="I42" i="8"/>
  <c r="I66" i="8" s="1"/>
  <c r="I90" i="8" s="1"/>
  <c r="I114" i="8" s="1"/>
  <c r="I138" i="8" s="1"/>
  <c r="I162" i="8" s="1"/>
  <c r="I186" i="8" s="1"/>
  <c r="I210" i="8" s="1"/>
  <c r="I234" i="8" s="1"/>
  <c r="I258" i="8" s="1"/>
  <c r="I282" i="8" s="1"/>
  <c r="I306" i="8" s="1"/>
  <c r="I330" i="8" s="1"/>
  <c r="I354" i="8" s="1"/>
  <c r="I378" i="8" s="1"/>
  <c r="I402" i="8" s="1"/>
  <c r="I426" i="8" s="1"/>
  <c r="I450" i="8" s="1"/>
  <c r="I474" i="8" s="1"/>
  <c r="I498" i="8" s="1"/>
  <c r="I522" i="8" s="1"/>
  <c r="I546" i="8" s="1"/>
  <c r="I570" i="8" s="1"/>
  <c r="I594" i="8" s="1"/>
  <c r="I618" i="8" s="1"/>
  <c r="I43" i="8"/>
  <c r="I67" i="8" s="1"/>
  <c r="I91" i="8" s="1"/>
  <c r="I115" i="8" s="1"/>
  <c r="I139" i="8" s="1"/>
  <c r="I163" i="8" s="1"/>
  <c r="I187" i="8" s="1"/>
  <c r="I211" i="8" s="1"/>
  <c r="I235" i="8" s="1"/>
  <c r="I259" i="8" s="1"/>
  <c r="I283" i="8" s="1"/>
  <c r="I307" i="8" s="1"/>
  <c r="I331" i="8" s="1"/>
  <c r="I355" i="8" s="1"/>
  <c r="I379" i="8" s="1"/>
  <c r="I403" i="8" s="1"/>
  <c r="I427" i="8" s="1"/>
  <c r="I451" i="8" s="1"/>
  <c r="I475" i="8" s="1"/>
  <c r="I499" i="8" s="1"/>
  <c r="I523" i="8" s="1"/>
  <c r="I547" i="8" s="1"/>
  <c r="I571" i="8" s="1"/>
  <c r="I595" i="8" s="1"/>
  <c r="I619" i="8" s="1"/>
  <c r="I44" i="8"/>
  <c r="I68" i="8" s="1"/>
  <c r="I92" i="8" s="1"/>
  <c r="I116" i="8" s="1"/>
  <c r="I140" i="8" s="1"/>
  <c r="I164" i="8" s="1"/>
  <c r="I188" i="8" s="1"/>
  <c r="I212" i="8" s="1"/>
  <c r="I236" i="8" s="1"/>
  <c r="I260" i="8" s="1"/>
  <c r="I284" i="8" s="1"/>
  <c r="I308" i="8" s="1"/>
  <c r="I332" i="8" s="1"/>
  <c r="I356" i="8" s="1"/>
  <c r="I380" i="8" s="1"/>
  <c r="I404" i="8" s="1"/>
  <c r="I428" i="8" s="1"/>
  <c r="I452" i="8" s="1"/>
  <c r="I476" i="8" s="1"/>
  <c r="I500" i="8" s="1"/>
  <c r="I524" i="8" s="1"/>
  <c r="I548" i="8" s="1"/>
  <c r="I572" i="8" s="1"/>
  <c r="I596" i="8" s="1"/>
  <c r="I620" i="8" s="1"/>
  <c r="I45" i="8"/>
  <c r="I69" i="8" s="1"/>
  <c r="I93" i="8" s="1"/>
  <c r="I117" i="8" s="1"/>
  <c r="I141" i="8" s="1"/>
  <c r="I165" i="8" s="1"/>
  <c r="I189" i="8" s="1"/>
  <c r="I213" i="8" s="1"/>
  <c r="I237" i="8" s="1"/>
  <c r="I261" i="8" s="1"/>
  <c r="I285" i="8" s="1"/>
  <c r="I309" i="8" s="1"/>
  <c r="I333" i="8" s="1"/>
  <c r="I357" i="8" s="1"/>
  <c r="I381" i="8" s="1"/>
  <c r="I405" i="8" s="1"/>
  <c r="I429" i="8" s="1"/>
  <c r="I453" i="8" s="1"/>
  <c r="I477" i="8" s="1"/>
  <c r="I501" i="8" s="1"/>
  <c r="I525" i="8" s="1"/>
  <c r="I549" i="8" s="1"/>
  <c r="I573" i="8" s="1"/>
  <c r="I597" i="8" s="1"/>
  <c r="I621" i="8" s="1"/>
  <c r="I46" i="8"/>
  <c r="I70" i="8" s="1"/>
  <c r="I94" i="8" s="1"/>
  <c r="I118" i="8" s="1"/>
  <c r="I142" i="8" s="1"/>
  <c r="I166" i="8" s="1"/>
  <c r="I190" i="8" s="1"/>
  <c r="I214" i="8" s="1"/>
  <c r="I238" i="8" s="1"/>
  <c r="I262" i="8" s="1"/>
  <c r="I286" i="8" s="1"/>
  <c r="I310" i="8" s="1"/>
  <c r="I334" i="8" s="1"/>
  <c r="I358" i="8" s="1"/>
  <c r="I382" i="8" s="1"/>
  <c r="I406" i="8" s="1"/>
  <c r="I430" i="8" s="1"/>
  <c r="I454" i="8" s="1"/>
  <c r="I478" i="8" s="1"/>
  <c r="I502" i="8" s="1"/>
  <c r="I526" i="8" s="1"/>
  <c r="I550" i="8" s="1"/>
  <c r="I574" i="8" s="1"/>
  <c r="I598" i="8" s="1"/>
  <c r="I622" i="8" s="1"/>
  <c r="I47" i="8"/>
  <c r="I71" i="8" s="1"/>
  <c r="I95" i="8" s="1"/>
  <c r="I119" i="8" s="1"/>
  <c r="I143" i="8" s="1"/>
  <c r="I167" i="8" s="1"/>
  <c r="I191" i="8" s="1"/>
  <c r="I215" i="8" s="1"/>
  <c r="I239" i="8" s="1"/>
  <c r="I263" i="8" s="1"/>
  <c r="I287" i="8" s="1"/>
  <c r="I311" i="8" s="1"/>
  <c r="I335" i="8" s="1"/>
  <c r="I359" i="8" s="1"/>
  <c r="I383" i="8" s="1"/>
  <c r="I407" i="8" s="1"/>
  <c r="I431" i="8" s="1"/>
  <c r="I455" i="8" s="1"/>
  <c r="I479" i="8" s="1"/>
  <c r="I503" i="8" s="1"/>
  <c r="I527" i="8" s="1"/>
  <c r="I551" i="8" s="1"/>
  <c r="I575" i="8" s="1"/>
  <c r="I599" i="8" s="1"/>
  <c r="I623" i="8" s="1"/>
  <c r="I48" i="8"/>
  <c r="I72" i="8" s="1"/>
  <c r="I96" i="8" s="1"/>
  <c r="I120" i="8" s="1"/>
  <c r="I144" i="8" s="1"/>
  <c r="I168" i="8" s="1"/>
  <c r="I192" i="8" s="1"/>
  <c r="I216" i="8" s="1"/>
  <c r="I240" i="8" s="1"/>
  <c r="I264" i="8" s="1"/>
  <c r="I288" i="8" s="1"/>
  <c r="I312" i="8" s="1"/>
  <c r="I336" i="8" s="1"/>
  <c r="I360" i="8" s="1"/>
  <c r="I384" i="8" s="1"/>
  <c r="I408" i="8" s="1"/>
  <c r="I432" i="8" s="1"/>
  <c r="I456" i="8" s="1"/>
  <c r="I480" i="8" s="1"/>
  <c r="I504" i="8" s="1"/>
  <c r="I528" i="8" s="1"/>
  <c r="I552" i="8" s="1"/>
  <c r="I576" i="8" s="1"/>
  <c r="I600" i="8" s="1"/>
  <c r="I624" i="8" s="1"/>
  <c r="I49" i="8"/>
  <c r="I73" i="8" s="1"/>
  <c r="I97" i="8" s="1"/>
  <c r="I121" i="8" s="1"/>
  <c r="I145" i="8" s="1"/>
  <c r="I169" i="8" s="1"/>
  <c r="I193" i="8" s="1"/>
  <c r="I217" i="8" s="1"/>
  <c r="I241" i="8" s="1"/>
  <c r="I265" i="8" s="1"/>
  <c r="I289" i="8" s="1"/>
  <c r="I313" i="8" s="1"/>
  <c r="I337" i="8" s="1"/>
  <c r="I361" i="8" s="1"/>
  <c r="I385" i="8" s="1"/>
  <c r="I409" i="8" s="1"/>
  <c r="I433" i="8" s="1"/>
  <c r="I457" i="8" s="1"/>
  <c r="I481" i="8" s="1"/>
  <c r="I505" i="8" s="1"/>
  <c r="I529" i="8" s="1"/>
  <c r="I553" i="8" s="1"/>
  <c r="I577" i="8" s="1"/>
  <c r="I601" i="8" s="1"/>
  <c r="I625" i="8" s="1"/>
  <c r="I50" i="8"/>
  <c r="I74" i="8" s="1"/>
  <c r="I98" i="8" s="1"/>
  <c r="I122" i="8" s="1"/>
  <c r="I146" i="8" s="1"/>
  <c r="I170" i="8" s="1"/>
  <c r="I194" i="8" s="1"/>
  <c r="I218" i="8" s="1"/>
  <c r="I242" i="8" s="1"/>
  <c r="I266" i="8" s="1"/>
  <c r="I290" i="8" s="1"/>
  <c r="I314" i="8" s="1"/>
  <c r="I338" i="8" s="1"/>
  <c r="I362" i="8" s="1"/>
  <c r="I386" i="8" s="1"/>
  <c r="I410" i="8" s="1"/>
  <c r="I434" i="8" s="1"/>
  <c r="I458" i="8" s="1"/>
  <c r="I482" i="8" s="1"/>
  <c r="I506" i="8" s="1"/>
  <c r="I530" i="8" s="1"/>
  <c r="I554" i="8" s="1"/>
  <c r="I578" i="8" s="1"/>
  <c r="I602" i="8" s="1"/>
  <c r="I626" i="8" s="1"/>
  <c r="I54" i="8"/>
  <c r="I78" i="8" s="1"/>
  <c r="I102" i="8" s="1"/>
  <c r="I126" i="8" s="1"/>
  <c r="I150" i="8" s="1"/>
  <c r="I174" i="8" s="1"/>
  <c r="I198" i="8" s="1"/>
  <c r="I222" i="8" s="1"/>
  <c r="I246" i="8" s="1"/>
  <c r="I270" i="8" s="1"/>
  <c r="I294" i="8" s="1"/>
  <c r="I318" i="8" s="1"/>
  <c r="I342" i="8" s="1"/>
  <c r="I366" i="8" s="1"/>
  <c r="I390" i="8" s="1"/>
  <c r="I414" i="8" s="1"/>
  <c r="I438" i="8" s="1"/>
  <c r="I462" i="8" s="1"/>
  <c r="I486" i="8" s="1"/>
  <c r="I510" i="8" s="1"/>
  <c r="I534" i="8" s="1"/>
  <c r="I558" i="8" s="1"/>
  <c r="I582" i="8" s="1"/>
  <c r="I606" i="8" s="1"/>
  <c r="I27" i="8"/>
  <c r="I51" i="8" s="1"/>
  <c r="I75" i="8" s="1"/>
  <c r="I99" i="8" s="1"/>
  <c r="I123" i="8" s="1"/>
  <c r="I147" i="8" s="1"/>
  <c r="I171" i="8" s="1"/>
  <c r="I195" i="8" s="1"/>
  <c r="I219" i="8" s="1"/>
  <c r="I243" i="8" s="1"/>
  <c r="I267" i="8" s="1"/>
  <c r="I291" i="8" s="1"/>
  <c r="I315" i="8" s="1"/>
  <c r="I339" i="8" s="1"/>
  <c r="I363" i="8" s="1"/>
  <c r="I387" i="8" s="1"/>
  <c r="I411" i="8" s="1"/>
  <c r="I435" i="8" s="1"/>
  <c r="I459" i="8" s="1"/>
  <c r="I483" i="8" s="1"/>
  <c r="I507" i="8" s="1"/>
  <c r="I531" i="8" s="1"/>
  <c r="I555" i="8" s="1"/>
  <c r="I579" i="8" s="1"/>
  <c r="I603" i="8" s="1"/>
  <c r="G28" i="8"/>
  <c r="G52" i="8" s="1"/>
  <c r="G76" i="8" s="1"/>
  <c r="G100" i="8" s="1"/>
  <c r="G124" i="8" s="1"/>
  <c r="G148" i="8" s="1"/>
  <c r="G172" i="8" s="1"/>
  <c r="G196" i="8" s="1"/>
  <c r="G220" i="8" s="1"/>
  <c r="G244" i="8" s="1"/>
  <c r="G268" i="8" s="1"/>
  <c r="G292" i="8" s="1"/>
  <c r="G316" i="8" s="1"/>
  <c r="G340" i="8" s="1"/>
  <c r="G364" i="8" s="1"/>
  <c r="G388" i="8" s="1"/>
  <c r="G412" i="8" s="1"/>
  <c r="G29" i="8"/>
  <c r="G53" i="8" s="1"/>
  <c r="G77" i="8" s="1"/>
  <c r="G101" i="8" s="1"/>
  <c r="G125" i="8" s="1"/>
  <c r="G149" i="8" s="1"/>
  <c r="G173" i="8" s="1"/>
  <c r="G197" i="8" s="1"/>
  <c r="G221" i="8" s="1"/>
  <c r="G245" i="8" s="1"/>
  <c r="G269" i="8" s="1"/>
  <c r="G293" i="8" s="1"/>
  <c r="G317" i="8" s="1"/>
  <c r="G341" i="8" s="1"/>
  <c r="G365" i="8" s="1"/>
  <c r="G389" i="8" s="1"/>
  <c r="G413" i="8" s="1"/>
  <c r="G437" i="8" s="1"/>
  <c r="G461" i="8" s="1"/>
  <c r="G485" i="8" s="1"/>
  <c r="G509" i="8" s="1"/>
  <c r="G533" i="8" s="1"/>
  <c r="G557" i="8" s="1"/>
  <c r="G581" i="8" s="1"/>
  <c r="G605" i="8" s="1"/>
  <c r="G30" i="8"/>
  <c r="G54" i="8" s="1"/>
  <c r="G78" i="8" s="1"/>
  <c r="G102" i="8" s="1"/>
  <c r="G126" i="8" s="1"/>
  <c r="G150" i="8" s="1"/>
  <c r="G174" i="8" s="1"/>
  <c r="G198" i="8" s="1"/>
  <c r="G222" i="8" s="1"/>
  <c r="G246" i="8" s="1"/>
  <c r="G270" i="8" s="1"/>
  <c r="G294" i="8" s="1"/>
  <c r="G318" i="8" s="1"/>
  <c r="G342" i="8" s="1"/>
  <c r="G366" i="8" s="1"/>
  <c r="G390" i="8" s="1"/>
  <c r="G414" i="8" s="1"/>
  <c r="G438" i="8" s="1"/>
  <c r="G462" i="8" s="1"/>
  <c r="G486" i="8" s="1"/>
  <c r="G510" i="8" s="1"/>
  <c r="G534" i="8" s="1"/>
  <c r="G558" i="8" s="1"/>
  <c r="G582" i="8" s="1"/>
  <c r="G606" i="8" s="1"/>
  <c r="G31" i="8"/>
  <c r="G55" i="8" s="1"/>
  <c r="G79" i="8" s="1"/>
  <c r="G103" i="8" s="1"/>
  <c r="G127" i="8" s="1"/>
  <c r="G151" i="8" s="1"/>
  <c r="G175" i="8" s="1"/>
  <c r="G199" i="8" s="1"/>
  <c r="G223" i="8" s="1"/>
  <c r="G247" i="8" s="1"/>
  <c r="G271" i="8" s="1"/>
  <c r="G295" i="8" s="1"/>
  <c r="G319" i="8" s="1"/>
  <c r="G343" i="8" s="1"/>
  <c r="G367" i="8" s="1"/>
  <c r="G391" i="8" s="1"/>
  <c r="G415" i="8" s="1"/>
  <c r="G439" i="8" s="1"/>
  <c r="G463" i="8" s="1"/>
  <c r="G487" i="8" s="1"/>
  <c r="G511" i="8" s="1"/>
  <c r="G535" i="8" s="1"/>
  <c r="G559" i="8" s="1"/>
  <c r="G583" i="8" s="1"/>
  <c r="G607" i="8" s="1"/>
  <c r="G32" i="8"/>
  <c r="G56" i="8" s="1"/>
  <c r="G80" i="8" s="1"/>
  <c r="G104" i="8" s="1"/>
  <c r="G128" i="8" s="1"/>
  <c r="G152" i="8" s="1"/>
  <c r="G176" i="8" s="1"/>
  <c r="G200" i="8" s="1"/>
  <c r="G224" i="8" s="1"/>
  <c r="G248" i="8" s="1"/>
  <c r="G272" i="8" s="1"/>
  <c r="G296" i="8" s="1"/>
  <c r="G320" i="8" s="1"/>
  <c r="G344" i="8" s="1"/>
  <c r="G368" i="8" s="1"/>
  <c r="G392" i="8" s="1"/>
  <c r="G416" i="8" s="1"/>
  <c r="G440" i="8" s="1"/>
  <c r="G464" i="8" s="1"/>
  <c r="G488" i="8" s="1"/>
  <c r="G512" i="8" s="1"/>
  <c r="G536" i="8" s="1"/>
  <c r="G560" i="8" s="1"/>
  <c r="G584" i="8" s="1"/>
  <c r="G608" i="8" s="1"/>
  <c r="G33" i="8"/>
  <c r="G57" i="8" s="1"/>
  <c r="G81" i="8" s="1"/>
  <c r="G105" i="8" s="1"/>
  <c r="G129" i="8" s="1"/>
  <c r="G153" i="8" s="1"/>
  <c r="G177" i="8" s="1"/>
  <c r="G201" i="8" s="1"/>
  <c r="G225" i="8" s="1"/>
  <c r="G249" i="8" s="1"/>
  <c r="G273" i="8" s="1"/>
  <c r="G297" i="8" s="1"/>
  <c r="G321" i="8" s="1"/>
  <c r="G345" i="8" s="1"/>
  <c r="G369" i="8" s="1"/>
  <c r="G393" i="8" s="1"/>
  <c r="G417" i="8" s="1"/>
  <c r="G441" i="8" s="1"/>
  <c r="G465" i="8" s="1"/>
  <c r="G489" i="8" s="1"/>
  <c r="G513" i="8" s="1"/>
  <c r="G537" i="8" s="1"/>
  <c r="G561" i="8" s="1"/>
  <c r="G585" i="8" s="1"/>
  <c r="G609" i="8" s="1"/>
  <c r="G34" i="8"/>
  <c r="G58" i="8" s="1"/>
  <c r="G82" i="8" s="1"/>
  <c r="G106" i="8" s="1"/>
  <c r="G130" i="8" s="1"/>
  <c r="G154" i="8" s="1"/>
  <c r="G178" i="8" s="1"/>
  <c r="G202" i="8" s="1"/>
  <c r="G226" i="8" s="1"/>
  <c r="G250" i="8" s="1"/>
  <c r="G274" i="8" s="1"/>
  <c r="G298" i="8" s="1"/>
  <c r="G322" i="8" s="1"/>
  <c r="G346" i="8" s="1"/>
  <c r="G370" i="8" s="1"/>
  <c r="G394" i="8" s="1"/>
  <c r="G418" i="8" s="1"/>
  <c r="G442" i="8" s="1"/>
  <c r="G466" i="8" s="1"/>
  <c r="G490" i="8" s="1"/>
  <c r="G514" i="8" s="1"/>
  <c r="G538" i="8" s="1"/>
  <c r="G562" i="8" s="1"/>
  <c r="G586" i="8" s="1"/>
  <c r="G610" i="8" s="1"/>
  <c r="G35" i="8"/>
  <c r="G59" i="8" s="1"/>
  <c r="G83" i="8" s="1"/>
  <c r="G107" i="8" s="1"/>
  <c r="G131" i="8" s="1"/>
  <c r="G155" i="8" s="1"/>
  <c r="G179" i="8" s="1"/>
  <c r="G203" i="8" s="1"/>
  <c r="G227" i="8" s="1"/>
  <c r="G251" i="8" s="1"/>
  <c r="G275" i="8" s="1"/>
  <c r="G299" i="8" s="1"/>
  <c r="G323" i="8" s="1"/>
  <c r="G347" i="8" s="1"/>
  <c r="G371" i="8" s="1"/>
  <c r="G395" i="8" s="1"/>
  <c r="G419" i="8" s="1"/>
  <c r="G443" i="8" s="1"/>
  <c r="G467" i="8" s="1"/>
  <c r="G491" i="8" s="1"/>
  <c r="G515" i="8" s="1"/>
  <c r="G539" i="8" s="1"/>
  <c r="G563" i="8" s="1"/>
  <c r="G587" i="8" s="1"/>
  <c r="G611" i="8" s="1"/>
  <c r="G36" i="8"/>
  <c r="G60" i="8" s="1"/>
  <c r="G84" i="8" s="1"/>
  <c r="G108" i="8" s="1"/>
  <c r="G132" i="8" s="1"/>
  <c r="G156" i="8" s="1"/>
  <c r="G180" i="8" s="1"/>
  <c r="G204" i="8" s="1"/>
  <c r="G228" i="8" s="1"/>
  <c r="G252" i="8" s="1"/>
  <c r="G276" i="8" s="1"/>
  <c r="G300" i="8" s="1"/>
  <c r="G324" i="8" s="1"/>
  <c r="G348" i="8" s="1"/>
  <c r="G372" i="8" s="1"/>
  <c r="G396" i="8" s="1"/>
  <c r="G420" i="8" s="1"/>
  <c r="G444" i="8" s="1"/>
  <c r="G468" i="8" s="1"/>
  <c r="G492" i="8" s="1"/>
  <c r="G516" i="8" s="1"/>
  <c r="G540" i="8" s="1"/>
  <c r="G564" i="8" s="1"/>
  <c r="G588" i="8" s="1"/>
  <c r="G612" i="8" s="1"/>
  <c r="G37" i="8"/>
  <c r="G61" i="8" s="1"/>
  <c r="G85" i="8" s="1"/>
  <c r="G109" i="8" s="1"/>
  <c r="G133" i="8" s="1"/>
  <c r="G157" i="8" s="1"/>
  <c r="G181" i="8" s="1"/>
  <c r="G205" i="8" s="1"/>
  <c r="G229" i="8" s="1"/>
  <c r="G253" i="8" s="1"/>
  <c r="G277" i="8" s="1"/>
  <c r="G301" i="8" s="1"/>
  <c r="G325" i="8" s="1"/>
  <c r="G349" i="8" s="1"/>
  <c r="G373" i="8" s="1"/>
  <c r="G397" i="8" s="1"/>
  <c r="G421" i="8" s="1"/>
  <c r="G445" i="8" s="1"/>
  <c r="G469" i="8" s="1"/>
  <c r="G493" i="8" s="1"/>
  <c r="G517" i="8" s="1"/>
  <c r="G541" i="8" s="1"/>
  <c r="G565" i="8" s="1"/>
  <c r="G589" i="8" s="1"/>
  <c r="G613" i="8" s="1"/>
  <c r="G38" i="8"/>
  <c r="G62" i="8" s="1"/>
  <c r="G86" i="8" s="1"/>
  <c r="G110" i="8" s="1"/>
  <c r="G134" i="8" s="1"/>
  <c r="G158" i="8" s="1"/>
  <c r="G182" i="8" s="1"/>
  <c r="G206" i="8" s="1"/>
  <c r="G230" i="8" s="1"/>
  <c r="G254" i="8" s="1"/>
  <c r="G278" i="8" s="1"/>
  <c r="G302" i="8" s="1"/>
  <c r="G326" i="8" s="1"/>
  <c r="G350" i="8" s="1"/>
  <c r="G374" i="8" s="1"/>
  <c r="G398" i="8" s="1"/>
  <c r="G422" i="8" s="1"/>
  <c r="G446" i="8" s="1"/>
  <c r="G470" i="8" s="1"/>
  <c r="G494" i="8" s="1"/>
  <c r="G518" i="8" s="1"/>
  <c r="G542" i="8" s="1"/>
  <c r="G566" i="8" s="1"/>
  <c r="G590" i="8" s="1"/>
  <c r="G614" i="8" s="1"/>
  <c r="G39" i="8"/>
  <c r="G63" i="8" s="1"/>
  <c r="G87" i="8" s="1"/>
  <c r="G111" i="8" s="1"/>
  <c r="G135" i="8" s="1"/>
  <c r="G159" i="8" s="1"/>
  <c r="G183" i="8" s="1"/>
  <c r="G207" i="8" s="1"/>
  <c r="G231" i="8" s="1"/>
  <c r="G255" i="8" s="1"/>
  <c r="G279" i="8" s="1"/>
  <c r="G303" i="8" s="1"/>
  <c r="G327" i="8" s="1"/>
  <c r="G351" i="8" s="1"/>
  <c r="G375" i="8" s="1"/>
  <c r="G399" i="8" s="1"/>
  <c r="G423" i="8" s="1"/>
  <c r="G447" i="8" s="1"/>
  <c r="G471" i="8" s="1"/>
  <c r="G495" i="8" s="1"/>
  <c r="G519" i="8" s="1"/>
  <c r="G543" i="8" s="1"/>
  <c r="G567" i="8" s="1"/>
  <c r="G591" i="8" s="1"/>
  <c r="G615" i="8" s="1"/>
  <c r="G40" i="8"/>
  <c r="G64" i="8" s="1"/>
  <c r="G88" i="8" s="1"/>
  <c r="G112" i="8" s="1"/>
  <c r="G136" i="8" s="1"/>
  <c r="G160" i="8" s="1"/>
  <c r="G184" i="8" s="1"/>
  <c r="G208" i="8" s="1"/>
  <c r="G232" i="8" s="1"/>
  <c r="G256" i="8" s="1"/>
  <c r="G280" i="8" s="1"/>
  <c r="G304" i="8" s="1"/>
  <c r="G328" i="8" s="1"/>
  <c r="G352" i="8" s="1"/>
  <c r="G376" i="8" s="1"/>
  <c r="G400" i="8" s="1"/>
  <c r="G424" i="8" s="1"/>
  <c r="G448" i="8" s="1"/>
  <c r="G472" i="8" s="1"/>
  <c r="G496" i="8" s="1"/>
  <c r="G520" i="8" s="1"/>
  <c r="G544" i="8" s="1"/>
  <c r="G568" i="8" s="1"/>
  <c r="G592" i="8" s="1"/>
  <c r="G616" i="8" s="1"/>
  <c r="G41" i="8"/>
  <c r="G65" i="8" s="1"/>
  <c r="G89" i="8" s="1"/>
  <c r="G113" i="8" s="1"/>
  <c r="G137" i="8" s="1"/>
  <c r="G161" i="8" s="1"/>
  <c r="G185" i="8" s="1"/>
  <c r="G209" i="8" s="1"/>
  <c r="G233" i="8" s="1"/>
  <c r="G257" i="8" s="1"/>
  <c r="G281" i="8" s="1"/>
  <c r="G305" i="8" s="1"/>
  <c r="G329" i="8" s="1"/>
  <c r="G353" i="8" s="1"/>
  <c r="G377" i="8" s="1"/>
  <c r="G401" i="8" s="1"/>
  <c r="G425" i="8" s="1"/>
  <c r="G449" i="8" s="1"/>
  <c r="G473" i="8" s="1"/>
  <c r="G497" i="8" s="1"/>
  <c r="G521" i="8" s="1"/>
  <c r="G545" i="8" s="1"/>
  <c r="G569" i="8" s="1"/>
  <c r="G593" i="8" s="1"/>
  <c r="G617" i="8" s="1"/>
  <c r="G42" i="8"/>
  <c r="G66" i="8" s="1"/>
  <c r="G90" i="8" s="1"/>
  <c r="G114" i="8" s="1"/>
  <c r="G138" i="8" s="1"/>
  <c r="G162" i="8" s="1"/>
  <c r="G186" i="8" s="1"/>
  <c r="G210" i="8" s="1"/>
  <c r="G234" i="8" s="1"/>
  <c r="G258" i="8" s="1"/>
  <c r="G282" i="8" s="1"/>
  <c r="G306" i="8" s="1"/>
  <c r="G330" i="8" s="1"/>
  <c r="G354" i="8" s="1"/>
  <c r="G378" i="8" s="1"/>
  <c r="G402" i="8" s="1"/>
  <c r="G426" i="8" s="1"/>
  <c r="G450" i="8" s="1"/>
  <c r="G474" i="8" s="1"/>
  <c r="G498" i="8" s="1"/>
  <c r="G522" i="8" s="1"/>
  <c r="G546" i="8" s="1"/>
  <c r="G570" i="8" s="1"/>
  <c r="G594" i="8" s="1"/>
  <c r="G618" i="8" s="1"/>
  <c r="G43" i="8"/>
  <c r="G67" i="8" s="1"/>
  <c r="G91" i="8" s="1"/>
  <c r="G115" i="8" s="1"/>
  <c r="G139" i="8" s="1"/>
  <c r="G163" i="8" s="1"/>
  <c r="G187" i="8" s="1"/>
  <c r="G211" i="8" s="1"/>
  <c r="G235" i="8" s="1"/>
  <c r="G259" i="8" s="1"/>
  <c r="G283" i="8" s="1"/>
  <c r="G307" i="8" s="1"/>
  <c r="G331" i="8" s="1"/>
  <c r="G355" i="8" s="1"/>
  <c r="G379" i="8" s="1"/>
  <c r="G403" i="8" s="1"/>
  <c r="G427" i="8" s="1"/>
  <c r="G451" i="8" s="1"/>
  <c r="G475" i="8" s="1"/>
  <c r="G499" i="8" s="1"/>
  <c r="G523" i="8" s="1"/>
  <c r="G547" i="8" s="1"/>
  <c r="G571" i="8" s="1"/>
  <c r="G595" i="8" s="1"/>
  <c r="G619" i="8" s="1"/>
  <c r="G44" i="8"/>
  <c r="G68" i="8" s="1"/>
  <c r="G92" i="8" s="1"/>
  <c r="G116" i="8" s="1"/>
  <c r="G140" i="8" s="1"/>
  <c r="G164" i="8" s="1"/>
  <c r="G188" i="8" s="1"/>
  <c r="G212" i="8" s="1"/>
  <c r="G236" i="8" s="1"/>
  <c r="G260" i="8" s="1"/>
  <c r="G284" i="8" s="1"/>
  <c r="G308" i="8" s="1"/>
  <c r="G332" i="8" s="1"/>
  <c r="G356" i="8" s="1"/>
  <c r="G380" i="8" s="1"/>
  <c r="G404" i="8" s="1"/>
  <c r="G428" i="8" s="1"/>
  <c r="G452" i="8" s="1"/>
  <c r="G476" i="8" s="1"/>
  <c r="G500" i="8" s="1"/>
  <c r="G524" i="8" s="1"/>
  <c r="G548" i="8" s="1"/>
  <c r="G572" i="8" s="1"/>
  <c r="G596" i="8" s="1"/>
  <c r="G620" i="8" s="1"/>
  <c r="G45" i="8"/>
  <c r="G69" i="8" s="1"/>
  <c r="G93" i="8" s="1"/>
  <c r="G117" i="8" s="1"/>
  <c r="G141" i="8" s="1"/>
  <c r="G165" i="8" s="1"/>
  <c r="G189" i="8" s="1"/>
  <c r="G213" i="8" s="1"/>
  <c r="G237" i="8" s="1"/>
  <c r="G261" i="8" s="1"/>
  <c r="G285" i="8" s="1"/>
  <c r="G309" i="8" s="1"/>
  <c r="G333" i="8" s="1"/>
  <c r="G357" i="8" s="1"/>
  <c r="G381" i="8" s="1"/>
  <c r="G405" i="8" s="1"/>
  <c r="G429" i="8" s="1"/>
  <c r="G453" i="8" s="1"/>
  <c r="G477" i="8" s="1"/>
  <c r="G501" i="8" s="1"/>
  <c r="G525" i="8" s="1"/>
  <c r="G549" i="8" s="1"/>
  <c r="G573" i="8" s="1"/>
  <c r="G597" i="8" s="1"/>
  <c r="G621" i="8" s="1"/>
  <c r="G46" i="8"/>
  <c r="G70" i="8" s="1"/>
  <c r="G94" i="8" s="1"/>
  <c r="G118" i="8" s="1"/>
  <c r="G142" i="8" s="1"/>
  <c r="G166" i="8" s="1"/>
  <c r="G190" i="8" s="1"/>
  <c r="G214" i="8" s="1"/>
  <c r="G238" i="8" s="1"/>
  <c r="G262" i="8" s="1"/>
  <c r="G286" i="8" s="1"/>
  <c r="G310" i="8" s="1"/>
  <c r="G334" i="8" s="1"/>
  <c r="G358" i="8" s="1"/>
  <c r="G382" i="8" s="1"/>
  <c r="G406" i="8" s="1"/>
  <c r="G430" i="8" s="1"/>
  <c r="G454" i="8" s="1"/>
  <c r="G478" i="8" s="1"/>
  <c r="G502" i="8" s="1"/>
  <c r="G526" i="8" s="1"/>
  <c r="G550" i="8" s="1"/>
  <c r="G574" i="8" s="1"/>
  <c r="G598" i="8" s="1"/>
  <c r="G622" i="8" s="1"/>
  <c r="G47" i="8"/>
  <c r="G71" i="8" s="1"/>
  <c r="G95" i="8" s="1"/>
  <c r="G119" i="8" s="1"/>
  <c r="G143" i="8" s="1"/>
  <c r="G167" i="8" s="1"/>
  <c r="G191" i="8" s="1"/>
  <c r="G215" i="8" s="1"/>
  <c r="G239" i="8" s="1"/>
  <c r="G263" i="8" s="1"/>
  <c r="G287" i="8" s="1"/>
  <c r="G311" i="8" s="1"/>
  <c r="G335" i="8" s="1"/>
  <c r="G359" i="8" s="1"/>
  <c r="G383" i="8" s="1"/>
  <c r="G407" i="8" s="1"/>
  <c r="G431" i="8" s="1"/>
  <c r="G455" i="8" s="1"/>
  <c r="G479" i="8" s="1"/>
  <c r="G503" i="8" s="1"/>
  <c r="G527" i="8" s="1"/>
  <c r="G551" i="8" s="1"/>
  <c r="G575" i="8" s="1"/>
  <c r="G599" i="8" s="1"/>
  <c r="G623" i="8" s="1"/>
  <c r="G48" i="8"/>
  <c r="G72" i="8" s="1"/>
  <c r="G96" i="8" s="1"/>
  <c r="G120" i="8" s="1"/>
  <c r="G144" i="8" s="1"/>
  <c r="G168" i="8" s="1"/>
  <c r="G192" i="8" s="1"/>
  <c r="G216" i="8" s="1"/>
  <c r="G240" i="8" s="1"/>
  <c r="G264" i="8" s="1"/>
  <c r="G288" i="8" s="1"/>
  <c r="G312" i="8" s="1"/>
  <c r="G336" i="8" s="1"/>
  <c r="G360" i="8" s="1"/>
  <c r="G384" i="8" s="1"/>
  <c r="G408" i="8" s="1"/>
  <c r="G432" i="8" s="1"/>
  <c r="G456" i="8" s="1"/>
  <c r="G480" i="8" s="1"/>
  <c r="G504" i="8" s="1"/>
  <c r="G528" i="8" s="1"/>
  <c r="G552" i="8" s="1"/>
  <c r="G576" i="8" s="1"/>
  <c r="G600" i="8" s="1"/>
  <c r="G624" i="8" s="1"/>
  <c r="G49" i="8"/>
  <c r="G73" i="8" s="1"/>
  <c r="G97" i="8" s="1"/>
  <c r="G121" i="8" s="1"/>
  <c r="G145" i="8" s="1"/>
  <c r="G169" i="8" s="1"/>
  <c r="G193" i="8" s="1"/>
  <c r="G217" i="8" s="1"/>
  <c r="G241" i="8" s="1"/>
  <c r="G265" i="8" s="1"/>
  <c r="G289" i="8" s="1"/>
  <c r="G313" i="8" s="1"/>
  <c r="G337" i="8" s="1"/>
  <c r="G361" i="8" s="1"/>
  <c r="G385" i="8" s="1"/>
  <c r="G409" i="8" s="1"/>
  <c r="G433" i="8" s="1"/>
  <c r="G457" i="8" s="1"/>
  <c r="G481" i="8" s="1"/>
  <c r="G505" i="8" s="1"/>
  <c r="G529" i="8" s="1"/>
  <c r="G553" i="8" s="1"/>
  <c r="G577" i="8" s="1"/>
  <c r="G601" i="8" s="1"/>
  <c r="G625" i="8" s="1"/>
  <c r="G50" i="8"/>
  <c r="G74" i="8" s="1"/>
  <c r="G98" i="8" s="1"/>
  <c r="G122" i="8" s="1"/>
  <c r="G146" i="8" s="1"/>
  <c r="G170" i="8" s="1"/>
  <c r="G194" i="8" s="1"/>
  <c r="G218" i="8" s="1"/>
  <c r="G242" i="8" s="1"/>
  <c r="G266" i="8" s="1"/>
  <c r="G290" i="8" s="1"/>
  <c r="G314" i="8" s="1"/>
  <c r="G338" i="8" s="1"/>
  <c r="G362" i="8" s="1"/>
  <c r="G386" i="8" s="1"/>
  <c r="G410" i="8" s="1"/>
  <c r="G434" i="8" s="1"/>
  <c r="G458" i="8" s="1"/>
  <c r="G482" i="8" s="1"/>
  <c r="G506" i="8" s="1"/>
  <c r="G530" i="8" s="1"/>
  <c r="G554" i="8" s="1"/>
  <c r="G578" i="8" s="1"/>
  <c r="G602" i="8" s="1"/>
  <c r="G626" i="8" s="1"/>
  <c r="G27" i="8"/>
  <c r="G51" i="8" s="1"/>
  <c r="G75" i="8" s="1"/>
  <c r="G99" i="8" s="1"/>
  <c r="G123" i="8" s="1"/>
  <c r="G147" i="8" s="1"/>
  <c r="G171" i="8" s="1"/>
  <c r="G195" i="8" s="1"/>
  <c r="G219" i="8" s="1"/>
  <c r="G243" i="8" s="1"/>
  <c r="G267" i="8" s="1"/>
  <c r="G291" i="8" s="1"/>
  <c r="G315" i="8" s="1"/>
  <c r="G339" i="8" s="1"/>
  <c r="G363" i="8" s="1"/>
  <c r="G387" i="8" s="1"/>
  <c r="G411" i="8" s="1"/>
  <c r="G435" i="8" s="1"/>
  <c r="G459" i="8" s="1"/>
  <c r="G483" i="8" s="1"/>
  <c r="G507" i="8" s="1"/>
  <c r="G531" i="8" s="1"/>
  <c r="G555" i="8" s="1"/>
  <c r="G579" i="8" s="1"/>
  <c r="G603" i="8" s="1"/>
  <c r="B27" i="8"/>
  <c r="B28" i="8"/>
  <c r="B52" i="8" s="1"/>
  <c r="B76" i="8" s="1"/>
  <c r="B100" i="8" s="1"/>
  <c r="B124" i="8" s="1"/>
  <c r="B148" i="8" s="1"/>
  <c r="B172" i="8" s="1"/>
  <c r="B196" i="8" s="1"/>
  <c r="B220" i="8" s="1"/>
  <c r="B244" i="8" s="1"/>
  <c r="B268" i="8" s="1"/>
  <c r="B292" i="8" s="1"/>
  <c r="B316" i="8" s="1"/>
  <c r="B340" i="8" s="1"/>
  <c r="B364" i="8" s="1"/>
  <c r="B388" i="8" s="1"/>
  <c r="B412" i="8" s="1"/>
  <c r="B436" i="8" s="1"/>
  <c r="B460" i="8" s="1"/>
  <c r="B484" i="8" s="1"/>
  <c r="B508" i="8" s="1"/>
  <c r="B532" i="8" s="1"/>
  <c r="B556" i="8" s="1"/>
  <c r="B580" i="8" s="1"/>
  <c r="B604" i="8" s="1"/>
  <c r="B29" i="8"/>
  <c r="B53" i="8" s="1"/>
  <c r="B77" i="8" s="1"/>
  <c r="B101" i="8" s="1"/>
  <c r="B125" i="8" s="1"/>
  <c r="B149" i="8" s="1"/>
  <c r="B173" i="8" s="1"/>
  <c r="B197" i="8" s="1"/>
  <c r="B221" i="8" s="1"/>
  <c r="B245" i="8" s="1"/>
  <c r="B269" i="8" s="1"/>
  <c r="B293" i="8" s="1"/>
  <c r="B317" i="8" s="1"/>
  <c r="B341" i="8" s="1"/>
  <c r="B365" i="8" s="1"/>
  <c r="B389" i="8" s="1"/>
  <c r="B413" i="8" s="1"/>
  <c r="B437" i="8" s="1"/>
  <c r="B461" i="8" s="1"/>
  <c r="B485" i="8" s="1"/>
  <c r="B509" i="8" s="1"/>
  <c r="B533" i="8" s="1"/>
  <c r="B557" i="8" s="1"/>
  <c r="B581" i="8" s="1"/>
  <c r="B605" i="8" s="1"/>
  <c r="B30" i="8"/>
  <c r="B54" i="8" s="1"/>
  <c r="B78" i="8" s="1"/>
  <c r="B102" i="8" s="1"/>
  <c r="B126" i="8" s="1"/>
  <c r="B150" i="8" s="1"/>
  <c r="B174" i="8" s="1"/>
  <c r="B198" i="8" s="1"/>
  <c r="B222" i="8" s="1"/>
  <c r="B246" i="8" s="1"/>
  <c r="B270" i="8" s="1"/>
  <c r="B294" i="8" s="1"/>
  <c r="B318" i="8" s="1"/>
  <c r="B342" i="8" s="1"/>
  <c r="B366" i="8" s="1"/>
  <c r="B390" i="8" s="1"/>
  <c r="B414" i="8" s="1"/>
  <c r="B438" i="8" s="1"/>
  <c r="B462" i="8" s="1"/>
  <c r="B486" i="8" s="1"/>
  <c r="B510" i="8" s="1"/>
  <c r="B534" i="8" s="1"/>
  <c r="B558" i="8" s="1"/>
  <c r="B582" i="8" s="1"/>
  <c r="B606" i="8" s="1"/>
  <c r="B31" i="8"/>
  <c r="B32" i="8"/>
  <c r="B33" i="8"/>
  <c r="B57" i="8" s="1"/>
  <c r="B81" i="8" s="1"/>
  <c r="B105" i="8" s="1"/>
  <c r="B129" i="8" s="1"/>
  <c r="B153" i="8" s="1"/>
  <c r="B177" i="8" s="1"/>
  <c r="B201" i="8" s="1"/>
  <c r="B225" i="8" s="1"/>
  <c r="B249" i="8" s="1"/>
  <c r="B273" i="8" s="1"/>
  <c r="B297" i="8" s="1"/>
  <c r="B321" i="8" s="1"/>
  <c r="B345" i="8" s="1"/>
  <c r="B369" i="8" s="1"/>
  <c r="B393" i="8" s="1"/>
  <c r="B417" i="8" s="1"/>
  <c r="B441" i="8" s="1"/>
  <c r="B465" i="8" s="1"/>
  <c r="B489" i="8" s="1"/>
  <c r="B513" i="8" s="1"/>
  <c r="B537" i="8" s="1"/>
  <c r="B561" i="8" s="1"/>
  <c r="B585" i="8" s="1"/>
  <c r="B609" i="8" s="1"/>
  <c r="B34" i="8"/>
  <c r="B58" i="8" s="1"/>
  <c r="B82" i="8" s="1"/>
  <c r="B106" i="8" s="1"/>
  <c r="B130" i="8" s="1"/>
  <c r="B154" i="8" s="1"/>
  <c r="B178" i="8" s="1"/>
  <c r="B202" i="8" s="1"/>
  <c r="B226" i="8" s="1"/>
  <c r="B250" i="8" s="1"/>
  <c r="B274" i="8" s="1"/>
  <c r="B298" i="8" s="1"/>
  <c r="B322" i="8" s="1"/>
  <c r="B346" i="8" s="1"/>
  <c r="B370" i="8" s="1"/>
  <c r="B394" i="8" s="1"/>
  <c r="B418" i="8" s="1"/>
  <c r="B442" i="8" s="1"/>
  <c r="B466" i="8" s="1"/>
  <c r="B490" i="8" s="1"/>
  <c r="B514" i="8" s="1"/>
  <c r="B538" i="8" s="1"/>
  <c r="B562" i="8" s="1"/>
  <c r="B586" i="8" s="1"/>
  <c r="B610" i="8" s="1"/>
  <c r="B35" i="8"/>
  <c r="B59" i="8" s="1"/>
  <c r="B83" i="8" s="1"/>
  <c r="B107" i="8" s="1"/>
  <c r="B131" i="8" s="1"/>
  <c r="B155" i="8" s="1"/>
  <c r="B179" i="8" s="1"/>
  <c r="B203" i="8" s="1"/>
  <c r="B227" i="8" s="1"/>
  <c r="B251" i="8" s="1"/>
  <c r="B275" i="8" s="1"/>
  <c r="B299" i="8" s="1"/>
  <c r="B323" i="8" s="1"/>
  <c r="B347" i="8" s="1"/>
  <c r="B371" i="8" s="1"/>
  <c r="B395" i="8" s="1"/>
  <c r="B419" i="8" s="1"/>
  <c r="B443" i="8" s="1"/>
  <c r="B467" i="8" s="1"/>
  <c r="B491" i="8" s="1"/>
  <c r="B515" i="8" s="1"/>
  <c r="B539" i="8" s="1"/>
  <c r="B563" i="8" s="1"/>
  <c r="B587" i="8" s="1"/>
  <c r="B611" i="8" s="1"/>
  <c r="B36" i="8"/>
  <c r="B60" i="8" s="1"/>
  <c r="B84" i="8" s="1"/>
  <c r="B108" i="8" s="1"/>
  <c r="B132" i="8" s="1"/>
  <c r="B156" i="8" s="1"/>
  <c r="B180" i="8" s="1"/>
  <c r="B204" i="8" s="1"/>
  <c r="B228" i="8" s="1"/>
  <c r="B252" i="8" s="1"/>
  <c r="B276" i="8" s="1"/>
  <c r="B300" i="8" s="1"/>
  <c r="B324" i="8" s="1"/>
  <c r="B348" i="8" s="1"/>
  <c r="B372" i="8" s="1"/>
  <c r="B396" i="8" s="1"/>
  <c r="B420" i="8" s="1"/>
  <c r="B444" i="8" s="1"/>
  <c r="B468" i="8" s="1"/>
  <c r="B492" i="8" s="1"/>
  <c r="B516" i="8" s="1"/>
  <c r="B540" i="8" s="1"/>
  <c r="B564" i="8" s="1"/>
  <c r="B588" i="8" s="1"/>
  <c r="B612" i="8" s="1"/>
  <c r="B37" i="8"/>
  <c r="B61" i="8" s="1"/>
  <c r="B85" i="8" s="1"/>
  <c r="B109" i="8" s="1"/>
  <c r="B133" i="8" s="1"/>
  <c r="B157" i="8" s="1"/>
  <c r="B181" i="8" s="1"/>
  <c r="B205" i="8" s="1"/>
  <c r="B229" i="8" s="1"/>
  <c r="B253" i="8" s="1"/>
  <c r="B277" i="8" s="1"/>
  <c r="B301" i="8" s="1"/>
  <c r="B325" i="8" s="1"/>
  <c r="B349" i="8" s="1"/>
  <c r="B373" i="8" s="1"/>
  <c r="B397" i="8" s="1"/>
  <c r="B421" i="8" s="1"/>
  <c r="B445" i="8" s="1"/>
  <c r="B469" i="8" s="1"/>
  <c r="B493" i="8" s="1"/>
  <c r="B517" i="8" s="1"/>
  <c r="B541" i="8" s="1"/>
  <c r="B565" i="8" s="1"/>
  <c r="B589" i="8" s="1"/>
  <c r="B613" i="8" s="1"/>
  <c r="B38" i="8"/>
  <c r="B62" i="8" s="1"/>
  <c r="B86" i="8" s="1"/>
  <c r="B110" i="8" s="1"/>
  <c r="B134" i="8" s="1"/>
  <c r="B158" i="8" s="1"/>
  <c r="B182" i="8" s="1"/>
  <c r="B206" i="8" s="1"/>
  <c r="B230" i="8" s="1"/>
  <c r="B254" i="8" s="1"/>
  <c r="B278" i="8" s="1"/>
  <c r="B302" i="8" s="1"/>
  <c r="B326" i="8" s="1"/>
  <c r="B350" i="8" s="1"/>
  <c r="B374" i="8" s="1"/>
  <c r="B398" i="8" s="1"/>
  <c r="B422" i="8" s="1"/>
  <c r="B446" i="8" s="1"/>
  <c r="B470" i="8" s="1"/>
  <c r="B494" i="8" s="1"/>
  <c r="B518" i="8" s="1"/>
  <c r="B542" i="8" s="1"/>
  <c r="B566" i="8" s="1"/>
  <c r="B590" i="8" s="1"/>
  <c r="B614" i="8" s="1"/>
  <c r="B39" i="8"/>
  <c r="B63" i="8" s="1"/>
  <c r="B87" i="8" s="1"/>
  <c r="B111" i="8" s="1"/>
  <c r="B135" i="8" s="1"/>
  <c r="B159" i="8" s="1"/>
  <c r="B183" i="8" s="1"/>
  <c r="B207" i="8" s="1"/>
  <c r="B231" i="8" s="1"/>
  <c r="B255" i="8" s="1"/>
  <c r="B279" i="8" s="1"/>
  <c r="B303" i="8" s="1"/>
  <c r="B327" i="8" s="1"/>
  <c r="B351" i="8" s="1"/>
  <c r="B375" i="8" s="1"/>
  <c r="B399" i="8" s="1"/>
  <c r="B423" i="8" s="1"/>
  <c r="B447" i="8" s="1"/>
  <c r="B471" i="8" s="1"/>
  <c r="B495" i="8" s="1"/>
  <c r="B519" i="8" s="1"/>
  <c r="B543" i="8" s="1"/>
  <c r="B567" i="8" s="1"/>
  <c r="B591" i="8" s="1"/>
  <c r="B615" i="8" s="1"/>
  <c r="B40" i="8"/>
  <c r="B64" i="8" s="1"/>
  <c r="B88" i="8" s="1"/>
  <c r="B112" i="8" s="1"/>
  <c r="B136" i="8" s="1"/>
  <c r="B160" i="8" s="1"/>
  <c r="B184" i="8" s="1"/>
  <c r="B208" i="8" s="1"/>
  <c r="B232" i="8" s="1"/>
  <c r="B256" i="8" s="1"/>
  <c r="B280" i="8" s="1"/>
  <c r="B304" i="8" s="1"/>
  <c r="B328" i="8" s="1"/>
  <c r="B352" i="8" s="1"/>
  <c r="B376" i="8" s="1"/>
  <c r="B400" i="8" s="1"/>
  <c r="B424" i="8" s="1"/>
  <c r="B448" i="8" s="1"/>
  <c r="B472" i="8" s="1"/>
  <c r="B496" i="8" s="1"/>
  <c r="B520" i="8" s="1"/>
  <c r="B544" i="8" s="1"/>
  <c r="B568" i="8" s="1"/>
  <c r="B592" i="8" s="1"/>
  <c r="B616" i="8" s="1"/>
  <c r="B41" i="8"/>
  <c r="B65" i="8" s="1"/>
  <c r="B89" i="8" s="1"/>
  <c r="B113" i="8" s="1"/>
  <c r="B137" i="8" s="1"/>
  <c r="B161" i="8" s="1"/>
  <c r="B185" i="8" s="1"/>
  <c r="B209" i="8" s="1"/>
  <c r="B233" i="8" s="1"/>
  <c r="B257" i="8" s="1"/>
  <c r="B281" i="8" s="1"/>
  <c r="B305" i="8" s="1"/>
  <c r="B329" i="8" s="1"/>
  <c r="B353" i="8" s="1"/>
  <c r="B377" i="8" s="1"/>
  <c r="B401" i="8" s="1"/>
  <c r="B425" i="8" s="1"/>
  <c r="B449" i="8" s="1"/>
  <c r="B473" i="8" s="1"/>
  <c r="B497" i="8" s="1"/>
  <c r="B521" i="8" s="1"/>
  <c r="B545" i="8" s="1"/>
  <c r="B569" i="8" s="1"/>
  <c r="B593" i="8" s="1"/>
  <c r="B617" i="8" s="1"/>
  <c r="B42" i="8"/>
  <c r="B66" i="8" s="1"/>
  <c r="B90" i="8" s="1"/>
  <c r="B114" i="8" s="1"/>
  <c r="B138" i="8" s="1"/>
  <c r="B162" i="8" s="1"/>
  <c r="B186" i="8" s="1"/>
  <c r="B210" i="8" s="1"/>
  <c r="B234" i="8" s="1"/>
  <c r="B258" i="8" s="1"/>
  <c r="B282" i="8" s="1"/>
  <c r="B306" i="8" s="1"/>
  <c r="B330" i="8" s="1"/>
  <c r="B354" i="8" s="1"/>
  <c r="B378" i="8" s="1"/>
  <c r="B402" i="8" s="1"/>
  <c r="B426" i="8" s="1"/>
  <c r="B450" i="8" s="1"/>
  <c r="B474" i="8" s="1"/>
  <c r="B498" i="8" s="1"/>
  <c r="B522" i="8" s="1"/>
  <c r="B546" i="8" s="1"/>
  <c r="B570" i="8" s="1"/>
  <c r="B594" i="8" s="1"/>
  <c r="B618" i="8" s="1"/>
  <c r="B43" i="8"/>
  <c r="B67" i="8" s="1"/>
  <c r="B91" i="8" s="1"/>
  <c r="B115" i="8" s="1"/>
  <c r="B139" i="8" s="1"/>
  <c r="B163" i="8" s="1"/>
  <c r="B187" i="8" s="1"/>
  <c r="B211" i="8" s="1"/>
  <c r="B235" i="8" s="1"/>
  <c r="B259" i="8" s="1"/>
  <c r="B283" i="8" s="1"/>
  <c r="B307" i="8" s="1"/>
  <c r="B331" i="8" s="1"/>
  <c r="B355" i="8" s="1"/>
  <c r="B379" i="8" s="1"/>
  <c r="B403" i="8" s="1"/>
  <c r="B427" i="8" s="1"/>
  <c r="B451" i="8" s="1"/>
  <c r="B475" i="8" s="1"/>
  <c r="B499" i="8" s="1"/>
  <c r="B523" i="8" s="1"/>
  <c r="B547" i="8" s="1"/>
  <c r="B571" i="8" s="1"/>
  <c r="B595" i="8" s="1"/>
  <c r="B619" i="8" s="1"/>
  <c r="B44" i="8"/>
  <c r="B68" i="8" s="1"/>
  <c r="B92" i="8" s="1"/>
  <c r="B116" i="8" s="1"/>
  <c r="B140" i="8" s="1"/>
  <c r="B164" i="8" s="1"/>
  <c r="B188" i="8" s="1"/>
  <c r="B212" i="8" s="1"/>
  <c r="B236" i="8" s="1"/>
  <c r="B260" i="8" s="1"/>
  <c r="B284" i="8" s="1"/>
  <c r="B308" i="8" s="1"/>
  <c r="B332" i="8" s="1"/>
  <c r="B356" i="8" s="1"/>
  <c r="B380" i="8" s="1"/>
  <c r="B404" i="8" s="1"/>
  <c r="B428" i="8" s="1"/>
  <c r="B452" i="8" s="1"/>
  <c r="B476" i="8" s="1"/>
  <c r="B500" i="8" s="1"/>
  <c r="B524" i="8" s="1"/>
  <c r="B548" i="8" s="1"/>
  <c r="B572" i="8" s="1"/>
  <c r="B596" i="8" s="1"/>
  <c r="B620" i="8" s="1"/>
  <c r="B45" i="8"/>
  <c r="B69" i="8" s="1"/>
  <c r="B93" i="8" s="1"/>
  <c r="B117" i="8" s="1"/>
  <c r="B141" i="8" s="1"/>
  <c r="B165" i="8" s="1"/>
  <c r="B189" i="8" s="1"/>
  <c r="B213" i="8" s="1"/>
  <c r="B237" i="8" s="1"/>
  <c r="B261" i="8" s="1"/>
  <c r="B285" i="8" s="1"/>
  <c r="B309" i="8" s="1"/>
  <c r="B333" i="8" s="1"/>
  <c r="B357" i="8" s="1"/>
  <c r="B381" i="8" s="1"/>
  <c r="B405" i="8" s="1"/>
  <c r="B429" i="8" s="1"/>
  <c r="B453" i="8" s="1"/>
  <c r="B477" i="8" s="1"/>
  <c r="B501" i="8" s="1"/>
  <c r="B525" i="8" s="1"/>
  <c r="B549" i="8" s="1"/>
  <c r="B573" i="8" s="1"/>
  <c r="B597" i="8" s="1"/>
  <c r="B621" i="8" s="1"/>
  <c r="B46" i="8"/>
  <c r="B70" i="8" s="1"/>
  <c r="B94" i="8" s="1"/>
  <c r="B118" i="8" s="1"/>
  <c r="B142" i="8" s="1"/>
  <c r="B166" i="8" s="1"/>
  <c r="B190" i="8" s="1"/>
  <c r="B214" i="8" s="1"/>
  <c r="B238" i="8" s="1"/>
  <c r="B262" i="8" s="1"/>
  <c r="B286" i="8" s="1"/>
  <c r="B310" i="8" s="1"/>
  <c r="B334" i="8" s="1"/>
  <c r="B358" i="8" s="1"/>
  <c r="B382" i="8" s="1"/>
  <c r="B406" i="8" s="1"/>
  <c r="B430" i="8" s="1"/>
  <c r="B454" i="8" s="1"/>
  <c r="B478" i="8" s="1"/>
  <c r="B502" i="8" s="1"/>
  <c r="B526" i="8" s="1"/>
  <c r="B550" i="8" s="1"/>
  <c r="B574" i="8" s="1"/>
  <c r="B598" i="8" s="1"/>
  <c r="B622" i="8" s="1"/>
  <c r="B47" i="8"/>
  <c r="B71" i="8" s="1"/>
  <c r="B95" i="8" s="1"/>
  <c r="B119" i="8" s="1"/>
  <c r="B143" i="8" s="1"/>
  <c r="B167" i="8" s="1"/>
  <c r="B191" i="8" s="1"/>
  <c r="B215" i="8" s="1"/>
  <c r="B239" i="8" s="1"/>
  <c r="B263" i="8" s="1"/>
  <c r="B287" i="8" s="1"/>
  <c r="B311" i="8" s="1"/>
  <c r="B335" i="8" s="1"/>
  <c r="B359" i="8" s="1"/>
  <c r="B383" i="8" s="1"/>
  <c r="B407" i="8" s="1"/>
  <c r="B431" i="8" s="1"/>
  <c r="B455" i="8" s="1"/>
  <c r="B479" i="8" s="1"/>
  <c r="B503" i="8" s="1"/>
  <c r="B527" i="8" s="1"/>
  <c r="B551" i="8" s="1"/>
  <c r="B575" i="8" s="1"/>
  <c r="B599" i="8" s="1"/>
  <c r="B623" i="8" s="1"/>
  <c r="B48" i="8"/>
  <c r="B72" i="8" s="1"/>
  <c r="B96" i="8" s="1"/>
  <c r="B120" i="8" s="1"/>
  <c r="B144" i="8" s="1"/>
  <c r="B168" i="8" s="1"/>
  <c r="B192" i="8" s="1"/>
  <c r="B216" i="8" s="1"/>
  <c r="B240" i="8" s="1"/>
  <c r="B264" i="8" s="1"/>
  <c r="B288" i="8" s="1"/>
  <c r="B312" i="8" s="1"/>
  <c r="B336" i="8" s="1"/>
  <c r="B360" i="8" s="1"/>
  <c r="B384" i="8" s="1"/>
  <c r="B408" i="8" s="1"/>
  <c r="B432" i="8" s="1"/>
  <c r="B456" i="8" s="1"/>
  <c r="B480" i="8" s="1"/>
  <c r="B504" i="8" s="1"/>
  <c r="B528" i="8" s="1"/>
  <c r="B552" i="8" s="1"/>
  <c r="B576" i="8" s="1"/>
  <c r="B600" i="8" s="1"/>
  <c r="B624" i="8" s="1"/>
  <c r="B49" i="8"/>
  <c r="B73" i="8" s="1"/>
  <c r="B97" i="8" s="1"/>
  <c r="B121" i="8" s="1"/>
  <c r="B145" i="8" s="1"/>
  <c r="B169" i="8" s="1"/>
  <c r="B193" i="8" s="1"/>
  <c r="B217" i="8" s="1"/>
  <c r="B241" i="8" s="1"/>
  <c r="B265" i="8" s="1"/>
  <c r="B289" i="8" s="1"/>
  <c r="B313" i="8" s="1"/>
  <c r="B337" i="8" s="1"/>
  <c r="B361" i="8" s="1"/>
  <c r="B385" i="8" s="1"/>
  <c r="B409" i="8" s="1"/>
  <c r="B433" i="8" s="1"/>
  <c r="B457" i="8" s="1"/>
  <c r="B481" i="8" s="1"/>
  <c r="B505" i="8" s="1"/>
  <c r="B529" i="8" s="1"/>
  <c r="B553" i="8" s="1"/>
  <c r="B577" i="8" s="1"/>
  <c r="B601" i="8" s="1"/>
  <c r="B625" i="8" s="1"/>
  <c r="B50" i="8"/>
  <c r="B74" i="8" s="1"/>
  <c r="B98" i="8" s="1"/>
  <c r="B122" i="8" s="1"/>
  <c r="B146" i="8" s="1"/>
  <c r="B170" i="8" s="1"/>
  <c r="B194" i="8" s="1"/>
  <c r="B218" i="8" s="1"/>
  <c r="B242" i="8" s="1"/>
  <c r="B266" i="8" s="1"/>
  <c r="B290" i="8" s="1"/>
  <c r="B314" i="8" s="1"/>
  <c r="B338" i="8" s="1"/>
  <c r="B362" i="8" s="1"/>
  <c r="B386" i="8" s="1"/>
  <c r="B410" i="8" s="1"/>
  <c r="B434" i="8" s="1"/>
  <c r="B458" i="8" s="1"/>
  <c r="B482" i="8" s="1"/>
  <c r="B506" i="8" s="1"/>
  <c r="B530" i="8" s="1"/>
  <c r="B554" i="8" s="1"/>
  <c r="B578" i="8" s="1"/>
  <c r="B602" i="8" s="1"/>
  <c r="B626" i="8" s="1"/>
  <c r="B51" i="8"/>
  <c r="B75" i="8" s="1"/>
  <c r="B99" i="8" s="1"/>
  <c r="B123" i="8" s="1"/>
  <c r="B147" i="8" s="1"/>
  <c r="B171" i="8" s="1"/>
  <c r="B195" i="8" s="1"/>
  <c r="B219" i="8" s="1"/>
  <c r="B243" i="8" s="1"/>
  <c r="B267" i="8" s="1"/>
  <c r="B291" i="8" s="1"/>
  <c r="B315" i="8" s="1"/>
  <c r="B339" i="8" s="1"/>
  <c r="B363" i="8" s="1"/>
  <c r="B387" i="8" s="1"/>
  <c r="B411" i="8" s="1"/>
  <c r="B435" i="8" s="1"/>
  <c r="B459" i="8" s="1"/>
  <c r="B483" i="8" s="1"/>
  <c r="B507" i="8" s="1"/>
  <c r="B531" i="8" s="1"/>
  <c r="B555" i="8" s="1"/>
  <c r="B579" i="8" s="1"/>
  <c r="B603" i="8" s="1"/>
  <c r="B55" i="8"/>
  <c r="B79" i="8" s="1"/>
  <c r="B103" i="8" s="1"/>
  <c r="B127" i="8" s="1"/>
  <c r="B151" i="8" s="1"/>
  <c r="B175" i="8" s="1"/>
  <c r="B199" i="8" s="1"/>
  <c r="B223" i="8" s="1"/>
  <c r="B247" i="8" s="1"/>
  <c r="B271" i="8" s="1"/>
  <c r="B295" i="8" s="1"/>
  <c r="B319" i="8" s="1"/>
  <c r="B343" i="8" s="1"/>
  <c r="B367" i="8" s="1"/>
  <c r="B391" i="8" s="1"/>
  <c r="B415" i="8" s="1"/>
  <c r="B439" i="8" s="1"/>
  <c r="B463" i="8" s="1"/>
  <c r="B487" i="8" s="1"/>
  <c r="B511" i="8" s="1"/>
  <c r="B535" i="8" s="1"/>
  <c r="B559" i="8" s="1"/>
  <c r="B583" i="8" s="1"/>
  <c r="B607" i="8" s="1"/>
  <c r="B56" i="8"/>
  <c r="B80" i="8" s="1"/>
  <c r="B104" i="8" s="1"/>
  <c r="B128" i="8" s="1"/>
  <c r="B152" i="8" s="1"/>
  <c r="B176" i="8" s="1"/>
  <c r="B200" i="8" s="1"/>
  <c r="B224" i="8" s="1"/>
  <c r="B248" i="8" s="1"/>
  <c r="B272" i="8" s="1"/>
  <c r="B296" i="8" s="1"/>
  <c r="B320" i="8" s="1"/>
  <c r="B344" i="8" s="1"/>
  <c r="B368" i="8" s="1"/>
  <c r="B392" i="8" s="1"/>
  <c r="B416" i="8" s="1"/>
  <c r="B440" i="8" s="1"/>
  <c r="B464" i="8" s="1"/>
  <c r="B488" i="8" s="1"/>
  <c r="B512" i="8" s="1"/>
  <c r="B536" i="8" s="1"/>
  <c r="B560" i="8" s="1"/>
  <c r="B584" i="8" s="1"/>
  <c r="B608" i="8" s="1"/>
  <c r="A4" i="8"/>
  <c r="A5" i="8" s="1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62" i="8" s="1"/>
  <c r="A63" i="8" s="1"/>
  <c r="A64" i="8" s="1"/>
  <c r="A65" i="8" s="1"/>
  <c r="A66" i="8" s="1"/>
  <c r="A67" i="8" s="1"/>
  <c r="A68" i="8" s="1"/>
  <c r="A69" i="8" s="1"/>
  <c r="A70" i="8" s="1"/>
  <c r="A71" i="8" s="1"/>
  <c r="A72" i="8" s="1"/>
  <c r="A73" i="8" s="1"/>
  <c r="A74" i="8" s="1"/>
  <c r="A75" i="8" s="1"/>
  <c r="A76" i="8" s="1"/>
  <c r="A77" i="8" s="1"/>
  <c r="A78" i="8" s="1"/>
  <c r="A79" i="8" s="1"/>
  <c r="A80" i="8" s="1"/>
  <c r="A81" i="8" s="1"/>
  <c r="A82" i="8" s="1"/>
  <c r="A83" i="8" s="1"/>
  <c r="A84" i="8" s="1"/>
  <c r="A85" i="8" s="1"/>
  <c r="A86" i="8" s="1"/>
  <c r="A87" i="8" s="1"/>
  <c r="A88" i="8" s="1"/>
  <c r="A89" i="8" s="1"/>
  <c r="A90" i="8" s="1"/>
  <c r="A91" i="8" s="1"/>
  <c r="A92" i="8" s="1"/>
  <c r="A93" i="8" s="1"/>
  <c r="A94" i="8" s="1"/>
  <c r="A95" i="8" s="1"/>
  <c r="A96" i="8" s="1"/>
  <c r="A97" i="8" s="1"/>
  <c r="A98" i="8" s="1"/>
  <c r="A99" i="8" s="1"/>
  <c r="A100" i="8" s="1"/>
  <c r="A101" i="8" s="1"/>
  <c r="A102" i="8" s="1"/>
  <c r="A103" i="8" s="1"/>
  <c r="A104" i="8" s="1"/>
  <c r="A105" i="8" s="1"/>
  <c r="A106" i="8" s="1"/>
  <c r="A107" i="8" s="1"/>
  <c r="A108" i="8" s="1"/>
  <c r="A109" i="8" s="1"/>
  <c r="A110" i="8" s="1"/>
  <c r="A111" i="8" s="1"/>
  <c r="A112" i="8" s="1"/>
  <c r="A113" i="8" s="1"/>
  <c r="A114" i="8" s="1"/>
  <c r="A115" i="8" s="1"/>
  <c r="A116" i="8" s="1"/>
  <c r="A117" i="8" s="1"/>
  <c r="A118" i="8" s="1"/>
  <c r="A119" i="8" s="1"/>
  <c r="A120" i="8" s="1"/>
  <c r="A121" i="8" s="1"/>
  <c r="A122" i="8" s="1"/>
  <c r="A123" i="8" s="1"/>
  <c r="A124" i="8" s="1"/>
  <c r="A125" i="8" s="1"/>
  <c r="A126" i="8" s="1"/>
  <c r="A127" i="8" s="1"/>
  <c r="A128" i="8" s="1"/>
  <c r="A129" i="8" s="1"/>
  <c r="A130" i="8" s="1"/>
  <c r="A131" i="8" s="1"/>
  <c r="A132" i="8" s="1"/>
  <c r="A133" i="8" s="1"/>
  <c r="A134" i="8" s="1"/>
  <c r="A135" i="8" s="1"/>
  <c r="A136" i="8" s="1"/>
  <c r="A137" i="8" s="1"/>
  <c r="A138" i="8" s="1"/>
  <c r="A139" i="8" s="1"/>
  <c r="A140" i="8" s="1"/>
  <c r="A141" i="8" s="1"/>
  <c r="A142" i="8" s="1"/>
  <c r="A143" i="8" s="1"/>
  <c r="A144" i="8" s="1"/>
  <c r="A145" i="8" s="1"/>
  <c r="A146" i="8" s="1"/>
  <c r="A147" i="8" s="1"/>
  <c r="A148" i="8" s="1"/>
  <c r="A149" i="8" s="1"/>
  <c r="A150" i="8" s="1"/>
  <c r="A151" i="8" s="1"/>
  <c r="A152" i="8" s="1"/>
  <c r="A153" i="8" s="1"/>
  <c r="A154" i="8" s="1"/>
  <c r="A155" i="8" s="1"/>
  <c r="A156" i="8" s="1"/>
  <c r="A157" i="8" s="1"/>
  <c r="A158" i="8" s="1"/>
  <c r="A159" i="8" s="1"/>
  <c r="A160" i="8" s="1"/>
  <c r="A161" i="8" s="1"/>
  <c r="A162" i="8" s="1"/>
  <c r="A163" i="8" s="1"/>
  <c r="A164" i="8" s="1"/>
  <c r="A165" i="8" s="1"/>
  <c r="A166" i="8" s="1"/>
  <c r="A167" i="8" s="1"/>
  <c r="A168" i="8" s="1"/>
  <c r="A169" i="8" s="1"/>
  <c r="A170" i="8" s="1"/>
  <c r="A171" i="8" s="1"/>
  <c r="A172" i="8" s="1"/>
  <c r="A173" i="8" s="1"/>
  <c r="A174" i="8" s="1"/>
  <c r="A175" i="8" s="1"/>
  <c r="A176" i="8" s="1"/>
  <c r="A177" i="8" s="1"/>
  <c r="A178" i="8" s="1"/>
  <c r="A179" i="8" s="1"/>
  <c r="A180" i="8" s="1"/>
  <c r="A181" i="8" s="1"/>
  <c r="A182" i="8" s="1"/>
  <c r="A183" i="8" s="1"/>
  <c r="A184" i="8" s="1"/>
  <c r="A185" i="8" s="1"/>
  <c r="A186" i="8" s="1"/>
  <c r="A187" i="8" s="1"/>
  <c r="A188" i="8" s="1"/>
  <c r="A189" i="8" s="1"/>
  <c r="A190" i="8" s="1"/>
  <c r="A191" i="8" s="1"/>
  <c r="A192" i="8" s="1"/>
  <c r="A193" i="8" s="1"/>
  <c r="A194" i="8" s="1"/>
  <c r="A195" i="8" s="1"/>
  <c r="A196" i="8" s="1"/>
  <c r="A197" i="8" s="1"/>
  <c r="A198" i="8" s="1"/>
  <c r="A199" i="8" s="1"/>
  <c r="A200" i="8" s="1"/>
  <c r="A201" i="8" s="1"/>
  <c r="A202" i="8" s="1"/>
  <c r="A203" i="8" s="1"/>
  <c r="A204" i="8" s="1"/>
  <c r="A205" i="8" s="1"/>
  <c r="A206" i="8" s="1"/>
  <c r="A207" i="8" s="1"/>
  <c r="A208" i="8" s="1"/>
  <c r="A209" i="8" s="1"/>
  <c r="A210" i="8" s="1"/>
  <c r="A211" i="8" s="1"/>
  <c r="A212" i="8" s="1"/>
  <c r="A213" i="8" s="1"/>
  <c r="A214" i="8" s="1"/>
  <c r="A215" i="8" s="1"/>
  <c r="A216" i="8" s="1"/>
  <c r="A217" i="8" s="1"/>
  <c r="A218" i="8" s="1"/>
  <c r="A219" i="8" s="1"/>
  <c r="A220" i="8" s="1"/>
  <c r="A221" i="8" s="1"/>
  <c r="A222" i="8" s="1"/>
  <c r="A223" i="8" s="1"/>
  <c r="A224" i="8" s="1"/>
  <c r="A225" i="8" s="1"/>
  <c r="A226" i="8" s="1"/>
  <c r="A227" i="8" s="1"/>
  <c r="A228" i="8" s="1"/>
  <c r="A229" i="8" s="1"/>
  <c r="A230" i="8" s="1"/>
  <c r="A231" i="8" s="1"/>
  <c r="A232" i="8" s="1"/>
  <c r="A233" i="8" s="1"/>
  <c r="A234" i="8" s="1"/>
  <c r="A235" i="8" s="1"/>
  <c r="A236" i="8" s="1"/>
  <c r="A237" i="8" s="1"/>
  <c r="A238" i="8" s="1"/>
  <c r="A239" i="8" s="1"/>
  <c r="A240" i="8" s="1"/>
  <c r="A241" i="8" s="1"/>
  <c r="A242" i="8" s="1"/>
  <c r="A243" i="8" s="1"/>
  <c r="A244" i="8" s="1"/>
  <c r="A245" i="8" s="1"/>
  <c r="A246" i="8" s="1"/>
  <c r="A247" i="8" s="1"/>
  <c r="A248" i="8" s="1"/>
  <c r="A249" i="8" s="1"/>
  <c r="A250" i="8" s="1"/>
  <c r="A251" i="8" s="1"/>
  <c r="A252" i="8" s="1"/>
  <c r="A253" i="8" s="1"/>
  <c r="A254" i="8" s="1"/>
  <c r="A255" i="8" s="1"/>
  <c r="A256" i="8" s="1"/>
  <c r="A257" i="8" s="1"/>
  <c r="A258" i="8" s="1"/>
  <c r="A259" i="8" s="1"/>
  <c r="A260" i="8" s="1"/>
  <c r="A261" i="8" s="1"/>
  <c r="A262" i="8" s="1"/>
  <c r="A263" i="8" s="1"/>
  <c r="A264" i="8" s="1"/>
  <c r="A265" i="8" s="1"/>
  <c r="A266" i="8" s="1"/>
  <c r="A267" i="8" s="1"/>
  <c r="A268" i="8" s="1"/>
  <c r="A269" i="8" s="1"/>
  <c r="A270" i="8" s="1"/>
  <c r="A271" i="8" s="1"/>
  <c r="A272" i="8" s="1"/>
  <c r="A273" i="8" s="1"/>
  <c r="A274" i="8" s="1"/>
  <c r="A275" i="8" s="1"/>
  <c r="A276" i="8" s="1"/>
  <c r="A277" i="8" s="1"/>
  <c r="A278" i="8" s="1"/>
  <c r="A279" i="8" s="1"/>
  <c r="A280" i="8" s="1"/>
  <c r="A281" i="8" s="1"/>
  <c r="A282" i="8" s="1"/>
  <c r="A283" i="8" s="1"/>
  <c r="A284" i="8" s="1"/>
  <c r="A285" i="8" s="1"/>
  <c r="A286" i="8" s="1"/>
  <c r="A287" i="8" s="1"/>
  <c r="A288" i="8" s="1"/>
  <c r="A289" i="8" s="1"/>
  <c r="A290" i="8" s="1"/>
  <c r="A291" i="8" s="1"/>
  <c r="A292" i="8" s="1"/>
  <c r="A293" i="8" s="1"/>
  <c r="A294" i="8" s="1"/>
  <c r="A295" i="8" s="1"/>
  <c r="A296" i="8" s="1"/>
  <c r="A297" i="8" s="1"/>
  <c r="A298" i="8" s="1"/>
  <c r="A299" i="8" s="1"/>
  <c r="A300" i="8" s="1"/>
  <c r="A301" i="8" s="1"/>
  <c r="A302" i="8" s="1"/>
  <c r="A303" i="8" s="1"/>
  <c r="A304" i="8" s="1"/>
  <c r="A305" i="8" s="1"/>
  <c r="A306" i="8" s="1"/>
  <c r="A307" i="8" s="1"/>
  <c r="A308" i="8" s="1"/>
  <c r="A309" i="8" s="1"/>
  <c r="A310" i="8" s="1"/>
  <c r="A311" i="8" s="1"/>
  <c r="A312" i="8" s="1"/>
  <c r="A313" i="8" s="1"/>
  <c r="A314" i="8" s="1"/>
  <c r="A315" i="8" s="1"/>
  <c r="A316" i="8" s="1"/>
  <c r="A317" i="8" s="1"/>
  <c r="A318" i="8" s="1"/>
  <c r="A319" i="8" s="1"/>
  <c r="A320" i="8" s="1"/>
  <c r="A321" i="8" s="1"/>
  <c r="A322" i="8" s="1"/>
  <c r="A323" i="8" s="1"/>
  <c r="A324" i="8" s="1"/>
  <c r="A325" i="8" s="1"/>
  <c r="A326" i="8" s="1"/>
  <c r="A327" i="8" s="1"/>
  <c r="A328" i="8" s="1"/>
  <c r="A329" i="8" s="1"/>
  <c r="A330" i="8" s="1"/>
  <c r="A331" i="8" s="1"/>
  <c r="A332" i="8" s="1"/>
  <c r="A333" i="8" s="1"/>
  <c r="A334" i="8" s="1"/>
  <c r="A335" i="8" s="1"/>
  <c r="A336" i="8" s="1"/>
  <c r="A337" i="8" s="1"/>
  <c r="A338" i="8" s="1"/>
  <c r="A339" i="8" s="1"/>
  <c r="A340" i="8" s="1"/>
  <c r="A341" i="8" s="1"/>
  <c r="A342" i="8" s="1"/>
  <c r="A343" i="8" s="1"/>
  <c r="A344" i="8" s="1"/>
  <c r="A345" i="8" s="1"/>
  <c r="A346" i="8" s="1"/>
  <c r="A347" i="8" s="1"/>
  <c r="A348" i="8" s="1"/>
  <c r="A349" i="8" s="1"/>
  <c r="A350" i="8" s="1"/>
  <c r="A351" i="8" s="1"/>
  <c r="A352" i="8" s="1"/>
  <c r="A353" i="8" s="1"/>
  <c r="A354" i="8" s="1"/>
  <c r="A355" i="8" s="1"/>
  <c r="A356" i="8" s="1"/>
  <c r="A357" i="8" s="1"/>
  <c r="A358" i="8" s="1"/>
  <c r="A359" i="8" s="1"/>
  <c r="A360" i="8" s="1"/>
  <c r="A361" i="8" s="1"/>
  <c r="A362" i="8" s="1"/>
  <c r="A363" i="8" s="1"/>
  <c r="A364" i="8" s="1"/>
  <c r="A365" i="8" s="1"/>
  <c r="A366" i="8" s="1"/>
  <c r="A367" i="8" s="1"/>
  <c r="A368" i="8" s="1"/>
  <c r="A369" i="8" s="1"/>
  <c r="A370" i="8" s="1"/>
  <c r="A371" i="8" s="1"/>
  <c r="A372" i="8" s="1"/>
  <c r="A373" i="8" s="1"/>
  <c r="A374" i="8" s="1"/>
  <c r="A375" i="8" s="1"/>
  <c r="A376" i="8" s="1"/>
  <c r="A377" i="8" s="1"/>
  <c r="A378" i="8" s="1"/>
  <c r="A379" i="8" s="1"/>
  <c r="A380" i="8" s="1"/>
  <c r="A381" i="8" s="1"/>
  <c r="A382" i="8" s="1"/>
  <c r="A383" i="8" s="1"/>
  <c r="A384" i="8" s="1"/>
  <c r="A385" i="8" s="1"/>
  <c r="A386" i="8" s="1"/>
  <c r="A387" i="8" s="1"/>
  <c r="A388" i="8" s="1"/>
  <c r="A389" i="8" s="1"/>
  <c r="A390" i="8" s="1"/>
  <c r="A391" i="8" s="1"/>
  <c r="A392" i="8" s="1"/>
  <c r="A393" i="8" s="1"/>
  <c r="A394" i="8" s="1"/>
  <c r="A395" i="8" s="1"/>
  <c r="A396" i="8" s="1"/>
  <c r="A397" i="8" s="1"/>
  <c r="A398" i="8" s="1"/>
  <c r="A399" i="8" s="1"/>
  <c r="A400" i="8" s="1"/>
  <c r="A401" i="8" s="1"/>
  <c r="A402" i="8" s="1"/>
  <c r="A403" i="8" s="1"/>
  <c r="A404" i="8" s="1"/>
  <c r="A405" i="8" s="1"/>
  <c r="A406" i="8" s="1"/>
  <c r="A407" i="8" s="1"/>
  <c r="A408" i="8" s="1"/>
  <c r="A409" i="8" s="1"/>
  <c r="A410" i="8" s="1"/>
  <c r="A411" i="8" s="1"/>
  <c r="A412" i="8" s="1"/>
  <c r="A413" i="8" s="1"/>
  <c r="A414" i="8" s="1"/>
  <c r="A415" i="8" s="1"/>
  <c r="A416" i="8" s="1"/>
  <c r="A417" i="8" s="1"/>
  <c r="A418" i="8" s="1"/>
  <c r="A419" i="8" s="1"/>
  <c r="A420" i="8" s="1"/>
  <c r="A421" i="8" s="1"/>
  <c r="A422" i="8" s="1"/>
  <c r="A423" i="8" s="1"/>
  <c r="A424" i="8" s="1"/>
  <c r="A425" i="8" s="1"/>
  <c r="A426" i="8" s="1"/>
  <c r="A427" i="8" s="1"/>
  <c r="A428" i="8" s="1"/>
  <c r="A429" i="8" s="1"/>
  <c r="A430" i="8" s="1"/>
  <c r="A431" i="8" s="1"/>
  <c r="A432" i="8" s="1"/>
  <c r="A433" i="8" s="1"/>
  <c r="A434" i="8" s="1"/>
  <c r="A435" i="8" s="1"/>
  <c r="A436" i="8" s="1"/>
  <c r="A437" i="8" s="1"/>
  <c r="A438" i="8" s="1"/>
  <c r="A439" i="8" s="1"/>
  <c r="A440" i="8" s="1"/>
  <c r="A441" i="8" s="1"/>
  <c r="A442" i="8" s="1"/>
  <c r="A443" i="8" s="1"/>
  <c r="A444" i="8" s="1"/>
  <c r="A445" i="8" s="1"/>
  <c r="A446" i="8" s="1"/>
  <c r="A447" i="8" s="1"/>
  <c r="A448" i="8" s="1"/>
  <c r="A449" i="8" s="1"/>
  <c r="A450" i="8" s="1"/>
  <c r="A451" i="8" s="1"/>
  <c r="A452" i="8" s="1"/>
  <c r="A453" i="8" s="1"/>
  <c r="A454" i="8" s="1"/>
  <c r="A455" i="8" s="1"/>
  <c r="A456" i="8" s="1"/>
  <c r="A457" i="8" s="1"/>
  <c r="A458" i="8" s="1"/>
  <c r="A459" i="8" s="1"/>
  <c r="A460" i="8" s="1"/>
  <c r="A461" i="8" s="1"/>
  <c r="A462" i="8" s="1"/>
  <c r="A463" i="8" s="1"/>
  <c r="A464" i="8" s="1"/>
  <c r="A465" i="8" s="1"/>
  <c r="A466" i="8" s="1"/>
  <c r="A467" i="8" s="1"/>
  <c r="A468" i="8" s="1"/>
  <c r="A469" i="8" s="1"/>
  <c r="A470" i="8" s="1"/>
  <c r="A471" i="8" s="1"/>
  <c r="A472" i="8" s="1"/>
  <c r="A473" i="8" s="1"/>
  <c r="A474" i="8" s="1"/>
  <c r="A475" i="8" s="1"/>
  <c r="A476" i="8" s="1"/>
  <c r="A477" i="8" s="1"/>
  <c r="A478" i="8" s="1"/>
  <c r="A479" i="8" s="1"/>
  <c r="A480" i="8" s="1"/>
  <c r="A481" i="8" s="1"/>
  <c r="A482" i="8" s="1"/>
  <c r="A483" i="8" s="1"/>
  <c r="A484" i="8" s="1"/>
  <c r="A485" i="8" s="1"/>
  <c r="A486" i="8" s="1"/>
  <c r="A487" i="8" s="1"/>
  <c r="A488" i="8" s="1"/>
  <c r="A489" i="8" s="1"/>
  <c r="A490" i="8" s="1"/>
  <c r="A491" i="8" s="1"/>
  <c r="A492" i="8" s="1"/>
  <c r="A493" i="8" s="1"/>
  <c r="A494" i="8" s="1"/>
  <c r="A495" i="8" s="1"/>
  <c r="A496" i="8" s="1"/>
  <c r="A497" i="8" s="1"/>
  <c r="A498" i="8" s="1"/>
  <c r="A499" i="8" s="1"/>
  <c r="A500" i="8" s="1"/>
  <c r="A501" i="8" s="1"/>
  <c r="A502" i="8" s="1"/>
  <c r="A503" i="8" s="1"/>
  <c r="A504" i="8" s="1"/>
  <c r="A505" i="8" s="1"/>
  <c r="A506" i="8" s="1"/>
  <c r="A507" i="8" s="1"/>
  <c r="A508" i="8" s="1"/>
  <c r="A509" i="8" s="1"/>
  <c r="A510" i="8" s="1"/>
  <c r="A511" i="8" s="1"/>
  <c r="J9" i="7"/>
  <c r="H88" i="1"/>
  <c r="H89" i="1"/>
  <c r="H90" i="1"/>
  <c r="H91" i="1"/>
  <c r="H92" i="1"/>
  <c r="H93" i="1"/>
  <c r="U60" i="8" l="1"/>
  <c r="T84" i="8"/>
  <c r="U84" i="8" s="1"/>
  <c r="U62" i="8"/>
  <c r="T86" i="8"/>
  <c r="T80" i="8"/>
  <c r="U56" i="8"/>
  <c r="U34" i="8"/>
  <c r="U32" i="8"/>
  <c r="U27" i="8"/>
  <c r="U118" i="8"/>
  <c r="U36" i="8"/>
  <c r="T63" i="8"/>
  <c r="T87" i="8" s="1"/>
  <c r="U87" i="8" s="1"/>
  <c r="U38" i="8"/>
  <c r="U103" i="8"/>
  <c r="U82" i="8"/>
  <c r="U81" i="8"/>
  <c r="T59" i="8"/>
  <c r="T61" i="8"/>
  <c r="U33" i="8"/>
  <c r="U79" i="8"/>
  <c r="T112" i="8"/>
  <c r="U88" i="8"/>
  <c r="T77" i="8"/>
  <c r="U53" i="8"/>
  <c r="T78" i="8"/>
  <c r="U54" i="8"/>
  <c r="T113" i="8"/>
  <c r="U89" i="8"/>
  <c r="T75" i="8"/>
  <c r="U120" i="8"/>
  <c r="T74" i="8"/>
  <c r="U119" i="8"/>
  <c r="U97" i="8"/>
  <c r="T76" i="8"/>
  <c r="U114" i="8"/>
  <c r="U92" i="8"/>
  <c r="U70" i="8"/>
  <c r="U48" i="8"/>
  <c r="U95" i="8"/>
  <c r="U93" i="8"/>
  <c r="U69" i="8"/>
  <c r="U90" i="8"/>
  <c r="U68" i="8"/>
  <c r="U46" i="8"/>
  <c r="T67" i="8"/>
  <c r="U29" i="8"/>
  <c r="U94" i="8"/>
  <c r="U71" i="8"/>
  <c r="U47" i="8"/>
  <c r="U117" i="8"/>
  <c r="U66" i="8"/>
  <c r="U44" i="8"/>
  <c r="U73" i="8"/>
  <c r="U72" i="8"/>
  <c r="U49" i="8"/>
  <c r="T108" i="8"/>
  <c r="U108" i="8" s="1"/>
  <c r="U65" i="8"/>
  <c r="U64" i="8"/>
  <c r="U121" i="8"/>
  <c r="U96" i="8"/>
  <c r="U116" i="8"/>
  <c r="U30" i="8"/>
  <c r="U475" i="8"/>
  <c r="U488" i="8"/>
  <c r="U489" i="8"/>
  <c r="U588" i="8"/>
  <c r="U477" i="8"/>
  <c r="U598" i="8"/>
  <c r="U478" i="8"/>
  <c r="U587" i="8"/>
  <c r="U476" i="8"/>
  <c r="U585" i="8"/>
  <c r="U566" i="8"/>
  <c r="U564" i="8"/>
  <c r="U586" i="8"/>
  <c r="U543" i="8"/>
  <c r="U584" i="8"/>
  <c r="U565" i="8"/>
  <c r="U541" i="8"/>
  <c r="U540" i="8"/>
  <c r="U474" i="8"/>
  <c r="U536" i="8"/>
  <c r="U470" i="8"/>
  <c r="U532" i="8"/>
  <c r="U522" i="8"/>
  <c r="U519" i="8"/>
  <c r="U535" i="8"/>
  <c r="U531" i="8"/>
  <c r="U583" i="8"/>
  <c r="U521" i="8"/>
  <c r="U561" i="8"/>
  <c r="U511" i="8"/>
  <c r="U579" i="8"/>
  <c r="U473" i="8"/>
  <c r="U514" i="8"/>
  <c r="U513" i="8"/>
  <c r="U560" i="8"/>
  <c r="U500" i="8"/>
  <c r="U472" i="8"/>
  <c r="U512" i="8"/>
  <c r="U556" i="8"/>
  <c r="U499" i="8"/>
  <c r="U520" i="8"/>
  <c r="U563" i="8"/>
  <c r="U562" i="8"/>
  <c r="U555" i="8"/>
  <c r="U498" i="8"/>
  <c r="U550" i="8"/>
  <c r="U497" i="8"/>
  <c r="U544" i="8"/>
  <c r="U496" i="8"/>
  <c r="U599" i="8"/>
  <c r="U542" i="8"/>
  <c r="U492" i="8"/>
  <c r="U366" i="8"/>
  <c r="U342" i="8"/>
  <c r="U539" i="8"/>
  <c r="U517" i="8"/>
  <c r="U429" i="8"/>
  <c r="U385" i="8"/>
  <c r="U341" i="8"/>
  <c r="U582" i="8"/>
  <c r="U538" i="8"/>
  <c r="U516" i="8"/>
  <c r="U494" i="8"/>
  <c r="U450" i="8"/>
  <c r="U428" i="8"/>
  <c r="U384" i="8"/>
  <c r="U362" i="8"/>
  <c r="U318" i="8"/>
  <c r="U581" i="8"/>
  <c r="U559" i="8"/>
  <c r="U537" i="8"/>
  <c r="U515" i="8"/>
  <c r="U493" i="8"/>
  <c r="U471" i="8"/>
  <c r="U449" i="8"/>
  <c r="U427" i="8"/>
  <c r="U405" i="8"/>
  <c r="U383" i="8"/>
  <c r="U361" i="8"/>
  <c r="U339" i="8"/>
  <c r="U317" i="8"/>
  <c r="U295" i="8"/>
  <c r="U294" i="8"/>
  <c r="U293" i="8"/>
  <c r="U314" i="8"/>
  <c r="U379" i="8"/>
  <c r="U313" i="8"/>
  <c r="U554" i="8"/>
  <c r="U466" i="8"/>
  <c r="U597" i="8"/>
  <c r="U509" i="8"/>
  <c r="U421" i="8"/>
  <c r="U355" i="8"/>
  <c r="U596" i="8"/>
  <c r="U574" i="8"/>
  <c r="U552" i="8"/>
  <c r="U530" i="8"/>
  <c r="U508" i="8"/>
  <c r="U486" i="8"/>
  <c r="U464" i="8"/>
  <c r="U442" i="8"/>
  <c r="U420" i="8"/>
  <c r="U398" i="8"/>
  <c r="U376" i="8"/>
  <c r="U354" i="8"/>
  <c r="U332" i="8"/>
  <c r="U310" i="8"/>
  <c r="U338" i="8"/>
  <c r="U469" i="8"/>
  <c r="U468" i="8"/>
  <c r="U467" i="8"/>
  <c r="U465" i="8"/>
  <c r="U399" i="8"/>
  <c r="U333" i="8"/>
  <c r="U595" i="8"/>
  <c r="U573" i="8"/>
  <c r="U551" i="8"/>
  <c r="U529" i="8"/>
  <c r="U507" i="8"/>
  <c r="U485" i="8"/>
  <c r="U463" i="8"/>
  <c r="U441" i="8"/>
  <c r="U419" i="8"/>
  <c r="U397" i="8"/>
  <c r="U375" i="8"/>
  <c r="U353" i="8"/>
  <c r="U331" i="8"/>
  <c r="U309" i="8"/>
  <c r="U534" i="8"/>
  <c r="U380" i="8"/>
  <c r="U423" i="8"/>
  <c r="U356" i="8"/>
  <c r="U553" i="8"/>
  <c r="U311" i="8"/>
  <c r="U594" i="8"/>
  <c r="U572" i="8"/>
  <c r="U528" i="8"/>
  <c r="U506" i="8"/>
  <c r="U484" i="8"/>
  <c r="U462" i="8"/>
  <c r="U418" i="8"/>
  <c r="U396" i="8"/>
  <c r="U374" i="8"/>
  <c r="U352" i="8"/>
  <c r="U330" i="8"/>
  <c r="U308" i="8"/>
  <c r="U600" i="8"/>
  <c r="U490" i="8"/>
  <c r="U576" i="8"/>
  <c r="U378" i="8"/>
  <c r="U593" i="8"/>
  <c r="U571" i="8"/>
  <c r="U549" i="8"/>
  <c r="U527" i="8"/>
  <c r="U505" i="8"/>
  <c r="U483" i="8"/>
  <c r="U461" i="8"/>
  <c r="U439" i="8"/>
  <c r="U417" i="8"/>
  <c r="U395" i="8"/>
  <c r="U373" i="8"/>
  <c r="U351" i="8"/>
  <c r="U329" i="8"/>
  <c r="U307" i="8"/>
  <c r="U365" i="8"/>
  <c r="U557" i="8"/>
  <c r="U337" i="8"/>
  <c r="U445" i="8"/>
  <c r="U510" i="8"/>
  <c r="U575" i="8"/>
  <c r="U592" i="8"/>
  <c r="U570" i="8"/>
  <c r="U548" i="8"/>
  <c r="U526" i="8"/>
  <c r="U504" i="8"/>
  <c r="U482" i="8"/>
  <c r="U460" i="8"/>
  <c r="U438" i="8"/>
  <c r="U416" i="8"/>
  <c r="U394" i="8"/>
  <c r="U372" i="8"/>
  <c r="U350" i="8"/>
  <c r="U328" i="8"/>
  <c r="U306" i="8"/>
  <c r="U491" i="8"/>
  <c r="U577" i="8"/>
  <c r="U357" i="8"/>
  <c r="U444" i="8"/>
  <c r="U591" i="8"/>
  <c r="U569" i="8"/>
  <c r="U547" i="8"/>
  <c r="U525" i="8"/>
  <c r="U503" i="8"/>
  <c r="U481" i="8"/>
  <c r="U459" i="8"/>
  <c r="U437" i="8"/>
  <c r="U415" i="8"/>
  <c r="U393" i="8"/>
  <c r="U371" i="8"/>
  <c r="U349" i="8"/>
  <c r="U327" i="8"/>
  <c r="U305" i="8"/>
  <c r="U386" i="8"/>
  <c r="U601" i="8"/>
  <c r="U578" i="8"/>
  <c r="U312" i="8"/>
  <c r="U590" i="8"/>
  <c r="U568" i="8"/>
  <c r="U546" i="8"/>
  <c r="U524" i="8"/>
  <c r="U502" i="8"/>
  <c r="U480" i="8"/>
  <c r="U458" i="8"/>
  <c r="U436" i="8"/>
  <c r="U414" i="8"/>
  <c r="U392" i="8"/>
  <c r="U370" i="8"/>
  <c r="U348" i="8"/>
  <c r="U326" i="8"/>
  <c r="U304" i="8"/>
  <c r="U558" i="8"/>
  <c r="U381" i="8"/>
  <c r="U336" i="8"/>
  <c r="U533" i="8"/>
  <c r="U422" i="8"/>
  <c r="U443" i="8"/>
  <c r="U589" i="8"/>
  <c r="U567" i="8"/>
  <c r="U545" i="8"/>
  <c r="U523" i="8"/>
  <c r="U501" i="8"/>
  <c r="U479" i="8"/>
  <c r="U457" i="8"/>
  <c r="U435" i="8"/>
  <c r="U413" i="8"/>
  <c r="U391" i="8"/>
  <c r="U369" i="8"/>
  <c r="U347" i="8"/>
  <c r="U325" i="8"/>
  <c r="U303" i="8"/>
  <c r="H81" i="1"/>
  <c r="H18" i="1"/>
  <c r="H34" i="1"/>
  <c r="I17" i="1"/>
  <c r="H36" i="1"/>
  <c r="I15" i="1"/>
  <c r="I347" i="8"/>
  <c r="I371" i="8" s="1"/>
  <c r="I395" i="8" s="1"/>
  <c r="I419" i="8" s="1"/>
  <c r="I443" i="8" s="1"/>
  <c r="I467" i="8" s="1"/>
  <c r="I491" i="8" s="1"/>
  <c r="I515" i="8" s="1"/>
  <c r="I539" i="8" s="1"/>
  <c r="I563" i="8" s="1"/>
  <c r="I587" i="8" s="1"/>
  <c r="I611" i="8" s="1"/>
  <c r="G436" i="8"/>
  <c r="G460" i="8" s="1"/>
  <c r="G484" i="8" s="1"/>
  <c r="G508" i="8" s="1"/>
  <c r="G532" i="8" s="1"/>
  <c r="G556" i="8" s="1"/>
  <c r="G580" i="8" s="1"/>
  <c r="G604" i="8" s="1"/>
  <c r="I346" i="8"/>
  <c r="I370" i="8" s="1"/>
  <c r="I394" i="8" s="1"/>
  <c r="I418" i="8" s="1"/>
  <c r="I442" i="8" s="1"/>
  <c r="I466" i="8" s="1"/>
  <c r="I490" i="8" s="1"/>
  <c r="I514" i="8" s="1"/>
  <c r="I538" i="8" s="1"/>
  <c r="I562" i="8" s="1"/>
  <c r="I586" i="8" s="1"/>
  <c r="I610" i="8" s="1"/>
  <c r="A512" i="8"/>
  <c r="H72" i="1" s="1"/>
  <c r="H32" i="1"/>
  <c r="M9" i="7"/>
  <c r="L9" i="7"/>
  <c r="R9" i="7"/>
  <c r="Q9" i="7"/>
  <c r="X9" i="7"/>
  <c r="W9" i="7"/>
  <c r="Z9" i="7"/>
  <c r="Y9" i="7"/>
  <c r="K9" i="7"/>
  <c r="N9" i="7"/>
  <c r="O9" i="7"/>
  <c r="P9" i="7"/>
  <c r="S9" i="7"/>
  <c r="T9" i="7"/>
  <c r="U9" i="7"/>
  <c r="V9" i="7"/>
  <c r="I9" i="7"/>
  <c r="H9" i="7"/>
  <c r="G9" i="7"/>
  <c r="F9" i="7"/>
  <c r="U61" i="8" l="1"/>
  <c r="T85" i="8"/>
  <c r="U59" i="8"/>
  <c r="T83" i="8"/>
  <c r="T104" i="8"/>
  <c r="U104" i="8" s="1"/>
  <c r="U80" i="8"/>
  <c r="U86" i="8"/>
  <c r="T110" i="8"/>
  <c r="T111" i="8"/>
  <c r="U111" i="8" s="1"/>
  <c r="U63" i="8"/>
  <c r="T100" i="8"/>
  <c r="U100" i="8" s="1"/>
  <c r="U76" i="8"/>
  <c r="T99" i="8"/>
  <c r="U75" i="8"/>
  <c r="H84" i="1"/>
  <c r="H79" i="1"/>
  <c r="H78" i="1"/>
  <c r="T91" i="8"/>
  <c r="U67" i="8"/>
  <c r="T102" i="8"/>
  <c r="U102" i="8" s="1"/>
  <c r="U78" i="8"/>
  <c r="H40" i="1"/>
  <c r="H50" i="1"/>
  <c r="T98" i="8"/>
  <c r="U74" i="8"/>
  <c r="H31" i="1"/>
  <c r="T101" i="8"/>
  <c r="U101" i="8" s="1"/>
  <c r="U77" i="8"/>
  <c r="U617" i="8"/>
  <c r="U113" i="8"/>
  <c r="U615" i="8"/>
  <c r="H41" i="1"/>
  <c r="H63" i="1"/>
  <c r="H67" i="1"/>
  <c r="H71" i="1"/>
  <c r="H42" i="1"/>
  <c r="H51" i="1"/>
  <c r="U616" i="8"/>
  <c r="U112" i="8"/>
  <c r="I67" i="1"/>
  <c r="I78" i="1"/>
  <c r="I79" i="1"/>
  <c r="I36" i="1"/>
  <c r="I81" i="1"/>
  <c r="I34" i="1"/>
  <c r="J17" i="1"/>
  <c r="J34" i="1" s="1"/>
  <c r="I71" i="1"/>
  <c r="I56" i="1"/>
  <c r="I74" i="1"/>
  <c r="I18" i="1"/>
  <c r="J15" i="1"/>
  <c r="J70" i="1" s="1"/>
  <c r="I16" i="1"/>
  <c r="I63" i="1"/>
  <c r="I50" i="1"/>
  <c r="I72" i="1"/>
  <c r="I31" i="1"/>
  <c r="J42" i="1"/>
  <c r="J41" i="1"/>
  <c r="I41" i="1"/>
  <c r="J68" i="1"/>
  <c r="J40" i="1"/>
  <c r="I87" i="1"/>
  <c r="I62" i="1"/>
  <c r="I51" i="1"/>
  <c r="I32" i="1"/>
  <c r="H62" i="1"/>
  <c r="I42" i="1"/>
  <c r="I68" i="1"/>
  <c r="H70" i="1"/>
  <c r="H87" i="1"/>
  <c r="I40" i="1"/>
  <c r="H68" i="1"/>
  <c r="I70" i="1"/>
  <c r="I57" i="1"/>
  <c r="I84" i="1"/>
  <c r="A513" i="8"/>
  <c r="A514" i="8" s="1"/>
  <c r="A515" i="8" s="1"/>
  <c r="A516" i="8" s="1"/>
  <c r="A517" i="8" s="1"/>
  <c r="A518" i="8" s="1"/>
  <c r="A519" i="8" s="1"/>
  <c r="A520" i="8" s="1"/>
  <c r="A521" i="8" s="1"/>
  <c r="A522" i="8" s="1"/>
  <c r="A523" i="8" s="1"/>
  <c r="A524" i="8" s="1"/>
  <c r="A525" i="8" s="1"/>
  <c r="A526" i="8" s="1"/>
  <c r="A527" i="8" s="1"/>
  <c r="A528" i="8" s="1"/>
  <c r="A529" i="8" s="1"/>
  <c r="A530" i="8" s="1"/>
  <c r="A531" i="8" s="1"/>
  <c r="A532" i="8" s="1"/>
  <c r="A533" i="8" s="1"/>
  <c r="A534" i="8" s="1"/>
  <c r="A535" i="8" s="1"/>
  <c r="A536" i="8" s="1"/>
  <c r="A537" i="8" s="1"/>
  <c r="A538" i="8" s="1"/>
  <c r="A539" i="8" s="1"/>
  <c r="A540" i="8" s="1"/>
  <c r="A541" i="8" s="1"/>
  <c r="A542" i="8" s="1"/>
  <c r="A543" i="8" s="1"/>
  <c r="A544" i="8" s="1"/>
  <c r="A545" i="8" s="1"/>
  <c r="A546" i="8" s="1"/>
  <c r="A547" i="8" s="1"/>
  <c r="A548" i="8" s="1"/>
  <c r="A549" i="8" s="1"/>
  <c r="A550" i="8" s="1"/>
  <c r="A551" i="8" s="1"/>
  <c r="A552" i="8" s="1"/>
  <c r="A553" i="8" s="1"/>
  <c r="A554" i="8" s="1"/>
  <c r="A555" i="8" s="1"/>
  <c r="A556" i="8" s="1"/>
  <c r="A557" i="8" s="1"/>
  <c r="A558" i="8" s="1"/>
  <c r="A559" i="8" s="1"/>
  <c r="A560" i="8" s="1"/>
  <c r="A561" i="8" s="1"/>
  <c r="A562" i="8" s="1"/>
  <c r="A563" i="8" s="1"/>
  <c r="A564" i="8" s="1"/>
  <c r="A565" i="8" s="1"/>
  <c r="A566" i="8" s="1"/>
  <c r="A567" i="8" s="1"/>
  <c r="A568" i="8" s="1"/>
  <c r="A569" i="8" s="1"/>
  <c r="A570" i="8" s="1"/>
  <c r="A571" i="8" s="1"/>
  <c r="A572" i="8" s="1"/>
  <c r="A573" i="8" s="1"/>
  <c r="A574" i="8" s="1"/>
  <c r="A575" i="8" s="1"/>
  <c r="A576" i="8" s="1"/>
  <c r="A577" i="8" s="1"/>
  <c r="A578" i="8" s="1"/>
  <c r="A579" i="8" s="1"/>
  <c r="A580" i="8" s="1"/>
  <c r="A581" i="8" s="1"/>
  <c r="A582" i="8" s="1"/>
  <c r="A583" i="8" s="1"/>
  <c r="A584" i="8" s="1"/>
  <c r="A585" i="8" s="1"/>
  <c r="A586" i="8" s="1"/>
  <c r="A587" i="8" s="1"/>
  <c r="A588" i="8" s="1"/>
  <c r="A589" i="8" s="1"/>
  <c r="A590" i="8" s="1"/>
  <c r="A591" i="8" s="1"/>
  <c r="A592" i="8" s="1"/>
  <c r="A593" i="8" s="1"/>
  <c r="A594" i="8" s="1"/>
  <c r="A595" i="8" s="1"/>
  <c r="A596" i="8" s="1"/>
  <c r="A597" i="8" s="1"/>
  <c r="A598" i="8" s="1"/>
  <c r="A599" i="8" s="1"/>
  <c r="A600" i="8" s="1"/>
  <c r="A601" i="8" s="1"/>
  <c r="A602" i="8" s="1"/>
  <c r="A603" i="8" s="1"/>
  <c r="A604" i="8" s="1"/>
  <c r="A605" i="8" s="1"/>
  <c r="A606" i="8" s="1"/>
  <c r="A607" i="8" s="1"/>
  <c r="A608" i="8" s="1"/>
  <c r="A609" i="8" s="1"/>
  <c r="A610" i="8" s="1"/>
  <c r="A611" i="8" s="1"/>
  <c r="A612" i="8" s="1"/>
  <c r="A613" i="8" s="1"/>
  <c r="A614" i="8" s="1"/>
  <c r="A615" i="8" s="1"/>
  <c r="A616" i="8" s="1"/>
  <c r="A617" i="8" s="1"/>
  <c r="A618" i="8" s="1"/>
  <c r="A619" i="8" s="1"/>
  <c r="A620" i="8" s="1"/>
  <c r="A621" i="8" s="1"/>
  <c r="A622" i="8" s="1"/>
  <c r="A623" i="8" s="1"/>
  <c r="A624" i="8" s="1"/>
  <c r="A625" i="8" s="1"/>
  <c r="A626" i="8" s="1"/>
  <c r="H57" i="1"/>
  <c r="H56" i="1"/>
  <c r="U614" i="8" l="1"/>
  <c r="U110" i="8"/>
  <c r="U83" i="8"/>
  <c r="T107" i="8"/>
  <c r="U107" i="8" s="1"/>
  <c r="U85" i="8"/>
  <c r="T109" i="8"/>
  <c r="U109" i="8" s="1"/>
  <c r="T115" i="8"/>
  <c r="U91" i="8"/>
  <c r="T122" i="8"/>
  <c r="U122" i="8" s="1"/>
  <c r="U98" i="8"/>
  <c r="U603" i="8"/>
  <c r="U99" i="8"/>
  <c r="J56" i="1"/>
  <c r="J79" i="1"/>
  <c r="J78" i="1"/>
  <c r="J74" i="1"/>
  <c r="J36" i="1"/>
  <c r="K17" i="1"/>
  <c r="K36" i="1" s="1"/>
  <c r="J71" i="1"/>
  <c r="J18" i="1"/>
  <c r="J81" i="1"/>
  <c r="J57" i="1"/>
  <c r="J63" i="1"/>
  <c r="J51" i="1"/>
  <c r="J62" i="1"/>
  <c r="J72" i="1"/>
  <c r="J84" i="1"/>
  <c r="J50" i="1"/>
  <c r="J87" i="1"/>
  <c r="J67" i="1"/>
  <c r="K15" i="1"/>
  <c r="J16" i="1"/>
  <c r="J31" i="1"/>
  <c r="J32" i="1"/>
  <c r="U619" i="8" l="1"/>
  <c r="U115" i="8"/>
  <c r="K78" i="1"/>
  <c r="K79" i="1"/>
  <c r="K81" i="1"/>
  <c r="K18" i="1"/>
  <c r="K34" i="1"/>
  <c r="L17" i="1"/>
  <c r="L18" i="1" s="1"/>
  <c r="K74" i="1"/>
  <c r="L15" i="1"/>
  <c r="K16" i="1"/>
  <c r="K32" i="1"/>
  <c r="K56" i="1"/>
  <c r="K62" i="1"/>
  <c r="K40" i="1"/>
  <c r="K72" i="1"/>
  <c r="K51" i="1"/>
  <c r="K50" i="1"/>
  <c r="K67" i="1"/>
  <c r="K87" i="1"/>
  <c r="K71" i="1"/>
  <c r="K42" i="1"/>
  <c r="K70" i="1"/>
  <c r="K57" i="1"/>
  <c r="K68" i="1"/>
  <c r="K84" i="1"/>
  <c r="K41" i="1"/>
  <c r="K63" i="1"/>
  <c r="K31" i="1"/>
  <c r="L34" i="1" l="1"/>
  <c r="L81" i="1"/>
  <c r="L74" i="1"/>
  <c r="L36" i="1"/>
  <c r="M17" i="1"/>
  <c r="L78" i="1"/>
  <c r="L79" i="1"/>
  <c r="M18" i="1"/>
  <c r="M81" i="1"/>
  <c r="M15" i="1"/>
  <c r="L16" i="1"/>
  <c r="L56" i="1"/>
  <c r="L72" i="1"/>
  <c r="L32" i="1"/>
  <c r="L57" i="1"/>
  <c r="L71" i="1"/>
  <c r="L31" i="1"/>
  <c r="L50" i="1"/>
  <c r="L67" i="1"/>
  <c r="L87" i="1"/>
  <c r="L84" i="1"/>
  <c r="L70" i="1"/>
  <c r="L41" i="1"/>
  <c r="L63" i="1"/>
  <c r="L42" i="1"/>
  <c r="L62" i="1"/>
  <c r="L51" i="1"/>
  <c r="L40" i="1"/>
  <c r="L68" i="1"/>
  <c r="N17" i="1"/>
  <c r="M74" i="1"/>
  <c r="M34" i="1"/>
  <c r="M36" i="1"/>
  <c r="M78" i="1" l="1"/>
  <c r="M79" i="1"/>
  <c r="N18" i="1"/>
  <c r="N81" i="1"/>
  <c r="N15" i="1"/>
  <c r="M16" i="1"/>
  <c r="M51" i="1"/>
  <c r="M57" i="1"/>
  <c r="M56" i="1"/>
  <c r="M68" i="1"/>
  <c r="M63" i="1"/>
  <c r="M50" i="1"/>
  <c r="M40" i="1"/>
  <c r="M84" i="1"/>
  <c r="M62" i="1"/>
  <c r="M70" i="1"/>
  <c r="M32" i="1"/>
  <c r="M71" i="1"/>
  <c r="M72" i="1"/>
  <c r="M42" i="1"/>
  <c r="M31" i="1"/>
  <c r="M87" i="1"/>
  <c r="M67" i="1"/>
  <c r="M41" i="1"/>
  <c r="N74" i="1"/>
  <c r="N36" i="1"/>
  <c r="N34" i="1"/>
  <c r="O17" i="1"/>
  <c r="P17" i="1" s="1"/>
  <c r="N78" i="1" l="1"/>
  <c r="N79" i="1"/>
  <c r="O15" i="1"/>
  <c r="N16" i="1"/>
  <c r="N72" i="1"/>
  <c r="N56" i="1"/>
  <c r="N67" i="1"/>
  <c r="N68" i="1"/>
  <c r="N51" i="1"/>
  <c r="N70" i="1"/>
  <c r="N50" i="1"/>
  <c r="N62" i="1"/>
  <c r="N42" i="1"/>
  <c r="N84" i="1"/>
  <c r="N63" i="1"/>
  <c r="N87" i="1"/>
  <c r="N71" i="1"/>
  <c r="N31" i="1"/>
  <c r="N41" i="1"/>
  <c r="N40" i="1"/>
  <c r="N57" i="1"/>
  <c r="N32" i="1"/>
  <c r="O78" i="1" l="1"/>
  <c r="O79" i="1"/>
  <c r="P15" i="1"/>
  <c r="O16" i="1"/>
  <c r="O31" i="1"/>
  <c r="O63" i="1"/>
  <c r="O68" i="1"/>
  <c r="O51" i="1"/>
  <c r="O70" i="1"/>
  <c r="O40" i="1"/>
  <c r="O72" i="1"/>
  <c r="O41" i="1"/>
  <c r="O67" i="1"/>
  <c r="O87" i="1"/>
  <c r="O56" i="1"/>
  <c r="O84" i="1"/>
  <c r="O42" i="1"/>
  <c r="O50" i="1"/>
  <c r="O62" i="1"/>
  <c r="O57" i="1"/>
  <c r="O71" i="1"/>
  <c r="O32" i="1"/>
  <c r="P78" i="1" l="1"/>
  <c r="P79" i="1"/>
  <c r="Q15" i="1"/>
  <c r="P16" i="1"/>
  <c r="P84" i="1"/>
  <c r="P40" i="1"/>
  <c r="P72" i="1"/>
  <c r="P51" i="1"/>
  <c r="P70" i="1"/>
  <c r="P56" i="1"/>
  <c r="P62" i="1"/>
  <c r="P32" i="1"/>
  <c r="P41" i="1"/>
  <c r="P71" i="1"/>
  <c r="P31" i="1"/>
  <c r="P50" i="1"/>
  <c r="P67" i="1"/>
  <c r="P68" i="1"/>
  <c r="P87" i="1"/>
  <c r="P57" i="1"/>
  <c r="P63" i="1"/>
  <c r="P42" i="1"/>
  <c r="Q78" i="1" l="1"/>
  <c r="Q79" i="1"/>
  <c r="R15" i="1"/>
  <c r="Q16" i="1"/>
  <c r="Q67" i="1"/>
  <c r="Q62" i="1"/>
  <c r="Q84" i="1"/>
  <c r="Q57" i="1"/>
  <c r="Q70" i="1"/>
  <c r="Q56" i="1"/>
  <c r="Q63" i="1"/>
  <c r="Q42" i="1"/>
  <c r="Q40" i="1"/>
  <c r="Q72" i="1"/>
  <c r="Q68" i="1"/>
  <c r="Q71" i="1"/>
  <c r="Q31" i="1"/>
  <c r="Q32" i="1"/>
  <c r="Q41" i="1"/>
  <c r="Q50" i="1"/>
  <c r="Q51" i="1"/>
  <c r="Q87" i="1"/>
  <c r="R78" i="1" l="1"/>
  <c r="R79" i="1"/>
  <c r="S15" i="1"/>
  <c r="R16" i="1"/>
  <c r="R41" i="1"/>
  <c r="R71" i="1"/>
  <c r="R51" i="1"/>
  <c r="R50" i="1"/>
  <c r="R63" i="1"/>
  <c r="R70" i="1"/>
  <c r="R40" i="1"/>
  <c r="R56" i="1"/>
  <c r="R57" i="1"/>
  <c r="R67" i="1"/>
  <c r="R84" i="1"/>
  <c r="R32" i="1"/>
  <c r="R62" i="1"/>
  <c r="R72" i="1"/>
  <c r="R87" i="1"/>
  <c r="R31" i="1"/>
  <c r="R68" i="1"/>
  <c r="R42" i="1"/>
  <c r="S79" i="1" l="1"/>
  <c r="S78" i="1"/>
  <c r="T15" i="1"/>
  <c r="S16" i="1"/>
  <c r="S41" i="1"/>
  <c r="S62" i="1"/>
  <c r="S71" i="1"/>
  <c r="S72" i="1"/>
  <c r="S70" i="1"/>
  <c r="S57" i="1"/>
  <c r="S50" i="1"/>
  <c r="S87" i="1"/>
  <c r="S31" i="1"/>
  <c r="S68" i="1"/>
  <c r="S40" i="1"/>
  <c r="S56" i="1"/>
  <c r="S42" i="1"/>
  <c r="S32" i="1"/>
  <c r="S84" i="1"/>
  <c r="S51" i="1"/>
  <c r="S67" i="1"/>
  <c r="S63" i="1"/>
  <c r="T79" i="1" l="1"/>
  <c r="T78" i="1"/>
  <c r="U15" i="1"/>
  <c r="T16" i="1"/>
  <c r="T56" i="1"/>
  <c r="T57" i="1"/>
  <c r="T40" i="1"/>
  <c r="T87" i="1"/>
  <c r="T71" i="1"/>
  <c r="T51" i="1"/>
  <c r="T72" i="1"/>
  <c r="T70" i="1"/>
  <c r="T50" i="1"/>
  <c r="T63" i="1"/>
  <c r="T68" i="1"/>
  <c r="T42" i="1"/>
  <c r="T41" i="1"/>
  <c r="T84" i="1"/>
  <c r="T67" i="1"/>
  <c r="T31" i="1"/>
  <c r="T32" i="1"/>
  <c r="T62" i="1"/>
  <c r="U79" i="1" l="1"/>
  <c r="U78" i="1"/>
  <c r="V15" i="1"/>
  <c r="U16" i="1"/>
  <c r="U42" i="1"/>
  <c r="U63" i="1"/>
  <c r="U31" i="1"/>
  <c r="U68" i="1"/>
  <c r="U62" i="1"/>
  <c r="U41" i="1"/>
  <c r="U40" i="1"/>
  <c r="U70" i="1"/>
  <c r="U67" i="1"/>
  <c r="U72" i="1"/>
  <c r="U50" i="1"/>
  <c r="U84" i="1"/>
  <c r="U32" i="1"/>
  <c r="U71" i="1"/>
  <c r="U57" i="1"/>
  <c r="U56" i="1"/>
  <c r="U51" i="1"/>
  <c r="U87" i="1"/>
  <c r="V78" i="1" l="1"/>
  <c r="V79" i="1"/>
  <c r="W15" i="1"/>
  <c r="V16" i="1"/>
  <c r="V63" i="1"/>
  <c r="V72" i="1"/>
  <c r="V32" i="1"/>
  <c r="V62" i="1"/>
  <c r="V41" i="1"/>
  <c r="V84" i="1"/>
  <c r="V57" i="1"/>
  <c r="V50" i="1"/>
  <c r="V42" i="1"/>
  <c r="V67" i="1"/>
  <c r="V40" i="1"/>
  <c r="V56" i="1"/>
  <c r="V71" i="1"/>
  <c r="V51" i="1"/>
  <c r="V31" i="1"/>
  <c r="V70" i="1"/>
  <c r="V87" i="1"/>
  <c r="V68" i="1"/>
  <c r="W79" i="1" l="1"/>
  <c r="W78" i="1"/>
  <c r="X15" i="1"/>
  <c r="W16" i="1"/>
  <c r="W63" i="1"/>
  <c r="W31" i="1"/>
  <c r="W70" i="1"/>
  <c r="W87" i="1"/>
  <c r="W42" i="1"/>
  <c r="W51" i="1"/>
  <c r="W71" i="1"/>
  <c r="W62" i="1"/>
  <c r="W84" i="1"/>
  <c r="W50" i="1"/>
  <c r="W56" i="1"/>
  <c r="W32" i="1"/>
  <c r="W67" i="1"/>
  <c r="W72" i="1"/>
  <c r="W41" i="1"/>
  <c r="W40" i="1"/>
  <c r="W68" i="1"/>
  <c r="W57" i="1"/>
  <c r="X79" i="1" l="1"/>
  <c r="X78" i="1"/>
  <c r="Y15" i="1"/>
  <c r="X16" i="1"/>
  <c r="X87" i="1"/>
  <c r="X51" i="1"/>
  <c r="X71" i="1"/>
  <c r="X32" i="1"/>
  <c r="X56" i="1"/>
  <c r="X70" i="1"/>
  <c r="X41" i="1"/>
  <c r="X63" i="1"/>
  <c r="X50" i="1"/>
  <c r="X84" i="1"/>
  <c r="X40" i="1"/>
  <c r="X68" i="1"/>
  <c r="X62" i="1"/>
  <c r="X31" i="1"/>
  <c r="X42" i="1"/>
  <c r="X67" i="1"/>
  <c r="X57" i="1"/>
  <c r="X72" i="1"/>
  <c r="Y78" i="1" l="1"/>
  <c r="Y79" i="1"/>
  <c r="Z15" i="1"/>
  <c r="Y16" i="1"/>
  <c r="Y63" i="1"/>
  <c r="Y32" i="1"/>
  <c r="Y71" i="1"/>
  <c r="Y42" i="1"/>
  <c r="Y41" i="1"/>
  <c r="Y84" i="1"/>
  <c r="Y56" i="1"/>
  <c r="Y67" i="1"/>
  <c r="Y57" i="1"/>
  <c r="Y68" i="1"/>
  <c r="Y50" i="1"/>
  <c r="Y72" i="1"/>
  <c r="Y70" i="1"/>
  <c r="Y62" i="1"/>
  <c r="Y31" i="1"/>
  <c r="Y40" i="1"/>
  <c r="Y51" i="1"/>
  <c r="Y87" i="1"/>
  <c r="Z79" i="1" l="1"/>
  <c r="Z78" i="1"/>
  <c r="AA15" i="1"/>
  <c r="Z16" i="1"/>
  <c r="Z32" i="1"/>
  <c r="Z71" i="1"/>
  <c r="Z57" i="1"/>
  <c r="Z41" i="1"/>
  <c r="Z40" i="1"/>
  <c r="Z67" i="1"/>
  <c r="Z70" i="1"/>
  <c r="Z31" i="1"/>
  <c r="Z87" i="1"/>
  <c r="Z62" i="1"/>
  <c r="Z84" i="1"/>
  <c r="Z56" i="1"/>
  <c r="Z51" i="1"/>
  <c r="Z42" i="1"/>
  <c r="Z72" i="1"/>
  <c r="Z63" i="1"/>
  <c r="Z68" i="1"/>
  <c r="Z50" i="1"/>
  <c r="AA78" i="1" l="1"/>
  <c r="AA79" i="1"/>
  <c r="AB15" i="1"/>
  <c r="AA16" i="1"/>
  <c r="AA63" i="1"/>
  <c r="AA84" i="1"/>
  <c r="AA70" i="1"/>
  <c r="AA41" i="1"/>
  <c r="AA57" i="1"/>
  <c r="AA62" i="1"/>
  <c r="AA50" i="1"/>
  <c r="AA71" i="1"/>
  <c r="AA87" i="1"/>
  <c r="AA68" i="1"/>
  <c r="AA67" i="1"/>
  <c r="AA51" i="1"/>
  <c r="AA32" i="1"/>
  <c r="AA42" i="1"/>
  <c r="AA56" i="1"/>
  <c r="AA40" i="1"/>
  <c r="AA72" i="1"/>
  <c r="AA31" i="1"/>
  <c r="AB79" i="1" l="1"/>
  <c r="AB78" i="1"/>
  <c r="AC15" i="1"/>
  <c r="AB16" i="1"/>
  <c r="AB40" i="1"/>
  <c r="AB71" i="1"/>
  <c r="AB68" i="1"/>
  <c r="AB50" i="1"/>
  <c r="AB57" i="1"/>
  <c r="AB32" i="1"/>
  <c r="AB70" i="1"/>
  <c r="AB67" i="1"/>
  <c r="AB51" i="1"/>
  <c r="AB87" i="1"/>
  <c r="AB62" i="1"/>
  <c r="AB72" i="1"/>
  <c r="AB84" i="1"/>
  <c r="AB63" i="1"/>
  <c r="AB56" i="1"/>
  <c r="AB42" i="1"/>
  <c r="AB31" i="1"/>
  <c r="AB41" i="1"/>
  <c r="AC78" i="1" l="1"/>
  <c r="AC79" i="1"/>
  <c r="AD15" i="1"/>
  <c r="AC16" i="1"/>
  <c r="AC31" i="1"/>
  <c r="AC67" i="1"/>
  <c r="AC40" i="1"/>
  <c r="AC63" i="1"/>
  <c r="AC57" i="1"/>
  <c r="AC51" i="1"/>
  <c r="AC32" i="1"/>
  <c r="AC70" i="1"/>
  <c r="AC62" i="1"/>
  <c r="AC42" i="1"/>
  <c r="AC84" i="1"/>
  <c r="AC41" i="1"/>
  <c r="AC72" i="1"/>
  <c r="AC56" i="1"/>
  <c r="AC87" i="1"/>
  <c r="AC50" i="1"/>
  <c r="AC68" i="1"/>
  <c r="AC71" i="1"/>
  <c r="AD79" i="1" l="1"/>
  <c r="AD78" i="1"/>
  <c r="AE15" i="1"/>
  <c r="AD16" i="1"/>
  <c r="AD71" i="1"/>
  <c r="AD67" i="1"/>
  <c r="AD87" i="1"/>
  <c r="AD31" i="1"/>
  <c r="AD56" i="1"/>
  <c r="AD51" i="1"/>
  <c r="AD57" i="1"/>
  <c r="AD50" i="1"/>
  <c r="AD72" i="1"/>
  <c r="AD70" i="1"/>
  <c r="AD62" i="1"/>
  <c r="AD32" i="1"/>
  <c r="AD40" i="1"/>
  <c r="AD68" i="1"/>
  <c r="AD84" i="1"/>
  <c r="AD42" i="1"/>
  <c r="AD63" i="1"/>
  <c r="AD41" i="1"/>
  <c r="AE79" i="1" l="1"/>
  <c r="AE78" i="1"/>
  <c r="AF15" i="1"/>
  <c r="AE16" i="1"/>
  <c r="AE72" i="1"/>
  <c r="AE70" i="1"/>
  <c r="AE31" i="1"/>
  <c r="AE41" i="1"/>
  <c r="AE32" i="1"/>
  <c r="AE68" i="1"/>
  <c r="AE51" i="1"/>
  <c r="AE62" i="1"/>
  <c r="AE67" i="1"/>
  <c r="AE42" i="1"/>
  <c r="AE84" i="1"/>
  <c r="AE87" i="1"/>
  <c r="AA11" i="7" s="1" a="1"/>
  <c r="AE40" i="1"/>
  <c r="AE50" i="1"/>
  <c r="AE57" i="1"/>
  <c r="AE56" i="1"/>
  <c r="AE63" i="1"/>
  <c r="AE71" i="1"/>
  <c r="AF78" i="1" l="1"/>
  <c r="AF79" i="1"/>
  <c r="AA11" i="7"/>
  <c r="AB15" i="7"/>
  <c r="AB26" i="7"/>
  <c r="AB19" i="7"/>
  <c r="AB34" i="7"/>
  <c r="AB12" i="7"/>
  <c r="AB20" i="7"/>
  <c r="AB23" i="7"/>
  <c r="AB27" i="7"/>
  <c r="AB31" i="7"/>
  <c r="AB21" i="7"/>
  <c r="AB29" i="7"/>
  <c r="AB13" i="7"/>
  <c r="AB14" i="7"/>
  <c r="AB18" i="7"/>
  <c r="AB24" i="7"/>
  <c r="AB16" i="7"/>
  <c r="AB17" i="7"/>
  <c r="AB30" i="7"/>
  <c r="AB33" i="7"/>
  <c r="AB25" i="7"/>
  <c r="AB32" i="7"/>
  <c r="AB28" i="7"/>
  <c r="AB22" i="7"/>
  <c r="H69" i="1"/>
  <c r="H52" i="1"/>
  <c r="H43" i="1"/>
  <c r="H58" i="1"/>
  <c r="AG15" i="1"/>
  <c r="AF16" i="1"/>
  <c r="AF72" i="1"/>
  <c r="AF84" i="1"/>
  <c r="AF31" i="1"/>
  <c r="AF57" i="1"/>
  <c r="AF41" i="1"/>
  <c r="AF68" i="1"/>
  <c r="AF62" i="1"/>
  <c r="AF32" i="1"/>
  <c r="AF40" i="1"/>
  <c r="AF71" i="1"/>
  <c r="AF50" i="1"/>
  <c r="AF70" i="1"/>
  <c r="AF51" i="1"/>
  <c r="AF87" i="1"/>
  <c r="AF42" i="1"/>
  <c r="AF63" i="1"/>
  <c r="AF67" i="1"/>
  <c r="AF56" i="1"/>
  <c r="AG78" i="1" l="1"/>
  <c r="AG79" i="1"/>
  <c r="AH15" i="1"/>
  <c r="AG16" i="1"/>
  <c r="AG63" i="1"/>
  <c r="AG41" i="1"/>
  <c r="AG32" i="1"/>
  <c r="AG56" i="1"/>
  <c r="AG50" i="1"/>
  <c r="AG31" i="1"/>
  <c r="AG68" i="1"/>
  <c r="AG87" i="1"/>
  <c r="AG71" i="1"/>
  <c r="AG67" i="1"/>
  <c r="AG62" i="1"/>
  <c r="AG42" i="1"/>
  <c r="AG72" i="1"/>
  <c r="AG51" i="1"/>
  <c r="AG40" i="1"/>
  <c r="AG57" i="1"/>
  <c r="AG70" i="1"/>
  <c r="AG84" i="1"/>
  <c r="AA9" i="7"/>
  <c r="AB11" i="7"/>
  <c r="AB9" i="7" s="1"/>
  <c r="AH78" i="1" l="1"/>
  <c r="AH79" i="1"/>
  <c r="AI15" i="1"/>
  <c r="AH16" i="1"/>
  <c r="AH70" i="1"/>
  <c r="AH41" i="1"/>
  <c r="AH56" i="1"/>
  <c r="AH40" i="1"/>
  <c r="AH51" i="1"/>
  <c r="AH32" i="1"/>
  <c r="AH63" i="1"/>
  <c r="AH50" i="1"/>
  <c r="AH72" i="1"/>
  <c r="AH62" i="1"/>
  <c r="AH71" i="1"/>
  <c r="AH68" i="1"/>
  <c r="AH57" i="1"/>
  <c r="AH67" i="1"/>
  <c r="AH31" i="1"/>
  <c r="AH84" i="1"/>
  <c r="AH87" i="1"/>
  <c r="AH42" i="1"/>
  <c r="AI78" i="1" l="1"/>
  <c r="AI79" i="1"/>
  <c r="AJ15" i="1"/>
  <c r="AI16" i="1"/>
  <c r="AI62" i="1"/>
  <c r="AI51" i="1"/>
  <c r="AI71" i="1"/>
  <c r="AI41" i="1"/>
  <c r="AI32" i="1"/>
  <c r="AI31" i="1"/>
  <c r="AI67" i="1"/>
  <c r="AI42" i="1"/>
  <c r="AI84" i="1"/>
  <c r="AI87" i="1"/>
  <c r="AI63" i="1"/>
  <c r="AI56" i="1"/>
  <c r="AI50" i="1"/>
  <c r="AI68" i="1"/>
  <c r="AI70" i="1"/>
  <c r="AI72" i="1"/>
  <c r="AI40" i="1"/>
  <c r="AI57" i="1"/>
  <c r="AJ78" i="1" l="1"/>
  <c r="AJ79" i="1"/>
  <c r="AK15" i="1"/>
  <c r="AJ16" i="1"/>
  <c r="AJ41" i="1"/>
  <c r="AJ50" i="1"/>
  <c r="AJ42" i="1"/>
  <c r="AJ72" i="1"/>
  <c r="AJ56" i="1"/>
  <c r="AJ87" i="1"/>
  <c r="AJ32" i="1"/>
  <c r="AJ40" i="1"/>
  <c r="AJ57" i="1"/>
  <c r="AJ68" i="1"/>
  <c r="AJ67" i="1"/>
  <c r="AJ71" i="1"/>
  <c r="AJ31" i="1"/>
  <c r="AJ51" i="1"/>
  <c r="AJ63" i="1"/>
  <c r="AJ70" i="1"/>
  <c r="AJ84" i="1"/>
  <c r="AJ62" i="1"/>
  <c r="AK78" i="1" l="1"/>
  <c r="AK79" i="1"/>
  <c r="AL15" i="1"/>
  <c r="AK16" i="1"/>
  <c r="AK42" i="1"/>
  <c r="AK32" i="1"/>
  <c r="AK62" i="1"/>
  <c r="AK51" i="1"/>
  <c r="AK57" i="1"/>
  <c r="AK31" i="1"/>
  <c r="AK68" i="1"/>
  <c r="AK87" i="1"/>
  <c r="AK70" i="1"/>
  <c r="AK71" i="1"/>
  <c r="AK40" i="1"/>
  <c r="AK41" i="1"/>
  <c r="AK84" i="1"/>
  <c r="AK63" i="1"/>
  <c r="AK50" i="1"/>
  <c r="AK72" i="1"/>
  <c r="AK56" i="1"/>
  <c r="AK67" i="1"/>
  <c r="AL79" i="1" l="1"/>
  <c r="AL78" i="1"/>
  <c r="AM15" i="1"/>
  <c r="AL16" i="1"/>
  <c r="AL42" i="1"/>
  <c r="AL31" i="1"/>
  <c r="AL87" i="1"/>
  <c r="AL51" i="1"/>
  <c r="AL56" i="1"/>
  <c r="AL40" i="1"/>
  <c r="AL67" i="1"/>
  <c r="AL84" i="1"/>
  <c r="AL72" i="1"/>
  <c r="AL50" i="1"/>
  <c r="AL68" i="1"/>
  <c r="AL57" i="1"/>
  <c r="AL63" i="1"/>
  <c r="AL32" i="1"/>
  <c r="AL41" i="1"/>
  <c r="AL62" i="1"/>
  <c r="AL70" i="1"/>
  <c r="AL71" i="1"/>
  <c r="AM78" i="1" l="1"/>
  <c r="AM79" i="1"/>
  <c r="AN15" i="1"/>
  <c r="AM16" i="1"/>
  <c r="AM68" i="1"/>
  <c r="AM42" i="1"/>
  <c r="AM50" i="1"/>
  <c r="AM51" i="1"/>
  <c r="AM31" i="1"/>
  <c r="AM56" i="1"/>
  <c r="AM84" i="1"/>
  <c r="AM40" i="1"/>
  <c r="AM62" i="1"/>
  <c r="AM70" i="1"/>
  <c r="AM57" i="1"/>
  <c r="AM72" i="1"/>
  <c r="AM63" i="1"/>
  <c r="AM71" i="1"/>
  <c r="AM87" i="1"/>
  <c r="AM41" i="1"/>
  <c r="AM67" i="1"/>
  <c r="AM32" i="1"/>
  <c r="AN79" i="1" l="1"/>
  <c r="AN78" i="1"/>
  <c r="AO15" i="1"/>
  <c r="AN16" i="1"/>
  <c r="AN41" i="1"/>
  <c r="AN40" i="1"/>
  <c r="AN57" i="1"/>
  <c r="AN50" i="1"/>
  <c r="AN72" i="1"/>
  <c r="AN62" i="1"/>
  <c r="AN32" i="1"/>
  <c r="AN31" i="1"/>
  <c r="AN84" i="1"/>
  <c r="AN42" i="1"/>
  <c r="AN51" i="1"/>
  <c r="AN87" i="1"/>
  <c r="AN67" i="1"/>
  <c r="AN56" i="1"/>
  <c r="AN63" i="1"/>
  <c r="AN70" i="1"/>
  <c r="AN71" i="1"/>
  <c r="AN68" i="1"/>
  <c r="AO79" i="1" l="1"/>
  <c r="AO78" i="1"/>
  <c r="AP15" i="1"/>
  <c r="AO16" i="1"/>
  <c r="AO42" i="1"/>
  <c r="AO50" i="1"/>
  <c r="AO87" i="1"/>
  <c r="AO72" i="1"/>
  <c r="AO31" i="1"/>
  <c r="AO32" i="1"/>
  <c r="AO40" i="1"/>
  <c r="AO63" i="1"/>
  <c r="AO68" i="1"/>
  <c r="AO41" i="1"/>
  <c r="AO56" i="1"/>
  <c r="AO70" i="1"/>
  <c r="AO51" i="1"/>
  <c r="AO67" i="1"/>
  <c r="AO84" i="1"/>
  <c r="AO71" i="1"/>
  <c r="AO62" i="1"/>
  <c r="AO57" i="1"/>
  <c r="AP79" i="1" l="1"/>
  <c r="AP78" i="1"/>
  <c r="AQ15" i="1"/>
  <c r="AP16" i="1"/>
  <c r="AP67" i="1"/>
  <c r="AP70" i="1"/>
  <c r="AP50" i="1"/>
  <c r="AP72" i="1"/>
  <c r="AP41" i="1"/>
  <c r="AP40" i="1"/>
  <c r="AP32" i="1"/>
  <c r="AP62" i="1"/>
  <c r="AP51" i="1"/>
  <c r="AP71" i="1"/>
  <c r="AP68" i="1"/>
  <c r="AP56" i="1"/>
  <c r="AP57" i="1"/>
  <c r="AP87" i="1"/>
  <c r="AP42" i="1"/>
  <c r="AP84" i="1"/>
  <c r="AP63" i="1"/>
  <c r="AP31" i="1"/>
  <c r="AQ79" i="1" l="1"/>
  <c r="AQ78" i="1"/>
  <c r="AR15" i="1"/>
  <c r="AQ16" i="1"/>
  <c r="AQ67" i="1"/>
  <c r="AQ40" i="1"/>
  <c r="AQ42" i="1"/>
  <c r="AQ51" i="1"/>
  <c r="AQ68" i="1"/>
  <c r="AQ72" i="1"/>
  <c r="AQ87" i="1"/>
  <c r="AQ71" i="1"/>
  <c r="AQ57" i="1"/>
  <c r="AQ63" i="1"/>
  <c r="AQ31" i="1"/>
  <c r="AQ84" i="1"/>
  <c r="AQ62" i="1"/>
  <c r="AQ32" i="1"/>
  <c r="AQ56" i="1"/>
  <c r="AQ50" i="1"/>
  <c r="AQ70" i="1"/>
  <c r="AQ41" i="1"/>
  <c r="AR78" i="1" l="1"/>
  <c r="AR79" i="1"/>
  <c r="AS15" i="1"/>
  <c r="AR16" i="1"/>
  <c r="AR32" i="1"/>
  <c r="AR84" i="1"/>
  <c r="AR72" i="1"/>
  <c r="AR51" i="1"/>
  <c r="AR67" i="1"/>
  <c r="AR71" i="1"/>
  <c r="AR50" i="1"/>
  <c r="AR41" i="1"/>
  <c r="AR31" i="1"/>
  <c r="AR63" i="1"/>
  <c r="AR40" i="1"/>
  <c r="AR70" i="1"/>
  <c r="AR87" i="1"/>
  <c r="AR56" i="1"/>
  <c r="AR42" i="1"/>
  <c r="AR62" i="1"/>
  <c r="AR68" i="1"/>
  <c r="AR57" i="1"/>
  <c r="AS78" i="1" l="1"/>
  <c r="AS79" i="1"/>
  <c r="AT15" i="1"/>
  <c r="AS16" i="1"/>
  <c r="AS31" i="1"/>
  <c r="AS72" i="1"/>
  <c r="AS84" i="1"/>
  <c r="AS40" i="1"/>
  <c r="AS63" i="1"/>
  <c r="AS62" i="1"/>
  <c r="AS50" i="1"/>
  <c r="AS41" i="1"/>
  <c r="AS71" i="1"/>
  <c r="AS68" i="1"/>
  <c r="AS67" i="1"/>
  <c r="AS87" i="1"/>
  <c r="AS42" i="1"/>
  <c r="AS51" i="1"/>
  <c r="AS70" i="1"/>
  <c r="AS32" i="1"/>
  <c r="AS57" i="1"/>
  <c r="AS56" i="1"/>
  <c r="AT79" i="1" l="1"/>
  <c r="AT78" i="1"/>
  <c r="AU15" i="1"/>
  <c r="AT16" i="1"/>
  <c r="AT32" i="1"/>
  <c r="AT56" i="1"/>
  <c r="AT87" i="1"/>
  <c r="AT31" i="1"/>
  <c r="AT68" i="1"/>
  <c r="AT67" i="1"/>
  <c r="AT70" i="1"/>
  <c r="AT51" i="1"/>
  <c r="AT40" i="1"/>
  <c r="AT84" i="1"/>
  <c r="AT42" i="1"/>
  <c r="AT63" i="1"/>
  <c r="AT57" i="1"/>
  <c r="AT50" i="1"/>
  <c r="AT72" i="1"/>
  <c r="AT62" i="1"/>
  <c r="AT41" i="1"/>
  <c r="AT71" i="1"/>
  <c r="AU78" i="1" l="1"/>
  <c r="AU79" i="1"/>
  <c r="AV15" i="1"/>
  <c r="AU16" i="1"/>
  <c r="AU57" i="1"/>
  <c r="AU40" i="1"/>
  <c r="AU31" i="1"/>
  <c r="AU84" i="1"/>
  <c r="AU32" i="1"/>
  <c r="AU62" i="1"/>
  <c r="AU63" i="1"/>
  <c r="AU50" i="1"/>
  <c r="AU67" i="1"/>
  <c r="AU42" i="1"/>
  <c r="AU72" i="1"/>
  <c r="AU56" i="1"/>
  <c r="AU41" i="1"/>
  <c r="AU87" i="1"/>
  <c r="AU51" i="1"/>
  <c r="AU68" i="1"/>
  <c r="AU71" i="1"/>
  <c r="AU70" i="1"/>
  <c r="AV79" i="1" l="1"/>
  <c r="AV78" i="1"/>
  <c r="AW15" i="1"/>
  <c r="AV16" i="1"/>
  <c r="AV41" i="1"/>
  <c r="AV51" i="1"/>
  <c r="AV67" i="1"/>
  <c r="AV62" i="1"/>
  <c r="AV72" i="1"/>
  <c r="AV32" i="1"/>
  <c r="AV42" i="1"/>
  <c r="AV87" i="1"/>
  <c r="AV40" i="1"/>
  <c r="AV71" i="1"/>
  <c r="AV68" i="1"/>
  <c r="AV31" i="1"/>
  <c r="AV57" i="1"/>
  <c r="AV50" i="1"/>
  <c r="AV70" i="1"/>
  <c r="AV84" i="1"/>
  <c r="AV56" i="1"/>
  <c r="AV63" i="1"/>
  <c r="AW79" i="1" l="1"/>
  <c r="AW78" i="1"/>
  <c r="AX15" i="1"/>
  <c r="AW16" i="1"/>
  <c r="AW51" i="1"/>
  <c r="AW72" i="1"/>
  <c r="AW67" i="1"/>
  <c r="AW62" i="1"/>
  <c r="AW50" i="1"/>
  <c r="AW68" i="1"/>
  <c r="AW56" i="1"/>
  <c r="AW32" i="1"/>
  <c r="AW63" i="1"/>
  <c r="AW41" i="1"/>
  <c r="AW71" i="1"/>
  <c r="AW40" i="1"/>
  <c r="AW70" i="1"/>
  <c r="AW84" i="1"/>
  <c r="AW31" i="1"/>
  <c r="AW87" i="1"/>
  <c r="AW42" i="1"/>
  <c r="AW57" i="1"/>
  <c r="AX79" i="1" l="1"/>
  <c r="AX78" i="1"/>
  <c r="AY15" i="1"/>
  <c r="AX16" i="1"/>
  <c r="AX41" i="1"/>
  <c r="AX32" i="1"/>
  <c r="AX50" i="1"/>
  <c r="AX68" i="1"/>
  <c r="AX57" i="1"/>
  <c r="AX67" i="1"/>
  <c r="AX72" i="1"/>
  <c r="AX31" i="1"/>
  <c r="AX84" i="1"/>
  <c r="AX63" i="1"/>
  <c r="AX87" i="1"/>
  <c r="AX42" i="1"/>
  <c r="AX71" i="1"/>
  <c r="AX56" i="1"/>
  <c r="AX51" i="1"/>
  <c r="AX40" i="1"/>
  <c r="AX70" i="1"/>
  <c r="AX62" i="1"/>
  <c r="AY78" i="1" l="1"/>
  <c r="AY79" i="1"/>
  <c r="AZ15" i="1"/>
  <c r="AY16" i="1"/>
  <c r="AY67" i="1"/>
  <c r="AY32" i="1"/>
  <c r="AY51" i="1"/>
  <c r="AY40" i="1"/>
  <c r="AY68" i="1"/>
  <c r="AY50" i="1"/>
  <c r="AY71" i="1"/>
  <c r="AY63" i="1"/>
  <c r="AY42" i="1"/>
  <c r="AY31" i="1"/>
  <c r="AY70" i="1"/>
  <c r="AY72" i="1"/>
  <c r="AY62" i="1"/>
  <c r="AY87" i="1"/>
  <c r="AY41" i="1"/>
  <c r="AY84" i="1"/>
  <c r="AY56" i="1"/>
  <c r="AY57" i="1"/>
  <c r="AZ79" i="1" l="1"/>
  <c r="AZ78" i="1"/>
  <c r="BA15" i="1"/>
  <c r="AZ16" i="1"/>
  <c r="AZ68" i="1"/>
  <c r="AZ57" i="1"/>
  <c r="AZ50" i="1"/>
  <c r="AZ84" i="1"/>
  <c r="AZ63" i="1"/>
  <c r="AZ62" i="1"/>
  <c r="AZ42" i="1"/>
  <c r="AZ87" i="1"/>
  <c r="AZ41" i="1"/>
  <c r="AZ56" i="1"/>
  <c r="AZ40" i="1"/>
  <c r="AZ72" i="1"/>
  <c r="AZ32" i="1"/>
  <c r="AZ51" i="1"/>
  <c r="AZ67" i="1"/>
  <c r="AZ31" i="1"/>
  <c r="AZ70" i="1"/>
  <c r="AZ71" i="1"/>
  <c r="BA78" i="1" l="1"/>
  <c r="BA79" i="1"/>
  <c r="BB15" i="1"/>
  <c r="BA16" i="1"/>
  <c r="BA72" i="1"/>
  <c r="BA71" i="1"/>
  <c r="BA70" i="1"/>
  <c r="BA63" i="1"/>
  <c r="BA51" i="1"/>
  <c r="BA57" i="1"/>
  <c r="BA62" i="1"/>
  <c r="BA42" i="1"/>
  <c r="BA32" i="1"/>
  <c r="BA56" i="1"/>
  <c r="BA41" i="1"/>
  <c r="BA84" i="1"/>
  <c r="BA87" i="1"/>
  <c r="BA68" i="1"/>
  <c r="BA31" i="1"/>
  <c r="BA67" i="1"/>
  <c r="BA50" i="1"/>
  <c r="BA40" i="1"/>
  <c r="BB78" i="1" l="1"/>
  <c r="BB79" i="1"/>
  <c r="BC15" i="1"/>
  <c r="BB16" i="1"/>
  <c r="BB50" i="1"/>
  <c r="BB72" i="1"/>
  <c r="BB63" i="1"/>
  <c r="BB57" i="1"/>
  <c r="BB71" i="1"/>
  <c r="BB56" i="1"/>
  <c r="BB41" i="1"/>
  <c r="BB31" i="1"/>
  <c r="BB51" i="1"/>
  <c r="BB62" i="1"/>
  <c r="BB84" i="1"/>
  <c r="BB67" i="1"/>
  <c r="BB70" i="1"/>
  <c r="BB32" i="1"/>
  <c r="BB87" i="1"/>
  <c r="BB40" i="1"/>
  <c r="BB68" i="1"/>
  <c r="BB42" i="1"/>
  <c r="BC78" i="1" l="1"/>
  <c r="BC79" i="1"/>
  <c r="BD15" i="1"/>
  <c r="BC16" i="1"/>
  <c r="BC63" i="1"/>
  <c r="BC70" i="1"/>
  <c r="BC68" i="1"/>
  <c r="BC71" i="1"/>
  <c r="BC40" i="1"/>
  <c r="BC87" i="1"/>
  <c r="BC56" i="1"/>
  <c r="BC31" i="1"/>
  <c r="BC42" i="1"/>
  <c r="BC67" i="1"/>
  <c r="BC72" i="1"/>
  <c r="BC51" i="1"/>
  <c r="BC32" i="1"/>
  <c r="BC57" i="1"/>
  <c r="BC50" i="1"/>
  <c r="BC84" i="1"/>
  <c r="BC41" i="1"/>
  <c r="BC62" i="1"/>
  <c r="BD78" i="1" l="1"/>
  <c r="BD79" i="1"/>
  <c r="BE15" i="1"/>
  <c r="BD16" i="1"/>
  <c r="BD32" i="1"/>
  <c r="BD68" i="1"/>
  <c r="BD51" i="1"/>
  <c r="BD62" i="1"/>
  <c r="BD63" i="1"/>
  <c r="BD42" i="1"/>
  <c r="BD72" i="1"/>
  <c r="BD71" i="1"/>
  <c r="BD56" i="1"/>
  <c r="BD87" i="1"/>
  <c r="BD50" i="1"/>
  <c r="BD31" i="1"/>
  <c r="BD57" i="1"/>
  <c r="BD41" i="1"/>
  <c r="BD67" i="1"/>
  <c r="BD84" i="1"/>
  <c r="BD70" i="1"/>
  <c r="BD40" i="1"/>
  <c r="BE78" i="1" l="1"/>
  <c r="BE79" i="1"/>
  <c r="BF15" i="1"/>
  <c r="BE16" i="1"/>
  <c r="BE51" i="1"/>
  <c r="BE71" i="1"/>
  <c r="BE41" i="1"/>
  <c r="BE32" i="1"/>
  <c r="BE31" i="1"/>
  <c r="BE50" i="1"/>
  <c r="BE72" i="1"/>
  <c r="BE68" i="1"/>
  <c r="BE87" i="1"/>
  <c r="BE84" i="1"/>
  <c r="BE62" i="1"/>
  <c r="BE40" i="1"/>
  <c r="BE63" i="1"/>
  <c r="BE57" i="1"/>
  <c r="BE56" i="1"/>
  <c r="BE70" i="1"/>
  <c r="BE42" i="1"/>
  <c r="BE67" i="1"/>
  <c r="BF78" i="1" l="1"/>
  <c r="BF79" i="1"/>
  <c r="BG15" i="1"/>
  <c r="BF16" i="1"/>
  <c r="BF63" i="1"/>
  <c r="BF32" i="1"/>
  <c r="BF70" i="1"/>
  <c r="BF42" i="1"/>
  <c r="BF71" i="1"/>
  <c r="BF62" i="1"/>
  <c r="BF57" i="1"/>
  <c r="BF50" i="1"/>
  <c r="BF84" i="1"/>
  <c r="BF56" i="1"/>
  <c r="BF41" i="1"/>
  <c r="BF40" i="1"/>
  <c r="BF31" i="1"/>
  <c r="BF68" i="1"/>
  <c r="BF51" i="1"/>
  <c r="BF67" i="1"/>
  <c r="BF72" i="1"/>
  <c r="BF87" i="1"/>
  <c r="BG79" i="1" l="1"/>
  <c r="BG78" i="1"/>
  <c r="BH15" i="1"/>
  <c r="BG16" i="1"/>
  <c r="BG62" i="1"/>
  <c r="BG41" i="1"/>
  <c r="BG57" i="1"/>
  <c r="BG32" i="1"/>
  <c r="BG40" i="1"/>
  <c r="BG68" i="1"/>
  <c r="BG50" i="1"/>
  <c r="BG67" i="1"/>
  <c r="BG31" i="1"/>
  <c r="BG42" i="1"/>
  <c r="BG63" i="1"/>
  <c r="BG51" i="1"/>
  <c r="BG56" i="1"/>
  <c r="BG84" i="1"/>
  <c r="BG87" i="1"/>
  <c r="BG71" i="1"/>
  <c r="BG72" i="1"/>
  <c r="BG70" i="1"/>
  <c r="BH79" i="1" l="1"/>
  <c r="BH78" i="1"/>
  <c r="BI15" i="1"/>
  <c r="BH16" i="1"/>
  <c r="BH72" i="1"/>
  <c r="BH31" i="1"/>
  <c r="BH41" i="1"/>
  <c r="BH40" i="1"/>
  <c r="BH70" i="1"/>
  <c r="BH84" i="1"/>
  <c r="BH68" i="1"/>
  <c r="BH32" i="1"/>
  <c r="BH63" i="1"/>
  <c r="BH87" i="1"/>
  <c r="BH42" i="1"/>
  <c r="BH67" i="1"/>
  <c r="BH62" i="1"/>
  <c r="BH56" i="1"/>
  <c r="BH71" i="1"/>
  <c r="BH50" i="1"/>
  <c r="BH57" i="1"/>
  <c r="BH51" i="1"/>
  <c r="BI79" i="1" l="1"/>
  <c r="BI78" i="1"/>
  <c r="BJ15" i="1"/>
  <c r="BI16" i="1"/>
  <c r="BI62" i="1"/>
  <c r="BI63" i="1"/>
  <c r="BI31" i="1"/>
  <c r="BI50" i="1"/>
  <c r="BI41" i="1"/>
  <c r="BI87" i="1"/>
  <c r="BI40" i="1"/>
  <c r="BI42" i="1"/>
  <c r="BI67" i="1"/>
  <c r="BI57" i="1"/>
  <c r="BI84" i="1"/>
  <c r="BI51" i="1"/>
  <c r="BI56" i="1"/>
  <c r="BI71" i="1"/>
  <c r="BI32" i="1"/>
  <c r="BI72" i="1"/>
  <c r="BI68" i="1"/>
  <c r="BI70" i="1"/>
  <c r="BJ78" i="1" l="1"/>
  <c r="BJ79" i="1"/>
  <c r="BK15" i="1"/>
  <c r="BJ16" i="1"/>
  <c r="BJ56" i="1"/>
  <c r="BJ42" i="1"/>
  <c r="BJ71" i="1"/>
  <c r="BJ51" i="1"/>
  <c r="BJ84" i="1"/>
  <c r="BJ31" i="1"/>
  <c r="BJ62" i="1"/>
  <c r="BJ63" i="1"/>
  <c r="BJ68" i="1"/>
  <c r="BJ70" i="1"/>
  <c r="BJ41" i="1"/>
  <c r="BJ72" i="1"/>
  <c r="BJ50" i="1"/>
  <c r="BJ67" i="1"/>
  <c r="BJ87" i="1"/>
  <c r="BJ40" i="1"/>
  <c r="BJ32" i="1"/>
  <c r="BJ57" i="1"/>
  <c r="BK79" i="1" l="1"/>
  <c r="BK78" i="1"/>
  <c r="BL15" i="1"/>
  <c r="BK16" i="1"/>
  <c r="BK63" i="1"/>
  <c r="BK31" i="1"/>
  <c r="BK62" i="1"/>
  <c r="BK50" i="1"/>
  <c r="BK84" i="1"/>
  <c r="BK87" i="1"/>
  <c r="BK56" i="1"/>
  <c r="BK32" i="1"/>
  <c r="BK68" i="1"/>
  <c r="BK72" i="1"/>
  <c r="BK67" i="1"/>
  <c r="BK57" i="1"/>
  <c r="BK51" i="1"/>
  <c r="BK40" i="1"/>
  <c r="BK41" i="1"/>
  <c r="BK71" i="1"/>
  <c r="BK70" i="1"/>
  <c r="BK42" i="1"/>
  <c r="BL79" i="1" l="1"/>
  <c r="BL78" i="1"/>
  <c r="BM15" i="1"/>
  <c r="BL16" i="1"/>
  <c r="BL40" i="1"/>
  <c r="BL72" i="1"/>
  <c r="BL42" i="1"/>
  <c r="BL31" i="1"/>
  <c r="BL67" i="1"/>
  <c r="BL84" i="1"/>
  <c r="BL57" i="1"/>
  <c r="BL51" i="1"/>
  <c r="BL50" i="1"/>
  <c r="BL87" i="1"/>
  <c r="BL41" i="1"/>
  <c r="BL68" i="1"/>
  <c r="BL62" i="1"/>
  <c r="BL56" i="1"/>
  <c r="BL63" i="1"/>
  <c r="BL32" i="1"/>
  <c r="BL70" i="1"/>
  <c r="BL71" i="1"/>
  <c r="BM79" i="1" l="1"/>
  <c r="BM78" i="1"/>
  <c r="BN15" i="1"/>
  <c r="BM16" i="1"/>
  <c r="BM87" i="1"/>
  <c r="BM63" i="1"/>
  <c r="BM72" i="1"/>
  <c r="BM40" i="1"/>
  <c r="BM62" i="1"/>
  <c r="BM70" i="1"/>
  <c r="BM50" i="1"/>
  <c r="BM51" i="1"/>
  <c r="BM56" i="1"/>
  <c r="BM41" i="1"/>
  <c r="BM31" i="1"/>
  <c r="BM67" i="1"/>
  <c r="BM32" i="1"/>
  <c r="BM71" i="1"/>
  <c r="BM68" i="1"/>
  <c r="BM57" i="1"/>
  <c r="BM84" i="1"/>
  <c r="BM42" i="1"/>
  <c r="BN78" i="1" l="1"/>
  <c r="BN79" i="1"/>
  <c r="BO15" i="1"/>
  <c r="BN16" i="1"/>
  <c r="BN42" i="1"/>
  <c r="BN32" i="1"/>
  <c r="BN62" i="1"/>
  <c r="BN31" i="1"/>
  <c r="BN50" i="1"/>
  <c r="BN68" i="1"/>
  <c r="BN72" i="1"/>
  <c r="BN57" i="1"/>
  <c r="BN71" i="1"/>
  <c r="BN67" i="1"/>
  <c r="BN63" i="1"/>
  <c r="BN41" i="1"/>
  <c r="BN70" i="1"/>
  <c r="BN87" i="1"/>
  <c r="BN84" i="1"/>
  <c r="BN56" i="1"/>
  <c r="BN51" i="1"/>
  <c r="BN40" i="1"/>
  <c r="BO78" i="1" l="1"/>
  <c r="BO79" i="1"/>
  <c r="BP15" i="1"/>
  <c r="BO16" i="1"/>
  <c r="BO63" i="1"/>
  <c r="BO42" i="1"/>
  <c r="BO32" i="1"/>
  <c r="BO67" i="1"/>
  <c r="BO70" i="1"/>
  <c r="BO50" i="1"/>
  <c r="BO72" i="1"/>
  <c r="BO71" i="1"/>
  <c r="BO68" i="1"/>
  <c r="BO62" i="1"/>
  <c r="BO51" i="1"/>
  <c r="BO84" i="1"/>
  <c r="BO57" i="1"/>
  <c r="BO41" i="1"/>
  <c r="BO31" i="1"/>
  <c r="BO40" i="1"/>
  <c r="BO87" i="1"/>
  <c r="BO56" i="1"/>
  <c r="BP79" i="1" l="1"/>
  <c r="BP78" i="1"/>
  <c r="BQ15" i="1"/>
  <c r="BP16" i="1"/>
  <c r="BP67" i="1"/>
  <c r="BP63" i="1"/>
  <c r="BP42" i="1"/>
  <c r="BP51" i="1"/>
  <c r="BP62" i="1"/>
  <c r="BP68" i="1"/>
  <c r="BP87" i="1"/>
  <c r="BP70" i="1"/>
  <c r="BP40" i="1"/>
  <c r="BP72" i="1"/>
  <c r="BP50" i="1"/>
  <c r="BP41" i="1"/>
  <c r="BP71" i="1"/>
  <c r="BP57" i="1"/>
  <c r="BP32" i="1"/>
  <c r="BP84" i="1"/>
  <c r="BP31" i="1"/>
  <c r="BP56" i="1"/>
  <c r="BQ78" i="1" l="1"/>
  <c r="BQ79" i="1"/>
  <c r="BR15" i="1"/>
  <c r="BQ16" i="1"/>
  <c r="BQ63" i="1"/>
  <c r="BQ62" i="1"/>
  <c r="BQ67" i="1"/>
  <c r="BQ84" i="1"/>
  <c r="BQ32" i="1"/>
  <c r="BQ68" i="1"/>
  <c r="BQ50" i="1"/>
  <c r="BQ42" i="1"/>
  <c r="BQ71" i="1"/>
  <c r="BQ31" i="1"/>
  <c r="BQ56" i="1"/>
  <c r="BQ87" i="1"/>
  <c r="BQ51" i="1"/>
  <c r="BQ72" i="1"/>
  <c r="BQ57" i="1"/>
  <c r="BQ70" i="1"/>
  <c r="BQ40" i="1"/>
  <c r="BQ41" i="1"/>
  <c r="BR78" i="1" l="1"/>
  <c r="BR79" i="1"/>
  <c r="BS15" i="1"/>
  <c r="BR16" i="1"/>
  <c r="BR63" i="1"/>
  <c r="BR67" i="1"/>
  <c r="BR51" i="1"/>
  <c r="BR50" i="1"/>
  <c r="BR41" i="1"/>
  <c r="BR71" i="1"/>
  <c r="BR87" i="1"/>
  <c r="BR31" i="1"/>
  <c r="BR84" i="1"/>
  <c r="BR70" i="1"/>
  <c r="BR57" i="1"/>
  <c r="BR72" i="1"/>
  <c r="BR62" i="1"/>
  <c r="BR56" i="1"/>
  <c r="BR32" i="1"/>
  <c r="BR68" i="1"/>
  <c r="BR42" i="1"/>
  <c r="BR40" i="1"/>
  <c r="BS79" i="1" l="1"/>
  <c r="BS78" i="1"/>
  <c r="BT15" i="1"/>
  <c r="BS16" i="1"/>
  <c r="BS56" i="1"/>
  <c r="BS31" i="1"/>
  <c r="BS72" i="1"/>
  <c r="BS63" i="1"/>
  <c r="BS40" i="1"/>
  <c r="BS68" i="1"/>
  <c r="BS67" i="1"/>
  <c r="BS62" i="1"/>
  <c r="BS71" i="1"/>
  <c r="BS51" i="1"/>
  <c r="BS42" i="1"/>
  <c r="BS84" i="1"/>
  <c r="BS57" i="1"/>
  <c r="BS32" i="1"/>
  <c r="BS41" i="1"/>
  <c r="BS50" i="1"/>
  <c r="BS87" i="1"/>
  <c r="BS70" i="1"/>
  <c r="BT78" i="1" l="1"/>
  <c r="BT79" i="1"/>
  <c r="BU15" i="1"/>
  <c r="BT16" i="1"/>
  <c r="BT41" i="1"/>
  <c r="BT51" i="1"/>
  <c r="BT42" i="1"/>
  <c r="BT71" i="1"/>
  <c r="BT50" i="1"/>
  <c r="BT68" i="1"/>
  <c r="BT31" i="1"/>
  <c r="BT87" i="1"/>
  <c r="BT70" i="1"/>
  <c r="BT40" i="1"/>
  <c r="BT62" i="1"/>
  <c r="BT63" i="1"/>
  <c r="BT67" i="1"/>
  <c r="BT57" i="1"/>
  <c r="BT72" i="1"/>
  <c r="BT56" i="1"/>
  <c r="BT32" i="1"/>
  <c r="BT84" i="1"/>
  <c r="BU78" i="1" l="1"/>
  <c r="BU79" i="1"/>
  <c r="BV15" i="1"/>
  <c r="BU16" i="1"/>
  <c r="BU72" i="1"/>
  <c r="BU42" i="1"/>
  <c r="BU31" i="1"/>
  <c r="BU68" i="1"/>
  <c r="BU41" i="1"/>
  <c r="BU63" i="1"/>
  <c r="BU57" i="1"/>
  <c r="BU67" i="1"/>
  <c r="BU62" i="1"/>
  <c r="BU56" i="1"/>
  <c r="BU51" i="1"/>
  <c r="BU84" i="1"/>
  <c r="BU32" i="1"/>
  <c r="BU70" i="1"/>
  <c r="BU40" i="1"/>
  <c r="BU71" i="1"/>
  <c r="BU87" i="1"/>
  <c r="BU50" i="1"/>
  <c r="BV78" i="1" l="1"/>
  <c r="BV79" i="1"/>
  <c r="BW15" i="1"/>
  <c r="BV16" i="1"/>
  <c r="BV67" i="1"/>
  <c r="BV42" i="1"/>
  <c r="BV41" i="1"/>
  <c r="BV71" i="1"/>
  <c r="BV57" i="1"/>
  <c r="BV31" i="1"/>
  <c r="BV51" i="1"/>
  <c r="BV72" i="1"/>
  <c r="BV40" i="1"/>
  <c r="BV50" i="1"/>
  <c r="BV32" i="1"/>
  <c r="BV68" i="1"/>
  <c r="BV70" i="1"/>
  <c r="BV87" i="1"/>
  <c r="BV62" i="1"/>
  <c r="BV56" i="1"/>
  <c r="BV63" i="1"/>
  <c r="BV84" i="1"/>
  <c r="BW78" i="1" l="1"/>
  <c r="BW79" i="1"/>
  <c r="BX15" i="1"/>
  <c r="BW16" i="1"/>
  <c r="BW40" i="1"/>
  <c r="BW41" i="1"/>
  <c r="BW56" i="1"/>
  <c r="BW72" i="1"/>
  <c r="BW31" i="1"/>
  <c r="BW71" i="1"/>
  <c r="BW67" i="1"/>
  <c r="BW63" i="1"/>
  <c r="BW42" i="1"/>
  <c r="BW32" i="1"/>
  <c r="BW68" i="1"/>
  <c r="BW50" i="1"/>
  <c r="BW62" i="1"/>
  <c r="BW57" i="1"/>
  <c r="BW84" i="1"/>
  <c r="BW51" i="1"/>
  <c r="BW87" i="1"/>
  <c r="BW70" i="1"/>
  <c r="BX78" i="1" l="1"/>
  <c r="BX79" i="1"/>
  <c r="BY15" i="1"/>
  <c r="BX16" i="1"/>
  <c r="BX67" i="1"/>
  <c r="BX50" i="1"/>
  <c r="BX41" i="1"/>
  <c r="BX56" i="1"/>
  <c r="BX72" i="1"/>
  <c r="BX63" i="1"/>
  <c r="BX42" i="1"/>
  <c r="BX71" i="1"/>
  <c r="BX62" i="1"/>
  <c r="BX57" i="1"/>
  <c r="BX32" i="1"/>
  <c r="BX87" i="1"/>
  <c r="BX31" i="1"/>
  <c r="BX70" i="1"/>
  <c r="BX40" i="1"/>
  <c r="BX68" i="1"/>
  <c r="BX84" i="1"/>
  <c r="BX51" i="1"/>
  <c r="BY78" i="1" l="1"/>
  <c r="BY79" i="1"/>
  <c r="BZ15" i="1"/>
  <c r="BY16" i="1"/>
  <c r="BY57" i="1"/>
  <c r="BY56" i="1"/>
  <c r="BY84" i="1"/>
  <c r="BY42" i="1"/>
  <c r="BY32" i="1"/>
  <c r="BY51" i="1"/>
  <c r="BY71" i="1"/>
  <c r="BY68" i="1"/>
  <c r="BY41" i="1"/>
  <c r="BY40" i="1"/>
  <c r="BY67" i="1"/>
  <c r="BY50" i="1"/>
  <c r="BY62" i="1"/>
  <c r="BY87" i="1"/>
  <c r="BY70" i="1"/>
  <c r="BY63" i="1"/>
  <c r="BY72" i="1"/>
  <c r="BY31" i="1"/>
  <c r="BZ78" i="1" l="1"/>
  <c r="BZ79" i="1"/>
  <c r="CA15" i="1"/>
  <c r="BZ16" i="1"/>
  <c r="BZ68" i="1"/>
  <c r="BZ42" i="1"/>
  <c r="BZ50" i="1"/>
  <c r="BZ51" i="1"/>
  <c r="BZ84" i="1"/>
  <c r="BZ71" i="1"/>
  <c r="BZ32" i="1"/>
  <c r="BZ67" i="1"/>
  <c r="BZ31" i="1"/>
  <c r="BZ57" i="1"/>
  <c r="BZ63" i="1"/>
  <c r="BZ40" i="1"/>
  <c r="BZ72" i="1"/>
  <c r="BZ70" i="1"/>
  <c r="BZ56" i="1"/>
  <c r="BZ87" i="1"/>
  <c r="BZ62" i="1"/>
  <c r="BZ41" i="1"/>
  <c r="CA79" i="1" l="1"/>
  <c r="CA78" i="1"/>
  <c r="CB15" i="1"/>
  <c r="CA16" i="1"/>
  <c r="CA42" i="1"/>
  <c r="CA51" i="1"/>
  <c r="CA50" i="1"/>
  <c r="CA57" i="1"/>
  <c r="CA31" i="1"/>
  <c r="CA68" i="1"/>
  <c r="CA72" i="1"/>
  <c r="CA41" i="1"/>
  <c r="CA67" i="1"/>
  <c r="CA32" i="1"/>
  <c r="CA71" i="1"/>
  <c r="CA56" i="1"/>
  <c r="CA40" i="1"/>
  <c r="CA84" i="1"/>
  <c r="CA62" i="1"/>
  <c r="CA70" i="1"/>
  <c r="CA87" i="1"/>
  <c r="CA63" i="1"/>
  <c r="CB78" i="1" l="1"/>
  <c r="CB79" i="1"/>
  <c r="CC15" i="1"/>
  <c r="CB16" i="1"/>
  <c r="CB32" i="1"/>
  <c r="CB62" i="1"/>
  <c r="CB31" i="1"/>
  <c r="CB63" i="1"/>
  <c r="CB42" i="1"/>
  <c r="CB56" i="1"/>
  <c r="CB51" i="1"/>
  <c r="CB68" i="1"/>
  <c r="CB70" i="1"/>
  <c r="CB67" i="1"/>
  <c r="CB40" i="1"/>
  <c r="CB50" i="1"/>
  <c r="CB71" i="1"/>
  <c r="CB57" i="1"/>
  <c r="CB72" i="1"/>
  <c r="CB41" i="1"/>
  <c r="CB87" i="1"/>
  <c r="CB84" i="1"/>
  <c r="CC78" i="1" l="1"/>
  <c r="CC79" i="1"/>
  <c r="CD15" i="1"/>
  <c r="CC16" i="1"/>
  <c r="CC87" i="1"/>
  <c r="CC40" i="1"/>
  <c r="CC50" i="1"/>
  <c r="CC62" i="1"/>
  <c r="CC32" i="1"/>
  <c r="CC42" i="1"/>
  <c r="CC63" i="1"/>
  <c r="CC70" i="1"/>
  <c r="CC41" i="1"/>
  <c r="CC56" i="1"/>
  <c r="CC84" i="1"/>
  <c r="CC67" i="1"/>
  <c r="CC57" i="1"/>
  <c r="CC68" i="1"/>
  <c r="CC51" i="1"/>
  <c r="CC31" i="1"/>
  <c r="CC71" i="1"/>
  <c r="CC72" i="1"/>
  <c r="CD78" i="1" l="1"/>
  <c r="CD79" i="1"/>
  <c r="CE15" i="1"/>
  <c r="CD16" i="1"/>
  <c r="CD42" i="1"/>
  <c r="CD40" i="1"/>
  <c r="CD41" i="1"/>
  <c r="CD31" i="1"/>
  <c r="CD84" i="1"/>
  <c r="CD67" i="1"/>
  <c r="CD51" i="1"/>
  <c r="CD71" i="1"/>
  <c r="CD87" i="1"/>
  <c r="CD57" i="1"/>
  <c r="CD72" i="1"/>
  <c r="CD56" i="1"/>
  <c r="CD50" i="1"/>
  <c r="CD70" i="1"/>
  <c r="CD32" i="1"/>
  <c r="CD62" i="1"/>
  <c r="CD63" i="1"/>
  <c r="CD68" i="1"/>
  <c r="CE78" i="1" l="1"/>
  <c r="CE79" i="1"/>
  <c r="CF15" i="1"/>
  <c r="CE16" i="1"/>
  <c r="CE62" i="1"/>
  <c r="CE87" i="1"/>
  <c r="CE84" i="1"/>
  <c r="CE50" i="1"/>
  <c r="CE68" i="1"/>
  <c r="CE63" i="1"/>
  <c r="CE71" i="1"/>
  <c r="CE70" i="1"/>
  <c r="CE56" i="1"/>
  <c r="CE72" i="1"/>
  <c r="CE40" i="1"/>
  <c r="CE42" i="1"/>
  <c r="CE67" i="1"/>
  <c r="CE41" i="1"/>
  <c r="CE57" i="1"/>
  <c r="CE32" i="1"/>
  <c r="CE51" i="1"/>
  <c r="CE31" i="1"/>
  <c r="CF79" i="1" l="1"/>
  <c r="CF78" i="1"/>
  <c r="CG15" i="1"/>
  <c r="CF16" i="1"/>
  <c r="CF51" i="1"/>
  <c r="CF50" i="1"/>
  <c r="CF87" i="1"/>
  <c r="CF56" i="1"/>
  <c r="CF42" i="1"/>
  <c r="CF71" i="1"/>
  <c r="CF70" i="1"/>
  <c r="CF68" i="1"/>
  <c r="CF41" i="1"/>
  <c r="CF63" i="1"/>
  <c r="CF84" i="1"/>
  <c r="CF40" i="1"/>
  <c r="CF57" i="1"/>
  <c r="CF31" i="1"/>
  <c r="CF32" i="1"/>
  <c r="CF67" i="1"/>
  <c r="CF62" i="1"/>
  <c r="CF72" i="1"/>
  <c r="CG79" i="1" l="1"/>
  <c r="CG78" i="1"/>
  <c r="CH15" i="1"/>
  <c r="CG16" i="1"/>
  <c r="CG50" i="1"/>
  <c r="CG56" i="1"/>
  <c r="CG67" i="1"/>
  <c r="CG68" i="1"/>
  <c r="CG31" i="1"/>
  <c r="CG72" i="1"/>
  <c r="CG63" i="1"/>
  <c r="CG62" i="1"/>
  <c r="CG51" i="1"/>
  <c r="CG40" i="1"/>
  <c r="CG57" i="1"/>
  <c r="CG32" i="1"/>
  <c r="CG42" i="1"/>
  <c r="CG41" i="1"/>
  <c r="CG87" i="1"/>
  <c r="CG71" i="1"/>
  <c r="CG84" i="1"/>
  <c r="CG70" i="1"/>
  <c r="CH79" i="1" l="1"/>
  <c r="CH78" i="1"/>
  <c r="CI15" i="1"/>
  <c r="CH16" i="1"/>
  <c r="CH67" i="1"/>
  <c r="CH63" i="1"/>
  <c r="CH72" i="1"/>
  <c r="CH31" i="1"/>
  <c r="CH57" i="1"/>
  <c r="CH56" i="1"/>
  <c r="CH41" i="1"/>
  <c r="CH70" i="1"/>
  <c r="CH71" i="1"/>
  <c r="CH51" i="1"/>
  <c r="CH50" i="1"/>
  <c r="CH68" i="1"/>
  <c r="CH62" i="1"/>
  <c r="CH84" i="1"/>
  <c r="CH32" i="1"/>
  <c r="CH87" i="1"/>
  <c r="CH40" i="1"/>
  <c r="CH42" i="1"/>
  <c r="CI79" i="1" l="1"/>
  <c r="CI78" i="1"/>
  <c r="CJ15" i="1"/>
  <c r="CI16" i="1"/>
  <c r="CI40" i="1"/>
  <c r="CI42" i="1"/>
  <c r="CI56" i="1"/>
  <c r="CI51" i="1"/>
  <c r="CI71" i="1"/>
  <c r="CI63" i="1"/>
  <c r="CI70" i="1"/>
  <c r="CI41" i="1"/>
  <c r="CI68" i="1"/>
  <c r="CI50" i="1"/>
  <c r="CI87" i="1"/>
  <c r="CI32" i="1"/>
  <c r="CI72" i="1"/>
  <c r="CI31" i="1"/>
  <c r="CI62" i="1"/>
  <c r="CI84" i="1"/>
  <c r="CI67" i="1"/>
  <c r="CI57" i="1"/>
  <c r="CJ78" i="1" l="1"/>
  <c r="CJ79" i="1"/>
  <c r="CJ63" i="1"/>
  <c r="CJ16" i="1"/>
  <c r="CJ70" i="1"/>
  <c r="CJ40" i="1"/>
  <c r="CJ68" i="1"/>
  <c r="CJ41" i="1"/>
  <c r="CK15" i="1"/>
  <c r="CJ57" i="1"/>
  <c r="CJ84" i="1"/>
  <c r="CJ72" i="1"/>
  <c r="CJ56" i="1"/>
  <c r="CJ31" i="1"/>
  <c r="CJ71" i="1"/>
  <c r="CJ87" i="1"/>
  <c r="CJ32" i="1"/>
  <c r="CJ50" i="1"/>
  <c r="CJ42" i="1"/>
  <c r="CJ62" i="1"/>
  <c r="CJ51" i="1"/>
  <c r="CJ67" i="1"/>
  <c r="CK79" i="1" l="1"/>
  <c r="CK78" i="1"/>
  <c r="CK63" i="1"/>
  <c r="CK16" i="1"/>
  <c r="CK50" i="1"/>
  <c r="CK56" i="1"/>
  <c r="CK40" i="1"/>
  <c r="CK71" i="1"/>
  <c r="CK68" i="1"/>
  <c r="CK42" i="1"/>
  <c r="CK31" i="1"/>
  <c r="CK87" i="1"/>
  <c r="CK32" i="1"/>
  <c r="CK41" i="1"/>
  <c r="CK72" i="1"/>
  <c r="CK84" i="1"/>
  <c r="CK51" i="1"/>
  <c r="CK67" i="1"/>
  <c r="CK62" i="1"/>
  <c r="CK57" i="1"/>
  <c r="CL15" i="1"/>
  <c r="CK70" i="1"/>
  <c r="CL78" i="1" l="1"/>
  <c r="CL79" i="1"/>
  <c r="CL16" i="1"/>
  <c r="CL63" i="1"/>
  <c r="CL31" i="1"/>
  <c r="CL51" i="1"/>
  <c r="CL70" i="1"/>
  <c r="CM15" i="1"/>
  <c r="CL57" i="1"/>
  <c r="CL40" i="1"/>
  <c r="CL67" i="1"/>
  <c r="CL72" i="1"/>
  <c r="CL32" i="1"/>
  <c r="CL87" i="1"/>
  <c r="CL71" i="1"/>
  <c r="CL84" i="1"/>
  <c r="CL41" i="1"/>
  <c r="CL50" i="1"/>
  <c r="CL62" i="1"/>
  <c r="CL56" i="1"/>
  <c r="CL42" i="1"/>
  <c r="CL68" i="1"/>
  <c r="CM79" i="1" l="1"/>
  <c r="CM78" i="1"/>
  <c r="CM16" i="1"/>
  <c r="CM72" i="1"/>
  <c r="CM71" i="1"/>
  <c r="CN15" i="1"/>
  <c r="CM41" i="1"/>
  <c r="CM57" i="1"/>
  <c r="CM32" i="1"/>
  <c r="CM63" i="1"/>
  <c r="CM31" i="1"/>
  <c r="CM67" i="1"/>
  <c r="CM87" i="1"/>
  <c r="CM70" i="1"/>
  <c r="CM84" i="1"/>
  <c r="CM50" i="1"/>
  <c r="CM62" i="1"/>
  <c r="CM68" i="1"/>
  <c r="CM56" i="1"/>
  <c r="CM51" i="1"/>
  <c r="CM40" i="1"/>
  <c r="CM42" i="1"/>
  <c r="CN79" i="1" l="1"/>
  <c r="CN78" i="1"/>
  <c r="CN16" i="1"/>
  <c r="CN84" i="1"/>
  <c r="CN56" i="1"/>
  <c r="CN51" i="1"/>
  <c r="CN67" i="1"/>
  <c r="CN40" i="1"/>
  <c r="CN63" i="1"/>
  <c r="CN50" i="1"/>
  <c r="CN32" i="1"/>
  <c r="CN70" i="1"/>
  <c r="CN87" i="1"/>
  <c r="CO15" i="1"/>
  <c r="CN71" i="1"/>
  <c r="CN62" i="1"/>
  <c r="CN42" i="1"/>
  <c r="CN57" i="1"/>
  <c r="CN41" i="1"/>
  <c r="CN68" i="1"/>
  <c r="CN31" i="1"/>
  <c r="CN72" i="1"/>
  <c r="CO79" i="1" l="1"/>
  <c r="CO78" i="1"/>
  <c r="CO16" i="1"/>
  <c r="CP15" i="1"/>
  <c r="CO31" i="1"/>
  <c r="CO40" i="1"/>
  <c r="CO67" i="1"/>
  <c r="CO84" i="1"/>
  <c r="CO56" i="1"/>
  <c r="CO71" i="1"/>
  <c r="CO63" i="1"/>
  <c r="CO70" i="1"/>
  <c r="CO32" i="1"/>
  <c r="CO42" i="1"/>
  <c r="CO87" i="1"/>
  <c r="CO51" i="1"/>
  <c r="CO72" i="1"/>
  <c r="CO57" i="1"/>
  <c r="CO41" i="1"/>
  <c r="CO50" i="1"/>
  <c r="CO62" i="1"/>
  <c r="CO68" i="1"/>
  <c r="CP79" i="1" l="1"/>
  <c r="CP78" i="1"/>
  <c r="CP16" i="1"/>
  <c r="CQ15" i="1"/>
  <c r="CP56" i="1"/>
  <c r="CP42" i="1"/>
  <c r="CP68" i="1"/>
  <c r="CP62" i="1"/>
  <c r="CP67" i="1"/>
  <c r="CP40" i="1"/>
  <c r="CP32" i="1"/>
  <c r="CP63" i="1"/>
  <c r="CP51" i="1"/>
  <c r="CP70" i="1"/>
  <c r="CP50" i="1"/>
  <c r="CP41" i="1"/>
  <c r="CP71" i="1"/>
  <c r="CP31" i="1"/>
  <c r="CP57" i="1"/>
  <c r="CP72" i="1"/>
  <c r="CP84" i="1"/>
  <c r="CP87" i="1"/>
  <c r="CQ79" i="1" l="1"/>
  <c r="CQ78" i="1"/>
  <c r="CQ16" i="1"/>
  <c r="CR15" i="1"/>
  <c r="CQ51" i="1"/>
  <c r="CQ31" i="1"/>
  <c r="CQ40" i="1"/>
  <c r="CQ84" i="1"/>
  <c r="CQ67" i="1"/>
  <c r="CQ56" i="1"/>
  <c r="CQ63" i="1"/>
  <c r="CQ57" i="1"/>
  <c r="CQ68" i="1"/>
  <c r="CQ70" i="1"/>
  <c r="CQ62" i="1"/>
  <c r="CQ42" i="1"/>
  <c r="CQ41" i="1"/>
  <c r="CQ72" i="1"/>
  <c r="CQ32" i="1"/>
  <c r="CQ71" i="1"/>
  <c r="CQ87" i="1"/>
  <c r="CQ50" i="1"/>
  <c r="CR79" i="1" l="1"/>
  <c r="CR78" i="1"/>
  <c r="CR16" i="1"/>
  <c r="CS15" i="1"/>
  <c r="CR41" i="1"/>
  <c r="CR56" i="1"/>
  <c r="CR67" i="1"/>
  <c r="CR50" i="1"/>
  <c r="CR40" i="1"/>
  <c r="CR42" i="1"/>
  <c r="CR63" i="1"/>
  <c r="CR72" i="1"/>
  <c r="CR57" i="1"/>
  <c r="CR31" i="1"/>
  <c r="CR87" i="1"/>
  <c r="CR32" i="1"/>
  <c r="CR70" i="1"/>
  <c r="CR62" i="1"/>
  <c r="CR51" i="1"/>
  <c r="CR68" i="1"/>
  <c r="CR84" i="1"/>
  <c r="CR71" i="1"/>
  <c r="CS78" i="1" l="1"/>
  <c r="CS79" i="1"/>
  <c r="CS16" i="1"/>
  <c r="CT15" i="1"/>
  <c r="CS71" i="1"/>
  <c r="CS63" i="1"/>
  <c r="CS57" i="1"/>
  <c r="CS72" i="1"/>
  <c r="CS51" i="1"/>
  <c r="CS42" i="1"/>
  <c r="CS56" i="1"/>
  <c r="CS31" i="1"/>
  <c r="CS32" i="1"/>
  <c r="CS41" i="1"/>
  <c r="CS87" i="1"/>
  <c r="CS84" i="1"/>
  <c r="CS50" i="1"/>
  <c r="CS62" i="1"/>
  <c r="CS40" i="1"/>
  <c r="CS68" i="1"/>
  <c r="CS67" i="1"/>
  <c r="CS70" i="1"/>
  <c r="CT78" i="1" l="1"/>
  <c r="CT79" i="1"/>
  <c r="CT16" i="1"/>
  <c r="CU15" i="1"/>
  <c r="CT50" i="1"/>
  <c r="CT51" i="1"/>
  <c r="CT57" i="1"/>
  <c r="CT63" i="1"/>
  <c r="CT31" i="1"/>
  <c r="CT68" i="1"/>
  <c r="CT40" i="1"/>
  <c r="CT32" i="1"/>
  <c r="CT72" i="1"/>
  <c r="CT70" i="1"/>
  <c r="CT87" i="1"/>
  <c r="CT41" i="1"/>
  <c r="CT42" i="1"/>
  <c r="CT84" i="1"/>
  <c r="CT67" i="1"/>
  <c r="CT62" i="1"/>
  <c r="CT56" i="1"/>
  <c r="CT71" i="1"/>
  <c r="CU78" i="1" l="1"/>
  <c r="CU79" i="1"/>
  <c r="CU16" i="1"/>
  <c r="CV15" i="1"/>
  <c r="CU42" i="1"/>
  <c r="CU70" i="1"/>
  <c r="CU40" i="1"/>
  <c r="CU68" i="1"/>
  <c r="CU63" i="1"/>
  <c r="CU32" i="1"/>
  <c r="CU87" i="1"/>
  <c r="CU50" i="1"/>
  <c r="CU67" i="1"/>
  <c r="CU72" i="1"/>
  <c r="CU41" i="1"/>
  <c r="CU57" i="1"/>
  <c r="CU31" i="1"/>
  <c r="CU56" i="1"/>
  <c r="CU71" i="1"/>
  <c r="CU62" i="1"/>
  <c r="CU84" i="1"/>
  <c r="CU51" i="1"/>
  <c r="CV78" i="1" l="1"/>
  <c r="CV79" i="1"/>
  <c r="CV16" i="1"/>
  <c r="CW15" i="1"/>
  <c r="CV63" i="1"/>
  <c r="CV56" i="1"/>
  <c r="CV50" i="1"/>
  <c r="CV32" i="1"/>
  <c r="CV57" i="1"/>
  <c r="CV51" i="1"/>
  <c r="CV84" i="1"/>
  <c r="CV67" i="1"/>
  <c r="CV31" i="1"/>
  <c r="CV70" i="1"/>
  <c r="CV72" i="1"/>
  <c r="CV71" i="1"/>
  <c r="CV87" i="1"/>
  <c r="CV62" i="1"/>
  <c r="CV42" i="1"/>
  <c r="CV41" i="1"/>
  <c r="CV68" i="1"/>
  <c r="CV40" i="1"/>
  <c r="CW78" i="1" l="1"/>
  <c r="CW79" i="1"/>
  <c r="CW16" i="1"/>
  <c r="CX15" i="1"/>
  <c r="CW57" i="1"/>
  <c r="CW63" i="1"/>
  <c r="CW42" i="1"/>
  <c r="CW51" i="1"/>
  <c r="CW62" i="1"/>
  <c r="CW56" i="1"/>
  <c r="CW70" i="1"/>
  <c r="CW67" i="1"/>
  <c r="CW40" i="1"/>
  <c r="CW41" i="1"/>
  <c r="CW87" i="1"/>
  <c r="CW32" i="1"/>
  <c r="CW50" i="1"/>
  <c r="CW72" i="1"/>
  <c r="CW71" i="1"/>
  <c r="CW84" i="1"/>
  <c r="CW68" i="1"/>
  <c r="CW31" i="1"/>
  <c r="CX78" i="1" l="1"/>
  <c r="CX79" i="1"/>
  <c r="CX16" i="1"/>
  <c r="CY15" i="1"/>
  <c r="CX31" i="1"/>
  <c r="CX51" i="1"/>
  <c r="CX63" i="1"/>
  <c r="CX41" i="1"/>
  <c r="CX57" i="1"/>
  <c r="CX84" i="1"/>
  <c r="CX50" i="1"/>
  <c r="CX32" i="1"/>
  <c r="CX72" i="1"/>
  <c r="CX68" i="1"/>
  <c r="CX67" i="1"/>
  <c r="CX71" i="1"/>
  <c r="CX56" i="1"/>
  <c r="CX87" i="1"/>
  <c r="CX42" i="1"/>
  <c r="CX70" i="1"/>
  <c r="CX40" i="1"/>
  <c r="CX62" i="1"/>
  <c r="CY78" i="1" l="1"/>
  <c r="CY79" i="1"/>
  <c r="CY16" i="1"/>
  <c r="CZ15" i="1"/>
  <c r="CY40" i="1"/>
  <c r="CY41" i="1"/>
  <c r="CY71" i="1"/>
  <c r="CY32" i="1"/>
  <c r="CY31" i="1"/>
  <c r="CY63" i="1"/>
  <c r="CY56" i="1"/>
  <c r="CY72" i="1"/>
  <c r="CY62" i="1"/>
  <c r="CY84" i="1"/>
  <c r="CY87" i="1"/>
  <c r="CY51" i="1"/>
  <c r="CY67" i="1"/>
  <c r="CY68" i="1"/>
  <c r="CY50" i="1"/>
  <c r="CY70" i="1"/>
  <c r="CY57" i="1"/>
  <c r="CY42" i="1"/>
  <c r="CZ78" i="1" l="1"/>
  <c r="CZ79" i="1"/>
  <c r="CZ16" i="1"/>
  <c r="DA15" i="1"/>
  <c r="CZ32" i="1"/>
  <c r="CZ31" i="1"/>
  <c r="CZ62" i="1"/>
  <c r="CZ41" i="1"/>
  <c r="CZ50" i="1"/>
  <c r="CZ63" i="1"/>
  <c r="CZ72" i="1"/>
  <c r="CZ84" i="1"/>
  <c r="CZ70" i="1"/>
  <c r="CZ51" i="1"/>
  <c r="CZ68" i="1"/>
  <c r="CZ67" i="1"/>
  <c r="CZ71" i="1"/>
  <c r="CZ87" i="1"/>
  <c r="CZ57" i="1"/>
  <c r="CZ42" i="1"/>
  <c r="CZ40" i="1"/>
  <c r="CZ56" i="1"/>
  <c r="DA78" i="1" l="1"/>
  <c r="DA79" i="1"/>
  <c r="DA16" i="1"/>
  <c r="DB15" i="1"/>
  <c r="DA67" i="1"/>
  <c r="DA71" i="1"/>
  <c r="DA63" i="1"/>
  <c r="DA31" i="1"/>
  <c r="DA50" i="1"/>
  <c r="DA62" i="1"/>
  <c r="DA68" i="1"/>
  <c r="DA32" i="1"/>
  <c r="DA40" i="1"/>
  <c r="DA87" i="1"/>
  <c r="DA56" i="1"/>
  <c r="DA57" i="1"/>
  <c r="DA42" i="1"/>
  <c r="DA84" i="1"/>
  <c r="DA72" i="1"/>
  <c r="DA51" i="1"/>
  <c r="DA70" i="1"/>
  <c r="DA41" i="1"/>
  <c r="DB79" i="1" l="1"/>
  <c r="DB78" i="1"/>
  <c r="DB16" i="1"/>
  <c r="DC15" i="1"/>
  <c r="DB32" i="1"/>
  <c r="DB50" i="1"/>
  <c r="DB87" i="1"/>
  <c r="DB31" i="1"/>
  <c r="DB68" i="1"/>
  <c r="DB40" i="1"/>
  <c r="DB57" i="1"/>
  <c r="DB42" i="1"/>
  <c r="DB51" i="1"/>
  <c r="DB56" i="1"/>
  <c r="DB62" i="1"/>
  <c r="DB71" i="1"/>
  <c r="DB70" i="1"/>
  <c r="DB67" i="1"/>
  <c r="DB41" i="1"/>
  <c r="DB63" i="1"/>
  <c r="DB84" i="1"/>
  <c r="DB72" i="1"/>
  <c r="DC78" i="1" l="1"/>
  <c r="DC79" i="1"/>
  <c r="DC16" i="1"/>
  <c r="DD15" i="1"/>
  <c r="DC63" i="1"/>
  <c r="DC42" i="1"/>
  <c r="DC41" i="1"/>
  <c r="DC32" i="1"/>
  <c r="DC31" i="1"/>
  <c r="DC51" i="1"/>
  <c r="DC87" i="1"/>
  <c r="DC84" i="1"/>
  <c r="DC57" i="1"/>
  <c r="DC56" i="1"/>
  <c r="DC50" i="1"/>
  <c r="DC68" i="1"/>
  <c r="DC72" i="1"/>
  <c r="DC70" i="1"/>
  <c r="DC40" i="1"/>
  <c r="DC71" i="1"/>
  <c r="DC62" i="1"/>
  <c r="DC67" i="1"/>
  <c r="DD79" i="1" l="1"/>
  <c r="DD78" i="1"/>
  <c r="DD16" i="1"/>
  <c r="DE15" i="1"/>
  <c r="DD63" i="1"/>
  <c r="DD72" i="1"/>
  <c r="DD50" i="1"/>
  <c r="DD31" i="1"/>
  <c r="DD32" i="1"/>
  <c r="DD62" i="1"/>
  <c r="DD70" i="1"/>
  <c r="DD56" i="1"/>
  <c r="DD71" i="1"/>
  <c r="DD40" i="1"/>
  <c r="DD57" i="1"/>
  <c r="DD51" i="1"/>
  <c r="DD41" i="1"/>
  <c r="DD87" i="1"/>
  <c r="DD42" i="1"/>
  <c r="DD68" i="1"/>
  <c r="DD84" i="1"/>
  <c r="DD67" i="1"/>
  <c r="DE79" i="1" l="1"/>
  <c r="DE78" i="1"/>
  <c r="DE16" i="1"/>
  <c r="DF15" i="1"/>
  <c r="DE32" i="1"/>
  <c r="DE56" i="1"/>
  <c r="DE84" i="1"/>
  <c r="DE31" i="1"/>
  <c r="DE68" i="1"/>
  <c r="DE70" i="1"/>
  <c r="DE50" i="1"/>
  <c r="DE62" i="1"/>
  <c r="DE87" i="1"/>
  <c r="DE42" i="1"/>
  <c r="DE72" i="1"/>
  <c r="DE57" i="1"/>
  <c r="DE41" i="1"/>
  <c r="DE71" i="1"/>
  <c r="DE67" i="1"/>
  <c r="DE63" i="1"/>
  <c r="DE40" i="1"/>
  <c r="DE51" i="1"/>
  <c r="DF79" i="1" l="1"/>
  <c r="DF78" i="1"/>
  <c r="DF16" i="1"/>
  <c r="DG15" i="1"/>
  <c r="DF40" i="1"/>
  <c r="DF70" i="1"/>
  <c r="DF62" i="1"/>
  <c r="DF51" i="1"/>
  <c r="DF84" i="1"/>
  <c r="DF56" i="1"/>
  <c r="DF67" i="1"/>
  <c r="DF31" i="1"/>
  <c r="DF32" i="1"/>
  <c r="DF42" i="1"/>
  <c r="DF71" i="1"/>
  <c r="DF87" i="1"/>
  <c r="DF68" i="1"/>
  <c r="DF72" i="1"/>
  <c r="DF50" i="1"/>
  <c r="DF41" i="1"/>
  <c r="DF57" i="1"/>
  <c r="DF63" i="1"/>
  <c r="DG78" i="1" l="1"/>
  <c r="DG79" i="1"/>
  <c r="DG16" i="1"/>
  <c r="DG56" i="1"/>
  <c r="DG84" i="1"/>
  <c r="DG41" i="1"/>
  <c r="DG51" i="1"/>
  <c r="DG63" i="1"/>
  <c r="DG50" i="1"/>
  <c r="DH15" i="1"/>
  <c r="DG72" i="1"/>
  <c r="DG67" i="1"/>
  <c r="DG62" i="1"/>
  <c r="DG68" i="1"/>
  <c r="DG32" i="1"/>
  <c r="DG57" i="1"/>
  <c r="DG42" i="1"/>
  <c r="DG70" i="1"/>
  <c r="DG31" i="1"/>
  <c r="DG40" i="1"/>
  <c r="DG87" i="1"/>
  <c r="DG71" i="1"/>
  <c r="DH79" i="1" l="1"/>
  <c r="DH78" i="1"/>
  <c r="DH16" i="1"/>
  <c r="DH31" i="1"/>
  <c r="DI15" i="1"/>
  <c r="DH57" i="1"/>
  <c r="DH40" i="1"/>
  <c r="DH63" i="1"/>
  <c r="DH51" i="1"/>
  <c r="DH32" i="1"/>
  <c r="DH56" i="1"/>
  <c r="DH62" i="1"/>
  <c r="DH68" i="1"/>
  <c r="DH41" i="1"/>
  <c r="DH42" i="1"/>
  <c r="DH72" i="1"/>
  <c r="DH87" i="1"/>
  <c r="DH67" i="1"/>
  <c r="DH71" i="1"/>
  <c r="DH70" i="1"/>
  <c r="DH84" i="1"/>
  <c r="DH50" i="1"/>
  <c r="DI78" i="1" l="1"/>
  <c r="DI79" i="1"/>
  <c r="DI16" i="1"/>
  <c r="DJ15" i="1"/>
  <c r="DI63" i="1"/>
  <c r="DI41" i="1"/>
  <c r="DI57" i="1"/>
  <c r="DI84" i="1"/>
  <c r="DI67" i="1"/>
  <c r="DI62" i="1"/>
  <c r="DI68" i="1"/>
  <c r="DI50" i="1"/>
  <c r="DI31" i="1"/>
  <c r="DI56" i="1"/>
  <c r="DI71" i="1"/>
  <c r="DI70" i="1"/>
  <c r="DI32" i="1"/>
  <c r="DI72" i="1"/>
  <c r="DI51" i="1"/>
  <c r="DI87" i="1"/>
  <c r="DI42" i="1"/>
  <c r="DI40" i="1"/>
  <c r="DJ78" i="1" l="1"/>
  <c r="DJ79" i="1"/>
  <c r="DJ16" i="1"/>
  <c r="DK15" i="1"/>
  <c r="DJ57" i="1"/>
  <c r="DJ32" i="1"/>
  <c r="DJ62" i="1"/>
  <c r="DJ70" i="1"/>
  <c r="DJ71" i="1"/>
  <c r="DJ31" i="1"/>
  <c r="DJ72" i="1"/>
  <c r="DJ42" i="1"/>
  <c r="DJ56" i="1"/>
  <c r="DJ50" i="1"/>
  <c r="DJ63" i="1"/>
  <c r="DJ84" i="1"/>
  <c r="DJ87" i="1"/>
  <c r="DJ41" i="1"/>
  <c r="DJ40" i="1"/>
  <c r="DJ51" i="1"/>
  <c r="DJ68" i="1"/>
  <c r="DJ67" i="1"/>
  <c r="DK78" i="1" l="1"/>
  <c r="DK79" i="1"/>
  <c r="DK16" i="1"/>
  <c r="DL15" i="1"/>
  <c r="DK50" i="1"/>
  <c r="DK56" i="1"/>
  <c r="DK62" i="1"/>
  <c r="DK32" i="1"/>
  <c r="DK72" i="1"/>
  <c r="DK40" i="1"/>
  <c r="DK41" i="1"/>
  <c r="DK87" i="1"/>
  <c r="DK67" i="1"/>
  <c r="DK42" i="1"/>
  <c r="DK84" i="1"/>
  <c r="DK57" i="1"/>
  <c r="DK68" i="1"/>
  <c r="DK31" i="1"/>
  <c r="DK71" i="1"/>
  <c r="DK70" i="1"/>
  <c r="DK63" i="1"/>
  <c r="DK51" i="1"/>
  <c r="DL79" i="1" l="1"/>
  <c r="DL78" i="1"/>
  <c r="DL16" i="1"/>
  <c r="DM15" i="1"/>
  <c r="DL56" i="1"/>
  <c r="DL84" i="1"/>
  <c r="DL68" i="1"/>
  <c r="DL40" i="1"/>
  <c r="DL72" i="1"/>
  <c r="DL50" i="1"/>
  <c r="DL42" i="1"/>
  <c r="DL32" i="1"/>
  <c r="DL63" i="1"/>
  <c r="DL57" i="1"/>
  <c r="DL51" i="1"/>
  <c r="DL31" i="1"/>
  <c r="DL41" i="1"/>
  <c r="DL70" i="1"/>
  <c r="DL71" i="1"/>
  <c r="DL67" i="1"/>
  <c r="DL62" i="1"/>
  <c r="DL87" i="1"/>
  <c r="DM79" i="1" l="1"/>
  <c r="DM78" i="1"/>
  <c r="DM16" i="1"/>
  <c r="DN15" i="1"/>
  <c r="DM56" i="1"/>
  <c r="DM42" i="1"/>
  <c r="DM40" i="1"/>
  <c r="DM72" i="1"/>
  <c r="DM84" i="1"/>
  <c r="DM62" i="1"/>
  <c r="DM41" i="1"/>
  <c r="DM67" i="1"/>
  <c r="DM51" i="1"/>
  <c r="DM70" i="1"/>
  <c r="DM57" i="1"/>
  <c r="DM68" i="1"/>
  <c r="DM31" i="1"/>
  <c r="DM50" i="1"/>
  <c r="DM87" i="1"/>
  <c r="DM32" i="1"/>
  <c r="DM63" i="1"/>
  <c r="DM71" i="1"/>
  <c r="DN79" i="1" l="1"/>
  <c r="DN78" i="1"/>
  <c r="DN16" i="1"/>
  <c r="DO15" i="1"/>
  <c r="DN51" i="1"/>
  <c r="DN40" i="1"/>
  <c r="DN31" i="1"/>
  <c r="DN50" i="1"/>
  <c r="DN57" i="1"/>
  <c r="DN70" i="1"/>
  <c r="DN56" i="1"/>
  <c r="DN67" i="1"/>
  <c r="DN84" i="1"/>
  <c r="DN87" i="1"/>
  <c r="DN42" i="1"/>
  <c r="DN41" i="1"/>
  <c r="DN72" i="1"/>
  <c r="DN71" i="1"/>
  <c r="DN68" i="1"/>
  <c r="DN32" i="1"/>
  <c r="DN62" i="1"/>
  <c r="DN63" i="1"/>
  <c r="DO79" i="1" l="1"/>
  <c r="DO78" i="1"/>
  <c r="DO16" i="1"/>
  <c r="DP15" i="1"/>
  <c r="DO31" i="1"/>
  <c r="DO84" i="1"/>
  <c r="DO40" i="1"/>
  <c r="DO72" i="1"/>
  <c r="DO32" i="1"/>
  <c r="DO62" i="1"/>
  <c r="DO56" i="1"/>
  <c r="DO41" i="1"/>
  <c r="DO57" i="1"/>
  <c r="DO70" i="1"/>
  <c r="DO68" i="1"/>
  <c r="DO50" i="1"/>
  <c r="DO42" i="1"/>
  <c r="DO63" i="1"/>
  <c r="DO87" i="1"/>
  <c r="DO67" i="1"/>
  <c r="DO51" i="1"/>
  <c r="DO71" i="1"/>
  <c r="DP79" i="1" l="1"/>
  <c r="DP78" i="1"/>
  <c r="DP16" i="1"/>
  <c r="DQ15" i="1"/>
  <c r="DP42" i="1"/>
  <c r="DP41" i="1"/>
  <c r="DP40" i="1"/>
  <c r="DP62" i="1"/>
  <c r="DP32" i="1"/>
  <c r="DP56" i="1"/>
  <c r="DP87" i="1"/>
  <c r="DP57" i="1"/>
  <c r="DP63" i="1"/>
  <c r="DP72" i="1"/>
  <c r="DP70" i="1"/>
  <c r="DP50" i="1"/>
  <c r="DP68" i="1"/>
  <c r="DP31" i="1"/>
  <c r="DP84" i="1"/>
  <c r="DP67" i="1"/>
  <c r="DP51" i="1"/>
  <c r="DP71" i="1"/>
  <c r="DQ78" i="1" l="1"/>
  <c r="DQ79" i="1"/>
  <c r="DQ16" i="1"/>
  <c r="DR15" i="1"/>
  <c r="DQ57" i="1"/>
  <c r="DQ63" i="1"/>
  <c r="DQ51" i="1"/>
  <c r="DQ56" i="1"/>
  <c r="DQ62" i="1"/>
  <c r="DQ84" i="1"/>
  <c r="DQ41" i="1"/>
  <c r="DQ42" i="1"/>
  <c r="DQ40" i="1"/>
  <c r="DQ71" i="1"/>
  <c r="DQ50" i="1"/>
  <c r="DQ72" i="1"/>
  <c r="DQ70" i="1"/>
  <c r="DQ68" i="1"/>
  <c r="DQ32" i="1"/>
  <c r="DQ67" i="1"/>
  <c r="DQ87" i="1"/>
  <c r="DQ31" i="1"/>
  <c r="DR78" i="1" l="1"/>
  <c r="DR79" i="1"/>
  <c r="DR16" i="1"/>
  <c r="DS15" i="1"/>
  <c r="DR50" i="1"/>
  <c r="DR56" i="1"/>
  <c r="DR63" i="1"/>
  <c r="DR72" i="1"/>
  <c r="DR87" i="1"/>
  <c r="DR42" i="1"/>
  <c r="DR32" i="1"/>
  <c r="DR40" i="1"/>
  <c r="DR71" i="1"/>
  <c r="DR70" i="1"/>
  <c r="DR62" i="1"/>
  <c r="DR57" i="1"/>
  <c r="DR31" i="1"/>
  <c r="DR41" i="1"/>
  <c r="DR67" i="1"/>
  <c r="DR68" i="1"/>
  <c r="DR51" i="1"/>
  <c r="DR84" i="1"/>
  <c r="DS79" i="1" l="1"/>
  <c r="DS78" i="1"/>
  <c r="DS16" i="1"/>
  <c r="DT15" i="1"/>
  <c r="DS41" i="1"/>
  <c r="DS57" i="1"/>
  <c r="DS31" i="1"/>
  <c r="DS42" i="1"/>
  <c r="DS56" i="1"/>
  <c r="DS67" i="1"/>
  <c r="DS40" i="1"/>
  <c r="DS32" i="1"/>
  <c r="DS70" i="1"/>
  <c r="DS50" i="1"/>
  <c r="DS51" i="1"/>
  <c r="DS68" i="1"/>
  <c r="DS72" i="1"/>
  <c r="DS84" i="1"/>
  <c r="DS87" i="1"/>
  <c r="DS63" i="1"/>
  <c r="DS62" i="1"/>
  <c r="DS71" i="1"/>
  <c r="DT78" i="1" l="1"/>
  <c r="DT79" i="1"/>
  <c r="DT16" i="1"/>
  <c r="DU15" i="1"/>
  <c r="DT67" i="1"/>
  <c r="DT57" i="1"/>
  <c r="DT56" i="1"/>
  <c r="DT32" i="1"/>
  <c r="DT51" i="1"/>
  <c r="DT87" i="1"/>
  <c r="DT41" i="1"/>
  <c r="DT84" i="1"/>
  <c r="DT42" i="1"/>
  <c r="DT70" i="1"/>
  <c r="DT31" i="1"/>
  <c r="DT40" i="1"/>
  <c r="DT62" i="1"/>
  <c r="DT71" i="1"/>
  <c r="DT72" i="1"/>
  <c r="DT63" i="1"/>
  <c r="DT68" i="1"/>
  <c r="DT50" i="1"/>
  <c r="DU78" i="1" l="1"/>
  <c r="DU79" i="1"/>
  <c r="DU16" i="1"/>
  <c r="DV15" i="1"/>
  <c r="DU40" i="1"/>
  <c r="DU87" i="1"/>
  <c r="DU63" i="1"/>
  <c r="DU42" i="1"/>
  <c r="DU32" i="1"/>
  <c r="DU41" i="1"/>
  <c r="DU84" i="1"/>
  <c r="DU56" i="1"/>
  <c r="DU68" i="1"/>
  <c r="DU67" i="1"/>
  <c r="DU57" i="1"/>
  <c r="DU50" i="1"/>
  <c r="DU31" i="1"/>
  <c r="DU62" i="1"/>
  <c r="DU72" i="1"/>
  <c r="DU71" i="1"/>
  <c r="DU70" i="1"/>
  <c r="DU51" i="1"/>
  <c r="DV79" i="1" l="1"/>
  <c r="DV78" i="1"/>
  <c r="DV16" i="1"/>
  <c r="DW15" i="1"/>
  <c r="DV56" i="1"/>
  <c r="DV40" i="1"/>
  <c r="DV51" i="1"/>
  <c r="DV42" i="1"/>
  <c r="DV87" i="1"/>
  <c r="DV71" i="1"/>
  <c r="DV31" i="1"/>
  <c r="DV72" i="1"/>
  <c r="DV70" i="1"/>
  <c r="DV67" i="1"/>
  <c r="DV57" i="1"/>
  <c r="DV63" i="1"/>
  <c r="DV41" i="1"/>
  <c r="DV50" i="1"/>
  <c r="DV32" i="1"/>
  <c r="DV62" i="1"/>
  <c r="DV68" i="1"/>
  <c r="DV84" i="1"/>
  <c r="DW78" i="1" l="1"/>
  <c r="DW79" i="1"/>
  <c r="DW16" i="1"/>
  <c r="DX15" i="1"/>
  <c r="DW67" i="1"/>
  <c r="DW50" i="1"/>
  <c r="DW71" i="1"/>
  <c r="DW63" i="1"/>
  <c r="DW32" i="1"/>
  <c r="DW62" i="1"/>
  <c r="DW40" i="1"/>
  <c r="DW70" i="1"/>
  <c r="DW42" i="1"/>
  <c r="DW31" i="1"/>
  <c r="DW41" i="1"/>
  <c r="DW68" i="1"/>
  <c r="DW51" i="1"/>
  <c r="DW72" i="1"/>
  <c r="DW87" i="1"/>
  <c r="DW56" i="1"/>
  <c r="DW84" i="1"/>
  <c r="DW57" i="1"/>
  <c r="DX79" i="1" l="1"/>
  <c r="DX78" i="1"/>
  <c r="DX16" i="1"/>
  <c r="DY15" i="1"/>
  <c r="DX42" i="1"/>
  <c r="DX40" i="1"/>
  <c r="DX32" i="1"/>
  <c r="DX31" i="1"/>
  <c r="DX67" i="1"/>
  <c r="DX62" i="1"/>
  <c r="DX72" i="1"/>
  <c r="DX71" i="1"/>
  <c r="DX56" i="1"/>
  <c r="DX70" i="1"/>
  <c r="DX63" i="1"/>
  <c r="DX68" i="1"/>
  <c r="DX50" i="1"/>
  <c r="DX87" i="1"/>
  <c r="DX84" i="1"/>
  <c r="DX57" i="1"/>
  <c r="DX41" i="1"/>
  <c r="DX51" i="1"/>
  <c r="DY79" i="1" l="1"/>
  <c r="DY78" i="1"/>
  <c r="DY16" i="1"/>
  <c r="DZ15" i="1"/>
  <c r="DY67" i="1"/>
  <c r="DY87" i="1"/>
  <c r="DY84" i="1"/>
  <c r="DY71" i="1"/>
  <c r="DY42" i="1"/>
  <c r="DY63" i="1"/>
  <c r="DY41" i="1"/>
  <c r="DY51" i="1"/>
  <c r="DY56" i="1"/>
  <c r="DY31" i="1"/>
  <c r="DY32" i="1"/>
  <c r="DY40" i="1"/>
  <c r="DY72" i="1"/>
  <c r="DY57" i="1"/>
  <c r="DY62" i="1"/>
  <c r="DY50" i="1"/>
  <c r="DY70" i="1"/>
  <c r="DY68" i="1"/>
  <c r="DZ79" i="1" l="1"/>
  <c r="DZ78" i="1"/>
  <c r="DZ16" i="1"/>
  <c r="EA15" i="1"/>
  <c r="DZ32" i="1"/>
  <c r="DZ51" i="1"/>
  <c r="DZ40" i="1"/>
  <c r="DZ31" i="1"/>
  <c r="DZ41" i="1"/>
  <c r="DZ67" i="1"/>
  <c r="DZ87" i="1"/>
  <c r="DZ70" i="1"/>
  <c r="DZ71" i="1"/>
  <c r="DZ62" i="1"/>
  <c r="DZ84" i="1"/>
  <c r="DZ72" i="1"/>
  <c r="DZ42" i="1"/>
  <c r="DZ68" i="1"/>
  <c r="DZ63" i="1"/>
  <c r="DZ50" i="1"/>
  <c r="DZ57" i="1"/>
  <c r="DZ56" i="1"/>
  <c r="EA79" i="1" l="1"/>
  <c r="EA78" i="1"/>
  <c r="EA16" i="1"/>
  <c r="EB15" i="1"/>
  <c r="EA63" i="1"/>
  <c r="EA71" i="1"/>
  <c r="EA84" i="1"/>
  <c r="EA72" i="1"/>
  <c r="EA42" i="1"/>
  <c r="EA40" i="1"/>
  <c r="EA41" i="1"/>
  <c r="EA31" i="1"/>
  <c r="EA32" i="1"/>
  <c r="EA67" i="1"/>
  <c r="EA87" i="1"/>
  <c r="EA68" i="1"/>
  <c r="EA70" i="1"/>
  <c r="EA50" i="1"/>
  <c r="EA57" i="1"/>
  <c r="EA51" i="1"/>
  <c r="EA62" i="1"/>
  <c r="EA56" i="1"/>
  <c r="EB78" i="1" l="1"/>
  <c r="EB79" i="1"/>
  <c r="EB16" i="1"/>
  <c r="EC15" i="1"/>
  <c r="EB41" i="1"/>
  <c r="EB63" i="1"/>
  <c r="EB51" i="1"/>
  <c r="EB62" i="1"/>
  <c r="EB72" i="1"/>
  <c r="EB31" i="1"/>
  <c r="EB84" i="1"/>
  <c r="EB50" i="1"/>
  <c r="EB56" i="1"/>
  <c r="EB40" i="1"/>
  <c r="EB71" i="1"/>
  <c r="EB67" i="1"/>
  <c r="EB42" i="1"/>
  <c r="EB68" i="1"/>
  <c r="EB87" i="1"/>
  <c r="EB57" i="1"/>
  <c r="EB70" i="1"/>
  <c r="EB32" i="1"/>
  <c r="EC79" i="1" l="1"/>
  <c r="EC78" i="1"/>
  <c r="EC16" i="1"/>
  <c r="ED15" i="1"/>
  <c r="EC62" i="1"/>
  <c r="EC56" i="1"/>
  <c r="EC40" i="1"/>
  <c r="EC41" i="1"/>
  <c r="EC67" i="1"/>
  <c r="EC57" i="1"/>
  <c r="EC31" i="1"/>
  <c r="EC32" i="1"/>
  <c r="EC51" i="1"/>
  <c r="EC42" i="1"/>
  <c r="EC72" i="1"/>
  <c r="EC71" i="1"/>
  <c r="EC50" i="1"/>
  <c r="EC84" i="1"/>
  <c r="EC63" i="1"/>
  <c r="EC87" i="1"/>
  <c r="EC68" i="1"/>
  <c r="EC70" i="1"/>
  <c r="ED78" i="1" l="1"/>
  <c r="ED79" i="1"/>
  <c r="ED16" i="1"/>
  <c r="EE15" i="1"/>
  <c r="ED50" i="1"/>
  <c r="ED87" i="1"/>
  <c r="ED40" i="1"/>
  <c r="ED42" i="1"/>
  <c r="ED32" i="1"/>
  <c r="ED51" i="1"/>
  <c r="ED68" i="1"/>
  <c r="ED31" i="1"/>
  <c r="ED63" i="1"/>
  <c r="ED70" i="1"/>
  <c r="ED57" i="1"/>
  <c r="ED41" i="1"/>
  <c r="ED84" i="1"/>
  <c r="ED72" i="1"/>
  <c r="ED67" i="1"/>
  <c r="ED62" i="1"/>
  <c r="ED56" i="1"/>
  <c r="ED71" i="1"/>
  <c r="EE78" i="1" l="1"/>
  <c r="EE79" i="1"/>
  <c r="EE16" i="1"/>
  <c r="EF15" i="1"/>
  <c r="EE50" i="1"/>
  <c r="EE41" i="1"/>
  <c r="EE32" i="1"/>
  <c r="EE84" i="1"/>
  <c r="EE67" i="1"/>
  <c r="EE63" i="1"/>
  <c r="EE68" i="1"/>
  <c r="EE31" i="1"/>
  <c r="EE56" i="1"/>
  <c r="EE72" i="1"/>
  <c r="EE71" i="1"/>
  <c r="EE70" i="1"/>
  <c r="EE42" i="1"/>
  <c r="EE87" i="1"/>
  <c r="EE40" i="1"/>
  <c r="EE62" i="1"/>
  <c r="EE57" i="1"/>
  <c r="EE51" i="1"/>
  <c r="EF79" i="1" l="1"/>
  <c r="EF78" i="1"/>
  <c r="EF16" i="1"/>
  <c r="EG15" i="1"/>
  <c r="EF40" i="1"/>
  <c r="EF51" i="1"/>
  <c r="EF62" i="1"/>
  <c r="EF67" i="1"/>
  <c r="EF32" i="1"/>
  <c r="EF42" i="1"/>
  <c r="EF63" i="1"/>
  <c r="EF71" i="1"/>
  <c r="EF84" i="1"/>
  <c r="EF70" i="1"/>
  <c r="EF41" i="1"/>
  <c r="EF87" i="1"/>
  <c r="EF72" i="1"/>
  <c r="EF31" i="1"/>
  <c r="EF68" i="1"/>
  <c r="EF50" i="1"/>
  <c r="EF56" i="1"/>
  <c r="EF57" i="1"/>
  <c r="EG79" i="1" l="1"/>
  <c r="EG78" i="1"/>
  <c r="EG16" i="1"/>
  <c r="EH15" i="1"/>
  <c r="EG42" i="1"/>
  <c r="EG70" i="1"/>
  <c r="EG41" i="1"/>
  <c r="EG40" i="1"/>
  <c r="EG32" i="1"/>
  <c r="EG50" i="1"/>
  <c r="EG51" i="1"/>
  <c r="EG57" i="1"/>
  <c r="EG31" i="1"/>
  <c r="EG63" i="1"/>
  <c r="EG72" i="1"/>
  <c r="EG68" i="1"/>
  <c r="EG84" i="1"/>
  <c r="EG87" i="1"/>
  <c r="EG62" i="1"/>
  <c r="EG67" i="1"/>
  <c r="EG56" i="1"/>
  <c r="EG71" i="1"/>
  <c r="EH79" i="1" l="1"/>
  <c r="EH78" i="1"/>
  <c r="EH16" i="1"/>
  <c r="EI15" i="1"/>
  <c r="EH84" i="1"/>
  <c r="EH62" i="1"/>
  <c r="EH31" i="1"/>
  <c r="EH67" i="1"/>
  <c r="EH63" i="1"/>
  <c r="EH40" i="1"/>
  <c r="EH56" i="1"/>
  <c r="EH42" i="1"/>
  <c r="EH71" i="1"/>
  <c r="EH32" i="1"/>
  <c r="EH72" i="1"/>
  <c r="EH68" i="1"/>
  <c r="EH50" i="1"/>
  <c r="EH41" i="1"/>
  <c r="EH70" i="1"/>
  <c r="EH87" i="1"/>
  <c r="EH51" i="1"/>
  <c r="EH57" i="1"/>
  <c r="EI78" i="1" l="1"/>
  <c r="EI79" i="1"/>
  <c r="EI16" i="1"/>
  <c r="EJ15" i="1"/>
  <c r="EI84" i="1"/>
  <c r="EI40" i="1"/>
  <c r="EI42" i="1"/>
  <c r="EI56" i="1"/>
  <c r="EI57" i="1"/>
  <c r="EI62" i="1"/>
  <c r="EI41" i="1"/>
  <c r="EI50" i="1"/>
  <c r="EI71" i="1"/>
  <c r="EI68" i="1"/>
  <c r="EI51" i="1"/>
  <c r="EI67" i="1"/>
  <c r="EI87" i="1"/>
  <c r="EI32" i="1"/>
  <c r="EI31" i="1"/>
  <c r="EI63" i="1"/>
  <c r="EI72" i="1"/>
  <c r="EI70" i="1"/>
  <c r="EJ78" i="1" l="1"/>
  <c r="EJ79" i="1"/>
  <c r="EJ16" i="1"/>
  <c r="EK15" i="1"/>
  <c r="EJ31" i="1"/>
  <c r="EJ42" i="1"/>
  <c r="EJ72" i="1"/>
  <c r="EJ87" i="1"/>
  <c r="EJ57" i="1"/>
  <c r="EJ68" i="1"/>
  <c r="EJ62" i="1"/>
  <c r="EJ63" i="1"/>
  <c r="EJ50" i="1"/>
  <c r="EJ84" i="1"/>
  <c r="EJ41" i="1"/>
  <c r="EJ56" i="1"/>
  <c r="EJ71" i="1"/>
  <c r="EJ40" i="1"/>
  <c r="EJ67" i="1"/>
  <c r="EJ51" i="1"/>
  <c r="EJ32" i="1"/>
  <c r="EJ70" i="1"/>
  <c r="EK79" i="1" l="1"/>
  <c r="EK78" i="1"/>
  <c r="EK16" i="1"/>
  <c r="EL15" i="1"/>
  <c r="EK70" i="1"/>
  <c r="EK32" i="1"/>
  <c r="EK40" i="1"/>
  <c r="EK42" i="1"/>
  <c r="EK51" i="1"/>
  <c r="EK50" i="1"/>
  <c r="EK87" i="1"/>
  <c r="EK62" i="1"/>
  <c r="EK41" i="1"/>
  <c r="EK72" i="1"/>
  <c r="EK31" i="1"/>
  <c r="EK68" i="1"/>
  <c r="EK84" i="1"/>
  <c r="EK67" i="1"/>
  <c r="EK71" i="1"/>
  <c r="EK57" i="1"/>
  <c r="EK56" i="1"/>
  <c r="EK63" i="1"/>
  <c r="EL78" i="1" l="1"/>
  <c r="EL79" i="1"/>
  <c r="EL16" i="1"/>
  <c r="EM15" i="1"/>
  <c r="EL56" i="1"/>
  <c r="EL71" i="1"/>
  <c r="EL72" i="1"/>
  <c r="EL31" i="1"/>
  <c r="EL51" i="1"/>
  <c r="EL68" i="1"/>
  <c r="EL32" i="1"/>
  <c r="EL57" i="1"/>
  <c r="EL50" i="1"/>
  <c r="EL67" i="1"/>
  <c r="EL70" i="1"/>
  <c r="EL40" i="1"/>
  <c r="EL84" i="1"/>
  <c r="EL42" i="1"/>
  <c r="EL41" i="1"/>
  <c r="EL87" i="1"/>
  <c r="EL62" i="1"/>
  <c r="EL63" i="1"/>
  <c r="EM78" i="1" l="1"/>
  <c r="EM79" i="1"/>
  <c r="EM16" i="1"/>
  <c r="EN15" i="1"/>
  <c r="EM50" i="1"/>
  <c r="EM32" i="1"/>
  <c r="EM63" i="1"/>
  <c r="EM40" i="1"/>
  <c r="EM56" i="1"/>
  <c r="EM62" i="1"/>
  <c r="EM67" i="1"/>
  <c r="EM87" i="1"/>
  <c r="EM84" i="1"/>
  <c r="EM31" i="1"/>
  <c r="EM68" i="1"/>
  <c r="EM41" i="1"/>
  <c r="EM51" i="1"/>
  <c r="EM57" i="1"/>
  <c r="EM70" i="1"/>
  <c r="EM42" i="1"/>
  <c r="EM71" i="1"/>
  <c r="EM72" i="1"/>
  <c r="EN78" i="1" l="1"/>
  <c r="EN79" i="1"/>
  <c r="EN16" i="1"/>
  <c r="EO15" i="1"/>
  <c r="EN31" i="1"/>
  <c r="EN50" i="1"/>
  <c r="EN41" i="1"/>
  <c r="EN40" i="1"/>
  <c r="EN72" i="1"/>
  <c r="EN62" i="1"/>
  <c r="EN84" i="1"/>
  <c r="EN32" i="1"/>
  <c r="EN51" i="1"/>
  <c r="EN56" i="1"/>
  <c r="EN63" i="1"/>
  <c r="EN42" i="1"/>
  <c r="EN57" i="1"/>
  <c r="EN67" i="1"/>
  <c r="EN71" i="1"/>
  <c r="EN68" i="1"/>
  <c r="EN70" i="1"/>
  <c r="EN87" i="1"/>
  <c r="EO79" i="1" l="1"/>
  <c r="EO78" i="1"/>
  <c r="EO16" i="1"/>
  <c r="EP15" i="1"/>
  <c r="EO56" i="1"/>
  <c r="EO41" i="1"/>
  <c r="EO57" i="1"/>
  <c r="EO42" i="1"/>
  <c r="EO40" i="1"/>
  <c r="EO71" i="1"/>
  <c r="EO51" i="1"/>
  <c r="EO67" i="1"/>
  <c r="EO70" i="1"/>
  <c r="EO62" i="1"/>
  <c r="EO50" i="1"/>
  <c r="EO63" i="1"/>
  <c r="EO32" i="1"/>
  <c r="EO87" i="1"/>
  <c r="EO72" i="1"/>
  <c r="EO31" i="1"/>
  <c r="EO84" i="1"/>
  <c r="EO68" i="1"/>
  <c r="EP79" i="1" l="1"/>
  <c r="EP78" i="1"/>
  <c r="EP16" i="1"/>
  <c r="EQ15" i="1"/>
  <c r="EP63" i="1"/>
  <c r="EP62" i="1"/>
  <c r="EP41" i="1"/>
  <c r="EP31" i="1"/>
  <c r="EP56" i="1"/>
  <c r="EP57" i="1"/>
  <c r="EP87" i="1"/>
  <c r="EP50" i="1"/>
  <c r="EP67" i="1"/>
  <c r="EP70" i="1"/>
  <c r="EP68" i="1"/>
  <c r="EP72" i="1"/>
  <c r="EP40" i="1"/>
  <c r="EP84" i="1"/>
  <c r="EP71" i="1"/>
  <c r="EP42" i="1"/>
  <c r="EP32" i="1"/>
  <c r="EP51" i="1"/>
  <c r="EQ79" i="1" l="1"/>
  <c r="EQ78" i="1"/>
  <c r="EQ16" i="1"/>
  <c r="ER15" i="1"/>
  <c r="EQ51" i="1"/>
  <c r="EQ56" i="1"/>
  <c r="EQ40" i="1"/>
  <c r="EQ72" i="1"/>
  <c r="EQ68" i="1"/>
  <c r="EQ41" i="1"/>
  <c r="EQ50" i="1"/>
  <c r="EQ70" i="1"/>
  <c r="EQ42" i="1"/>
  <c r="EQ62" i="1"/>
  <c r="EQ87" i="1"/>
  <c r="EQ63" i="1"/>
  <c r="EQ84" i="1"/>
  <c r="EQ57" i="1"/>
  <c r="EQ67" i="1"/>
  <c r="EQ31" i="1"/>
  <c r="EQ71" i="1"/>
  <c r="EQ32" i="1"/>
  <c r="ER79" i="1" l="1"/>
  <c r="ER78" i="1"/>
  <c r="ER16" i="1"/>
  <c r="ES15" i="1"/>
  <c r="ER42" i="1"/>
  <c r="ER32" i="1"/>
  <c r="ER72" i="1"/>
  <c r="ER87" i="1"/>
  <c r="ER70" i="1"/>
  <c r="ER50" i="1"/>
  <c r="ER68" i="1"/>
  <c r="ER40" i="1"/>
  <c r="ER71" i="1"/>
  <c r="ER41" i="1"/>
  <c r="ER56" i="1"/>
  <c r="ER63" i="1"/>
  <c r="ER31" i="1"/>
  <c r="ER62" i="1"/>
  <c r="ER51" i="1"/>
  <c r="ER67" i="1"/>
  <c r="ER84" i="1"/>
  <c r="ER57" i="1"/>
  <c r="ES79" i="1" l="1"/>
  <c r="ES78" i="1"/>
  <c r="ES16" i="1"/>
  <c r="ET15" i="1"/>
  <c r="ES71" i="1"/>
  <c r="ES84" i="1"/>
  <c r="ES56" i="1"/>
  <c r="ES51" i="1"/>
  <c r="ES31" i="1"/>
  <c r="ES68" i="1"/>
  <c r="ES57" i="1"/>
  <c r="ES50" i="1"/>
  <c r="ES32" i="1"/>
  <c r="ES62" i="1"/>
  <c r="ES72" i="1"/>
  <c r="ES40" i="1"/>
  <c r="ES63" i="1"/>
  <c r="ES70" i="1"/>
  <c r="ES87" i="1"/>
  <c r="ES67" i="1"/>
  <c r="ES41" i="1"/>
  <c r="ES42" i="1"/>
  <c r="ET79" i="1" l="1"/>
  <c r="ET78" i="1"/>
  <c r="ET16" i="1"/>
  <c r="EU15" i="1"/>
  <c r="ET41" i="1"/>
  <c r="ET56" i="1"/>
  <c r="ET63" i="1"/>
  <c r="ET71" i="1"/>
  <c r="ET51" i="1"/>
  <c r="ET31" i="1"/>
  <c r="ET50" i="1"/>
  <c r="ET42" i="1"/>
  <c r="ET72" i="1"/>
  <c r="ET57" i="1"/>
  <c r="ET40" i="1"/>
  <c r="ET84" i="1"/>
  <c r="ET70" i="1"/>
  <c r="ET62" i="1"/>
  <c r="ET67" i="1"/>
  <c r="ET68" i="1"/>
  <c r="ET87" i="1"/>
  <c r="ET32" i="1"/>
  <c r="EU79" i="1" l="1"/>
  <c r="EU78" i="1"/>
  <c r="EU16" i="1"/>
  <c r="EV15" i="1"/>
  <c r="EU67" i="1"/>
  <c r="EU51" i="1"/>
  <c r="EU87" i="1"/>
  <c r="EU68" i="1"/>
  <c r="EU50" i="1"/>
  <c r="EU42" i="1"/>
  <c r="EU32" i="1"/>
  <c r="EU62" i="1"/>
  <c r="EU31" i="1"/>
  <c r="EU71" i="1"/>
  <c r="EU70" i="1"/>
  <c r="EU63" i="1"/>
  <c r="EU56" i="1"/>
  <c r="EU57" i="1"/>
  <c r="EU84" i="1"/>
  <c r="EU41" i="1"/>
  <c r="EU40" i="1"/>
  <c r="EU72" i="1"/>
  <c r="EV79" i="1" l="1"/>
  <c r="EV78" i="1"/>
  <c r="EV16" i="1"/>
  <c r="EW15" i="1"/>
  <c r="EV40" i="1"/>
  <c r="EV72" i="1"/>
  <c r="EV51" i="1"/>
  <c r="EV87" i="1"/>
  <c r="EV42" i="1"/>
  <c r="EV67" i="1"/>
  <c r="EV62" i="1"/>
  <c r="EV32" i="1"/>
  <c r="EV31" i="1"/>
  <c r="EV71" i="1"/>
  <c r="EV68" i="1"/>
  <c r="EV57" i="1"/>
  <c r="EV56" i="1"/>
  <c r="EV50" i="1"/>
  <c r="EV70" i="1"/>
  <c r="EV41" i="1"/>
  <c r="EV63" i="1"/>
  <c r="EV84" i="1"/>
  <c r="EW79" i="1" l="1"/>
  <c r="EW78" i="1"/>
  <c r="EW16" i="1"/>
  <c r="EX15" i="1"/>
  <c r="EW71" i="1"/>
  <c r="EW32" i="1"/>
  <c r="EW50" i="1"/>
  <c r="EW84" i="1"/>
  <c r="EW40" i="1"/>
  <c r="EW62" i="1"/>
  <c r="EW68" i="1"/>
  <c r="EW56" i="1"/>
  <c r="EW41" i="1"/>
  <c r="EW67" i="1"/>
  <c r="EW87" i="1"/>
  <c r="EW42" i="1"/>
  <c r="EW31" i="1"/>
  <c r="EW63" i="1"/>
  <c r="EW72" i="1"/>
  <c r="EW70" i="1"/>
  <c r="EW57" i="1"/>
  <c r="EW51" i="1"/>
  <c r="EX79" i="1" l="1"/>
  <c r="EX78" i="1"/>
  <c r="EX16" i="1"/>
  <c r="EY15" i="1"/>
  <c r="EX32" i="1"/>
  <c r="EX84" i="1"/>
  <c r="EX56" i="1"/>
  <c r="EX63" i="1"/>
  <c r="EX57" i="1"/>
  <c r="EX51" i="1"/>
  <c r="EX87" i="1"/>
  <c r="EX42" i="1"/>
  <c r="EX71" i="1"/>
  <c r="EX31" i="1"/>
  <c r="EX72" i="1"/>
  <c r="EX40" i="1"/>
  <c r="EX50" i="1"/>
  <c r="EX68" i="1"/>
  <c r="EX62" i="1"/>
  <c r="EX67" i="1"/>
  <c r="EX41" i="1"/>
  <c r="EX70" i="1"/>
  <c r="EY79" i="1" l="1"/>
  <c r="EY78" i="1"/>
  <c r="EY16" i="1"/>
  <c r="EZ15" i="1"/>
  <c r="EY41" i="1"/>
  <c r="EY68" i="1"/>
  <c r="EY42" i="1"/>
  <c r="EY84" i="1"/>
  <c r="EY31" i="1"/>
  <c r="EY71" i="1"/>
  <c r="EY51" i="1"/>
  <c r="EY70" i="1"/>
  <c r="EY32" i="1"/>
  <c r="EY72" i="1"/>
  <c r="EY67" i="1"/>
  <c r="EY87" i="1"/>
  <c r="EY40" i="1"/>
  <c r="EY56" i="1"/>
  <c r="EY63" i="1"/>
  <c r="EY50" i="1"/>
  <c r="EY62" i="1"/>
  <c r="EY57" i="1"/>
  <c r="EZ79" i="1" l="1"/>
  <c r="EZ78" i="1"/>
  <c r="EZ16" i="1"/>
  <c r="FA15" i="1"/>
  <c r="EZ56" i="1"/>
  <c r="EZ67" i="1"/>
  <c r="EZ51" i="1"/>
  <c r="EZ42" i="1"/>
  <c r="EZ71" i="1"/>
  <c r="EZ50" i="1"/>
  <c r="EZ68" i="1"/>
  <c r="EZ70" i="1"/>
  <c r="EZ62" i="1"/>
  <c r="EZ63" i="1"/>
  <c r="EZ40" i="1"/>
  <c r="EZ57" i="1"/>
  <c r="EZ31" i="1"/>
  <c r="EZ87" i="1"/>
  <c r="EZ41" i="1"/>
  <c r="EZ32" i="1"/>
  <c r="EZ72" i="1"/>
  <c r="EZ84" i="1"/>
  <c r="FA79" i="1" l="1"/>
  <c r="FA78" i="1"/>
  <c r="FA16" i="1"/>
  <c r="FB15" i="1"/>
  <c r="FA63" i="1"/>
  <c r="FA67" i="1"/>
  <c r="FA71" i="1"/>
  <c r="FA42" i="1"/>
  <c r="FA40" i="1"/>
  <c r="FA57" i="1"/>
  <c r="FA68" i="1"/>
  <c r="FA41" i="1"/>
  <c r="FA50" i="1"/>
  <c r="FA70" i="1"/>
  <c r="FA32" i="1"/>
  <c r="FA62" i="1"/>
  <c r="FA84" i="1"/>
  <c r="FA31" i="1"/>
  <c r="FA56" i="1"/>
  <c r="FA87" i="1"/>
  <c r="FA51" i="1"/>
  <c r="FA72" i="1"/>
  <c r="FB78" i="1" l="1"/>
  <c r="FB79" i="1"/>
  <c r="FB16" i="1"/>
  <c r="FC15" i="1"/>
  <c r="FB57" i="1"/>
  <c r="FB84" i="1"/>
  <c r="FB56" i="1"/>
  <c r="FB41" i="1"/>
  <c r="FB67" i="1"/>
  <c r="FB42" i="1"/>
  <c r="FB72" i="1"/>
  <c r="FB62" i="1"/>
  <c r="FB63" i="1"/>
  <c r="FB51" i="1"/>
  <c r="FB50" i="1"/>
  <c r="FB40" i="1"/>
  <c r="FB71" i="1"/>
  <c r="FB87" i="1"/>
  <c r="FB32" i="1"/>
  <c r="FB68" i="1"/>
  <c r="FB70" i="1"/>
  <c r="FB31" i="1"/>
  <c r="FC78" i="1" l="1"/>
  <c r="FC79" i="1"/>
  <c r="FC16" i="1"/>
  <c r="FD15" i="1"/>
  <c r="FC84" i="1"/>
  <c r="FC51" i="1"/>
  <c r="FC63" i="1"/>
  <c r="FC68" i="1"/>
  <c r="FC71" i="1"/>
  <c r="FC70" i="1"/>
  <c r="FC31" i="1"/>
  <c r="FC67" i="1"/>
  <c r="FC42" i="1"/>
  <c r="FC41" i="1"/>
  <c r="FC40" i="1"/>
  <c r="FC57" i="1"/>
  <c r="FC32" i="1"/>
  <c r="FC50" i="1"/>
  <c r="FC56" i="1"/>
  <c r="FC87" i="1"/>
  <c r="FC62" i="1"/>
  <c r="FC72" i="1"/>
  <c r="FD79" i="1" l="1"/>
  <c r="FD78" i="1"/>
  <c r="FD16" i="1"/>
  <c r="FE15" i="1"/>
  <c r="FD40" i="1"/>
  <c r="FD63" i="1"/>
  <c r="FD68" i="1"/>
  <c r="FD41" i="1"/>
  <c r="FD32" i="1"/>
  <c r="FD70" i="1"/>
  <c r="FD57" i="1"/>
  <c r="FD31" i="1"/>
  <c r="FD72" i="1"/>
  <c r="FD67" i="1"/>
  <c r="FD56" i="1"/>
  <c r="FD84" i="1"/>
  <c r="FD42" i="1"/>
  <c r="FD51" i="1"/>
  <c r="FD62" i="1"/>
  <c r="FD87" i="1"/>
  <c r="FD71" i="1"/>
  <c r="FD50" i="1"/>
  <c r="FE78" i="1" l="1"/>
  <c r="FE79" i="1"/>
  <c r="FE16" i="1"/>
  <c r="FF15" i="1"/>
  <c r="FE50" i="1"/>
  <c r="FE72" i="1"/>
  <c r="FE41" i="1"/>
  <c r="FE57" i="1"/>
  <c r="FE31" i="1"/>
  <c r="FE42" i="1"/>
  <c r="FE71" i="1"/>
  <c r="FE32" i="1"/>
  <c r="FE70" i="1"/>
  <c r="FE63" i="1"/>
  <c r="FE51" i="1"/>
  <c r="FE84" i="1"/>
  <c r="FE87" i="1"/>
  <c r="FE67" i="1"/>
  <c r="FE62" i="1"/>
  <c r="FE40" i="1"/>
  <c r="FE68" i="1"/>
  <c r="FE56" i="1"/>
  <c r="FF79" i="1" l="1"/>
  <c r="FF78" i="1"/>
  <c r="FF16" i="1"/>
  <c r="FG15" i="1"/>
  <c r="FF68" i="1"/>
  <c r="FF41" i="1"/>
  <c r="FF70" i="1"/>
  <c r="FF84" i="1"/>
  <c r="FF42" i="1"/>
  <c r="FF57" i="1"/>
  <c r="FF32" i="1"/>
  <c r="FF51" i="1"/>
  <c r="FF40" i="1"/>
  <c r="FF87" i="1"/>
  <c r="FF31" i="1"/>
  <c r="FF62" i="1"/>
  <c r="FF72" i="1"/>
  <c r="FF56" i="1"/>
  <c r="FF71" i="1"/>
  <c r="FF50" i="1"/>
  <c r="FF63" i="1"/>
  <c r="FF67" i="1"/>
  <c r="FG78" i="1" l="1"/>
  <c r="FG79" i="1"/>
  <c r="FG16" i="1"/>
  <c r="FH15" i="1"/>
  <c r="FG32" i="1"/>
  <c r="FG68" i="1"/>
  <c r="FG31" i="1"/>
  <c r="FG40" i="1"/>
  <c r="FG72" i="1"/>
  <c r="FG84" i="1"/>
  <c r="FG70" i="1"/>
  <c r="FG51" i="1"/>
  <c r="FG41" i="1"/>
  <c r="FG42" i="1"/>
  <c r="FG62" i="1"/>
  <c r="FG56" i="1"/>
  <c r="FG67" i="1"/>
  <c r="FG57" i="1"/>
  <c r="FG71" i="1"/>
  <c r="FG50" i="1"/>
  <c r="FG63" i="1"/>
  <c r="FG87" i="1"/>
  <c r="FH78" i="1" l="1"/>
  <c r="FH79" i="1"/>
  <c r="FH16" i="1"/>
  <c r="FI15" i="1"/>
  <c r="FH68" i="1"/>
  <c r="FH63" i="1"/>
  <c r="FH70" i="1"/>
  <c r="FH42" i="1"/>
  <c r="FH67" i="1"/>
  <c r="FH71" i="1"/>
  <c r="FH87" i="1"/>
  <c r="FH50" i="1"/>
  <c r="FH84" i="1"/>
  <c r="FH72" i="1"/>
  <c r="FH62" i="1"/>
  <c r="FH31" i="1"/>
  <c r="FH40" i="1"/>
  <c r="FH57" i="1"/>
  <c r="FH41" i="1"/>
  <c r="FH32" i="1"/>
  <c r="FH56" i="1"/>
  <c r="FH51" i="1"/>
  <c r="FI78" i="1" l="1"/>
  <c r="FI79" i="1"/>
  <c r="FI16" i="1"/>
  <c r="FJ15" i="1"/>
  <c r="FI84" i="1"/>
  <c r="FI57" i="1"/>
  <c r="FI70" i="1"/>
  <c r="FI63" i="1"/>
  <c r="FI51" i="1"/>
  <c r="FI31" i="1"/>
  <c r="FI56" i="1"/>
  <c r="FI62" i="1"/>
  <c r="FI72" i="1"/>
  <c r="FI40" i="1"/>
  <c r="FI68" i="1"/>
  <c r="FI67" i="1"/>
  <c r="FI41" i="1"/>
  <c r="FI71" i="1"/>
  <c r="FI32" i="1"/>
  <c r="FI87" i="1"/>
  <c r="FI42" i="1"/>
  <c r="FI50" i="1"/>
  <c r="FJ78" i="1" l="1"/>
  <c r="FJ79" i="1"/>
  <c r="FJ16" i="1"/>
  <c r="FK15" i="1"/>
  <c r="FJ87" i="1"/>
  <c r="FJ63" i="1"/>
  <c r="FJ31" i="1"/>
  <c r="FJ40" i="1"/>
  <c r="FJ62" i="1"/>
  <c r="FJ67" i="1"/>
  <c r="FJ68" i="1"/>
  <c r="FJ71" i="1"/>
  <c r="FJ51" i="1"/>
  <c r="FJ70" i="1"/>
  <c r="FJ50" i="1"/>
  <c r="FJ84" i="1"/>
  <c r="FJ42" i="1"/>
  <c r="FJ56" i="1"/>
  <c r="FJ41" i="1"/>
  <c r="FJ57" i="1"/>
  <c r="FJ32" i="1"/>
  <c r="FJ72" i="1"/>
  <c r="FK79" i="1" l="1"/>
  <c r="FK78" i="1"/>
  <c r="FK16" i="1"/>
  <c r="FL15" i="1"/>
  <c r="FK51" i="1"/>
  <c r="FK67" i="1"/>
  <c r="FK31" i="1"/>
  <c r="FK56" i="1"/>
  <c r="FK42" i="1"/>
  <c r="FK63" i="1"/>
  <c r="FK68" i="1"/>
  <c r="FK50" i="1"/>
  <c r="FK32" i="1"/>
  <c r="FK84" i="1"/>
  <c r="FK40" i="1"/>
  <c r="FK57" i="1"/>
  <c r="FK62" i="1"/>
  <c r="FK72" i="1"/>
  <c r="FK71" i="1"/>
  <c r="FK70" i="1"/>
  <c r="FK41" i="1"/>
  <c r="FK87" i="1"/>
  <c r="FL78" i="1" l="1"/>
  <c r="FL79" i="1"/>
  <c r="FL16" i="1"/>
  <c r="FM15" i="1"/>
  <c r="FL31" i="1"/>
  <c r="FL71" i="1"/>
  <c r="FL68" i="1"/>
  <c r="FL32" i="1"/>
  <c r="FL67" i="1"/>
  <c r="FL41" i="1"/>
  <c r="FL63" i="1"/>
  <c r="FL70" i="1"/>
  <c r="FL51" i="1"/>
  <c r="FL40" i="1"/>
  <c r="FL42" i="1"/>
  <c r="FL87" i="1"/>
  <c r="FL57" i="1"/>
  <c r="FL72" i="1"/>
  <c r="FL62" i="1"/>
  <c r="FL50" i="1"/>
  <c r="FL84" i="1"/>
  <c r="FL56" i="1"/>
  <c r="FM78" i="1" l="1"/>
  <c r="FM79" i="1"/>
  <c r="FM16" i="1"/>
  <c r="FN15" i="1"/>
  <c r="FM62" i="1"/>
  <c r="FM42" i="1"/>
  <c r="FM57" i="1"/>
  <c r="FM70" i="1"/>
  <c r="FM31" i="1"/>
  <c r="FM72" i="1"/>
  <c r="FM41" i="1"/>
  <c r="FM32" i="1"/>
  <c r="FM68" i="1"/>
  <c r="FM84" i="1"/>
  <c r="FM56" i="1"/>
  <c r="FM71" i="1"/>
  <c r="FM51" i="1"/>
  <c r="FM63" i="1"/>
  <c r="FM50" i="1"/>
  <c r="FM67" i="1"/>
  <c r="FM87" i="1"/>
  <c r="FM40" i="1"/>
  <c r="FN79" i="1" l="1"/>
  <c r="FN78" i="1"/>
  <c r="FN16" i="1"/>
  <c r="FO15" i="1"/>
  <c r="FN32" i="1"/>
  <c r="FN42" i="1"/>
  <c r="FN63" i="1"/>
  <c r="FN41" i="1"/>
  <c r="FN50" i="1"/>
  <c r="FN56" i="1"/>
  <c r="FN72" i="1"/>
  <c r="FN68" i="1"/>
  <c r="FN71" i="1"/>
  <c r="FN57" i="1"/>
  <c r="FN87" i="1"/>
  <c r="FN40" i="1"/>
  <c r="FN62" i="1"/>
  <c r="FN31" i="1"/>
  <c r="FN70" i="1"/>
  <c r="FN84" i="1"/>
  <c r="FN67" i="1"/>
  <c r="FN51" i="1"/>
  <c r="FO79" i="1" l="1"/>
  <c r="FO78" i="1"/>
  <c r="FO16" i="1"/>
  <c r="FP15" i="1"/>
  <c r="FO42" i="1"/>
  <c r="FO72" i="1"/>
  <c r="FO31" i="1"/>
  <c r="FO67" i="1"/>
  <c r="FO56" i="1"/>
  <c r="FO71" i="1"/>
  <c r="FO50" i="1"/>
  <c r="FO84" i="1"/>
  <c r="FO51" i="1"/>
  <c r="FO62" i="1"/>
  <c r="FO63" i="1"/>
  <c r="FO40" i="1"/>
  <c r="FO57" i="1"/>
  <c r="FO87" i="1"/>
  <c r="FO32" i="1"/>
  <c r="FO41" i="1"/>
  <c r="FO68" i="1"/>
  <c r="FO70" i="1"/>
  <c r="FP78" i="1" l="1"/>
  <c r="FP79" i="1"/>
  <c r="FP16" i="1"/>
  <c r="FQ15" i="1"/>
  <c r="FP32" i="1"/>
  <c r="FP40" i="1"/>
  <c r="FP62" i="1"/>
  <c r="FP51" i="1"/>
  <c r="FP42" i="1"/>
  <c r="FP31" i="1"/>
  <c r="FP57" i="1"/>
  <c r="FP87" i="1"/>
  <c r="FP68" i="1"/>
  <c r="FP41" i="1"/>
  <c r="FP70" i="1"/>
  <c r="FP50" i="1"/>
  <c r="FP84" i="1"/>
  <c r="FP67" i="1"/>
  <c r="FP71" i="1"/>
  <c r="FP56" i="1"/>
  <c r="FP63" i="1"/>
  <c r="FP72" i="1"/>
  <c r="FQ79" i="1" l="1"/>
  <c r="FQ78" i="1"/>
  <c r="FQ16" i="1"/>
  <c r="FR15" i="1"/>
  <c r="FQ41" i="1"/>
  <c r="FQ72" i="1"/>
  <c r="FQ40" i="1"/>
  <c r="FQ50" i="1"/>
  <c r="FQ42" i="1"/>
  <c r="FQ32" i="1"/>
  <c r="FQ57" i="1"/>
  <c r="FQ62" i="1"/>
  <c r="FQ56" i="1"/>
  <c r="FQ70" i="1"/>
  <c r="FQ71" i="1"/>
  <c r="FQ67" i="1"/>
  <c r="FQ63" i="1"/>
  <c r="FQ51" i="1"/>
  <c r="FQ87" i="1"/>
  <c r="FQ68" i="1"/>
  <c r="FQ31" i="1"/>
  <c r="FQ84" i="1"/>
  <c r="FR79" i="1" l="1"/>
  <c r="FR78" i="1"/>
  <c r="FR16" i="1"/>
  <c r="FS15" i="1"/>
  <c r="FR51" i="1"/>
  <c r="FR41" i="1"/>
  <c r="FR40" i="1"/>
  <c r="FR67" i="1"/>
  <c r="FR56" i="1"/>
  <c r="FR62" i="1"/>
  <c r="FR31" i="1"/>
  <c r="FR57" i="1"/>
  <c r="FR32" i="1"/>
  <c r="FR42" i="1"/>
  <c r="FR63" i="1"/>
  <c r="FR50" i="1"/>
  <c r="FR71" i="1"/>
  <c r="FR72" i="1"/>
  <c r="FR87" i="1"/>
  <c r="FR84" i="1"/>
  <c r="FR68" i="1"/>
  <c r="FR70" i="1"/>
  <c r="FS79" i="1" l="1"/>
  <c r="FS78" i="1"/>
  <c r="FS16" i="1"/>
  <c r="FS31" i="1"/>
  <c r="FS72" i="1"/>
  <c r="FS87" i="1"/>
  <c r="FS51" i="1"/>
  <c r="FS32" i="1"/>
  <c r="FS41" i="1"/>
  <c r="FS70" i="1"/>
  <c r="FS71" i="1"/>
  <c r="FS63" i="1"/>
  <c r="FS67" i="1"/>
  <c r="FS42" i="1"/>
  <c r="FS50" i="1"/>
  <c r="FS56" i="1"/>
  <c r="FS40" i="1"/>
  <c r="FS84" i="1"/>
  <c r="FS57" i="1"/>
  <c r="FS68" i="1"/>
  <c r="FS62" i="1"/>
  <c r="H75" i="1" l="1"/>
  <c r="J75" i="1"/>
  <c r="I75" i="1"/>
  <c r="K75" i="1"/>
  <c r="L75" i="1"/>
  <c r="M75" i="1"/>
  <c r="N75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5FD620C-E26F-42F5-A7D5-4FA824849ABA}" keepAlive="1" name="Query - Flows" description="Connection to the 'Flows' query in the workbook." type="5" refreshedVersion="8" background="1" saveData="1">
    <dbPr connection="Provider=Microsoft.Mashup.OleDb.1;Data Source=$Workbook$;Location=Flows;Extended Properties=&quot;&quot;" command="SELECT * FROM [Flows]"/>
  </connection>
  <connection id="2" xr16:uid="{C48F3CED-843F-405B-BE6D-2D62B9A3C6BB}" keepAlive="1" name="Query - Parameter1" description="Connection to the 'Parameter1' query in the workbook." type="5" refreshedVersion="0" background="1">
    <dbPr connection="Provider=Microsoft.Mashup.OleDb.1;Data Source=$Workbook$;Location=Parameter1;Extended Properties=&quot;&quot;" command="SELECT * FROM [Parameter1]"/>
  </connection>
  <connection id="3" xr16:uid="{ACA8B7FF-04B1-47EC-9C70-7B1E437C0C66}" keepAlive="1" name="Query - Parameter2" description="Connection to the 'Parameter2' query in the workbook." type="5" refreshedVersion="0" background="1">
    <dbPr connection="Provider=Microsoft.Mashup.OleDb.1;Data Source=$Workbook$;Location=Parameter2;Extended Properties=&quot;&quot;" command="SELECT * FROM [Parameter2]"/>
  </connection>
  <connection id="4" xr16:uid="{3FFFA63A-2589-4957-9E2B-D99905BB9B6B}" keepAlive="1" name="Query - Sample File" description="Connection to the 'Sample File' query in the workbook." type="5" refreshedVersion="0" background="1">
    <dbPr connection="Provider=Microsoft.Mashup.OleDb.1;Data Source=$Workbook$;Location=&quot;Sample File&quot;;Extended Properties=&quot;&quot;" command="SELECT * FROM [Sample File]"/>
  </connection>
  <connection id="5" xr16:uid="{791533C6-4CE8-42B1-B084-FEAB8FFA2375}" keepAlive="1" name="Query - Sample File (2)" description="Connection to the 'Sample File (2)' query in the workbook." type="5" refreshedVersion="0" background="1">
    <dbPr connection="Provider=Microsoft.Mashup.OleDb.1;Data Source=$Workbook$;Location=&quot;Sample File (2)&quot;;Extended Properties=&quot;&quot;" command="SELECT * FROM [Sample File (2)]"/>
  </connection>
  <connection id="6" xr16:uid="{94709A37-6A15-443B-BF5E-D47797A8E7E1}" keepAlive="1" name="Query - Transform File" description="Connection to the 'Transform File' query in the workbook." type="5" refreshedVersion="0" background="1">
    <dbPr connection="Provider=Microsoft.Mashup.OleDb.1;Data Source=$Workbook$;Location=&quot;Transform File&quot;;Extended Properties=&quot;&quot;" command="SELECT * FROM [Transform File]"/>
  </connection>
  <connection id="7" xr16:uid="{EC07C3DB-D405-42B2-8B4A-974299753FDB}" keepAlive="1" name="Query - Transform File (2)" description="Connection to the 'Transform File (2)' query in the workbook." type="5" refreshedVersion="0" background="1">
    <dbPr connection="Provider=Microsoft.Mashup.OleDb.1;Data Source=$Workbook$;Location=&quot;Transform File (2)&quot;;Extended Properties=&quot;&quot;" command="SELECT * FROM [Transform File (2)]"/>
  </connection>
  <connection id="8" xr16:uid="{648103CA-F3E7-43ED-B179-8B291221D7F2}" keepAlive="1" name="Query - Transform Sample File" description="Connection to the 'Transform Sample File' query in the workbook." type="5" refreshedVersion="0" background="1">
    <dbPr connection="Provider=Microsoft.Mashup.OleDb.1;Data Source=$Workbook$;Location=&quot;Transform Sample File&quot;;Extended Properties=&quot;&quot;" command="SELECT * FROM [Transform Sample File]"/>
  </connection>
  <connection id="9" xr16:uid="{7D5A78DE-69C3-468B-B92B-BC09B7B1954A}" keepAlive="1" name="Query - Transform Sample File (2)" description="Connection to the 'Transform Sample File (2)' query in the workbook." type="5" refreshedVersion="0" background="1">
    <dbPr connection="Provider=Microsoft.Mashup.OleDb.1;Data Source=$Workbook$;Location=&quot;Transform Sample File (2)&quot;;Extended Properties=&quot;&quot;" command="SELECT * FROM [Transform Sample File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<sst xmlns="http://schemas.openxmlformats.org/spreadsheetml/2006/main" count="1429" uniqueCount="440">
  <si>
    <t>Glen Canyon Dam Inputs</t>
  </si>
  <si>
    <t>Temperature</t>
  </si>
  <si>
    <t>LMP_values</t>
  </si>
  <si>
    <t>dT_hourly_values</t>
  </si>
  <si>
    <t>dT_daily</t>
  </si>
  <si>
    <t>T_bp_values</t>
  </si>
  <si>
    <t>T_tur_values</t>
  </si>
  <si>
    <t>H01</t>
  </si>
  <si>
    <t>H02</t>
  </si>
  <si>
    <t>H03</t>
  </si>
  <si>
    <t>H04</t>
  </si>
  <si>
    <t>H05</t>
  </si>
  <si>
    <t>H06</t>
  </si>
  <si>
    <t>H07</t>
  </si>
  <si>
    <t>H08</t>
  </si>
  <si>
    <t>H09</t>
  </si>
  <si>
    <t>H10</t>
  </si>
  <si>
    <t>H11</t>
  </si>
  <si>
    <t>H12</t>
  </si>
  <si>
    <t>H13</t>
  </si>
  <si>
    <t>H14</t>
  </si>
  <si>
    <t>H15</t>
  </si>
  <si>
    <t>H16</t>
  </si>
  <si>
    <t>H17</t>
  </si>
  <si>
    <t>H18</t>
  </si>
  <si>
    <t>H19</t>
  </si>
  <si>
    <t>H20</t>
  </si>
  <si>
    <t>H21</t>
  </si>
  <si>
    <t>H22</t>
  </si>
  <si>
    <t>H23</t>
  </si>
  <si>
    <t>H24</t>
  </si>
  <si>
    <t>Hourly LMPs</t>
  </si>
  <si>
    <t>Python Variable Names</t>
  </si>
  <si>
    <t>Maximum temperature @ RM61 - hourly (°C or °F)</t>
  </si>
  <si>
    <t>Minimum temperature @ RM61 - hourly (°C or °F)</t>
  </si>
  <si>
    <t>Bypass temperature - hourly (°C or °F)</t>
  </si>
  <si>
    <t>Turbine temperature - hourly (°C or °F)</t>
  </si>
  <si>
    <t>Temperature delta between Glen Canyon and RM61 - hourly (°C or °F)</t>
  </si>
  <si>
    <t>Maximum average temperature @ RM61 - daily (°C or °F)</t>
  </si>
  <si>
    <t>Average temperature delta between Glen Canyon and RM61 - daily (°C or °F)</t>
  </si>
  <si>
    <t>Price</t>
  </si>
  <si>
    <t>C_bp_ramp_up</t>
  </si>
  <si>
    <t>C_bp_ramp_down</t>
  </si>
  <si>
    <t>C_tur_ramp_up</t>
  </si>
  <si>
    <t>C_tur_ramp_down</t>
  </si>
  <si>
    <t>C_tot_ramp_up</t>
  </si>
  <si>
    <t>C_tot_ramp_down</t>
  </si>
  <si>
    <t>Bypass release ramp up penalty cost ($/CFS)</t>
  </si>
  <si>
    <t>Bypass release ramp down penalty cost ($/CFS)</t>
  </si>
  <si>
    <t>Turbine release ramp up penalty cost ($/CFS)</t>
  </si>
  <si>
    <t>Turbine release ramp down penalty cost ($/CFS)</t>
  </si>
  <si>
    <t>Total release ramp up penalty cost ($/CFS)</t>
  </si>
  <si>
    <t>Total release ramp down penalty cost ($/CFS)</t>
  </si>
  <si>
    <t>Water</t>
  </si>
  <si>
    <t>Demand_values</t>
  </si>
  <si>
    <t>Demand (MWh)</t>
  </si>
  <si>
    <t>WaterToPowerConversion</t>
  </si>
  <si>
    <t>Water to Power Conversion Factor (MW/CFS)</t>
  </si>
  <si>
    <t>Single input</t>
  </si>
  <si>
    <t>Q_tot_daily</t>
  </si>
  <si>
    <t>Q_max_daily_change</t>
  </si>
  <si>
    <t>Maximum change between minimum and maximum release - daily (CFS)</t>
  </si>
  <si>
    <t>Q_bp_ramp_down_max</t>
  </si>
  <si>
    <t>Q_bp_ramp_up_max</t>
  </si>
  <si>
    <t>Q_tur_ramp_down_max</t>
  </si>
  <si>
    <t>Q_tur_ramp_up_max</t>
  </si>
  <si>
    <t>Q_tot_ramp_up_max</t>
  </si>
  <si>
    <t>Q_tot_ramp_down_max</t>
  </si>
  <si>
    <t>Bypass release RampUp rate (CFS/h)</t>
  </si>
  <si>
    <t>Bypass release RampDown rate (CFS/h)</t>
  </si>
  <si>
    <t>Turbine release RampUp rate (CFS/h)</t>
  </si>
  <si>
    <t>Turbine release RampDown rate (CFS/h)</t>
  </si>
  <si>
    <t>Total release RampUp rate (CFS/h)</t>
  </si>
  <si>
    <t>Total release RampDown rate (CFS/h)</t>
  </si>
  <si>
    <t>Q_bp_min_values</t>
  </si>
  <si>
    <t>Q_bp_max_values</t>
  </si>
  <si>
    <t>Q_tur_min_values</t>
  </si>
  <si>
    <t>Q_tur_max_values</t>
  </si>
  <si>
    <t>Q_tot_min_values</t>
  </si>
  <si>
    <t>Q_tot_max_values</t>
  </si>
  <si>
    <t>Bypass release minimum - hourly (CFS)</t>
  </si>
  <si>
    <t>Bypass release maximum - hourly (CFS)</t>
  </si>
  <si>
    <t>Turbine release minimum - hourly (CFS)</t>
  </si>
  <si>
    <t>Turbine release maximum - hourly (CFS)</t>
  </si>
  <si>
    <t>Total release minimum - hourly (CFS)</t>
  </si>
  <si>
    <t>Total release maximum - hourly (CFS)</t>
  </si>
  <si>
    <t>Power</t>
  </si>
  <si>
    <t>Power Turbine - min (MW)</t>
  </si>
  <si>
    <t>Power Turbine - max (MW)</t>
  </si>
  <si>
    <t>P_tur_min_values</t>
  </si>
  <si>
    <t>P_tur_max_values</t>
  </si>
  <si>
    <t>python_path</t>
  </si>
  <si>
    <t>Python Environment Path</t>
  </si>
  <si>
    <t>Simulation options</t>
  </si>
  <si>
    <t>cnstr_tur_ramp</t>
  </si>
  <si>
    <t>cnstr_bp_ramp</t>
  </si>
  <si>
    <t>cnstr_tot_ramp</t>
  </si>
  <si>
    <t>Maximum daily operating range</t>
  </si>
  <si>
    <t>cnstr_oper_range</t>
  </si>
  <si>
    <t>cnstr_bp_t01t24</t>
  </si>
  <si>
    <t>cnstr_tur_t01t24</t>
  </si>
  <si>
    <t>cnstr_tot_t01t24</t>
  </si>
  <si>
    <t>cnstr_temp_t01t24</t>
  </si>
  <si>
    <t>Bypass cycling constraint t01=t24</t>
  </si>
  <si>
    <t>Turbine cycling constraint t01=t24</t>
  </si>
  <si>
    <t>Total release cycling constraint t01=t24</t>
  </si>
  <si>
    <t>Temperature cycling constraint t01=t24</t>
  </si>
  <si>
    <t>sim_folder</t>
  </si>
  <si>
    <t>Simulation Folder Name</t>
  </si>
  <si>
    <t>Info</t>
  </si>
  <si>
    <t>Colourcodes</t>
  </si>
  <si>
    <t>Sheet info</t>
  </si>
  <si>
    <t>Calculations</t>
  </si>
  <si>
    <t>Inputs</t>
  </si>
  <si>
    <t>Helpers</t>
  </si>
  <si>
    <t>Show plots</t>
  </si>
  <si>
    <t>plt_show</t>
  </si>
  <si>
    <t>Path</t>
  </si>
  <si>
    <t>Results</t>
  </si>
  <si>
    <t>Simulation selection</t>
  </si>
  <si>
    <t>MW</t>
  </si>
  <si>
    <t>CFS</t>
  </si>
  <si>
    <t>Bypass Ramp Down</t>
  </si>
  <si>
    <t>Bypass Ramp Up</t>
  </si>
  <si>
    <t>Simulation Folder</t>
  </si>
  <si>
    <t>°C</t>
  </si>
  <si>
    <t>Version</t>
  </si>
  <si>
    <t>version</t>
  </si>
  <si>
    <t>LP</t>
  </si>
  <si>
    <t>Total release - daily (AF)</t>
  </si>
  <si>
    <t>Summary</t>
  </si>
  <si>
    <t>LPM</t>
  </si>
  <si>
    <t>$/MWh</t>
  </si>
  <si>
    <t>Economic Value</t>
  </si>
  <si>
    <t>$</t>
  </si>
  <si>
    <t>Total Ramp Down</t>
  </si>
  <si>
    <t>Total Ramp Up</t>
  </si>
  <si>
    <t>Turbine Ramp Down</t>
  </si>
  <si>
    <t>Turbine Ramp Up</t>
  </si>
  <si>
    <t>Demand</t>
  </si>
  <si>
    <t>Simulation type</t>
  </si>
  <si>
    <t>sim_type</t>
  </si>
  <si>
    <t>Total Release Constraints</t>
  </si>
  <si>
    <t>Bypass Release Constraints</t>
  </si>
  <si>
    <t>Turbine Release Constraints</t>
  </si>
  <si>
    <t>bp_ramp_down_cyc</t>
  </si>
  <si>
    <t>bp_ramp_up_cyc</t>
  </si>
  <si>
    <t>Bypass release number of RampDown cycles</t>
  </si>
  <si>
    <t>Bypass release number of RampUp cycles</t>
  </si>
  <si>
    <t>MILP</t>
  </si>
  <si>
    <t>Name</t>
  </si>
  <si>
    <t>GCD</t>
  </si>
  <si>
    <t>Node 1</t>
  </si>
  <si>
    <t>RM61</t>
  </si>
  <si>
    <t>GCD - RM61</t>
  </si>
  <si>
    <t>plants</t>
  </si>
  <si>
    <t>gauges</t>
  </si>
  <si>
    <t>Names</t>
  </si>
  <si>
    <t>nodes</t>
  </si>
  <si>
    <t>plant_to_node</t>
  </si>
  <si>
    <t>GCD - Node 1</t>
  </si>
  <si>
    <t>N01</t>
  </si>
  <si>
    <t>N02</t>
  </si>
  <si>
    <t>N03</t>
  </si>
  <si>
    <t>N04</t>
  </si>
  <si>
    <t>N05</t>
  </si>
  <si>
    <t>N06</t>
  </si>
  <si>
    <t>N07</t>
  </si>
  <si>
    <t>N08</t>
  </si>
  <si>
    <t>N09</t>
  </si>
  <si>
    <t>N10</t>
  </si>
  <si>
    <t>N11</t>
  </si>
  <si>
    <t>N12</t>
  </si>
  <si>
    <t>N13</t>
  </si>
  <si>
    <t>N14</t>
  </si>
  <si>
    <t>N15</t>
  </si>
  <si>
    <t>N16</t>
  </si>
  <si>
    <t>N17</t>
  </si>
  <si>
    <t>N18</t>
  </si>
  <si>
    <t>N19</t>
  </si>
  <si>
    <t>N20</t>
  </si>
  <si>
    <t>N21</t>
  </si>
  <si>
    <t>N22</t>
  </si>
  <si>
    <t>N23</t>
  </si>
  <si>
    <t>N24</t>
  </si>
  <si>
    <t>T_gauge_hourly_max_values</t>
  </si>
  <si>
    <t>T_gauge_hourly_min_values</t>
  </si>
  <si>
    <t>T_gauge_daily</t>
  </si>
  <si>
    <t>river_topology</t>
  </si>
  <si>
    <t>Gauge Release Constraints</t>
  </si>
  <si>
    <t>Gauge release RampDown rate (CFS/h)</t>
  </si>
  <si>
    <t>Q_gg_ramp_up_max</t>
  </si>
  <si>
    <t>Gauge release RampUp rate (CFS/h)</t>
  </si>
  <si>
    <t>Q_gg_ramp_down_max</t>
  </si>
  <si>
    <t>Gauge release minimum - hourly (CFS)</t>
  </si>
  <si>
    <t>Q_gg_min_values</t>
  </si>
  <si>
    <t>Gauge release maximum - hourly (CFS)</t>
  </si>
  <si>
    <t>Q_gg_max_values</t>
  </si>
  <si>
    <t>Gauge release cycling constraint t01=t24</t>
  </si>
  <si>
    <t>cnstr_gg_t01t24</t>
  </si>
  <si>
    <t>cnstr_gg_ramp</t>
  </si>
  <si>
    <t>C_gg_ramp_up</t>
  </si>
  <si>
    <t>C_gg_ramp_down</t>
  </si>
  <si>
    <t>Gage release ramp up penalty cost ($/CFS)</t>
  </si>
  <si>
    <t>Gage release ramp down penalty cost ($/CFS)</t>
  </si>
  <si>
    <t>Plants</t>
  </si>
  <si>
    <t>Gauges</t>
  </si>
  <si>
    <t>Power Nodes</t>
  </si>
  <si>
    <t>River Topology</t>
  </si>
  <si>
    <t>Plant supply to Power Node</t>
  </si>
  <si>
    <t>Sinks</t>
  </si>
  <si>
    <t>sinks</t>
  </si>
  <si>
    <t>Sources</t>
  </si>
  <si>
    <t>sources</t>
  </si>
  <si>
    <t>Flow Limits From node I to node J</t>
  </si>
  <si>
    <t>Max Flow From GCD - RM61</t>
  </si>
  <si>
    <t>Min Flow From GCD - RM61</t>
  </si>
  <si>
    <t>Total daily release</t>
  </si>
  <si>
    <t>Flow_i_j_max</t>
  </si>
  <si>
    <t>Flow_i_j_min</t>
  </si>
  <si>
    <t>bp_ramp_tot_cyc</t>
  </si>
  <si>
    <t>Hour</t>
  </si>
  <si>
    <t>p_tur</t>
  </si>
  <si>
    <t>q_bp</t>
  </si>
  <si>
    <t>q_bp_committed</t>
  </si>
  <si>
    <t>q_bp_ramp_down</t>
  </si>
  <si>
    <t>q_bp_ramp_up</t>
  </si>
  <si>
    <t>q_bp_rr_down_change</t>
  </si>
  <si>
    <t>q_bp_rr_up_change</t>
  </si>
  <si>
    <t>q_gg</t>
  </si>
  <si>
    <t>q_gg_ramp_down</t>
  </si>
  <si>
    <t>q_gg_ramp_up</t>
  </si>
  <si>
    <t>q_in_flow</t>
  </si>
  <si>
    <t>q_out_flow</t>
  </si>
  <si>
    <t>q_sink</t>
  </si>
  <si>
    <t>q_source</t>
  </si>
  <si>
    <t>q_tot</t>
  </si>
  <si>
    <t>q_tot_ramp_down</t>
  </si>
  <si>
    <t>q_tot_ramp_up</t>
  </si>
  <si>
    <t>q_tur</t>
  </si>
  <si>
    <t>q_tur_ramp_down</t>
  </si>
  <si>
    <t>q_tur_ramp_up</t>
  </si>
  <si>
    <t>T_plant</t>
  </si>
  <si>
    <t>Plant to be displayed</t>
  </si>
  <si>
    <t>Bypass Committment Status</t>
  </si>
  <si>
    <t>Bypass Ramp Down Change</t>
  </si>
  <si>
    <t>Bypass Ramp Up Change</t>
  </si>
  <si>
    <t>Gauge Flow</t>
  </si>
  <si>
    <t>Bypass Flow</t>
  </si>
  <si>
    <t>Gauge Ramp Down</t>
  </si>
  <si>
    <t>Gauge Ramp Up</t>
  </si>
  <si>
    <t>In flows</t>
  </si>
  <si>
    <t>Out Flows</t>
  </si>
  <si>
    <t>Sink</t>
  </si>
  <si>
    <t>Source</t>
  </si>
  <si>
    <t>Total Plant Relese</t>
  </si>
  <si>
    <t>Turbine Flow</t>
  </si>
  <si>
    <t>Plant temeprature</t>
  </si>
  <si>
    <t>-</t>
  </si>
  <si>
    <t>Bypass release number of total ramp up and down cycles</t>
  </si>
  <si>
    <t>bp_forced_commit</t>
  </si>
  <si>
    <t>Bypass forced commitment state (-)</t>
  </si>
  <si>
    <t>C:\Users\mpavicevic\AppData\Local\miniconda3\envs\tempregpy\python.exe</t>
  </si>
  <si>
    <t>Week10_WD_alt2</t>
  </si>
  <si>
    <t>StartDate</t>
  </si>
  <si>
    <t>EndDate</t>
  </si>
  <si>
    <t>DateStart</t>
  </si>
  <si>
    <t>DateEnd</t>
  </si>
  <si>
    <t>Max Flow From To</t>
  </si>
  <si>
    <t>Min Flow From To</t>
  </si>
  <si>
    <t>DateTime</t>
  </si>
  <si>
    <t>SUN</t>
  </si>
  <si>
    <t>MON</t>
  </si>
  <si>
    <t>TUE</t>
  </si>
  <si>
    <t>WED</t>
  </si>
  <si>
    <t>THU</t>
  </si>
  <si>
    <t>FRI</t>
  </si>
  <si>
    <t>SAT</t>
  </si>
  <si>
    <t>H25</t>
  </si>
  <si>
    <t>H26</t>
  </si>
  <si>
    <t>H27</t>
  </si>
  <si>
    <t>H28</t>
  </si>
  <si>
    <t>H29</t>
  </si>
  <si>
    <t>H30</t>
  </si>
  <si>
    <t>H31</t>
  </si>
  <si>
    <t>H32</t>
  </si>
  <si>
    <t>H33</t>
  </si>
  <si>
    <t>H34</t>
  </si>
  <si>
    <t>H35</t>
  </si>
  <si>
    <t>H36</t>
  </si>
  <si>
    <t>H37</t>
  </si>
  <si>
    <t>H38</t>
  </si>
  <si>
    <t>H39</t>
  </si>
  <si>
    <t>H40</t>
  </si>
  <si>
    <t>H41</t>
  </si>
  <si>
    <t>H42</t>
  </si>
  <si>
    <t>H43</t>
  </si>
  <si>
    <t>H44</t>
  </si>
  <si>
    <t>H45</t>
  </si>
  <si>
    <t>H46</t>
  </si>
  <si>
    <t>H47</t>
  </si>
  <si>
    <t>H48</t>
  </si>
  <si>
    <t>H49</t>
  </si>
  <si>
    <t>H50</t>
  </si>
  <si>
    <t>H51</t>
  </si>
  <si>
    <t>H52</t>
  </si>
  <si>
    <t>H53</t>
  </si>
  <si>
    <t>H54</t>
  </si>
  <si>
    <t>H55</t>
  </si>
  <si>
    <t>H56</t>
  </si>
  <si>
    <t>H57</t>
  </si>
  <si>
    <t>H58</t>
  </si>
  <si>
    <t>H59</t>
  </si>
  <si>
    <t>H60</t>
  </si>
  <si>
    <t>H61</t>
  </si>
  <si>
    <t>H62</t>
  </si>
  <si>
    <t>H63</t>
  </si>
  <si>
    <t>H64</t>
  </si>
  <si>
    <t>H65</t>
  </si>
  <si>
    <t>H66</t>
  </si>
  <si>
    <t>H67</t>
  </si>
  <si>
    <t>H68</t>
  </si>
  <si>
    <t>H69</t>
  </si>
  <si>
    <t>H70</t>
  </si>
  <si>
    <t>H71</t>
  </si>
  <si>
    <t>H72</t>
  </si>
  <si>
    <t>H73</t>
  </si>
  <si>
    <t>H74</t>
  </si>
  <si>
    <t>H75</t>
  </si>
  <si>
    <t>H76</t>
  </si>
  <si>
    <t>H77</t>
  </si>
  <si>
    <t>H78</t>
  </si>
  <si>
    <t>H79</t>
  </si>
  <si>
    <t>H80</t>
  </si>
  <si>
    <t>H81</t>
  </si>
  <si>
    <t>H82</t>
  </si>
  <si>
    <t>H83</t>
  </si>
  <si>
    <t>H84</t>
  </si>
  <si>
    <t>H85</t>
  </si>
  <si>
    <t>H86</t>
  </si>
  <si>
    <t>H87</t>
  </si>
  <si>
    <t>H88</t>
  </si>
  <si>
    <t>H89</t>
  </si>
  <si>
    <t>H90</t>
  </si>
  <si>
    <t>H91</t>
  </si>
  <si>
    <t>H92</t>
  </si>
  <si>
    <t>H93</t>
  </si>
  <si>
    <t>H94</t>
  </si>
  <si>
    <t>H95</t>
  </si>
  <si>
    <t>H96</t>
  </si>
  <si>
    <t>H97</t>
  </si>
  <si>
    <t>H98</t>
  </si>
  <si>
    <t>H99</t>
  </si>
  <si>
    <t>H100</t>
  </si>
  <si>
    <t>H101</t>
  </si>
  <si>
    <t>H102</t>
  </si>
  <si>
    <t>H103</t>
  </si>
  <si>
    <t>H104</t>
  </si>
  <si>
    <t>H105</t>
  </si>
  <si>
    <t>H106</t>
  </si>
  <si>
    <t>H107</t>
  </si>
  <si>
    <t>H108</t>
  </si>
  <si>
    <t>H109</t>
  </si>
  <si>
    <t>H110</t>
  </si>
  <si>
    <t>H111</t>
  </si>
  <si>
    <t>H112</t>
  </si>
  <si>
    <t>H113</t>
  </si>
  <si>
    <t>H114</t>
  </si>
  <si>
    <t>H115</t>
  </si>
  <si>
    <t>H116</t>
  </si>
  <si>
    <t>H117</t>
  </si>
  <si>
    <t>H118</t>
  </si>
  <si>
    <t>H119</t>
  </si>
  <si>
    <t>H120</t>
  </si>
  <si>
    <t>H121</t>
  </si>
  <si>
    <t>H122</t>
  </si>
  <si>
    <t>H123</t>
  </si>
  <si>
    <t>H124</t>
  </si>
  <si>
    <t>H125</t>
  </si>
  <si>
    <t>H126</t>
  </si>
  <si>
    <t>H127</t>
  </si>
  <si>
    <t>H128</t>
  </si>
  <si>
    <t>H129</t>
  </si>
  <si>
    <t>H130</t>
  </si>
  <si>
    <t>H131</t>
  </si>
  <si>
    <t>H132</t>
  </si>
  <si>
    <t>H133</t>
  </si>
  <si>
    <t>H134</t>
  </si>
  <si>
    <t>H135</t>
  </si>
  <si>
    <t>H136</t>
  </si>
  <si>
    <t>H137</t>
  </si>
  <si>
    <t>H138</t>
  </si>
  <si>
    <t>H139</t>
  </si>
  <si>
    <t>H140</t>
  </si>
  <si>
    <t>H141</t>
  </si>
  <si>
    <t>H142</t>
  </si>
  <si>
    <t>H143</t>
  </si>
  <si>
    <t>H144</t>
  </si>
  <si>
    <t>H145</t>
  </si>
  <si>
    <t>H146</t>
  </si>
  <si>
    <t>H147</t>
  </si>
  <si>
    <t>H148</t>
  </si>
  <si>
    <t>H149</t>
  </si>
  <si>
    <t>H150</t>
  </si>
  <si>
    <t>H151</t>
  </si>
  <si>
    <t>H152</t>
  </si>
  <si>
    <t>H153</t>
  </si>
  <si>
    <t>H154</t>
  </si>
  <si>
    <t>H155</t>
  </si>
  <si>
    <t>H156</t>
  </si>
  <si>
    <t>H157</t>
  </si>
  <si>
    <t>H158</t>
  </si>
  <si>
    <t>H159</t>
  </si>
  <si>
    <t>H160</t>
  </si>
  <si>
    <t>H161</t>
  </si>
  <si>
    <t>H162</t>
  </si>
  <si>
    <t>H163</t>
  </si>
  <si>
    <t>H164</t>
  </si>
  <si>
    <t>H165</t>
  </si>
  <si>
    <t>H166</t>
  </si>
  <si>
    <t>H167</t>
  </si>
  <si>
    <t>H168</t>
  </si>
  <si>
    <t>D01</t>
  </si>
  <si>
    <t>D02</t>
  </si>
  <si>
    <t>D03</t>
  </si>
  <si>
    <t>D04</t>
  </si>
  <si>
    <t>D05</t>
  </si>
  <si>
    <t>D06</t>
  </si>
  <si>
    <t>D07</t>
  </si>
  <si>
    <t>Datetime</t>
  </si>
  <si>
    <t>Hourly Timeseries</t>
  </si>
  <si>
    <t>Daily Timeseries</t>
  </si>
  <si>
    <t>Datetime Helper functions</t>
  </si>
  <si>
    <t>Day of month</t>
  </si>
  <si>
    <t>v0.2.1</t>
  </si>
  <si>
    <t>Real</t>
  </si>
  <si>
    <t>Simulation time</t>
  </si>
  <si>
    <t>sim_time</t>
  </si>
  <si>
    <t>if set to 0 solver will continue untill optimal solution is found</t>
  </si>
  <si>
    <t>Locations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</si>
</sst>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#,##0.0"/>
    <numFmt numFmtId="166" formatCode="m/d/yy\ h:mm;@"/>
    <numFmt numFmtId="167" formatCode="#,##0.0000000"/>
    <numFmt numFmtId="168" formatCode="0.000"/>
  </numFmts>
  <fonts count="21" x14ac:knownFonts="1"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sz val="11"/>
      <color rgb="FF3F3F76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9.8000000000000007"/>
      <color rgb="FFBCBEC4"/>
      <name val="JetBrains Mono"/>
      <family val="3"/>
    </font>
    <font>
      <sz val="8"/>
      <name val="Aptos Narrow"/>
      <family val="2"/>
      <scheme val="minor"/>
    </font>
    <font>
      <sz val="11"/>
      <color theme="3" tint="0.24994659260841701"/>
      <name val="Aptos Narrow"/>
      <family val="2"/>
      <scheme val="minor"/>
    </font>
    <font>
      <sz val="11"/>
      <color theme="4" tint="0.79998168889431442"/>
      <name val="Aptos Narrow"/>
      <family val="2"/>
      <scheme val="minor"/>
    </font>
    <font>
      <b/>
      <sz val="13"/>
      <color theme="4" tint="0.79998168889431442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9C5700"/>
      <name val="Aptos Narrow"/>
      <family val="2"/>
      <scheme val="minor"/>
    </font>
    <font>
      <i/>
      <sz val="11"/>
      <color rgb="FFFF0000"/>
      <name val="Aptos Narrow"/>
      <family val="2"/>
      <scheme val="minor"/>
    </font>
    <font>
      <b/>
      <sz val="11"/>
      <color theme="3" tint="0.24994659260841701"/>
      <name val="Aptos Narrow"/>
      <family val="2"/>
      <scheme val="minor"/>
    </font>
    <font>
      <sz val="11"/>
      <color theme="3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sz val="11"/>
      <color rgb="FF000000"/>
      <name val="Aptos Narrow"/>
    </font>
    <font>
      <b/>
      <sz val="11"/>
      <color theme="1"/>
      <name val="Aptos Narrow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599963377788628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EB9C"/>
      </patternFill>
    </fill>
    <fill>
      <patternFill patternType="solid">
        <fgColor theme="0"/>
        <bgColor indexed="64"/>
      </patternFill>
    </fill>
    <fill>
      <patternFill patternType="solid">
        <fgColor rgb="FFF2F2F2"/>
      </patternFill>
    </fill>
    <fill>
      <patternFill patternType="solid">
        <fgColor rgb="FFFFFF00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auto="1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medium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 style="thin">
        <color rgb="FF7F7F7F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/>
      <bottom style="thick">
        <color theme="4" tint="0.499984740745262"/>
      </bottom>
      <diagonal/>
    </border>
    <border>
      <left style="thin">
        <color indexed="64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1">
    <xf numFmtId="0" fontId="0" fillId="0" borderId="0"/>
    <xf numFmtId="0" fontId="1" fillId="0" borderId="4" applyNumberFormat="0" applyFill="0" applyAlignment="0" applyProtection="0"/>
    <xf numFmtId="0" fontId="2" fillId="2" borderId="1" applyNumberFormat="0" applyAlignment="0" applyProtection="0"/>
    <xf numFmtId="0" fontId="3" fillId="0" borderId="2" applyNumberFormat="0" applyFill="0" applyAlignment="0" applyProtection="0"/>
    <xf numFmtId="0" fontId="4" fillId="3" borderId="3" applyNumberFormat="0" applyAlignment="0" applyProtection="0"/>
    <xf numFmtId="0" fontId="5" fillId="0" borderId="0" applyNumberFormat="0" applyFill="0" applyBorder="0" applyAlignment="0" applyProtection="0"/>
    <xf numFmtId="0" fontId="8" fillId="4" borderId="3" applyNumberFormat="0" applyAlignment="0" applyProtection="0"/>
    <xf numFmtId="0" fontId="11" fillId="0" borderId="5" applyNumberFormat="0" applyFill="0" applyAlignment="0" applyProtection="0"/>
    <xf numFmtId="0" fontId="12" fillId="6" borderId="0" applyNumberFormat="0" applyBorder="0" applyAlignment="0" applyProtection="0"/>
    <xf numFmtId="0" fontId="13" fillId="0" borderId="0" applyNumberFormat="0" applyFill="0" applyBorder="0" applyAlignment="0" applyProtection="0"/>
    <xf numFmtId="0" fontId="18" fillId="8" borderId="12" applyNumberFormat="0" applyAlignment="0" applyProtection="0"/>
  </cellStyleXfs>
  <cellXfs count="99">
    <xf numFmtId="0" fontId="0" fillId="0" borderId="0" xfId="0"/>
    <xf numFmtId="0" fontId="2" fillId="2" borderId="1" xfId="2"/>
    <xf numFmtId="0" fontId="6" fillId="0" borderId="0" xfId="0" applyFont="1" applyAlignment="1">
      <alignment vertical="center"/>
    </xf>
    <xf numFmtId="0" fontId="3" fillId="0" borderId="2" xfId="3" applyAlignment="1">
      <alignment horizontal="center"/>
    </xf>
    <xf numFmtId="0" fontId="4" fillId="3" borderId="3" xfId="4"/>
    <xf numFmtId="0" fontId="4" fillId="3" borderId="3" xfId="4" applyAlignment="1">
      <alignment vertical="center"/>
    </xf>
    <xf numFmtId="0" fontId="1" fillId="0" borderId="2" xfId="1" applyBorder="1"/>
    <xf numFmtId="0" fontId="5" fillId="0" borderId="2" xfId="5" applyFill="1" applyBorder="1"/>
    <xf numFmtId="3" fontId="4" fillId="3" borderId="3" xfId="4" applyNumberFormat="1"/>
    <xf numFmtId="164" fontId="4" fillId="3" borderId="3" xfId="4" applyNumberFormat="1"/>
    <xf numFmtId="0" fontId="9" fillId="5" borderId="2" xfId="5" applyFont="1" applyFill="1" applyBorder="1"/>
    <xf numFmtId="0" fontId="10" fillId="5" borderId="2" xfId="3" applyFont="1" applyFill="1" applyAlignment="1">
      <alignment horizontal="center"/>
    </xf>
    <xf numFmtId="0" fontId="8" fillId="0" borderId="0" xfId="6" applyFill="1" applyBorder="1"/>
    <xf numFmtId="0" fontId="12" fillId="6" borderId="0" xfId="8"/>
    <xf numFmtId="0" fontId="12" fillId="6" borderId="0" xfId="8" applyBorder="1" applyAlignment="1">
      <alignment horizontal="center"/>
    </xf>
    <xf numFmtId="0" fontId="0" fillId="0" borderId="0" xfId="0" applyAlignment="1">
      <alignment horizontal="left" indent="1"/>
    </xf>
    <xf numFmtId="0" fontId="11" fillId="0" borderId="5" xfId="7" applyFill="1"/>
    <xf numFmtId="0" fontId="8" fillId="4" borderId="6" xfId="6" applyBorder="1"/>
    <xf numFmtId="0" fontId="4" fillId="3" borderId="6" xfId="4" applyBorder="1"/>
    <xf numFmtId="0" fontId="4" fillId="0" borderId="0" xfId="4" applyFill="1" applyBorder="1"/>
    <xf numFmtId="0" fontId="12" fillId="0" borderId="0" xfId="8" applyFill="1"/>
    <xf numFmtId="0" fontId="1" fillId="0" borderId="4" xfId="1"/>
    <xf numFmtId="0" fontId="3" fillId="0" borderId="2" xfId="3"/>
    <xf numFmtId="3" fontId="12" fillId="6" borderId="3" xfId="8" applyNumberFormat="1" applyBorder="1"/>
    <xf numFmtId="0" fontId="13" fillId="0" borderId="7" xfId="9" applyFill="1" applyBorder="1"/>
    <xf numFmtId="0" fontId="12" fillId="7" borderId="0" xfId="8" applyFill="1"/>
    <xf numFmtId="0" fontId="0" fillId="7" borderId="0" xfId="0" applyFill="1"/>
    <xf numFmtId="0" fontId="12" fillId="7" borderId="0" xfId="8" applyFill="1" applyBorder="1" applyAlignment="1">
      <alignment horizontal="center"/>
    </xf>
    <xf numFmtId="0" fontId="3" fillId="0" borderId="0" xfId="3" applyBorder="1"/>
    <xf numFmtId="0" fontId="3" fillId="0" borderId="0" xfId="3" applyFill="1" applyBorder="1"/>
    <xf numFmtId="0" fontId="8" fillId="4" borderId="9" xfId="6" applyBorder="1"/>
    <xf numFmtId="0" fontId="0" fillId="0" borderId="0" xfId="0" applyAlignment="1">
      <alignment horizontal="center" vertical="center" wrapText="1"/>
    </xf>
    <xf numFmtId="0" fontId="0" fillId="0" borderId="4" xfId="0" applyBorder="1" applyAlignment="1">
      <alignment horizontal="center"/>
    </xf>
    <xf numFmtId="165" fontId="14" fillId="4" borderId="10" xfId="6" applyNumberFormat="1" applyFont="1" applyBorder="1"/>
    <xf numFmtId="0" fontId="15" fillId="0" borderId="5" xfId="7" applyFont="1" applyFill="1" applyAlignment="1">
      <alignment horizontal="left" indent="1"/>
    </xf>
    <xf numFmtId="0" fontId="13" fillId="0" borderId="0" xfId="9" applyFill="1" applyBorder="1"/>
    <xf numFmtId="0" fontId="15" fillId="0" borderId="0" xfId="7" applyFont="1" applyFill="1" applyBorder="1" applyAlignment="1">
      <alignment horizontal="left" indent="1"/>
    </xf>
    <xf numFmtId="0" fontId="3" fillId="0" borderId="2" xfId="3" applyAlignment="1">
      <alignment horizontal="center" vertical="center" wrapText="1"/>
    </xf>
    <xf numFmtId="0" fontId="4" fillId="3" borderId="8" xfId="4" applyBorder="1" applyAlignment="1">
      <alignment horizontal="center" vertical="center"/>
    </xf>
    <xf numFmtId="0" fontId="0" fillId="0" borderId="0" xfId="0" applyAlignment="1">
      <alignment horizontal="left" vertical="center"/>
    </xf>
    <xf numFmtId="165" fontId="0" fillId="0" borderId="0" xfId="0" applyNumberFormat="1"/>
    <xf numFmtId="22" fontId="0" fillId="0" borderId="0" xfId="0" applyNumberFormat="1"/>
    <xf numFmtId="3" fontId="0" fillId="0" borderId="0" xfId="0" applyNumberFormat="1"/>
    <xf numFmtId="0" fontId="0" fillId="0" borderId="0" xfId="0" applyAlignment="1">
      <alignment wrapText="1"/>
    </xf>
    <xf numFmtId="0" fontId="16" fillId="0" borderId="0" xfId="0" applyFont="1" applyAlignment="1">
      <alignment horizontal="center" vertical="center" wrapText="1"/>
    </xf>
    <xf numFmtId="166" fontId="4" fillId="3" borderId="3" xfId="4" applyNumberFormat="1"/>
    <xf numFmtId="164" fontId="8" fillId="4" borderId="3" xfId="6" applyNumberFormat="1" applyAlignment="1">
      <alignment horizontal="center" vertical="center"/>
    </xf>
    <xf numFmtId="0" fontId="17" fillId="0" borderId="0" xfId="0" applyFont="1"/>
    <xf numFmtId="3" fontId="4" fillId="3" borderId="11" xfId="4" applyNumberFormat="1" applyBorder="1"/>
    <xf numFmtId="3" fontId="4" fillId="0" borderId="0" xfId="4" applyNumberFormat="1" applyFill="1" applyBorder="1"/>
    <xf numFmtId="3" fontId="4" fillId="9" borderId="3" xfId="4" applyNumberFormat="1" applyFill="1"/>
    <xf numFmtId="3" fontId="4" fillId="9" borderId="3" xfId="4" applyNumberFormat="1" applyFill="1" applyAlignment="1">
      <alignment horizontal="center" vertical="center"/>
    </xf>
    <xf numFmtId="14" fontId="0" fillId="0" borderId="0" xfId="0" applyNumberFormat="1"/>
    <xf numFmtId="3" fontId="4" fillId="9" borderId="13" xfId="4" applyNumberFormat="1" applyFill="1" applyBorder="1"/>
    <xf numFmtId="3" fontId="4" fillId="3" borderId="8" xfId="4" applyNumberFormat="1" applyBorder="1"/>
    <xf numFmtId="3" fontId="4" fillId="3" borderId="6" xfId="4" applyNumberFormat="1" applyBorder="1"/>
    <xf numFmtId="165" fontId="4" fillId="0" borderId="0" xfId="4" applyNumberFormat="1" applyFill="1" applyBorder="1"/>
    <xf numFmtId="3" fontId="4" fillId="0" borderId="3" xfId="4" applyNumberFormat="1" applyFill="1"/>
    <xf numFmtId="3" fontId="8" fillId="0" borderId="0" xfId="6" applyNumberFormat="1" applyFill="1" applyBorder="1"/>
    <xf numFmtId="0" fontId="13" fillId="0" borderId="14" xfId="9" applyFill="1" applyBorder="1" applyAlignment="1">
      <alignment horizontal="center" vertical="center"/>
    </xf>
    <xf numFmtId="166" fontId="13" fillId="0" borderId="0" xfId="9" applyNumberFormat="1"/>
    <xf numFmtId="1" fontId="13" fillId="0" borderId="0" xfId="9" applyNumberFormat="1"/>
    <xf numFmtId="14" fontId="13" fillId="0" borderId="0" xfId="9" applyNumberFormat="1"/>
    <xf numFmtId="3" fontId="18" fillId="8" borderId="12" xfId="10" applyNumberFormat="1"/>
    <xf numFmtId="165" fontId="18" fillId="8" borderId="12" xfId="10" applyNumberFormat="1"/>
    <xf numFmtId="165" fontId="13" fillId="0" borderId="7" xfId="9" applyNumberFormat="1" applyFill="1" applyBorder="1"/>
    <xf numFmtId="2" fontId="8" fillId="4" borderId="3" xfId="6" applyNumberFormat="1"/>
    <xf numFmtId="164" fontId="4" fillId="0" borderId="6" xfId="4" applyNumberFormat="1" applyFill="1" applyBorder="1"/>
    <xf numFmtId="164" fontId="8" fillId="0" borderId="3" xfId="6" applyNumberFormat="1" applyFill="1"/>
    <xf numFmtId="3" fontId="4" fillId="0" borderId="8" xfId="4" applyNumberFormat="1" applyFill="1" applyBorder="1"/>
    <xf numFmtId="0" fontId="3" fillId="0" borderId="2" xfId="3" applyFill="1" applyAlignment="1">
      <alignment horizontal="center"/>
    </xf>
    <xf numFmtId="0" fontId="4" fillId="0" borderId="6" xfId="4" applyFill="1" applyBorder="1"/>
    <xf numFmtId="3" fontId="18" fillId="8" borderId="16" xfId="10" applyNumberFormat="1" applyBorder="1"/>
    <xf numFmtId="165" fontId="18" fillId="8" borderId="16" xfId="10" applyNumberFormat="1" applyBorder="1"/>
    <xf numFmtId="165" fontId="13" fillId="0" borderId="17" xfId="9" applyNumberFormat="1" applyFill="1" applyBorder="1"/>
    <xf numFmtId="0" fontId="0" fillId="0" borderId="15" xfId="0" applyBorder="1"/>
    <xf numFmtId="166" fontId="13" fillId="0" borderId="15" xfId="9" applyNumberFormat="1" applyBorder="1"/>
    <xf numFmtId="1" fontId="13" fillId="0" borderId="15" xfId="9" applyNumberFormat="1" applyBorder="1"/>
    <xf numFmtId="0" fontId="3" fillId="0" borderId="18" xfId="3" applyBorder="1" applyAlignment="1">
      <alignment horizontal="center"/>
    </xf>
    <xf numFmtId="3" fontId="18" fillId="8" borderId="19" xfId="10" applyNumberFormat="1" applyBorder="1"/>
    <xf numFmtId="165" fontId="18" fillId="8" borderId="19" xfId="10" applyNumberFormat="1" applyBorder="1"/>
    <xf numFmtId="165" fontId="13" fillId="0" borderId="20" xfId="9" applyNumberFormat="1" applyFill="1" applyBorder="1"/>
    <xf numFmtId="165" fontId="4" fillId="0" borderId="15" xfId="4" applyNumberFormat="1" applyFill="1" applyBorder="1"/>
    <xf numFmtId="3" fontId="8" fillId="0" borderId="15" xfId="6" applyNumberFormat="1" applyFill="1" applyBorder="1"/>
    <xf numFmtId="0" fontId="17" fillId="0" borderId="15" xfId="0" applyFont="1" applyBorder="1"/>
    <xf numFmtId="3" fontId="4" fillId="0" borderId="15" xfId="4" applyNumberFormat="1" applyFill="1" applyBorder="1"/>
    <xf numFmtId="167" fontId="18" fillId="8" borderId="12" xfId="10" applyNumberFormat="1"/>
    <xf numFmtId="166" fontId="4" fillId="3" borderId="8" xfId="4" applyNumberFormat="1" applyBorder="1"/>
    <xf numFmtId="164" fontId="8" fillId="4" borderId="8" xfId="6" applyNumberFormat="1" applyBorder="1" applyAlignment="1">
      <alignment horizontal="center" vertical="center"/>
    </xf>
    <xf numFmtId="166" fontId="4" fillId="0" borderId="0" xfId="4" applyNumberFormat="1" applyFill="1" applyBorder="1"/>
    <xf numFmtId="164" fontId="8" fillId="0" borderId="0" xfId="6" applyNumberFormat="1" applyFill="1" applyBorder="1" applyAlignment="1">
      <alignment horizontal="center" vertical="center"/>
    </xf>
    <xf numFmtId="0" fontId="13" fillId="0" borderId="0" xfId="9" applyFill="1" applyBorder="1" applyAlignment="1">
      <alignment horizontal="center" vertical="center"/>
    </xf>
    <xf numFmtId="168" fontId="4" fillId="3" borderId="3" xfId="4" applyNumberFormat="1"/>
    <xf numFmtId="168" fontId="0" fillId="0" borderId="0" xfId="0" applyNumberFormat="1"/>
    <xf numFmtId="2" fontId="0" fillId="0" borderId="0" xfId="0" applyNumberFormat="1"/>
    <xf numFmtId="164" fontId="0" fillId="0" borderId="0" xfId="0" applyNumberFormat="1"/>
    <xf numFmtId="0" fontId="20" fillId="0" borderId="21" xfId="0" applyFont="1" applyBorder="1"/>
    <xf numFmtId="0" fontId="0" fillId="0" borderId="22" xfId="0" applyBorder="1"/>
    <xf numFmtId="0" fontId="0" fillId="0" borderId="23" xfId="0" applyBorder="1"/>
  </cellXfs>
  <cellStyles count="11">
    <cellStyle name="Calculation" xfId="6" builtinId="22" customBuiltin="1"/>
    <cellStyle name="Explanatory Text" xfId="9" builtinId="53" customBuiltin="1"/>
    <cellStyle name="Heading 1" xfId="2" builtinId="16" customBuiltin="1"/>
    <cellStyle name="Heading 2" xfId="3" builtinId="17"/>
    <cellStyle name="Heading 3" xfId="7" builtinId="18"/>
    <cellStyle name="Input" xfId="4" builtinId="20" customBuiltin="1"/>
    <cellStyle name="Neutral" xfId="8" builtinId="28"/>
    <cellStyle name="Normal" xfId="0" builtinId="0"/>
    <cellStyle name="Output" xfId="10" builtinId="21"/>
    <cellStyle name="Title" xfId="1" builtinId="15" customBuiltin="1"/>
    <cellStyle name="Warning Text" xfId="5" builtinId="11"/>
  </cellStyles>
  <dxfs count="44"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4" formatCode="0.0"/>
    </dxf>
    <dxf>
      <font>
        <color rgb="FF0070C0"/>
      </font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strike/>
        <color rgb="FFC00000"/>
      </font>
      <numFmt numFmtId="1" formatCode="0"/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3124200</xdr:colOff>
          <xdr:row>2</xdr:row>
          <xdr:rowOff>114300</xdr:rowOff>
        </xdr:from>
        <xdr:to>
          <xdr:col>3</xdr:col>
          <xdr:colOff>4305300</xdr:colOff>
          <xdr:row>4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 charset="0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215900</xdr:colOff>
          <xdr:row>6</xdr:row>
          <xdr:rowOff>63500</xdr:rowOff>
        </xdr:from>
        <xdr:to>
          <xdr:col>3</xdr:col>
          <xdr:colOff>1193800</xdr:colOff>
          <xdr:row>8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 charset="0"/>
                </a:rPr>
                <a:t>Read Results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adjustColumnWidth="0" connectionId="1" xr16:uid="{7DF2F266-D835-4BAC-8257-D75624F19BAE}" autoFormatId="16" applyNumberFormats="0" applyBorderFormats="0" applyFontFormats="0" applyPatternFormats="0" applyAlignmentFormats="0" applyWidthHeightFormats="0">
  <queryTableRefresh nextId="148">
    <queryTableFields count="22">
      <queryTableField id="110" name="Hour" tableColumnId="45"/>
      <queryTableField id="111" name="p_tur" tableColumnId="46"/>
      <queryTableField id="112" name="q_bp" tableColumnId="47"/>
      <queryTableField id="128" name="q_tur" tableColumnId="63"/>
      <queryTableField id="125" name="q_tot" tableColumnId="60"/>
      <queryTableField id="131" name="T_plant" tableColumnId="66"/>
      <queryTableField id="113" name="q_bp_committed" tableColumnId="48"/>
      <queryTableField id="114" name="q_bp_ramp_down" tableColumnId="49"/>
      <queryTableField id="115" name="q_bp_ramp_up" tableColumnId="50"/>
      <queryTableField id="116" name="q_bp_rr_down_change" tableColumnId="51"/>
      <queryTableField id="117" name="q_bp_rr_up_change" tableColumnId="52"/>
      <queryTableField id="118" name="q_gg" tableColumnId="53"/>
      <queryTableField id="119" name="q_gg_ramp_down" tableColumnId="54"/>
      <queryTableField id="120" name="q_gg_ramp_up" tableColumnId="55"/>
      <queryTableField id="121" name="q_in_flow" tableColumnId="56"/>
      <queryTableField id="122" name="q_out_flow" tableColumnId="57"/>
      <queryTableField id="123" name="q_sink" tableColumnId="58"/>
      <queryTableField id="124" name="q_source" tableColumnId="59"/>
      <queryTableField id="126" name="q_tot_ramp_down" tableColumnId="61"/>
      <queryTableField id="127" name="q_tot_ramp_up" tableColumnId="62"/>
      <queryTableField id="129" name="q_tur_ramp_down" tableColumnId="64"/>
      <queryTableField id="130" name="q_tur_ramp_up" tableColumnId="6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5018A3B-9F4D-4A44-B817-5FC1E17FA47B}" name="Flows" displayName="Flows" ref="E10:Z178" tableType="queryTable" totalsRowShown="0">
  <autoFilter ref="E10:Z178" xr:uid="{C5018A3B-9F4D-4A44-B817-5FC1E17FA47B}"/>
  <tableColumns count="22">
    <tableColumn id="45" xr3:uid="{6C71F0F8-0163-49EC-BB85-47D0136C8A02}" uniqueName="45" name="Hour" queryTableFieldId="110" dataDxfId="43"/>
    <tableColumn id="46" xr3:uid="{EE2D606C-AB33-4353-AF2B-A9F873DBC849}" uniqueName="46" name="p_tur" queryTableFieldId="111" dataDxfId="20"/>
    <tableColumn id="47" xr3:uid="{CDA1AAB0-BC48-45FA-89CB-6380FCFDF58F}" uniqueName="47" name="q_bp" queryTableFieldId="112" dataDxfId="19"/>
    <tableColumn id="63" xr3:uid="{61B5BD0F-C1C3-42F2-875E-F3BC219A3291}" uniqueName="63" name="q_tur" queryTableFieldId="128" dataDxfId="18"/>
    <tableColumn id="60" xr3:uid="{C22A4875-A0A9-4201-90AE-F9A4F1D7E443}" uniqueName="60" name="q_tot" queryTableFieldId="125" dataDxfId="17"/>
    <tableColumn id="66" xr3:uid="{FC54F758-AE2E-478C-A250-0C2ACA2A0E43}" uniqueName="66" name="T_plant" queryTableFieldId="131" dataDxfId="16"/>
    <tableColumn id="48" xr3:uid="{71400EA2-8506-4910-953B-6E60B366422E}" uniqueName="48" name="q_bp_committed" queryTableFieldId="113" dataDxfId="15"/>
    <tableColumn id="49" xr3:uid="{8186E766-E88A-4B93-8BD6-452DFDB7D946}" uniqueName="49" name="q_bp_ramp_down" queryTableFieldId="114" dataDxfId="14"/>
    <tableColumn id="50" xr3:uid="{AA0C2BD9-7C93-4912-AA6D-8BA6A79CA8FB}" uniqueName="50" name="q_bp_ramp_up" queryTableFieldId="115" dataDxfId="13"/>
    <tableColumn id="51" xr3:uid="{89936BF6-E129-46E2-9E73-958D5ED6F4D5}" uniqueName="51" name="q_bp_rr_down_change" queryTableFieldId="116" dataDxfId="12"/>
    <tableColumn id="52" xr3:uid="{FAF80359-7339-43D4-9355-3E02E8F66C38}" uniqueName="52" name="q_bp_rr_up_change" queryTableFieldId="117" dataDxfId="11"/>
    <tableColumn id="53" xr3:uid="{61240F60-100C-4FCA-9359-60F0C4915F0E}" uniqueName="53" name="q_gg" queryTableFieldId="118" dataDxfId="10"/>
    <tableColumn id="54" xr3:uid="{BC98FC23-3CBF-4558-9152-ACBAD17F0133}" uniqueName="54" name="q_gg_ramp_down" queryTableFieldId="119" dataDxfId="9"/>
    <tableColumn id="55" xr3:uid="{EE83055B-9623-4CFA-92D9-047365FEA812}" uniqueName="55" name="q_gg_ramp_up" queryTableFieldId="120" dataDxfId="8"/>
    <tableColumn id="56" xr3:uid="{5F51997C-B2BF-49B5-B54B-9E77CFE8C400}" uniqueName="56" name="q_in_flow" queryTableFieldId="121" dataDxfId="7"/>
    <tableColumn id="57" xr3:uid="{B4DF2E48-3152-4EC3-B269-A02AD715AC60}" uniqueName="57" name="q_out_flow" queryTableFieldId="122" dataDxfId="6"/>
    <tableColumn id="58" xr3:uid="{31AD7833-F7E1-460D-A8C3-77C023D0A7C9}" uniqueName="58" name="q_sink" queryTableFieldId="123" dataDxfId="5"/>
    <tableColumn id="59" xr3:uid="{373C05EE-8587-4F41-B806-13750CE647E5}" uniqueName="59" name="q_source" queryTableFieldId="124" dataDxfId="4"/>
    <tableColumn id="61" xr3:uid="{77406859-CEEA-42A8-8FF9-058C58D695C1}" uniqueName="61" name="q_tot_ramp_down" queryTableFieldId="126" dataDxfId="3"/>
    <tableColumn id="62" xr3:uid="{54B5D12C-77CE-49A0-932E-1C259957F885}" uniqueName="62" name="q_tot_ramp_up" queryTableFieldId="127" dataDxfId="2"/>
    <tableColumn id="64" xr3:uid="{767C8A97-62FF-4D21-AAE1-7F07D9E71630}" uniqueName="64" name="q_tur_ramp_down" queryTableFieldId="129" dataDxfId="1"/>
    <tableColumn id="65" xr3:uid="{A5AA19B3-EEF9-4122-9721-C5D9B0ABD663}" uniqueName="65" name="q_tur_ramp_up" queryTableFieldId="130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A63731-CB62-44B0-AADB-81B3396EA9EB}">
  <sheetPr codeName="Sheet1"/>
  <dimension ref="A1:FT95"/>
  <sheetViews>
    <sheetView zoomScale="133" zoomScaleNormal="85" workbookViewId="0">
      <selection activeCell="E72" activeCellId="2" sqref="E67:E68 E70:E71 E72"/>
    </sheetView>
  </sheetViews>
  <sheetFormatPr baseColWidth="10" defaultColWidth="8.83203125" defaultRowHeight="15" x14ac:dyDescent="0.2"/>
  <cols>
    <col min="1" max="3" width="1.6640625" customWidth="1"/>
    <col min="4" max="4" width="69.33203125" bestFit="1" customWidth="1"/>
    <col min="5" max="5" width="29" bestFit="1" customWidth="1"/>
    <col min="6" max="6" width="12.5" customWidth="1"/>
    <col min="7" max="7" width="13.1640625" bestFit="1" customWidth="1"/>
    <col min="8" max="9" width="11.6640625" bestFit="1" customWidth="1"/>
    <col min="10" max="17" width="11" bestFit="1" customWidth="1"/>
    <col min="18" max="31" width="12" bestFit="1" customWidth="1"/>
    <col min="32" max="32" width="11" style="75" bestFit="1" customWidth="1"/>
    <col min="33" max="41" width="11" bestFit="1" customWidth="1"/>
    <col min="42" max="55" width="12" bestFit="1" customWidth="1"/>
    <col min="56" max="56" width="11" style="75" bestFit="1" customWidth="1"/>
    <col min="57" max="65" width="11" bestFit="1" customWidth="1"/>
    <col min="66" max="79" width="12" bestFit="1" customWidth="1"/>
    <col min="80" max="80" width="11" style="75" bestFit="1" customWidth="1"/>
    <col min="81" max="89" width="11" bestFit="1" customWidth="1"/>
    <col min="90" max="103" width="12" bestFit="1" customWidth="1"/>
    <col min="104" max="104" width="11.83203125" style="75" bestFit="1" customWidth="1"/>
    <col min="105" max="113" width="11.83203125" bestFit="1" customWidth="1"/>
    <col min="114" max="127" width="12.83203125" bestFit="1" customWidth="1"/>
    <col min="128" max="128" width="11.83203125" style="75" bestFit="1" customWidth="1"/>
    <col min="129" max="137" width="11.83203125" bestFit="1" customWidth="1"/>
    <col min="138" max="151" width="12.83203125" bestFit="1" customWidth="1"/>
    <col min="152" max="152" width="11.83203125" style="75" bestFit="1" customWidth="1"/>
    <col min="153" max="161" width="11.83203125" bestFit="1" customWidth="1"/>
    <col min="162" max="175" width="12.83203125" bestFit="1" customWidth="1"/>
    <col min="176" max="176" width="8.83203125" style="75"/>
  </cols>
  <sheetData>
    <row r="1" spans="1:176" ht="25" thickBot="1" x14ac:dyDescent="0.35">
      <c r="D1" s="6" t="s">
        <v>0</v>
      </c>
      <c r="E1" s="10" t="s">
        <v>32</v>
      </c>
      <c r="F1" s="10" t="s">
        <v>150</v>
      </c>
      <c r="G1" s="11" t="s">
        <v>58</v>
      </c>
      <c r="H1" s="11" t="s">
        <v>7</v>
      </c>
      <c r="I1" s="11" t="s">
        <v>8</v>
      </c>
      <c r="J1" s="11" t="s">
        <v>9</v>
      </c>
      <c r="K1" s="11" t="s">
        <v>10</v>
      </c>
      <c r="L1" s="11" t="s">
        <v>11</v>
      </c>
      <c r="M1" s="11" t="s">
        <v>12</v>
      </c>
      <c r="N1" s="11" t="s">
        <v>13</v>
      </c>
      <c r="O1" s="11" t="s">
        <v>14</v>
      </c>
      <c r="P1" s="11" t="s">
        <v>15</v>
      </c>
      <c r="Q1" s="11" t="s">
        <v>16</v>
      </c>
      <c r="R1" s="11" t="s">
        <v>17</v>
      </c>
      <c r="S1" s="11" t="s">
        <v>18</v>
      </c>
      <c r="T1" s="11" t="s">
        <v>19</v>
      </c>
      <c r="U1" s="11" t="s">
        <v>20</v>
      </c>
      <c r="V1" s="11" t="s">
        <v>21</v>
      </c>
      <c r="W1" s="11" t="s">
        <v>22</v>
      </c>
      <c r="X1" s="11" t="s">
        <v>23</v>
      </c>
      <c r="Y1" s="11" t="s">
        <v>24</v>
      </c>
      <c r="Z1" s="11" t="s">
        <v>25</v>
      </c>
      <c r="AA1" s="11" t="s">
        <v>26</v>
      </c>
      <c r="AB1" s="11" t="s">
        <v>27</v>
      </c>
      <c r="AC1" s="11" t="s">
        <v>28</v>
      </c>
      <c r="AD1" s="11" t="s">
        <v>29</v>
      </c>
      <c r="AE1" s="11" t="s">
        <v>30</v>
      </c>
      <c r="AF1" s="11" t="s">
        <v>278</v>
      </c>
      <c r="AG1" s="11" t="s">
        <v>279</v>
      </c>
      <c r="AH1" s="11" t="s">
        <v>280</v>
      </c>
      <c r="AI1" s="11" t="s">
        <v>281</v>
      </c>
      <c r="AJ1" s="11" t="s">
        <v>282</v>
      </c>
      <c r="AK1" s="11" t="s">
        <v>283</v>
      </c>
      <c r="AL1" s="11" t="s">
        <v>284</v>
      </c>
      <c r="AM1" s="11" t="s">
        <v>285</v>
      </c>
      <c r="AN1" s="11" t="s">
        <v>286</v>
      </c>
      <c r="AO1" s="11" t="s">
        <v>287</v>
      </c>
      <c r="AP1" s="11" t="s">
        <v>288</v>
      </c>
      <c r="AQ1" s="11" t="s">
        <v>289</v>
      </c>
      <c r="AR1" s="11" t="s">
        <v>290</v>
      </c>
      <c r="AS1" s="11" t="s">
        <v>291</v>
      </c>
      <c r="AT1" s="11" t="s">
        <v>292</v>
      </c>
      <c r="AU1" s="11" t="s">
        <v>293</v>
      </c>
      <c r="AV1" s="11" t="s">
        <v>294</v>
      </c>
      <c r="AW1" s="11" t="s">
        <v>295</v>
      </c>
      <c r="AX1" s="11" t="s">
        <v>296</v>
      </c>
      <c r="AY1" s="11" t="s">
        <v>297</v>
      </c>
      <c r="AZ1" s="11" t="s">
        <v>298</v>
      </c>
      <c r="BA1" s="11" t="s">
        <v>299</v>
      </c>
      <c r="BB1" s="11" t="s">
        <v>300</v>
      </c>
      <c r="BC1" s="11" t="s">
        <v>301</v>
      </c>
      <c r="BD1" s="11" t="s">
        <v>302</v>
      </c>
      <c r="BE1" s="11" t="s">
        <v>303</v>
      </c>
      <c r="BF1" s="11" t="s">
        <v>304</v>
      </c>
      <c r="BG1" s="11" t="s">
        <v>305</v>
      </c>
      <c r="BH1" s="11" t="s">
        <v>306</v>
      </c>
      <c r="BI1" s="11" t="s">
        <v>307</v>
      </c>
      <c r="BJ1" s="11" t="s">
        <v>308</v>
      </c>
      <c r="BK1" s="11" t="s">
        <v>309</v>
      </c>
      <c r="BL1" s="11" t="s">
        <v>310</v>
      </c>
      <c r="BM1" s="11" t="s">
        <v>311</v>
      </c>
      <c r="BN1" s="11" t="s">
        <v>312</v>
      </c>
      <c r="BO1" s="11" t="s">
        <v>313</v>
      </c>
      <c r="BP1" s="11" t="s">
        <v>314</v>
      </c>
      <c r="BQ1" s="11" t="s">
        <v>315</v>
      </c>
      <c r="BR1" s="11" t="s">
        <v>316</v>
      </c>
      <c r="BS1" s="11" t="s">
        <v>317</v>
      </c>
      <c r="BT1" s="11" t="s">
        <v>318</v>
      </c>
      <c r="BU1" s="11" t="s">
        <v>319</v>
      </c>
      <c r="BV1" s="11" t="s">
        <v>320</v>
      </c>
      <c r="BW1" s="11" t="s">
        <v>321</v>
      </c>
      <c r="BX1" s="11" t="s">
        <v>322</v>
      </c>
      <c r="BY1" s="11" t="s">
        <v>323</v>
      </c>
      <c r="BZ1" s="11" t="s">
        <v>324</v>
      </c>
      <c r="CA1" s="11" t="s">
        <v>325</v>
      </c>
      <c r="CB1" s="11" t="s">
        <v>326</v>
      </c>
      <c r="CC1" s="11" t="s">
        <v>327</v>
      </c>
      <c r="CD1" s="11" t="s">
        <v>328</v>
      </c>
      <c r="CE1" s="11" t="s">
        <v>329</v>
      </c>
      <c r="CF1" s="11" t="s">
        <v>330</v>
      </c>
      <c r="CG1" s="11" t="s">
        <v>331</v>
      </c>
      <c r="CH1" s="11" t="s">
        <v>332</v>
      </c>
      <c r="CI1" s="11" t="s">
        <v>333</v>
      </c>
      <c r="CJ1" s="11" t="s">
        <v>334</v>
      </c>
      <c r="CK1" s="11" t="s">
        <v>335</v>
      </c>
      <c r="CL1" s="11" t="s">
        <v>336</v>
      </c>
      <c r="CM1" s="11" t="s">
        <v>337</v>
      </c>
      <c r="CN1" s="11" t="s">
        <v>338</v>
      </c>
      <c r="CO1" s="11" t="s">
        <v>339</v>
      </c>
      <c r="CP1" s="11" t="s">
        <v>340</v>
      </c>
      <c r="CQ1" s="11" t="s">
        <v>341</v>
      </c>
      <c r="CR1" s="11" t="s">
        <v>342</v>
      </c>
      <c r="CS1" s="11" t="s">
        <v>343</v>
      </c>
      <c r="CT1" s="11" t="s">
        <v>344</v>
      </c>
      <c r="CU1" s="11" t="s">
        <v>345</v>
      </c>
      <c r="CV1" s="11" t="s">
        <v>346</v>
      </c>
      <c r="CW1" s="11" t="s">
        <v>347</v>
      </c>
      <c r="CX1" s="11" t="s">
        <v>348</v>
      </c>
      <c r="CY1" s="11" t="s">
        <v>349</v>
      </c>
      <c r="CZ1" s="11" t="s">
        <v>350</v>
      </c>
      <c r="DA1" s="11" t="s">
        <v>351</v>
      </c>
      <c r="DB1" s="11" t="s">
        <v>352</v>
      </c>
      <c r="DC1" s="11" t="s">
        <v>353</v>
      </c>
      <c r="DD1" s="11" t="s">
        <v>354</v>
      </c>
      <c r="DE1" s="11" t="s">
        <v>355</v>
      </c>
      <c r="DF1" s="11" t="s">
        <v>356</v>
      </c>
      <c r="DG1" s="11" t="s">
        <v>357</v>
      </c>
      <c r="DH1" s="11" t="s">
        <v>358</v>
      </c>
      <c r="DI1" s="11" t="s">
        <v>359</v>
      </c>
      <c r="DJ1" s="11" t="s">
        <v>360</v>
      </c>
      <c r="DK1" s="11" t="s">
        <v>361</v>
      </c>
      <c r="DL1" s="11" t="s">
        <v>362</v>
      </c>
      <c r="DM1" s="11" t="s">
        <v>363</v>
      </c>
      <c r="DN1" s="11" t="s">
        <v>364</v>
      </c>
      <c r="DO1" s="11" t="s">
        <v>365</v>
      </c>
      <c r="DP1" s="11" t="s">
        <v>366</v>
      </c>
      <c r="DQ1" s="11" t="s">
        <v>367</v>
      </c>
      <c r="DR1" s="11" t="s">
        <v>368</v>
      </c>
      <c r="DS1" s="11" t="s">
        <v>369</v>
      </c>
      <c r="DT1" s="11" t="s">
        <v>370</v>
      </c>
      <c r="DU1" s="11" t="s">
        <v>371</v>
      </c>
      <c r="DV1" s="11" t="s">
        <v>372</v>
      </c>
      <c r="DW1" s="11" t="s">
        <v>373</v>
      </c>
      <c r="DX1" s="11" t="s">
        <v>374</v>
      </c>
      <c r="DY1" s="11" t="s">
        <v>375</v>
      </c>
      <c r="DZ1" s="11" t="s">
        <v>376</v>
      </c>
      <c r="EA1" s="11" t="s">
        <v>377</v>
      </c>
      <c r="EB1" s="11" t="s">
        <v>378</v>
      </c>
      <c r="EC1" s="11" t="s">
        <v>379</v>
      </c>
      <c r="ED1" s="11" t="s">
        <v>380</v>
      </c>
      <c r="EE1" s="11" t="s">
        <v>381</v>
      </c>
      <c r="EF1" s="11" t="s">
        <v>382</v>
      </c>
      <c r="EG1" s="11" t="s">
        <v>383</v>
      </c>
      <c r="EH1" s="11" t="s">
        <v>384</v>
      </c>
      <c r="EI1" s="11" t="s">
        <v>385</v>
      </c>
      <c r="EJ1" s="11" t="s">
        <v>386</v>
      </c>
      <c r="EK1" s="11" t="s">
        <v>387</v>
      </c>
      <c r="EL1" s="11" t="s">
        <v>388</v>
      </c>
      <c r="EM1" s="11" t="s">
        <v>389</v>
      </c>
      <c r="EN1" s="11" t="s">
        <v>390</v>
      </c>
      <c r="EO1" s="11" t="s">
        <v>391</v>
      </c>
      <c r="EP1" s="11" t="s">
        <v>392</v>
      </c>
      <c r="EQ1" s="11" t="s">
        <v>393</v>
      </c>
      <c r="ER1" s="11" t="s">
        <v>394</v>
      </c>
      <c r="ES1" s="11" t="s">
        <v>395</v>
      </c>
      <c r="ET1" s="11" t="s">
        <v>396</v>
      </c>
      <c r="EU1" s="11" t="s">
        <v>397</v>
      </c>
      <c r="EV1" s="11" t="s">
        <v>398</v>
      </c>
      <c r="EW1" s="11" t="s">
        <v>399</v>
      </c>
      <c r="EX1" s="11" t="s">
        <v>400</v>
      </c>
      <c r="EY1" s="11" t="s">
        <v>401</v>
      </c>
      <c r="EZ1" s="11" t="s">
        <v>402</v>
      </c>
      <c r="FA1" s="11" t="s">
        <v>403</v>
      </c>
      <c r="FB1" s="11" t="s">
        <v>404</v>
      </c>
      <c r="FC1" s="11" t="s">
        <v>405</v>
      </c>
      <c r="FD1" s="11" t="s">
        <v>406</v>
      </c>
      <c r="FE1" s="11" t="s">
        <v>407</v>
      </c>
      <c r="FF1" s="11" t="s">
        <v>408</v>
      </c>
      <c r="FG1" s="11" t="s">
        <v>409</v>
      </c>
      <c r="FH1" s="11" t="s">
        <v>410</v>
      </c>
      <c r="FI1" s="11" t="s">
        <v>411</v>
      </c>
      <c r="FJ1" s="11" t="s">
        <v>412</v>
      </c>
      <c r="FK1" s="11" t="s">
        <v>413</v>
      </c>
      <c r="FL1" s="11" t="s">
        <v>414</v>
      </c>
      <c r="FM1" s="11" t="s">
        <v>415</v>
      </c>
      <c r="FN1" s="11" t="s">
        <v>416</v>
      </c>
      <c r="FO1" s="11" t="s">
        <v>417</v>
      </c>
      <c r="FP1" s="11" t="s">
        <v>418</v>
      </c>
      <c r="FQ1" s="11" t="s">
        <v>419</v>
      </c>
      <c r="FR1" s="11" t="s">
        <v>420</v>
      </c>
      <c r="FS1" s="11" t="s">
        <v>421</v>
      </c>
    </row>
    <row r="2" spans="1:176" ht="15.75" customHeight="1" thickTop="1" thickBot="1" x14ac:dyDescent="0.3">
      <c r="D2" s="1" t="s">
        <v>111</v>
      </c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</row>
    <row r="3" spans="1:176" ht="15.75" customHeight="1" thickTop="1" x14ac:dyDescent="0.2">
      <c r="D3" t="s">
        <v>126</v>
      </c>
      <c r="E3" s="2" t="s">
        <v>127</v>
      </c>
      <c r="F3" s="2"/>
      <c r="G3" s="12" t="s">
        <v>434</v>
      </c>
      <c r="H3" s="19"/>
      <c r="I3" s="25"/>
      <c r="J3" s="26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  <c r="AA3" s="26"/>
      <c r="AB3" s="26"/>
      <c r="AC3" s="26"/>
      <c r="AD3" s="26"/>
      <c r="AE3" s="27"/>
    </row>
    <row r="4" spans="1:176" ht="15.75" customHeight="1" x14ac:dyDescent="0.2">
      <c r="D4" t="s">
        <v>110</v>
      </c>
      <c r="G4" s="17" t="s">
        <v>112</v>
      </c>
      <c r="H4" s="18" t="s">
        <v>113</v>
      </c>
      <c r="I4" s="13" t="s">
        <v>114</v>
      </c>
      <c r="J4" s="2" t="s">
        <v>109</v>
      </c>
      <c r="AD4" s="13" t="s">
        <v>128</v>
      </c>
      <c r="AE4" s="13" t="b">
        <v>1</v>
      </c>
    </row>
    <row r="5" spans="1:176" ht="15.75" customHeight="1" x14ac:dyDescent="0.2">
      <c r="G5" s="12"/>
      <c r="H5" s="19"/>
      <c r="I5" s="20"/>
      <c r="P5">
        <v>516302.49767432816</v>
      </c>
      <c r="AD5" s="13" t="s">
        <v>149</v>
      </c>
      <c r="AE5" s="14" t="b">
        <v>0</v>
      </c>
    </row>
    <row r="6" spans="1:176" ht="15.75" customHeight="1" thickBot="1" x14ac:dyDescent="0.3">
      <c r="D6" s="1" t="s">
        <v>93</v>
      </c>
      <c r="E6" s="7" t="s">
        <v>32</v>
      </c>
      <c r="F6" s="7"/>
      <c r="G6" s="3" t="s">
        <v>58</v>
      </c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</row>
    <row r="7" spans="1:176" ht="15.75" customHeight="1" thickTop="1" x14ac:dyDescent="0.2">
      <c r="D7" t="s">
        <v>92</v>
      </c>
      <c r="E7" s="2" t="s">
        <v>91</v>
      </c>
      <c r="F7" s="2"/>
      <c r="G7" s="23" t="s">
        <v>262</v>
      </c>
    </row>
    <row r="8" spans="1:176" ht="15.75" customHeight="1" x14ac:dyDescent="0.2">
      <c r="D8" t="s">
        <v>108</v>
      </c>
      <c r="E8" s="2" t="s">
        <v>107</v>
      </c>
      <c r="F8" s="2"/>
      <c r="G8" s="4" t="s">
        <v>263</v>
      </c>
    </row>
    <row r="9" spans="1:176" ht="15.75" customHeight="1" x14ac:dyDescent="0.2">
      <c r="D9" t="s">
        <v>115</v>
      </c>
      <c r="E9" s="2" t="s">
        <v>116</v>
      </c>
      <c r="F9" s="2"/>
      <c r="G9" s="4" t="b">
        <v>0</v>
      </c>
      <c r="I9" s="59">
        <v>1</v>
      </c>
      <c r="J9" s="59">
        <v>2</v>
      </c>
      <c r="K9" s="59">
        <v>3</v>
      </c>
      <c r="L9" s="59">
        <v>4</v>
      </c>
      <c r="M9" s="59">
        <v>5</v>
      </c>
      <c r="N9" s="59">
        <v>6</v>
      </c>
      <c r="O9" s="59">
        <v>7</v>
      </c>
    </row>
    <row r="10" spans="1:176" ht="15.75" customHeight="1" x14ac:dyDescent="0.2">
      <c r="D10" t="s">
        <v>140</v>
      </c>
      <c r="E10" s="2" t="s">
        <v>141</v>
      </c>
      <c r="F10" s="2"/>
      <c r="G10" s="4" t="s">
        <v>149</v>
      </c>
      <c r="I10" s="59" t="s">
        <v>271</v>
      </c>
      <c r="J10" s="59" t="s">
        <v>272</v>
      </c>
      <c r="K10" s="59" t="s">
        <v>273</v>
      </c>
      <c r="L10" s="59" t="s">
        <v>274</v>
      </c>
      <c r="M10" s="59" t="s">
        <v>275</v>
      </c>
      <c r="N10" s="59" t="s">
        <v>276</v>
      </c>
      <c r="O10" s="59" t="s">
        <v>277</v>
      </c>
    </row>
    <row r="11" spans="1:176" ht="15.75" customHeight="1" x14ac:dyDescent="0.2">
      <c r="D11" t="s">
        <v>436</v>
      </c>
      <c r="E11" s="2" t="s">
        <v>437</v>
      </c>
      <c r="F11" s="2"/>
      <c r="G11" s="8">
        <v>10</v>
      </c>
      <c r="H11" s="24" t="s">
        <v>438</v>
      </c>
      <c r="I11" s="91"/>
      <c r="J11" s="91"/>
      <c r="K11" s="91"/>
      <c r="L11" s="91"/>
      <c r="M11" s="91"/>
      <c r="N11" s="91"/>
      <c r="O11" s="91"/>
    </row>
    <row r="12" spans="1:176" ht="15.75" customHeight="1" x14ac:dyDescent="0.2">
      <c r="D12" t="s">
        <v>264</v>
      </c>
      <c r="E12" s="2" t="s">
        <v>266</v>
      </c>
      <c r="F12" s="2"/>
      <c r="G12" s="45">
        <v>45844</v>
      </c>
      <c r="H12" s="46" t="str">
        <f>LOOKUP(WEEKDAY(G12,1),$I$9:$O$9,$I$10:$O$10)</f>
        <v>SUN</v>
      </c>
    </row>
    <row r="13" spans="1:176" ht="15.75" customHeight="1" x14ac:dyDescent="0.2">
      <c r="D13" t="s">
        <v>265</v>
      </c>
      <c r="E13" s="2" t="s">
        <v>267</v>
      </c>
      <c r="F13" s="2"/>
      <c r="G13" s="87">
        <f>(G12+7)-TIME(1,0,0)</f>
        <v>45850.958333333336</v>
      </c>
      <c r="H13" s="88" t="str">
        <f>LOOKUP(WEEKDAY(G13,1),$I$9:$O$9,$I$10:$O$10)</f>
        <v>SAT</v>
      </c>
    </row>
    <row r="14" spans="1:176" ht="15.75" customHeight="1" thickBot="1" x14ac:dyDescent="0.25">
      <c r="D14" s="16" t="s">
        <v>432</v>
      </c>
      <c r="E14" s="2"/>
      <c r="F14" s="2"/>
      <c r="G14" s="89"/>
      <c r="H14" s="90"/>
    </row>
    <row r="15" spans="1:176" s="47" customFormat="1" x14ac:dyDescent="0.2">
      <c r="A15"/>
      <c r="B15"/>
      <c r="C15"/>
      <c r="D15" s="15" t="s">
        <v>430</v>
      </c>
      <c r="E15"/>
      <c r="F15"/>
      <c r="G15"/>
      <c r="H15" s="60">
        <f>G12</f>
        <v>45844</v>
      </c>
      <c r="I15" s="60">
        <f t="shared" ref="I15:BT15" si="0">IFERROR(IF(H15+TIME(1,0,0)&lt;=$G$13,H15+TIME(1,0,0),""),"")</f>
        <v>45844.041666666664</v>
      </c>
      <c r="J15" s="60">
        <f t="shared" si="0"/>
        <v>45844.083333333328</v>
      </c>
      <c r="K15" s="60">
        <f t="shared" si="0"/>
        <v>45844.124999999993</v>
      </c>
      <c r="L15" s="60">
        <f t="shared" si="0"/>
        <v>45844.166666666657</v>
      </c>
      <c r="M15" s="60">
        <f t="shared" si="0"/>
        <v>45844.208333333321</v>
      </c>
      <c r="N15" s="60">
        <f t="shared" si="0"/>
        <v>45844.249999999985</v>
      </c>
      <c r="O15" s="60">
        <f t="shared" si="0"/>
        <v>45844.29166666665</v>
      </c>
      <c r="P15" s="60">
        <f t="shared" si="0"/>
        <v>45844.333333333314</v>
      </c>
      <c r="Q15" s="60">
        <f t="shared" si="0"/>
        <v>45844.374999999978</v>
      </c>
      <c r="R15" s="60">
        <f t="shared" si="0"/>
        <v>45844.416666666642</v>
      </c>
      <c r="S15" s="60">
        <f t="shared" si="0"/>
        <v>45844.458333333307</v>
      </c>
      <c r="T15" s="60">
        <f t="shared" si="0"/>
        <v>45844.499999999971</v>
      </c>
      <c r="U15" s="60">
        <f t="shared" si="0"/>
        <v>45844.541666666635</v>
      </c>
      <c r="V15" s="60">
        <f t="shared" si="0"/>
        <v>45844.583333333299</v>
      </c>
      <c r="W15" s="60">
        <f t="shared" si="0"/>
        <v>45844.624999999964</v>
      </c>
      <c r="X15" s="60">
        <f t="shared" si="0"/>
        <v>45844.666666666628</v>
      </c>
      <c r="Y15" s="60">
        <f t="shared" si="0"/>
        <v>45844.708333333292</v>
      </c>
      <c r="Z15" s="60">
        <f t="shared" si="0"/>
        <v>45844.749999999956</v>
      </c>
      <c r="AA15" s="60">
        <f t="shared" si="0"/>
        <v>45844.791666666621</v>
      </c>
      <c r="AB15" s="60">
        <f t="shared" si="0"/>
        <v>45844.833333333285</v>
      </c>
      <c r="AC15" s="60">
        <f t="shared" si="0"/>
        <v>45844.874999999949</v>
      </c>
      <c r="AD15" s="60">
        <f t="shared" si="0"/>
        <v>45844.916666666613</v>
      </c>
      <c r="AE15" s="60">
        <f t="shared" si="0"/>
        <v>45844.958333333278</v>
      </c>
      <c r="AF15" s="76">
        <f t="shared" si="0"/>
        <v>45844.999999999942</v>
      </c>
      <c r="AG15" s="60">
        <f t="shared" si="0"/>
        <v>45845.041666666606</v>
      </c>
      <c r="AH15" s="60">
        <f t="shared" si="0"/>
        <v>45845.08333333327</v>
      </c>
      <c r="AI15" s="60">
        <f t="shared" si="0"/>
        <v>45845.124999999935</v>
      </c>
      <c r="AJ15" s="60">
        <f t="shared" si="0"/>
        <v>45845.166666666599</v>
      </c>
      <c r="AK15" s="60">
        <f t="shared" si="0"/>
        <v>45845.208333333263</v>
      </c>
      <c r="AL15" s="60">
        <f t="shared" si="0"/>
        <v>45845.249999999927</v>
      </c>
      <c r="AM15" s="60">
        <f t="shared" si="0"/>
        <v>45845.291666666591</v>
      </c>
      <c r="AN15" s="60">
        <f t="shared" si="0"/>
        <v>45845.333333333256</v>
      </c>
      <c r="AO15" s="60">
        <f t="shared" si="0"/>
        <v>45845.37499999992</v>
      </c>
      <c r="AP15" s="60">
        <f t="shared" si="0"/>
        <v>45845.416666666584</v>
      </c>
      <c r="AQ15" s="60">
        <f t="shared" si="0"/>
        <v>45845.458333333248</v>
      </c>
      <c r="AR15" s="60">
        <f t="shared" si="0"/>
        <v>45845.499999999913</v>
      </c>
      <c r="AS15" s="60">
        <f t="shared" si="0"/>
        <v>45845.541666666577</v>
      </c>
      <c r="AT15" s="60">
        <f t="shared" si="0"/>
        <v>45845.583333333241</v>
      </c>
      <c r="AU15" s="60">
        <f t="shared" si="0"/>
        <v>45845.624999999905</v>
      </c>
      <c r="AV15" s="60">
        <f t="shared" si="0"/>
        <v>45845.66666666657</v>
      </c>
      <c r="AW15" s="60">
        <f t="shared" si="0"/>
        <v>45845.708333333234</v>
      </c>
      <c r="AX15" s="60">
        <f t="shared" si="0"/>
        <v>45845.749999999898</v>
      </c>
      <c r="AY15" s="60">
        <f t="shared" si="0"/>
        <v>45845.791666666562</v>
      </c>
      <c r="AZ15" s="60">
        <f t="shared" si="0"/>
        <v>45845.833333333227</v>
      </c>
      <c r="BA15" s="60">
        <f t="shared" si="0"/>
        <v>45845.874999999891</v>
      </c>
      <c r="BB15" s="60">
        <f t="shared" si="0"/>
        <v>45845.916666666555</v>
      </c>
      <c r="BC15" s="60">
        <f t="shared" si="0"/>
        <v>45845.958333333219</v>
      </c>
      <c r="BD15" s="76">
        <f t="shared" si="0"/>
        <v>45845.999999999884</v>
      </c>
      <c r="BE15" s="60">
        <f t="shared" si="0"/>
        <v>45846.041666666548</v>
      </c>
      <c r="BF15" s="60">
        <f t="shared" si="0"/>
        <v>45846.083333333212</v>
      </c>
      <c r="BG15" s="60">
        <f t="shared" si="0"/>
        <v>45846.124999999876</v>
      </c>
      <c r="BH15" s="60">
        <f t="shared" si="0"/>
        <v>45846.166666666541</v>
      </c>
      <c r="BI15" s="60">
        <f t="shared" si="0"/>
        <v>45846.208333333205</v>
      </c>
      <c r="BJ15" s="60">
        <f t="shared" si="0"/>
        <v>45846.249999999869</v>
      </c>
      <c r="BK15" s="60">
        <f t="shared" si="0"/>
        <v>45846.291666666533</v>
      </c>
      <c r="BL15" s="60">
        <f t="shared" si="0"/>
        <v>45846.333333333198</v>
      </c>
      <c r="BM15" s="60">
        <f t="shared" si="0"/>
        <v>45846.374999999862</v>
      </c>
      <c r="BN15" s="60">
        <f t="shared" si="0"/>
        <v>45846.416666666526</v>
      </c>
      <c r="BO15" s="60">
        <f t="shared" si="0"/>
        <v>45846.45833333319</v>
      </c>
      <c r="BP15" s="60">
        <f t="shared" si="0"/>
        <v>45846.499999999854</v>
      </c>
      <c r="BQ15" s="60">
        <f t="shared" si="0"/>
        <v>45846.541666666519</v>
      </c>
      <c r="BR15" s="60">
        <f t="shared" si="0"/>
        <v>45846.583333333183</v>
      </c>
      <c r="BS15" s="60">
        <f t="shared" si="0"/>
        <v>45846.624999999847</v>
      </c>
      <c r="BT15" s="60">
        <f t="shared" si="0"/>
        <v>45846.666666666511</v>
      </c>
      <c r="BU15" s="60">
        <f t="shared" ref="BU15:EF15" si="1">IFERROR(IF(BT15+TIME(1,0,0)&lt;=$G$13,BT15+TIME(1,0,0),""),"")</f>
        <v>45846.708333333176</v>
      </c>
      <c r="BV15" s="60">
        <f t="shared" si="1"/>
        <v>45846.74999999984</v>
      </c>
      <c r="BW15" s="60">
        <f t="shared" si="1"/>
        <v>45846.791666666504</v>
      </c>
      <c r="BX15" s="60">
        <f t="shared" si="1"/>
        <v>45846.833333333168</v>
      </c>
      <c r="BY15" s="60">
        <f t="shared" si="1"/>
        <v>45846.874999999833</v>
      </c>
      <c r="BZ15" s="60">
        <f t="shared" si="1"/>
        <v>45846.916666666497</v>
      </c>
      <c r="CA15" s="60">
        <f t="shared" si="1"/>
        <v>45846.958333333161</v>
      </c>
      <c r="CB15" s="76">
        <f t="shared" si="1"/>
        <v>45846.999999999825</v>
      </c>
      <c r="CC15" s="60">
        <f t="shared" si="1"/>
        <v>45847.04166666649</v>
      </c>
      <c r="CD15" s="60">
        <f t="shared" si="1"/>
        <v>45847.083333333154</v>
      </c>
      <c r="CE15" s="60">
        <f t="shared" si="1"/>
        <v>45847.124999999818</v>
      </c>
      <c r="CF15" s="60">
        <f t="shared" si="1"/>
        <v>45847.166666666482</v>
      </c>
      <c r="CG15" s="60">
        <f t="shared" si="1"/>
        <v>45847.208333333147</v>
      </c>
      <c r="CH15" s="60">
        <f t="shared" si="1"/>
        <v>45847.249999999811</v>
      </c>
      <c r="CI15" s="60">
        <f t="shared" si="1"/>
        <v>45847.291666666475</v>
      </c>
      <c r="CJ15" s="60">
        <f t="shared" si="1"/>
        <v>45847.333333333139</v>
      </c>
      <c r="CK15" s="60">
        <f t="shared" si="1"/>
        <v>45847.374999999804</v>
      </c>
      <c r="CL15" s="60">
        <f t="shared" si="1"/>
        <v>45847.416666666468</v>
      </c>
      <c r="CM15" s="60">
        <f t="shared" si="1"/>
        <v>45847.458333333132</v>
      </c>
      <c r="CN15" s="60">
        <f t="shared" si="1"/>
        <v>45847.499999999796</v>
      </c>
      <c r="CO15" s="60">
        <f t="shared" si="1"/>
        <v>45847.541666666461</v>
      </c>
      <c r="CP15" s="60">
        <f t="shared" si="1"/>
        <v>45847.583333333125</v>
      </c>
      <c r="CQ15" s="60">
        <f t="shared" si="1"/>
        <v>45847.624999999789</v>
      </c>
      <c r="CR15" s="60">
        <f t="shared" si="1"/>
        <v>45847.666666666453</v>
      </c>
      <c r="CS15" s="60">
        <f t="shared" si="1"/>
        <v>45847.708333333117</v>
      </c>
      <c r="CT15" s="60">
        <f t="shared" si="1"/>
        <v>45847.749999999782</v>
      </c>
      <c r="CU15" s="60">
        <f t="shared" si="1"/>
        <v>45847.791666666446</v>
      </c>
      <c r="CV15" s="60">
        <f t="shared" si="1"/>
        <v>45847.83333333311</v>
      </c>
      <c r="CW15" s="60">
        <f t="shared" si="1"/>
        <v>45847.874999999774</v>
      </c>
      <c r="CX15" s="60">
        <f t="shared" si="1"/>
        <v>45847.916666666439</v>
      </c>
      <c r="CY15" s="60">
        <f t="shared" si="1"/>
        <v>45847.958333333103</v>
      </c>
      <c r="CZ15" s="76">
        <f t="shared" si="1"/>
        <v>45847.999999999767</v>
      </c>
      <c r="DA15" s="60">
        <f t="shared" si="1"/>
        <v>45848.041666666431</v>
      </c>
      <c r="DB15" s="60">
        <f t="shared" si="1"/>
        <v>45848.083333333096</v>
      </c>
      <c r="DC15" s="60">
        <f t="shared" si="1"/>
        <v>45848.12499999976</v>
      </c>
      <c r="DD15" s="60">
        <f t="shared" si="1"/>
        <v>45848.166666666424</v>
      </c>
      <c r="DE15" s="60">
        <f t="shared" si="1"/>
        <v>45848.208333333088</v>
      </c>
      <c r="DF15" s="60">
        <f t="shared" si="1"/>
        <v>45848.249999999753</v>
      </c>
      <c r="DG15" s="60">
        <f t="shared" si="1"/>
        <v>45848.291666666417</v>
      </c>
      <c r="DH15" s="60">
        <f t="shared" si="1"/>
        <v>45848.333333333081</v>
      </c>
      <c r="DI15" s="60">
        <f t="shared" si="1"/>
        <v>45848.374999999745</v>
      </c>
      <c r="DJ15" s="60">
        <f t="shared" si="1"/>
        <v>45848.41666666641</v>
      </c>
      <c r="DK15" s="60">
        <f t="shared" si="1"/>
        <v>45848.458333333074</v>
      </c>
      <c r="DL15" s="60">
        <f t="shared" si="1"/>
        <v>45848.499999999738</v>
      </c>
      <c r="DM15" s="60">
        <f t="shared" si="1"/>
        <v>45848.541666666402</v>
      </c>
      <c r="DN15" s="60">
        <f t="shared" si="1"/>
        <v>45848.583333333067</v>
      </c>
      <c r="DO15" s="60">
        <f t="shared" si="1"/>
        <v>45848.624999999731</v>
      </c>
      <c r="DP15" s="60">
        <f t="shared" si="1"/>
        <v>45848.666666666395</v>
      </c>
      <c r="DQ15" s="60">
        <f t="shared" si="1"/>
        <v>45848.708333333059</v>
      </c>
      <c r="DR15" s="60">
        <f t="shared" si="1"/>
        <v>45848.749999999724</v>
      </c>
      <c r="DS15" s="60">
        <f t="shared" si="1"/>
        <v>45848.791666666388</v>
      </c>
      <c r="DT15" s="60">
        <f t="shared" si="1"/>
        <v>45848.833333333052</v>
      </c>
      <c r="DU15" s="60">
        <f t="shared" si="1"/>
        <v>45848.874999999716</v>
      </c>
      <c r="DV15" s="60">
        <f t="shared" si="1"/>
        <v>45848.91666666638</v>
      </c>
      <c r="DW15" s="60">
        <f t="shared" si="1"/>
        <v>45848.958333333045</v>
      </c>
      <c r="DX15" s="76">
        <f t="shared" si="1"/>
        <v>45848.999999999709</v>
      </c>
      <c r="DY15" s="60">
        <f t="shared" si="1"/>
        <v>45849.041666666373</v>
      </c>
      <c r="DZ15" s="60">
        <f t="shared" si="1"/>
        <v>45849.083333333037</v>
      </c>
      <c r="EA15" s="60">
        <f t="shared" si="1"/>
        <v>45849.124999999702</v>
      </c>
      <c r="EB15" s="60">
        <f t="shared" si="1"/>
        <v>45849.166666666366</v>
      </c>
      <c r="EC15" s="60">
        <f t="shared" si="1"/>
        <v>45849.20833333303</v>
      </c>
      <c r="ED15" s="60">
        <f t="shared" si="1"/>
        <v>45849.249999999694</v>
      </c>
      <c r="EE15" s="60">
        <f t="shared" si="1"/>
        <v>45849.291666666359</v>
      </c>
      <c r="EF15" s="60">
        <f t="shared" si="1"/>
        <v>45849.333333333023</v>
      </c>
      <c r="EG15" s="60">
        <f t="shared" ref="EG15:FS15" si="2">IFERROR(IF(EF15+TIME(1,0,0)&lt;=$G$13,EF15+TIME(1,0,0),""),"")</f>
        <v>45849.374999999687</v>
      </c>
      <c r="EH15" s="60">
        <f t="shared" si="2"/>
        <v>45849.416666666351</v>
      </c>
      <c r="EI15" s="60">
        <f t="shared" si="2"/>
        <v>45849.458333333016</v>
      </c>
      <c r="EJ15" s="60">
        <f t="shared" si="2"/>
        <v>45849.49999999968</v>
      </c>
      <c r="EK15" s="60">
        <f t="shared" si="2"/>
        <v>45849.541666666344</v>
      </c>
      <c r="EL15" s="60">
        <f t="shared" si="2"/>
        <v>45849.583333333008</v>
      </c>
      <c r="EM15" s="60">
        <f t="shared" si="2"/>
        <v>45849.624999999673</v>
      </c>
      <c r="EN15" s="60">
        <f t="shared" si="2"/>
        <v>45849.666666666337</v>
      </c>
      <c r="EO15" s="60">
        <f t="shared" si="2"/>
        <v>45849.708333333001</v>
      </c>
      <c r="EP15" s="60">
        <f t="shared" si="2"/>
        <v>45849.749999999665</v>
      </c>
      <c r="EQ15" s="60">
        <f t="shared" si="2"/>
        <v>45849.79166666633</v>
      </c>
      <c r="ER15" s="60">
        <f t="shared" si="2"/>
        <v>45849.833333332994</v>
      </c>
      <c r="ES15" s="60">
        <f t="shared" si="2"/>
        <v>45849.874999999658</v>
      </c>
      <c r="ET15" s="60">
        <f t="shared" si="2"/>
        <v>45849.916666666322</v>
      </c>
      <c r="EU15" s="60">
        <f t="shared" si="2"/>
        <v>45849.958333332987</v>
      </c>
      <c r="EV15" s="76">
        <f t="shared" si="2"/>
        <v>45849.999999999651</v>
      </c>
      <c r="EW15" s="60">
        <f t="shared" si="2"/>
        <v>45850.041666666315</v>
      </c>
      <c r="EX15" s="60">
        <f t="shared" si="2"/>
        <v>45850.083333332979</v>
      </c>
      <c r="EY15" s="60">
        <f t="shared" si="2"/>
        <v>45850.124999999643</v>
      </c>
      <c r="EZ15" s="60">
        <f t="shared" si="2"/>
        <v>45850.166666666308</v>
      </c>
      <c r="FA15" s="60">
        <f t="shared" si="2"/>
        <v>45850.208333332972</v>
      </c>
      <c r="FB15" s="60">
        <f t="shared" si="2"/>
        <v>45850.249999999636</v>
      </c>
      <c r="FC15" s="60">
        <f t="shared" si="2"/>
        <v>45850.2916666663</v>
      </c>
      <c r="FD15" s="60">
        <f t="shared" si="2"/>
        <v>45850.333333332965</v>
      </c>
      <c r="FE15" s="60">
        <f t="shared" si="2"/>
        <v>45850.374999999629</v>
      </c>
      <c r="FF15" s="60">
        <f t="shared" si="2"/>
        <v>45850.416666666293</v>
      </c>
      <c r="FG15" s="60">
        <f t="shared" si="2"/>
        <v>45850.458333332957</v>
      </c>
      <c r="FH15" s="60">
        <f t="shared" si="2"/>
        <v>45850.499999999622</v>
      </c>
      <c r="FI15" s="60">
        <f t="shared" si="2"/>
        <v>45850.541666666286</v>
      </c>
      <c r="FJ15" s="60">
        <f t="shared" si="2"/>
        <v>45850.58333333295</v>
      </c>
      <c r="FK15" s="60">
        <f t="shared" si="2"/>
        <v>45850.624999999614</v>
      </c>
      <c r="FL15" s="60">
        <f t="shared" si="2"/>
        <v>45850.666666666279</v>
      </c>
      <c r="FM15" s="60">
        <f t="shared" si="2"/>
        <v>45850.708333332943</v>
      </c>
      <c r="FN15" s="60">
        <f t="shared" si="2"/>
        <v>45850.749999999607</v>
      </c>
      <c r="FO15" s="60">
        <f t="shared" si="2"/>
        <v>45850.791666666271</v>
      </c>
      <c r="FP15" s="60">
        <f t="shared" si="2"/>
        <v>45850.833333332936</v>
      </c>
      <c r="FQ15" s="60">
        <f t="shared" si="2"/>
        <v>45850.8749999996</v>
      </c>
      <c r="FR15" s="60">
        <f t="shared" si="2"/>
        <v>45850.916666666264</v>
      </c>
      <c r="FS15" s="60">
        <f t="shared" si="2"/>
        <v>45850.958333332928</v>
      </c>
      <c r="FT15" s="84"/>
    </row>
    <row r="16" spans="1:176" s="47" customFormat="1" x14ac:dyDescent="0.2">
      <c r="A16"/>
      <c r="B16"/>
      <c r="C16"/>
      <c r="D16" s="15" t="s">
        <v>433</v>
      </c>
      <c r="E16"/>
      <c r="F16"/>
      <c r="G16"/>
      <c r="H16" s="61">
        <f>DAY(H15)</f>
        <v>6</v>
      </c>
      <c r="I16" s="61">
        <f t="shared" ref="I16:BT16" si="3">DAY(I15)</f>
        <v>6</v>
      </c>
      <c r="J16" s="61">
        <f t="shared" si="3"/>
        <v>6</v>
      </c>
      <c r="K16" s="61">
        <f t="shared" si="3"/>
        <v>6</v>
      </c>
      <c r="L16" s="61">
        <f t="shared" si="3"/>
        <v>6</v>
      </c>
      <c r="M16" s="61">
        <f t="shared" si="3"/>
        <v>6</v>
      </c>
      <c r="N16" s="61">
        <f t="shared" si="3"/>
        <v>6</v>
      </c>
      <c r="O16" s="61">
        <f t="shared" si="3"/>
        <v>6</v>
      </c>
      <c r="P16" s="61">
        <f t="shared" si="3"/>
        <v>6</v>
      </c>
      <c r="Q16" s="61">
        <f t="shared" si="3"/>
        <v>6</v>
      </c>
      <c r="R16" s="61">
        <f t="shared" si="3"/>
        <v>6</v>
      </c>
      <c r="S16" s="61">
        <f t="shared" si="3"/>
        <v>6</v>
      </c>
      <c r="T16" s="61">
        <f t="shared" si="3"/>
        <v>6</v>
      </c>
      <c r="U16" s="61">
        <f t="shared" si="3"/>
        <v>6</v>
      </c>
      <c r="V16" s="61">
        <f t="shared" si="3"/>
        <v>6</v>
      </c>
      <c r="W16" s="61">
        <f t="shared" si="3"/>
        <v>6</v>
      </c>
      <c r="X16" s="61">
        <f t="shared" si="3"/>
        <v>6</v>
      </c>
      <c r="Y16" s="61">
        <f t="shared" si="3"/>
        <v>6</v>
      </c>
      <c r="Z16" s="61">
        <f t="shared" si="3"/>
        <v>6</v>
      </c>
      <c r="AA16" s="61">
        <f t="shared" si="3"/>
        <v>6</v>
      </c>
      <c r="AB16" s="61">
        <f t="shared" si="3"/>
        <v>6</v>
      </c>
      <c r="AC16" s="61">
        <f t="shared" si="3"/>
        <v>6</v>
      </c>
      <c r="AD16" s="61">
        <f t="shared" si="3"/>
        <v>6</v>
      </c>
      <c r="AE16" s="61">
        <f t="shared" si="3"/>
        <v>6</v>
      </c>
      <c r="AF16" s="77">
        <f t="shared" si="3"/>
        <v>7</v>
      </c>
      <c r="AG16" s="61">
        <f t="shared" si="3"/>
        <v>7</v>
      </c>
      <c r="AH16" s="61">
        <f t="shared" si="3"/>
        <v>7</v>
      </c>
      <c r="AI16" s="61">
        <f t="shared" si="3"/>
        <v>7</v>
      </c>
      <c r="AJ16" s="61">
        <f t="shared" si="3"/>
        <v>7</v>
      </c>
      <c r="AK16" s="61">
        <f t="shared" si="3"/>
        <v>7</v>
      </c>
      <c r="AL16" s="61">
        <f t="shared" si="3"/>
        <v>7</v>
      </c>
      <c r="AM16" s="61">
        <f t="shared" si="3"/>
        <v>7</v>
      </c>
      <c r="AN16" s="61">
        <f t="shared" si="3"/>
        <v>7</v>
      </c>
      <c r="AO16" s="61">
        <f t="shared" si="3"/>
        <v>7</v>
      </c>
      <c r="AP16" s="61">
        <f t="shared" si="3"/>
        <v>7</v>
      </c>
      <c r="AQ16" s="61">
        <f t="shared" si="3"/>
        <v>7</v>
      </c>
      <c r="AR16" s="61">
        <f t="shared" si="3"/>
        <v>7</v>
      </c>
      <c r="AS16" s="61">
        <f t="shared" si="3"/>
        <v>7</v>
      </c>
      <c r="AT16" s="61">
        <f t="shared" si="3"/>
        <v>7</v>
      </c>
      <c r="AU16" s="61">
        <f t="shared" si="3"/>
        <v>7</v>
      </c>
      <c r="AV16" s="61">
        <f t="shared" si="3"/>
        <v>7</v>
      </c>
      <c r="AW16" s="61">
        <f t="shared" si="3"/>
        <v>7</v>
      </c>
      <c r="AX16" s="61">
        <f t="shared" si="3"/>
        <v>7</v>
      </c>
      <c r="AY16" s="61">
        <f t="shared" si="3"/>
        <v>7</v>
      </c>
      <c r="AZ16" s="61">
        <f t="shared" si="3"/>
        <v>7</v>
      </c>
      <c r="BA16" s="61">
        <f t="shared" si="3"/>
        <v>7</v>
      </c>
      <c r="BB16" s="61">
        <f t="shared" si="3"/>
        <v>7</v>
      </c>
      <c r="BC16" s="61">
        <f t="shared" si="3"/>
        <v>7</v>
      </c>
      <c r="BD16" s="77">
        <f t="shared" si="3"/>
        <v>8</v>
      </c>
      <c r="BE16" s="61">
        <f t="shared" si="3"/>
        <v>8</v>
      </c>
      <c r="BF16" s="61">
        <f t="shared" si="3"/>
        <v>8</v>
      </c>
      <c r="BG16" s="61">
        <f t="shared" si="3"/>
        <v>8</v>
      </c>
      <c r="BH16" s="61">
        <f t="shared" si="3"/>
        <v>8</v>
      </c>
      <c r="BI16" s="61">
        <f t="shared" si="3"/>
        <v>8</v>
      </c>
      <c r="BJ16" s="61">
        <f t="shared" si="3"/>
        <v>8</v>
      </c>
      <c r="BK16" s="61">
        <f t="shared" si="3"/>
        <v>8</v>
      </c>
      <c r="BL16" s="61">
        <f t="shared" si="3"/>
        <v>8</v>
      </c>
      <c r="BM16" s="61">
        <f t="shared" si="3"/>
        <v>8</v>
      </c>
      <c r="BN16" s="61">
        <f t="shared" si="3"/>
        <v>8</v>
      </c>
      <c r="BO16" s="61">
        <f t="shared" si="3"/>
        <v>8</v>
      </c>
      <c r="BP16" s="61">
        <f t="shared" si="3"/>
        <v>8</v>
      </c>
      <c r="BQ16" s="61">
        <f t="shared" si="3"/>
        <v>8</v>
      </c>
      <c r="BR16" s="61">
        <f t="shared" si="3"/>
        <v>8</v>
      </c>
      <c r="BS16" s="61">
        <f t="shared" si="3"/>
        <v>8</v>
      </c>
      <c r="BT16" s="61">
        <f t="shared" si="3"/>
        <v>8</v>
      </c>
      <c r="BU16" s="61">
        <f t="shared" ref="BU16:EF16" si="4">DAY(BU15)</f>
        <v>8</v>
      </c>
      <c r="BV16" s="61">
        <f t="shared" si="4"/>
        <v>8</v>
      </c>
      <c r="BW16" s="61">
        <f t="shared" si="4"/>
        <v>8</v>
      </c>
      <c r="BX16" s="61">
        <f t="shared" si="4"/>
        <v>8</v>
      </c>
      <c r="BY16" s="61">
        <f t="shared" si="4"/>
        <v>8</v>
      </c>
      <c r="BZ16" s="61">
        <f t="shared" si="4"/>
        <v>8</v>
      </c>
      <c r="CA16" s="61">
        <f t="shared" si="4"/>
        <v>8</v>
      </c>
      <c r="CB16" s="77">
        <f t="shared" si="4"/>
        <v>9</v>
      </c>
      <c r="CC16" s="61">
        <f t="shared" si="4"/>
        <v>9</v>
      </c>
      <c r="CD16" s="61">
        <f t="shared" si="4"/>
        <v>9</v>
      </c>
      <c r="CE16" s="61">
        <f t="shared" si="4"/>
        <v>9</v>
      </c>
      <c r="CF16" s="61">
        <f t="shared" si="4"/>
        <v>9</v>
      </c>
      <c r="CG16" s="61">
        <f t="shared" si="4"/>
        <v>9</v>
      </c>
      <c r="CH16" s="61">
        <f t="shared" si="4"/>
        <v>9</v>
      </c>
      <c r="CI16" s="61">
        <f t="shared" si="4"/>
        <v>9</v>
      </c>
      <c r="CJ16" s="61">
        <f t="shared" si="4"/>
        <v>9</v>
      </c>
      <c r="CK16" s="61">
        <f t="shared" si="4"/>
        <v>9</v>
      </c>
      <c r="CL16" s="61">
        <f t="shared" si="4"/>
        <v>9</v>
      </c>
      <c r="CM16" s="61">
        <f t="shared" si="4"/>
        <v>9</v>
      </c>
      <c r="CN16" s="61">
        <f t="shared" si="4"/>
        <v>9</v>
      </c>
      <c r="CO16" s="61">
        <f t="shared" si="4"/>
        <v>9</v>
      </c>
      <c r="CP16" s="61">
        <f t="shared" si="4"/>
        <v>9</v>
      </c>
      <c r="CQ16" s="61">
        <f t="shared" si="4"/>
        <v>9</v>
      </c>
      <c r="CR16" s="61">
        <f t="shared" si="4"/>
        <v>9</v>
      </c>
      <c r="CS16" s="61">
        <f t="shared" si="4"/>
        <v>9</v>
      </c>
      <c r="CT16" s="61">
        <f t="shared" si="4"/>
        <v>9</v>
      </c>
      <c r="CU16" s="61">
        <f t="shared" si="4"/>
        <v>9</v>
      </c>
      <c r="CV16" s="61">
        <f t="shared" si="4"/>
        <v>9</v>
      </c>
      <c r="CW16" s="61">
        <f t="shared" si="4"/>
        <v>9</v>
      </c>
      <c r="CX16" s="61">
        <f t="shared" si="4"/>
        <v>9</v>
      </c>
      <c r="CY16" s="61">
        <f t="shared" si="4"/>
        <v>9</v>
      </c>
      <c r="CZ16" s="77">
        <f t="shared" si="4"/>
        <v>10</v>
      </c>
      <c r="DA16" s="61">
        <f t="shared" si="4"/>
        <v>10</v>
      </c>
      <c r="DB16" s="61">
        <f t="shared" si="4"/>
        <v>10</v>
      </c>
      <c r="DC16" s="61">
        <f t="shared" si="4"/>
        <v>10</v>
      </c>
      <c r="DD16" s="61">
        <f t="shared" si="4"/>
        <v>10</v>
      </c>
      <c r="DE16" s="61">
        <f t="shared" si="4"/>
        <v>10</v>
      </c>
      <c r="DF16" s="61">
        <f t="shared" si="4"/>
        <v>10</v>
      </c>
      <c r="DG16" s="61">
        <f t="shared" si="4"/>
        <v>10</v>
      </c>
      <c r="DH16" s="61">
        <f t="shared" si="4"/>
        <v>10</v>
      </c>
      <c r="DI16" s="61">
        <f t="shared" si="4"/>
        <v>10</v>
      </c>
      <c r="DJ16" s="61">
        <f t="shared" si="4"/>
        <v>10</v>
      </c>
      <c r="DK16" s="61">
        <f t="shared" si="4"/>
        <v>10</v>
      </c>
      <c r="DL16" s="61">
        <f t="shared" si="4"/>
        <v>10</v>
      </c>
      <c r="DM16" s="61">
        <f t="shared" si="4"/>
        <v>10</v>
      </c>
      <c r="DN16" s="61">
        <f t="shared" si="4"/>
        <v>10</v>
      </c>
      <c r="DO16" s="61">
        <f t="shared" si="4"/>
        <v>10</v>
      </c>
      <c r="DP16" s="61">
        <f t="shared" si="4"/>
        <v>10</v>
      </c>
      <c r="DQ16" s="61">
        <f t="shared" si="4"/>
        <v>10</v>
      </c>
      <c r="DR16" s="61">
        <f t="shared" si="4"/>
        <v>10</v>
      </c>
      <c r="DS16" s="61">
        <f t="shared" si="4"/>
        <v>10</v>
      </c>
      <c r="DT16" s="61">
        <f t="shared" si="4"/>
        <v>10</v>
      </c>
      <c r="DU16" s="61">
        <f t="shared" si="4"/>
        <v>10</v>
      </c>
      <c r="DV16" s="61">
        <f t="shared" si="4"/>
        <v>10</v>
      </c>
      <c r="DW16" s="61">
        <f t="shared" si="4"/>
        <v>10</v>
      </c>
      <c r="DX16" s="77">
        <f t="shared" si="4"/>
        <v>11</v>
      </c>
      <c r="DY16" s="61">
        <f t="shared" si="4"/>
        <v>11</v>
      </c>
      <c r="DZ16" s="61">
        <f t="shared" si="4"/>
        <v>11</v>
      </c>
      <c r="EA16" s="61">
        <f t="shared" si="4"/>
        <v>11</v>
      </c>
      <c r="EB16" s="61">
        <f t="shared" si="4"/>
        <v>11</v>
      </c>
      <c r="EC16" s="61">
        <f t="shared" si="4"/>
        <v>11</v>
      </c>
      <c r="ED16" s="61">
        <f t="shared" si="4"/>
        <v>11</v>
      </c>
      <c r="EE16" s="61">
        <f t="shared" si="4"/>
        <v>11</v>
      </c>
      <c r="EF16" s="61">
        <f t="shared" si="4"/>
        <v>11</v>
      </c>
      <c r="EG16" s="61">
        <f t="shared" ref="EG16:FS16" si="5">DAY(EG15)</f>
        <v>11</v>
      </c>
      <c r="EH16" s="61">
        <f t="shared" si="5"/>
        <v>11</v>
      </c>
      <c r="EI16" s="61">
        <f t="shared" si="5"/>
        <v>11</v>
      </c>
      <c r="EJ16" s="61">
        <f t="shared" si="5"/>
        <v>11</v>
      </c>
      <c r="EK16" s="61">
        <f t="shared" si="5"/>
        <v>11</v>
      </c>
      <c r="EL16" s="61">
        <f t="shared" si="5"/>
        <v>11</v>
      </c>
      <c r="EM16" s="61">
        <f t="shared" si="5"/>
        <v>11</v>
      </c>
      <c r="EN16" s="61">
        <f t="shared" si="5"/>
        <v>11</v>
      </c>
      <c r="EO16" s="61">
        <f t="shared" si="5"/>
        <v>11</v>
      </c>
      <c r="EP16" s="61">
        <f t="shared" si="5"/>
        <v>11</v>
      </c>
      <c r="EQ16" s="61">
        <f t="shared" si="5"/>
        <v>11</v>
      </c>
      <c r="ER16" s="61">
        <f t="shared" si="5"/>
        <v>11</v>
      </c>
      <c r="ES16" s="61">
        <f t="shared" si="5"/>
        <v>11</v>
      </c>
      <c r="ET16" s="61">
        <f t="shared" si="5"/>
        <v>11</v>
      </c>
      <c r="EU16" s="61">
        <f t="shared" si="5"/>
        <v>11</v>
      </c>
      <c r="EV16" s="77">
        <f t="shared" si="5"/>
        <v>12</v>
      </c>
      <c r="EW16" s="61">
        <f t="shared" si="5"/>
        <v>12</v>
      </c>
      <c r="EX16" s="61">
        <f t="shared" si="5"/>
        <v>12</v>
      </c>
      <c r="EY16" s="61">
        <f t="shared" si="5"/>
        <v>12</v>
      </c>
      <c r="EZ16" s="61">
        <f t="shared" si="5"/>
        <v>12</v>
      </c>
      <c r="FA16" s="61">
        <f t="shared" si="5"/>
        <v>12</v>
      </c>
      <c r="FB16" s="61">
        <f t="shared" si="5"/>
        <v>12</v>
      </c>
      <c r="FC16" s="61">
        <f t="shared" si="5"/>
        <v>12</v>
      </c>
      <c r="FD16" s="61">
        <f t="shared" si="5"/>
        <v>12</v>
      </c>
      <c r="FE16" s="61">
        <f t="shared" si="5"/>
        <v>12</v>
      </c>
      <c r="FF16" s="61">
        <f t="shared" si="5"/>
        <v>12</v>
      </c>
      <c r="FG16" s="61">
        <f t="shared" si="5"/>
        <v>12</v>
      </c>
      <c r="FH16" s="61">
        <f t="shared" si="5"/>
        <v>12</v>
      </c>
      <c r="FI16" s="61">
        <f t="shared" si="5"/>
        <v>12</v>
      </c>
      <c r="FJ16" s="61">
        <f t="shared" si="5"/>
        <v>12</v>
      </c>
      <c r="FK16" s="61">
        <f t="shared" si="5"/>
        <v>12</v>
      </c>
      <c r="FL16" s="61">
        <f t="shared" si="5"/>
        <v>12</v>
      </c>
      <c r="FM16" s="61">
        <f t="shared" si="5"/>
        <v>12</v>
      </c>
      <c r="FN16" s="61">
        <f t="shared" si="5"/>
        <v>12</v>
      </c>
      <c r="FO16" s="61">
        <f t="shared" si="5"/>
        <v>12</v>
      </c>
      <c r="FP16" s="61">
        <f t="shared" si="5"/>
        <v>12</v>
      </c>
      <c r="FQ16" s="61">
        <f t="shared" si="5"/>
        <v>12</v>
      </c>
      <c r="FR16" s="61">
        <f t="shared" si="5"/>
        <v>12</v>
      </c>
      <c r="FS16" s="61">
        <f t="shared" si="5"/>
        <v>12</v>
      </c>
      <c r="FT16" s="84"/>
    </row>
    <row r="17" spans="1:176" s="47" customFormat="1" x14ac:dyDescent="0.2">
      <c r="A17"/>
      <c r="B17"/>
      <c r="C17"/>
      <c r="D17" s="15" t="s">
        <v>431</v>
      </c>
      <c r="E17"/>
      <c r="F17"/>
      <c r="G17"/>
      <c r="H17" s="62">
        <f>G12</f>
        <v>45844</v>
      </c>
      <c r="I17" s="62">
        <f>IFERROR(IF(H17+1&lt;=$G$13,H17+1,""),"")</f>
        <v>45845</v>
      </c>
      <c r="J17" s="62">
        <f t="shared" ref="J17:P17" si="6">IFERROR(IF(I17+1&lt;=$G$13,I17+1,""),"")</f>
        <v>45846</v>
      </c>
      <c r="K17" s="62">
        <f t="shared" si="6"/>
        <v>45847</v>
      </c>
      <c r="L17" s="62">
        <f t="shared" si="6"/>
        <v>45848</v>
      </c>
      <c r="M17" s="62">
        <f t="shared" si="6"/>
        <v>45849</v>
      </c>
      <c r="N17" s="62">
        <f t="shared" si="6"/>
        <v>45850</v>
      </c>
      <c r="O17" s="62" t="str">
        <f>IFERROR(IF(N17+1&lt;=$G$13,N17+1,""),"")</f>
        <v/>
      </c>
      <c r="P17" s="62" t="str">
        <f t="shared" si="6"/>
        <v/>
      </c>
      <c r="Q17" s="62"/>
      <c r="R17" s="62"/>
      <c r="S17" s="60"/>
      <c r="T17" s="60"/>
      <c r="U17" s="60"/>
      <c r="V17" s="60"/>
      <c r="W17" s="60"/>
      <c r="X17" s="60"/>
      <c r="Y17" s="60"/>
      <c r="Z17" s="60"/>
      <c r="AA17" s="60"/>
      <c r="AB17" s="60"/>
      <c r="AC17" s="60"/>
      <c r="AD17" s="60"/>
      <c r="AE17" s="60"/>
      <c r="AF17" s="76"/>
      <c r="AG17" s="60"/>
      <c r="AH17" s="60"/>
      <c r="AI17" s="60"/>
      <c r="AJ17" s="60"/>
      <c r="AK17" s="60"/>
      <c r="AL17" s="60"/>
      <c r="AM17" s="60"/>
      <c r="AN17" s="60"/>
      <c r="AO17" s="60"/>
      <c r="AP17" s="60"/>
      <c r="AQ17" s="60"/>
      <c r="AR17" s="60"/>
      <c r="AS17" s="60"/>
      <c r="AT17" s="60"/>
      <c r="AU17" s="60"/>
      <c r="AV17" s="60"/>
      <c r="AW17" s="60"/>
      <c r="AX17" s="60"/>
      <c r="AY17" s="60"/>
      <c r="AZ17" s="60"/>
      <c r="BA17" s="60"/>
      <c r="BB17" s="60"/>
      <c r="BC17" s="60"/>
      <c r="BD17" s="76"/>
      <c r="BE17" s="60"/>
      <c r="BF17" s="60"/>
      <c r="BG17" s="60"/>
      <c r="BH17" s="60"/>
      <c r="BI17" s="60"/>
      <c r="BJ17" s="60"/>
      <c r="BK17" s="60"/>
      <c r="BL17" s="60"/>
      <c r="BM17" s="60"/>
      <c r="BN17" s="60"/>
      <c r="BO17" s="60"/>
      <c r="BP17" s="60"/>
      <c r="BQ17" s="60"/>
      <c r="BR17" s="60"/>
      <c r="BS17" s="60"/>
      <c r="BT17" s="60"/>
      <c r="BU17" s="60"/>
      <c r="BV17" s="60"/>
      <c r="BW17" s="60"/>
      <c r="BX17" s="60"/>
      <c r="BY17" s="60"/>
      <c r="BZ17" s="60"/>
      <c r="CA17" s="60"/>
      <c r="CB17" s="76"/>
      <c r="CC17" s="60"/>
      <c r="CD17" s="60"/>
      <c r="CE17" s="60"/>
      <c r="CF17" s="60"/>
      <c r="CG17" s="60"/>
      <c r="CH17" s="60"/>
      <c r="CI17" s="60"/>
      <c r="CJ17" s="60"/>
      <c r="CK17" s="60"/>
      <c r="CL17" s="60"/>
      <c r="CM17" s="60"/>
      <c r="CN17" s="60"/>
      <c r="CO17" s="60"/>
      <c r="CP17" s="60"/>
      <c r="CQ17" s="60"/>
      <c r="CR17" s="60"/>
      <c r="CS17" s="60"/>
      <c r="CT17" s="60"/>
      <c r="CU17" s="60"/>
      <c r="CV17" s="60"/>
      <c r="CW17" s="60"/>
      <c r="CX17" s="60"/>
      <c r="CY17" s="60"/>
      <c r="CZ17" s="76"/>
      <c r="DA17" s="60"/>
      <c r="DB17" s="60"/>
      <c r="DC17" s="60"/>
      <c r="DD17" s="60"/>
      <c r="DE17" s="60"/>
      <c r="DF17" s="60"/>
      <c r="DG17" s="60"/>
      <c r="DH17" s="60"/>
      <c r="DI17" s="60"/>
      <c r="DJ17" s="60"/>
      <c r="DK17" s="60"/>
      <c r="DL17" s="60"/>
      <c r="DM17" s="60"/>
      <c r="DN17" s="60"/>
      <c r="DO17" s="60"/>
      <c r="DP17" s="60"/>
      <c r="DQ17" s="60"/>
      <c r="DR17" s="60"/>
      <c r="DS17" s="60"/>
      <c r="DT17" s="60"/>
      <c r="DU17" s="60"/>
      <c r="DV17" s="60"/>
      <c r="DW17" s="60"/>
      <c r="DX17" s="76"/>
      <c r="DY17" s="60"/>
      <c r="DZ17" s="60"/>
      <c r="EA17" s="60"/>
      <c r="EB17" s="60"/>
      <c r="EC17" s="60"/>
      <c r="ED17" s="60"/>
      <c r="EE17" s="60"/>
      <c r="EF17" s="60"/>
      <c r="EG17" s="60"/>
      <c r="EH17" s="60"/>
      <c r="EI17" s="60"/>
      <c r="EJ17" s="60"/>
      <c r="EK17" s="60"/>
      <c r="EL17" s="60"/>
      <c r="EM17" s="60"/>
      <c r="EN17" s="60"/>
      <c r="EO17" s="60"/>
      <c r="EP17" s="60"/>
      <c r="EQ17" s="60"/>
      <c r="ER17" s="60"/>
      <c r="ES17" s="60"/>
      <c r="ET17" s="60"/>
      <c r="EU17" s="60"/>
      <c r="EV17" s="76"/>
      <c r="EW17" s="60"/>
      <c r="EX17" s="60"/>
      <c r="EY17" s="60"/>
      <c r="EZ17" s="60"/>
      <c r="FA17" s="60"/>
      <c r="FB17" s="60"/>
      <c r="FC17" s="60"/>
      <c r="FD17" s="60"/>
      <c r="FE17" s="60"/>
      <c r="FF17" s="60"/>
      <c r="FG17" s="60"/>
      <c r="FH17" s="60"/>
      <c r="FI17" s="60"/>
      <c r="FJ17" s="60"/>
      <c r="FK17" s="60"/>
      <c r="FL17" s="60"/>
      <c r="FM17" s="60"/>
      <c r="FN17" s="60"/>
      <c r="FO17" s="60"/>
      <c r="FP17" s="60"/>
      <c r="FQ17" s="60"/>
      <c r="FR17" s="60"/>
      <c r="FS17" s="60"/>
      <c r="FT17" s="84"/>
    </row>
    <row r="18" spans="1:176" s="47" customFormat="1" x14ac:dyDescent="0.2">
      <c r="A18"/>
      <c r="B18"/>
      <c r="C18"/>
      <c r="D18" s="15" t="s">
        <v>433</v>
      </c>
      <c r="E18"/>
      <c r="F18"/>
      <c r="G18"/>
      <c r="H18" s="61">
        <f>DAY(H17)</f>
        <v>6</v>
      </c>
      <c r="I18" s="61">
        <f t="shared" ref="I18:N18" si="7">DAY(I17)</f>
        <v>7</v>
      </c>
      <c r="J18" s="61">
        <f t="shared" si="7"/>
        <v>8</v>
      </c>
      <c r="K18" s="61">
        <f t="shared" si="7"/>
        <v>9</v>
      </c>
      <c r="L18" s="61">
        <f t="shared" si="7"/>
        <v>10</v>
      </c>
      <c r="M18" s="61">
        <f t="shared" si="7"/>
        <v>11</v>
      </c>
      <c r="N18" s="61">
        <f t="shared" si="7"/>
        <v>12</v>
      </c>
      <c r="O18" s="62"/>
      <c r="P18" s="62"/>
      <c r="Q18" s="62"/>
      <c r="R18" s="62"/>
      <c r="S18" s="60"/>
      <c r="T18" s="60"/>
      <c r="U18" s="60"/>
      <c r="V18" s="60"/>
      <c r="W18" s="60"/>
      <c r="X18" s="60"/>
      <c r="Y18" s="60"/>
      <c r="Z18" s="60"/>
      <c r="AA18" s="60"/>
      <c r="AB18" s="60"/>
      <c r="AC18" s="60"/>
      <c r="AD18" s="60"/>
      <c r="AE18" s="60"/>
      <c r="AF18" s="76"/>
      <c r="AG18" s="60"/>
      <c r="AH18" s="60"/>
      <c r="AI18" s="60"/>
      <c r="AJ18" s="60"/>
      <c r="AK18" s="60"/>
      <c r="AL18" s="60"/>
      <c r="AM18" s="60"/>
      <c r="AN18" s="60"/>
      <c r="AO18" s="60"/>
      <c r="AP18" s="60"/>
      <c r="AQ18" s="60"/>
      <c r="AR18" s="60"/>
      <c r="AS18" s="60"/>
      <c r="AT18" s="60"/>
      <c r="AU18" s="60"/>
      <c r="AV18" s="60"/>
      <c r="AW18" s="60"/>
      <c r="AX18" s="60"/>
      <c r="AY18" s="60"/>
      <c r="AZ18" s="60"/>
      <c r="BA18" s="60"/>
      <c r="BB18" s="60"/>
      <c r="BC18" s="60"/>
      <c r="BD18" s="76"/>
      <c r="BE18" s="60"/>
      <c r="BF18" s="60"/>
      <c r="BG18" s="60"/>
      <c r="BH18" s="60"/>
      <c r="BI18" s="60"/>
      <c r="BJ18" s="60"/>
      <c r="BK18" s="60"/>
      <c r="BL18" s="60"/>
      <c r="BM18" s="60"/>
      <c r="BN18" s="60"/>
      <c r="BO18" s="60"/>
      <c r="BP18" s="60"/>
      <c r="BQ18" s="60"/>
      <c r="BR18" s="60"/>
      <c r="BS18" s="60"/>
      <c r="BT18" s="60"/>
      <c r="BU18" s="60"/>
      <c r="BV18" s="60"/>
      <c r="BW18" s="60"/>
      <c r="BX18" s="60"/>
      <c r="BY18" s="60"/>
      <c r="BZ18" s="60"/>
      <c r="CA18" s="60"/>
      <c r="CB18" s="76"/>
      <c r="CC18" s="60"/>
      <c r="CD18" s="60"/>
      <c r="CE18" s="60"/>
      <c r="CF18" s="60"/>
      <c r="CG18" s="60"/>
      <c r="CH18" s="60"/>
      <c r="CI18" s="60"/>
      <c r="CJ18" s="60"/>
      <c r="CK18" s="60"/>
      <c r="CL18" s="60"/>
      <c r="CM18" s="60"/>
      <c r="CN18" s="60"/>
      <c r="CO18" s="60"/>
      <c r="CP18" s="60"/>
      <c r="CQ18" s="60"/>
      <c r="CR18" s="60"/>
      <c r="CS18" s="60"/>
      <c r="CT18" s="60"/>
      <c r="CU18" s="60"/>
      <c r="CV18" s="60"/>
      <c r="CW18" s="60"/>
      <c r="CX18" s="60"/>
      <c r="CY18" s="60"/>
      <c r="CZ18" s="76"/>
      <c r="DA18" s="60"/>
      <c r="DB18" s="60"/>
      <c r="DC18" s="60"/>
      <c r="DD18" s="60"/>
      <c r="DE18" s="60"/>
      <c r="DF18" s="60"/>
      <c r="DG18" s="60"/>
      <c r="DH18" s="60"/>
      <c r="DI18" s="60"/>
      <c r="DJ18" s="60"/>
      <c r="DK18" s="60"/>
      <c r="DL18" s="60"/>
      <c r="DM18" s="60"/>
      <c r="DN18" s="60"/>
      <c r="DO18" s="60"/>
      <c r="DP18" s="60"/>
      <c r="DQ18" s="60"/>
      <c r="DR18" s="60"/>
      <c r="DS18" s="60"/>
      <c r="DT18" s="60"/>
      <c r="DU18" s="60"/>
      <c r="DV18" s="60"/>
      <c r="DW18" s="60"/>
      <c r="DX18" s="76"/>
      <c r="DY18" s="60"/>
      <c r="DZ18" s="60"/>
      <c r="EA18" s="60"/>
      <c r="EB18" s="60"/>
      <c r="EC18" s="60"/>
      <c r="ED18" s="60"/>
      <c r="EE18" s="60"/>
      <c r="EF18" s="60"/>
      <c r="EG18" s="60"/>
      <c r="EH18" s="60"/>
      <c r="EI18" s="60"/>
      <c r="EJ18" s="60"/>
      <c r="EK18" s="60"/>
      <c r="EL18" s="60"/>
      <c r="EM18" s="60"/>
      <c r="EN18" s="60"/>
      <c r="EO18" s="60"/>
      <c r="EP18" s="60"/>
      <c r="EQ18" s="60"/>
      <c r="ER18" s="60"/>
      <c r="ES18" s="60"/>
      <c r="ET18" s="60"/>
      <c r="EU18" s="60"/>
      <c r="EV18" s="76"/>
      <c r="EW18" s="60"/>
      <c r="EX18" s="60"/>
      <c r="EY18" s="60"/>
      <c r="EZ18" s="60"/>
      <c r="FA18" s="60"/>
      <c r="FB18" s="60"/>
      <c r="FC18" s="60"/>
      <c r="FD18" s="60"/>
      <c r="FE18" s="60"/>
      <c r="FF18" s="60"/>
      <c r="FG18" s="60"/>
      <c r="FH18" s="60"/>
      <c r="FI18" s="60"/>
      <c r="FJ18" s="60"/>
      <c r="FK18" s="60"/>
      <c r="FL18" s="60"/>
      <c r="FM18" s="60"/>
      <c r="FN18" s="60"/>
      <c r="FO18" s="60"/>
      <c r="FP18" s="60"/>
      <c r="FQ18" s="60"/>
      <c r="FR18" s="60"/>
      <c r="FS18" s="60"/>
      <c r="FT18" s="84"/>
    </row>
    <row r="20" spans="1:176" ht="21" thickBot="1" x14ac:dyDescent="0.3">
      <c r="D20" s="1" t="s">
        <v>157</v>
      </c>
      <c r="E20" s="7" t="s">
        <v>32</v>
      </c>
      <c r="F20" s="3" t="s">
        <v>150</v>
      </c>
      <c r="G20" s="3"/>
      <c r="H20" s="3" t="s">
        <v>161</v>
      </c>
      <c r="I20" s="3" t="s">
        <v>162</v>
      </c>
      <c r="J20" s="3" t="s">
        <v>163</v>
      </c>
      <c r="K20" s="3" t="s">
        <v>164</v>
      </c>
      <c r="L20" s="3" t="s">
        <v>165</v>
      </c>
      <c r="M20" s="3" t="s">
        <v>166</v>
      </c>
      <c r="N20" s="3" t="s">
        <v>167</v>
      </c>
      <c r="O20" s="3" t="s">
        <v>168</v>
      </c>
      <c r="P20" s="3" t="s">
        <v>169</v>
      </c>
      <c r="Q20" s="3" t="s">
        <v>170</v>
      </c>
      <c r="R20" s="3" t="s">
        <v>171</v>
      </c>
      <c r="S20" s="3" t="s">
        <v>172</v>
      </c>
      <c r="T20" s="3" t="s">
        <v>173</v>
      </c>
      <c r="U20" s="3" t="s">
        <v>174</v>
      </c>
      <c r="V20" s="3" t="s">
        <v>175</v>
      </c>
      <c r="W20" s="3" t="s">
        <v>176</v>
      </c>
      <c r="X20" s="3" t="s">
        <v>177</v>
      </c>
      <c r="Y20" s="3" t="s">
        <v>178</v>
      </c>
      <c r="Z20" s="3" t="s">
        <v>179</v>
      </c>
      <c r="AA20" s="3" t="s">
        <v>180</v>
      </c>
      <c r="AB20" s="3" t="s">
        <v>181</v>
      </c>
      <c r="AC20" s="3" t="s">
        <v>182</v>
      </c>
      <c r="AD20" s="3" t="s">
        <v>183</v>
      </c>
      <c r="AE20" s="3" t="s">
        <v>184</v>
      </c>
    </row>
    <row r="21" spans="1:176" ht="16" thickTop="1" x14ac:dyDescent="0.2">
      <c r="D21" t="s">
        <v>205</v>
      </c>
      <c r="E21" s="2" t="s">
        <v>155</v>
      </c>
      <c r="H21" s="8" t="s">
        <v>151</v>
      </c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48"/>
    </row>
    <row r="22" spans="1:176" x14ac:dyDescent="0.2">
      <c r="D22" t="s">
        <v>206</v>
      </c>
      <c r="E22" s="2" t="s">
        <v>156</v>
      </c>
      <c r="H22" s="8" t="s">
        <v>153</v>
      </c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48"/>
    </row>
    <row r="23" spans="1:176" x14ac:dyDescent="0.2">
      <c r="D23" t="s">
        <v>207</v>
      </c>
      <c r="E23" s="2" t="s">
        <v>158</v>
      </c>
      <c r="H23" s="8" t="s">
        <v>152</v>
      </c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48"/>
    </row>
    <row r="24" spans="1:176" x14ac:dyDescent="0.2">
      <c r="D24" t="s">
        <v>208</v>
      </c>
      <c r="E24" s="2" t="s">
        <v>188</v>
      </c>
      <c r="H24" s="8" t="s">
        <v>154</v>
      </c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48"/>
    </row>
    <row r="25" spans="1:176" x14ac:dyDescent="0.2">
      <c r="D25" t="s">
        <v>209</v>
      </c>
      <c r="E25" s="2" t="s">
        <v>159</v>
      </c>
      <c r="H25" s="8" t="s">
        <v>160</v>
      </c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48"/>
    </row>
    <row r="26" spans="1:176" x14ac:dyDescent="0.2">
      <c r="D26" t="s">
        <v>212</v>
      </c>
      <c r="E26" s="2" t="s">
        <v>213</v>
      </c>
      <c r="H26" s="8" t="s">
        <v>151</v>
      </c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48"/>
    </row>
    <row r="27" spans="1:176" x14ac:dyDescent="0.2">
      <c r="D27" t="s">
        <v>210</v>
      </c>
      <c r="E27" s="2" t="s">
        <v>211</v>
      </c>
      <c r="H27" s="8" t="s">
        <v>153</v>
      </c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48"/>
    </row>
    <row r="29" spans="1:176" ht="21" thickBot="1" x14ac:dyDescent="0.3">
      <c r="D29" s="1" t="s">
        <v>53</v>
      </c>
      <c r="E29" s="7" t="s">
        <v>32</v>
      </c>
      <c r="F29" s="3" t="s">
        <v>150</v>
      </c>
      <c r="G29" s="3" t="s">
        <v>58</v>
      </c>
      <c r="H29" s="3" t="s">
        <v>7</v>
      </c>
      <c r="I29" s="3" t="s">
        <v>8</v>
      </c>
      <c r="J29" s="3" t="s">
        <v>9</v>
      </c>
      <c r="K29" s="3" t="s">
        <v>10</v>
      </c>
      <c r="L29" s="3" t="s">
        <v>11</v>
      </c>
      <c r="M29" s="3" t="s">
        <v>12</v>
      </c>
      <c r="N29" s="3" t="s">
        <v>13</v>
      </c>
      <c r="O29" s="3" t="s">
        <v>14</v>
      </c>
      <c r="P29" s="3" t="s">
        <v>15</v>
      </c>
      <c r="Q29" s="3" t="s">
        <v>16</v>
      </c>
      <c r="R29" s="3" t="s">
        <v>17</v>
      </c>
      <c r="S29" s="3" t="s">
        <v>18</v>
      </c>
      <c r="T29" s="3" t="s">
        <v>19</v>
      </c>
      <c r="U29" s="3" t="s">
        <v>20</v>
      </c>
      <c r="V29" s="3" t="s">
        <v>21</v>
      </c>
      <c r="W29" s="3" t="s">
        <v>22</v>
      </c>
      <c r="X29" s="3" t="s">
        <v>23</v>
      </c>
      <c r="Y29" s="3" t="s">
        <v>24</v>
      </c>
      <c r="Z29" s="3" t="s">
        <v>25</v>
      </c>
      <c r="AA29" s="3" t="s">
        <v>26</v>
      </c>
      <c r="AB29" s="3" t="s">
        <v>27</v>
      </c>
      <c r="AC29" s="3" t="s">
        <v>28</v>
      </c>
      <c r="AD29" s="3" t="s">
        <v>29</v>
      </c>
      <c r="AE29" s="3" t="s">
        <v>30</v>
      </c>
      <c r="AF29" s="78" t="s">
        <v>278</v>
      </c>
      <c r="AG29" s="3" t="s">
        <v>279</v>
      </c>
      <c r="AH29" s="3" t="s">
        <v>280</v>
      </c>
      <c r="AI29" s="3" t="s">
        <v>281</v>
      </c>
      <c r="AJ29" s="3" t="s">
        <v>282</v>
      </c>
      <c r="AK29" s="3" t="s">
        <v>283</v>
      </c>
      <c r="AL29" s="3" t="s">
        <v>284</v>
      </c>
      <c r="AM29" s="3" t="s">
        <v>285</v>
      </c>
      <c r="AN29" s="3" t="s">
        <v>286</v>
      </c>
      <c r="AO29" s="3" t="s">
        <v>287</v>
      </c>
      <c r="AP29" s="3" t="s">
        <v>288</v>
      </c>
      <c r="AQ29" s="3" t="s">
        <v>289</v>
      </c>
      <c r="AR29" s="3" t="s">
        <v>290</v>
      </c>
      <c r="AS29" s="3" t="s">
        <v>291</v>
      </c>
      <c r="AT29" s="3" t="s">
        <v>292</v>
      </c>
      <c r="AU29" s="3" t="s">
        <v>293</v>
      </c>
      <c r="AV29" s="3" t="s">
        <v>294</v>
      </c>
      <c r="AW29" s="3" t="s">
        <v>295</v>
      </c>
      <c r="AX29" s="3" t="s">
        <v>296</v>
      </c>
      <c r="AY29" s="3" t="s">
        <v>297</v>
      </c>
      <c r="AZ29" s="3" t="s">
        <v>298</v>
      </c>
      <c r="BA29" s="3" t="s">
        <v>299</v>
      </c>
      <c r="BB29" s="3" t="s">
        <v>300</v>
      </c>
      <c r="BC29" s="3" t="s">
        <v>301</v>
      </c>
      <c r="BD29" s="78" t="s">
        <v>302</v>
      </c>
      <c r="BE29" s="3" t="s">
        <v>303</v>
      </c>
      <c r="BF29" s="3" t="s">
        <v>304</v>
      </c>
      <c r="BG29" s="3" t="s">
        <v>305</v>
      </c>
      <c r="BH29" s="3" t="s">
        <v>306</v>
      </c>
      <c r="BI29" s="3" t="s">
        <v>307</v>
      </c>
      <c r="BJ29" s="3" t="s">
        <v>308</v>
      </c>
      <c r="BK29" s="3" t="s">
        <v>309</v>
      </c>
      <c r="BL29" s="3" t="s">
        <v>310</v>
      </c>
      <c r="BM29" s="3" t="s">
        <v>311</v>
      </c>
      <c r="BN29" s="3" t="s">
        <v>312</v>
      </c>
      <c r="BO29" s="3" t="s">
        <v>313</v>
      </c>
      <c r="BP29" s="3" t="s">
        <v>314</v>
      </c>
      <c r="BQ29" s="3" t="s">
        <v>315</v>
      </c>
      <c r="BR29" s="3" t="s">
        <v>316</v>
      </c>
      <c r="BS29" s="3" t="s">
        <v>317</v>
      </c>
      <c r="BT29" s="3" t="s">
        <v>318</v>
      </c>
      <c r="BU29" s="3" t="s">
        <v>319</v>
      </c>
      <c r="BV29" s="3" t="s">
        <v>320</v>
      </c>
      <c r="BW29" s="3" t="s">
        <v>321</v>
      </c>
      <c r="BX29" s="3" t="s">
        <v>322</v>
      </c>
      <c r="BY29" s="3" t="s">
        <v>323</v>
      </c>
      <c r="BZ29" s="3" t="s">
        <v>324</v>
      </c>
      <c r="CA29" s="3" t="s">
        <v>325</v>
      </c>
      <c r="CB29" s="78" t="s">
        <v>326</v>
      </c>
      <c r="CC29" s="3" t="s">
        <v>327</v>
      </c>
      <c r="CD29" s="3" t="s">
        <v>328</v>
      </c>
      <c r="CE29" s="3" t="s">
        <v>329</v>
      </c>
      <c r="CF29" s="3" t="s">
        <v>330</v>
      </c>
      <c r="CG29" s="3" t="s">
        <v>331</v>
      </c>
      <c r="CH29" s="3" t="s">
        <v>332</v>
      </c>
      <c r="CI29" s="3" t="s">
        <v>333</v>
      </c>
      <c r="CJ29" s="3" t="s">
        <v>334</v>
      </c>
      <c r="CK29" s="3" t="s">
        <v>335</v>
      </c>
      <c r="CL29" s="3" t="s">
        <v>336</v>
      </c>
      <c r="CM29" s="3" t="s">
        <v>337</v>
      </c>
      <c r="CN29" s="3" t="s">
        <v>338</v>
      </c>
      <c r="CO29" s="3" t="s">
        <v>339</v>
      </c>
      <c r="CP29" s="3" t="s">
        <v>340</v>
      </c>
      <c r="CQ29" s="3" t="s">
        <v>341</v>
      </c>
      <c r="CR29" s="3" t="s">
        <v>342</v>
      </c>
      <c r="CS29" s="3" t="s">
        <v>343</v>
      </c>
      <c r="CT29" s="3" t="s">
        <v>344</v>
      </c>
      <c r="CU29" s="3" t="s">
        <v>345</v>
      </c>
      <c r="CV29" s="3" t="s">
        <v>346</v>
      </c>
      <c r="CW29" s="3" t="s">
        <v>347</v>
      </c>
      <c r="CX29" s="3" t="s">
        <v>348</v>
      </c>
      <c r="CY29" s="3" t="s">
        <v>349</v>
      </c>
      <c r="CZ29" s="78" t="s">
        <v>350</v>
      </c>
      <c r="DA29" s="3" t="s">
        <v>351</v>
      </c>
      <c r="DB29" s="3" t="s">
        <v>352</v>
      </c>
      <c r="DC29" s="3" t="s">
        <v>353</v>
      </c>
      <c r="DD29" s="3" t="s">
        <v>354</v>
      </c>
      <c r="DE29" s="3" t="s">
        <v>355</v>
      </c>
      <c r="DF29" s="3" t="s">
        <v>356</v>
      </c>
      <c r="DG29" s="3" t="s">
        <v>357</v>
      </c>
      <c r="DH29" s="3" t="s">
        <v>358</v>
      </c>
      <c r="DI29" s="3" t="s">
        <v>359</v>
      </c>
      <c r="DJ29" s="3" t="s">
        <v>360</v>
      </c>
      <c r="DK29" s="3" t="s">
        <v>361</v>
      </c>
      <c r="DL29" s="3" t="s">
        <v>362</v>
      </c>
      <c r="DM29" s="3" t="s">
        <v>363</v>
      </c>
      <c r="DN29" s="3" t="s">
        <v>364</v>
      </c>
      <c r="DO29" s="3" t="s">
        <v>365</v>
      </c>
      <c r="DP29" s="3" t="s">
        <v>366</v>
      </c>
      <c r="DQ29" s="3" t="s">
        <v>367</v>
      </c>
      <c r="DR29" s="3" t="s">
        <v>368</v>
      </c>
      <c r="DS29" s="3" t="s">
        <v>369</v>
      </c>
      <c r="DT29" s="3" t="s">
        <v>370</v>
      </c>
      <c r="DU29" s="3" t="s">
        <v>371</v>
      </c>
      <c r="DV29" s="3" t="s">
        <v>372</v>
      </c>
      <c r="DW29" s="3" t="s">
        <v>373</v>
      </c>
      <c r="DX29" s="78" t="s">
        <v>374</v>
      </c>
      <c r="DY29" s="3" t="s">
        <v>375</v>
      </c>
      <c r="DZ29" s="3" t="s">
        <v>376</v>
      </c>
      <c r="EA29" s="3" t="s">
        <v>377</v>
      </c>
      <c r="EB29" s="3" t="s">
        <v>378</v>
      </c>
      <c r="EC29" s="3" t="s">
        <v>379</v>
      </c>
      <c r="ED29" s="3" t="s">
        <v>380</v>
      </c>
      <c r="EE29" s="3" t="s">
        <v>381</v>
      </c>
      <c r="EF29" s="3" t="s">
        <v>382</v>
      </c>
      <c r="EG29" s="3" t="s">
        <v>383</v>
      </c>
      <c r="EH29" s="3" t="s">
        <v>384</v>
      </c>
      <c r="EI29" s="3" t="s">
        <v>385</v>
      </c>
      <c r="EJ29" s="3" t="s">
        <v>386</v>
      </c>
      <c r="EK29" s="3" t="s">
        <v>387</v>
      </c>
      <c r="EL29" s="3" t="s">
        <v>388</v>
      </c>
      <c r="EM29" s="3" t="s">
        <v>389</v>
      </c>
      <c r="EN29" s="3" t="s">
        <v>390</v>
      </c>
      <c r="EO29" s="3" t="s">
        <v>391</v>
      </c>
      <c r="EP29" s="3" t="s">
        <v>392</v>
      </c>
      <c r="EQ29" s="3" t="s">
        <v>393</v>
      </c>
      <c r="ER29" s="3" t="s">
        <v>394</v>
      </c>
      <c r="ES29" s="3" t="s">
        <v>395</v>
      </c>
      <c r="ET29" s="3" t="s">
        <v>396</v>
      </c>
      <c r="EU29" s="3" t="s">
        <v>397</v>
      </c>
      <c r="EV29" s="78" t="s">
        <v>398</v>
      </c>
      <c r="EW29" s="3" t="s">
        <v>399</v>
      </c>
      <c r="EX29" s="3" t="s">
        <v>400</v>
      </c>
      <c r="EY29" s="3" t="s">
        <v>401</v>
      </c>
      <c r="EZ29" s="3" t="s">
        <v>402</v>
      </c>
      <c r="FA29" s="3" t="s">
        <v>403</v>
      </c>
      <c r="FB29" s="3" t="s">
        <v>404</v>
      </c>
      <c r="FC29" s="3" t="s">
        <v>405</v>
      </c>
      <c r="FD29" s="3" t="s">
        <v>406</v>
      </c>
      <c r="FE29" s="3" t="s">
        <v>407</v>
      </c>
      <c r="FF29" s="3" t="s">
        <v>408</v>
      </c>
      <c r="FG29" s="3" t="s">
        <v>409</v>
      </c>
      <c r="FH29" s="3" t="s">
        <v>410</v>
      </c>
      <c r="FI29" s="3" t="s">
        <v>411</v>
      </c>
      <c r="FJ29" s="3" t="s">
        <v>412</v>
      </c>
      <c r="FK29" s="3" t="s">
        <v>413</v>
      </c>
      <c r="FL29" s="3" t="s">
        <v>414</v>
      </c>
      <c r="FM29" s="3" t="s">
        <v>415</v>
      </c>
      <c r="FN29" s="3" t="s">
        <v>416</v>
      </c>
      <c r="FO29" s="3" t="s">
        <v>417</v>
      </c>
      <c r="FP29" s="3" t="s">
        <v>418</v>
      </c>
      <c r="FQ29" s="3" t="s">
        <v>419</v>
      </c>
      <c r="FR29" s="3" t="s">
        <v>420</v>
      </c>
      <c r="FS29" s="3" t="s">
        <v>421</v>
      </c>
    </row>
    <row r="30" spans="1:176" ht="15.75" customHeight="1" thickTop="1" thickBot="1" x14ac:dyDescent="0.25">
      <c r="D30" s="16" t="s">
        <v>214</v>
      </c>
      <c r="E30" s="2"/>
      <c r="F30" s="2"/>
      <c r="G30" s="4" t="b">
        <v>1</v>
      </c>
    </row>
    <row r="31" spans="1:176" s="49" customFormat="1" x14ac:dyDescent="0.2">
      <c r="A31"/>
      <c r="B31"/>
      <c r="C31"/>
      <c r="D31" s="15" t="s">
        <v>215</v>
      </c>
      <c r="E31" s="2" t="s">
        <v>218</v>
      </c>
      <c r="F31" s="8" t="s">
        <v>154</v>
      </c>
      <c r="G31" s="2"/>
      <c r="H31" s="63">
        <f>IFERROR(LOOKUP(H$15,HourlyTimeseries!$A:$A,HourlyTimeseries!$C:$C),"")</f>
        <v>25000</v>
      </c>
      <c r="I31" s="63">
        <f>IFERROR(LOOKUP(I15,HourlyTimeseries!$A:$A,HourlyTimeseries!$C:$C),"")</f>
        <v>25000</v>
      </c>
      <c r="J31" s="63">
        <f>IFERROR(LOOKUP(J15,HourlyTimeseries!$A:$A,HourlyTimeseries!$C:$C),"")</f>
        <v>25000</v>
      </c>
      <c r="K31" s="63">
        <f>IFERROR(LOOKUP(K15,HourlyTimeseries!$A:$A,HourlyTimeseries!$C:$C),"")</f>
        <v>25000</v>
      </c>
      <c r="L31" s="63">
        <f>IFERROR(LOOKUP(L15,HourlyTimeseries!$A:$A,HourlyTimeseries!$C:$C),"")</f>
        <v>25000</v>
      </c>
      <c r="M31" s="63">
        <f>IFERROR(LOOKUP(M15,HourlyTimeseries!$A:$A,HourlyTimeseries!$C:$C),"")</f>
        <v>25000</v>
      </c>
      <c r="N31" s="63">
        <f>IFERROR(LOOKUP(N15,HourlyTimeseries!$A:$A,HourlyTimeseries!$C:$C),"")</f>
        <v>25000</v>
      </c>
      <c r="O31" s="63">
        <f>IFERROR(LOOKUP(O15,HourlyTimeseries!$A:$A,HourlyTimeseries!$C:$C),"")</f>
        <v>25000</v>
      </c>
      <c r="P31" s="63">
        <f>IFERROR(LOOKUP(P15,HourlyTimeseries!$A:$A,HourlyTimeseries!$C:$C),"")</f>
        <v>25000</v>
      </c>
      <c r="Q31" s="63">
        <f>IFERROR(LOOKUP(Q15,HourlyTimeseries!$A:$A,HourlyTimeseries!$C:$C),"")</f>
        <v>25000</v>
      </c>
      <c r="R31" s="63">
        <f>IFERROR(LOOKUP(R15,HourlyTimeseries!$A:$A,HourlyTimeseries!$C:$C),"")</f>
        <v>25000</v>
      </c>
      <c r="S31" s="63">
        <f>IFERROR(LOOKUP(S15,HourlyTimeseries!$A:$A,HourlyTimeseries!$C:$C),"")</f>
        <v>25000</v>
      </c>
      <c r="T31" s="63">
        <f>IFERROR(LOOKUP(T15,HourlyTimeseries!$A:$A,HourlyTimeseries!$C:$C),"")</f>
        <v>25000</v>
      </c>
      <c r="U31" s="63">
        <f>IFERROR(LOOKUP(U15,HourlyTimeseries!$A:$A,HourlyTimeseries!$C:$C),"")</f>
        <v>25000</v>
      </c>
      <c r="V31" s="63">
        <f>IFERROR(LOOKUP(V15,HourlyTimeseries!$A:$A,HourlyTimeseries!$C:$C),"")</f>
        <v>25000</v>
      </c>
      <c r="W31" s="63">
        <f>IFERROR(LOOKUP(W15,HourlyTimeseries!$A:$A,HourlyTimeseries!$C:$C),"")</f>
        <v>25000</v>
      </c>
      <c r="X31" s="63">
        <f>IFERROR(LOOKUP(X15,HourlyTimeseries!$A:$A,HourlyTimeseries!$C:$C),"")</f>
        <v>25000</v>
      </c>
      <c r="Y31" s="63">
        <f>IFERROR(LOOKUP(Y15,HourlyTimeseries!$A:$A,HourlyTimeseries!$C:$C),"")</f>
        <v>25000</v>
      </c>
      <c r="Z31" s="63">
        <f>IFERROR(LOOKUP(Z15,HourlyTimeseries!$A:$A,HourlyTimeseries!$C:$C),"")</f>
        <v>25000</v>
      </c>
      <c r="AA31" s="63">
        <f>IFERROR(LOOKUP(AA15,HourlyTimeseries!$A:$A,HourlyTimeseries!$C:$C),"")</f>
        <v>25000</v>
      </c>
      <c r="AB31" s="63">
        <f>IFERROR(LOOKUP(AB15,HourlyTimeseries!$A:$A,HourlyTimeseries!$C:$C),"")</f>
        <v>25000</v>
      </c>
      <c r="AC31" s="63">
        <f>IFERROR(LOOKUP(AC15,HourlyTimeseries!$A:$A,HourlyTimeseries!$C:$C),"")</f>
        <v>25000</v>
      </c>
      <c r="AD31" s="63">
        <f>IFERROR(LOOKUP(AD15,HourlyTimeseries!$A:$A,HourlyTimeseries!$C:$C),"")</f>
        <v>25000</v>
      </c>
      <c r="AE31" s="72">
        <f>IFERROR(LOOKUP(AE15,HourlyTimeseries!$A:$A,HourlyTimeseries!$C:$C),"")</f>
        <v>25000</v>
      </c>
      <c r="AF31" s="79">
        <f>IFERROR(LOOKUP(AF15,HourlyTimeseries!$A:$A,HourlyTimeseries!$C:$C),"")</f>
        <v>25000</v>
      </c>
      <c r="AG31" s="63">
        <f>IFERROR(LOOKUP(AG15,HourlyTimeseries!$A:$A,HourlyTimeseries!$C:$C),"")</f>
        <v>25000</v>
      </c>
      <c r="AH31" s="63">
        <f>IFERROR(LOOKUP(AH15,HourlyTimeseries!$A:$A,HourlyTimeseries!$C:$C),"")</f>
        <v>25000</v>
      </c>
      <c r="AI31" s="63">
        <f>IFERROR(LOOKUP(AI15,HourlyTimeseries!$A:$A,HourlyTimeseries!$C:$C),"")</f>
        <v>25000</v>
      </c>
      <c r="AJ31" s="63">
        <f>IFERROR(LOOKUP(AJ15,HourlyTimeseries!$A:$A,HourlyTimeseries!$C:$C),"")</f>
        <v>25000</v>
      </c>
      <c r="AK31" s="63">
        <f>IFERROR(LOOKUP(AK15,HourlyTimeseries!$A:$A,HourlyTimeseries!$C:$C),"")</f>
        <v>25000</v>
      </c>
      <c r="AL31" s="63">
        <f>IFERROR(LOOKUP(AL15,HourlyTimeseries!$A:$A,HourlyTimeseries!$C:$C),"")</f>
        <v>25000</v>
      </c>
      <c r="AM31" s="63">
        <f>IFERROR(LOOKUP(AM15,HourlyTimeseries!$A:$A,HourlyTimeseries!$C:$C),"")</f>
        <v>25000</v>
      </c>
      <c r="AN31" s="63">
        <f>IFERROR(LOOKUP(AN15,HourlyTimeseries!$A:$A,HourlyTimeseries!$C:$C),"")</f>
        <v>25000</v>
      </c>
      <c r="AO31" s="63">
        <f>IFERROR(LOOKUP(AO15,HourlyTimeseries!$A:$A,HourlyTimeseries!$C:$C),"")</f>
        <v>25000</v>
      </c>
      <c r="AP31" s="63">
        <f>IFERROR(LOOKUP(AP15,HourlyTimeseries!$A:$A,HourlyTimeseries!$C:$C),"")</f>
        <v>25000</v>
      </c>
      <c r="AQ31" s="63">
        <f>IFERROR(LOOKUP(AQ15,HourlyTimeseries!$A:$A,HourlyTimeseries!$C:$C),"")</f>
        <v>25000</v>
      </c>
      <c r="AR31" s="63">
        <f>IFERROR(LOOKUP(AR15,HourlyTimeseries!$A:$A,HourlyTimeseries!$C:$C),"")</f>
        <v>25000</v>
      </c>
      <c r="AS31" s="63">
        <f>IFERROR(LOOKUP(AS15,HourlyTimeseries!$A:$A,HourlyTimeseries!$C:$C),"")</f>
        <v>25000</v>
      </c>
      <c r="AT31" s="63">
        <f>IFERROR(LOOKUP(AT15,HourlyTimeseries!$A:$A,HourlyTimeseries!$C:$C),"")</f>
        <v>25000</v>
      </c>
      <c r="AU31" s="63">
        <f>IFERROR(LOOKUP(AU15,HourlyTimeseries!$A:$A,HourlyTimeseries!$C:$C),"")</f>
        <v>25000</v>
      </c>
      <c r="AV31" s="63">
        <f>IFERROR(LOOKUP(AV15,HourlyTimeseries!$A:$A,HourlyTimeseries!$C:$C),"")</f>
        <v>25000</v>
      </c>
      <c r="AW31" s="63">
        <f>IFERROR(LOOKUP(AW15,HourlyTimeseries!$A:$A,HourlyTimeseries!$C:$C),"")</f>
        <v>25000</v>
      </c>
      <c r="AX31" s="63">
        <f>IFERROR(LOOKUP(AX15,HourlyTimeseries!$A:$A,HourlyTimeseries!$C:$C),"")</f>
        <v>25000</v>
      </c>
      <c r="AY31" s="63">
        <f>IFERROR(LOOKUP(AY15,HourlyTimeseries!$A:$A,HourlyTimeseries!$C:$C),"")</f>
        <v>25000</v>
      </c>
      <c r="AZ31" s="63">
        <f>IFERROR(LOOKUP(AZ15,HourlyTimeseries!$A:$A,HourlyTimeseries!$C:$C),"")</f>
        <v>25000</v>
      </c>
      <c r="BA31" s="63">
        <f>IFERROR(LOOKUP(BA15,HourlyTimeseries!$A:$A,HourlyTimeseries!$C:$C),"")</f>
        <v>25000</v>
      </c>
      <c r="BB31" s="63">
        <f>IFERROR(LOOKUP(BB15,HourlyTimeseries!$A:$A,HourlyTimeseries!$C:$C),"")</f>
        <v>25000</v>
      </c>
      <c r="BC31" s="72">
        <f>IFERROR(LOOKUP(BC15,HourlyTimeseries!$A:$A,HourlyTimeseries!$C:$C),"")</f>
        <v>25000</v>
      </c>
      <c r="BD31" s="79">
        <f>IFERROR(LOOKUP(BD15,HourlyTimeseries!$A:$A,HourlyTimeseries!$C:$C),"")</f>
        <v>25000</v>
      </c>
      <c r="BE31" s="63">
        <f>IFERROR(LOOKUP(BE15,HourlyTimeseries!$A:$A,HourlyTimeseries!$C:$C),"")</f>
        <v>25000</v>
      </c>
      <c r="BF31" s="63">
        <f>IFERROR(LOOKUP(BF15,HourlyTimeseries!$A:$A,HourlyTimeseries!$C:$C),"")</f>
        <v>25000</v>
      </c>
      <c r="BG31" s="63">
        <f>IFERROR(LOOKUP(BG15,HourlyTimeseries!$A:$A,HourlyTimeseries!$C:$C),"")</f>
        <v>25000</v>
      </c>
      <c r="BH31" s="63">
        <f>IFERROR(LOOKUP(BH15,HourlyTimeseries!$A:$A,HourlyTimeseries!$C:$C),"")</f>
        <v>25000</v>
      </c>
      <c r="BI31" s="63">
        <f>IFERROR(LOOKUP(BI15,HourlyTimeseries!$A:$A,HourlyTimeseries!$C:$C),"")</f>
        <v>25000</v>
      </c>
      <c r="BJ31" s="63">
        <f>IFERROR(LOOKUP(BJ15,HourlyTimeseries!$A:$A,HourlyTimeseries!$C:$C),"")</f>
        <v>25000</v>
      </c>
      <c r="BK31" s="63">
        <f>IFERROR(LOOKUP(BK15,HourlyTimeseries!$A:$A,HourlyTimeseries!$C:$C),"")</f>
        <v>25000</v>
      </c>
      <c r="BL31" s="63">
        <f>IFERROR(LOOKUP(BL15,HourlyTimeseries!$A:$A,HourlyTimeseries!$C:$C),"")</f>
        <v>25000</v>
      </c>
      <c r="BM31" s="63">
        <f>IFERROR(LOOKUP(BM15,HourlyTimeseries!$A:$A,HourlyTimeseries!$C:$C),"")</f>
        <v>25000</v>
      </c>
      <c r="BN31" s="63">
        <f>IFERROR(LOOKUP(BN15,HourlyTimeseries!$A:$A,HourlyTimeseries!$C:$C),"")</f>
        <v>25000</v>
      </c>
      <c r="BO31" s="63">
        <f>IFERROR(LOOKUP(BO15,HourlyTimeseries!$A:$A,HourlyTimeseries!$C:$C),"")</f>
        <v>25000</v>
      </c>
      <c r="BP31" s="63">
        <f>IFERROR(LOOKUP(BP15,HourlyTimeseries!$A:$A,HourlyTimeseries!$C:$C),"")</f>
        <v>25000</v>
      </c>
      <c r="BQ31" s="63">
        <f>IFERROR(LOOKUP(BQ15,HourlyTimeseries!$A:$A,HourlyTimeseries!$C:$C),"")</f>
        <v>25000</v>
      </c>
      <c r="BR31" s="63">
        <f>IFERROR(LOOKUP(BR15,HourlyTimeseries!$A:$A,HourlyTimeseries!$C:$C),"")</f>
        <v>25000</v>
      </c>
      <c r="BS31" s="63">
        <f>IFERROR(LOOKUP(BS15,HourlyTimeseries!$A:$A,HourlyTimeseries!$C:$C),"")</f>
        <v>25000</v>
      </c>
      <c r="BT31" s="63">
        <f>IFERROR(LOOKUP(BT15,HourlyTimeseries!$A:$A,HourlyTimeseries!$C:$C),"")</f>
        <v>25000</v>
      </c>
      <c r="BU31" s="63">
        <f>IFERROR(LOOKUP(BU15,HourlyTimeseries!$A:$A,HourlyTimeseries!$C:$C),"")</f>
        <v>25000</v>
      </c>
      <c r="BV31" s="63">
        <f>IFERROR(LOOKUP(BV15,HourlyTimeseries!$A:$A,HourlyTimeseries!$C:$C),"")</f>
        <v>25000</v>
      </c>
      <c r="BW31" s="63">
        <f>IFERROR(LOOKUP(BW15,HourlyTimeseries!$A:$A,HourlyTimeseries!$C:$C),"")</f>
        <v>25000</v>
      </c>
      <c r="BX31" s="63">
        <f>IFERROR(LOOKUP(BX15,HourlyTimeseries!$A:$A,HourlyTimeseries!$C:$C),"")</f>
        <v>25000</v>
      </c>
      <c r="BY31" s="63">
        <f>IFERROR(LOOKUP(BY15,HourlyTimeseries!$A:$A,HourlyTimeseries!$C:$C),"")</f>
        <v>25000</v>
      </c>
      <c r="BZ31" s="63">
        <f>IFERROR(LOOKUP(BZ15,HourlyTimeseries!$A:$A,HourlyTimeseries!$C:$C),"")</f>
        <v>25000</v>
      </c>
      <c r="CA31" s="72">
        <f>IFERROR(LOOKUP(CA15,HourlyTimeseries!$A:$A,HourlyTimeseries!$C:$C),"")</f>
        <v>25000</v>
      </c>
      <c r="CB31" s="79">
        <f>IFERROR(LOOKUP(CB15,HourlyTimeseries!$A:$A,HourlyTimeseries!$C:$C),"")</f>
        <v>25000</v>
      </c>
      <c r="CC31" s="63">
        <f>IFERROR(LOOKUP(CC15,HourlyTimeseries!$A:$A,HourlyTimeseries!$C:$C),"")</f>
        <v>25000</v>
      </c>
      <c r="CD31" s="63">
        <f>IFERROR(LOOKUP(CD15,HourlyTimeseries!$A:$A,HourlyTimeseries!$C:$C),"")</f>
        <v>25000</v>
      </c>
      <c r="CE31" s="63">
        <f>IFERROR(LOOKUP(CE15,HourlyTimeseries!$A:$A,HourlyTimeseries!$C:$C),"")</f>
        <v>25000</v>
      </c>
      <c r="CF31" s="63">
        <f>IFERROR(LOOKUP(CF15,HourlyTimeseries!$A:$A,HourlyTimeseries!$C:$C),"")</f>
        <v>25000</v>
      </c>
      <c r="CG31" s="63">
        <f>IFERROR(LOOKUP(CG15,HourlyTimeseries!$A:$A,HourlyTimeseries!$C:$C),"")</f>
        <v>25000</v>
      </c>
      <c r="CH31" s="63">
        <f>IFERROR(LOOKUP(CH15,HourlyTimeseries!$A:$A,HourlyTimeseries!$C:$C),"")</f>
        <v>25000</v>
      </c>
      <c r="CI31" s="63">
        <f>IFERROR(LOOKUP(CI15,HourlyTimeseries!$A:$A,HourlyTimeseries!$C:$C),"")</f>
        <v>25000</v>
      </c>
      <c r="CJ31" s="63">
        <f>IFERROR(LOOKUP(CJ15,HourlyTimeseries!$A:$A,HourlyTimeseries!$C:$C),"")</f>
        <v>25000</v>
      </c>
      <c r="CK31" s="63">
        <f>IFERROR(LOOKUP(CK15,HourlyTimeseries!$A:$A,HourlyTimeseries!$C:$C),"")</f>
        <v>25000</v>
      </c>
      <c r="CL31" s="63">
        <f>IFERROR(LOOKUP(CL15,HourlyTimeseries!$A:$A,HourlyTimeseries!$C:$C),"")</f>
        <v>25000</v>
      </c>
      <c r="CM31" s="63">
        <f>IFERROR(LOOKUP(CM15,HourlyTimeseries!$A:$A,HourlyTimeseries!$C:$C),"")</f>
        <v>25000</v>
      </c>
      <c r="CN31" s="63">
        <f>IFERROR(LOOKUP(CN15,HourlyTimeseries!$A:$A,HourlyTimeseries!$C:$C),"")</f>
        <v>25000</v>
      </c>
      <c r="CO31" s="63">
        <f>IFERROR(LOOKUP(CO15,HourlyTimeseries!$A:$A,HourlyTimeseries!$C:$C),"")</f>
        <v>25000</v>
      </c>
      <c r="CP31" s="63">
        <f>IFERROR(LOOKUP(CP15,HourlyTimeseries!$A:$A,HourlyTimeseries!$C:$C),"")</f>
        <v>25000</v>
      </c>
      <c r="CQ31" s="63">
        <f>IFERROR(LOOKUP(CQ15,HourlyTimeseries!$A:$A,HourlyTimeseries!$C:$C),"")</f>
        <v>25000</v>
      </c>
      <c r="CR31" s="63">
        <f>IFERROR(LOOKUP(CR15,HourlyTimeseries!$A:$A,HourlyTimeseries!$C:$C),"")</f>
        <v>25000</v>
      </c>
      <c r="CS31" s="63">
        <f>IFERROR(LOOKUP(CS15,HourlyTimeseries!$A:$A,HourlyTimeseries!$C:$C),"")</f>
        <v>25000</v>
      </c>
      <c r="CT31" s="63">
        <f>IFERROR(LOOKUP(CT15,HourlyTimeseries!$A:$A,HourlyTimeseries!$C:$C),"")</f>
        <v>25000</v>
      </c>
      <c r="CU31" s="63">
        <f>IFERROR(LOOKUP(CU15,HourlyTimeseries!$A:$A,HourlyTimeseries!$C:$C),"")</f>
        <v>25000</v>
      </c>
      <c r="CV31" s="63">
        <f>IFERROR(LOOKUP(CV15,HourlyTimeseries!$A:$A,HourlyTimeseries!$C:$C),"")</f>
        <v>25000</v>
      </c>
      <c r="CW31" s="63">
        <f>IFERROR(LOOKUP(CW15,HourlyTimeseries!$A:$A,HourlyTimeseries!$C:$C),"")</f>
        <v>25000</v>
      </c>
      <c r="CX31" s="63">
        <f>IFERROR(LOOKUP(CX15,HourlyTimeseries!$A:$A,HourlyTimeseries!$C:$C),"")</f>
        <v>25000</v>
      </c>
      <c r="CY31" s="72">
        <f>IFERROR(LOOKUP(CY15,HourlyTimeseries!$A:$A,HourlyTimeseries!$C:$C),"")</f>
        <v>25000</v>
      </c>
      <c r="CZ31" s="79">
        <f>IFERROR(LOOKUP(CZ15,HourlyTimeseries!$A:$A,HourlyTimeseries!$C:$C),"")</f>
        <v>25000</v>
      </c>
      <c r="DA31" s="63">
        <f>IFERROR(LOOKUP(DA15,HourlyTimeseries!$A:$A,HourlyTimeseries!$C:$C),"")</f>
        <v>25000</v>
      </c>
      <c r="DB31" s="63">
        <f>IFERROR(LOOKUP(DB15,HourlyTimeseries!$A:$A,HourlyTimeseries!$C:$C),"")</f>
        <v>25000</v>
      </c>
      <c r="DC31" s="63">
        <f>IFERROR(LOOKUP(DC15,HourlyTimeseries!$A:$A,HourlyTimeseries!$C:$C),"")</f>
        <v>25000</v>
      </c>
      <c r="DD31" s="63">
        <f>IFERROR(LOOKUP(DD15,HourlyTimeseries!$A:$A,HourlyTimeseries!$C:$C),"")</f>
        <v>25000</v>
      </c>
      <c r="DE31" s="63">
        <f>IFERROR(LOOKUP(DE15,HourlyTimeseries!$A:$A,HourlyTimeseries!$C:$C),"")</f>
        <v>25000</v>
      </c>
      <c r="DF31" s="63">
        <f>IFERROR(LOOKUP(DF15,HourlyTimeseries!$A:$A,HourlyTimeseries!$C:$C),"")</f>
        <v>25000</v>
      </c>
      <c r="DG31" s="63">
        <f>IFERROR(LOOKUP(DG15,HourlyTimeseries!$A:$A,HourlyTimeseries!$C:$C),"")</f>
        <v>25000</v>
      </c>
      <c r="DH31" s="63">
        <f>IFERROR(LOOKUP(DH15,HourlyTimeseries!$A:$A,HourlyTimeseries!$C:$C),"")</f>
        <v>25000</v>
      </c>
      <c r="DI31" s="63">
        <f>IFERROR(LOOKUP(DI15,HourlyTimeseries!$A:$A,HourlyTimeseries!$C:$C),"")</f>
        <v>25000</v>
      </c>
      <c r="DJ31" s="63">
        <f>IFERROR(LOOKUP(DJ15,HourlyTimeseries!$A:$A,HourlyTimeseries!$C:$C),"")</f>
        <v>25000</v>
      </c>
      <c r="DK31" s="63">
        <f>IFERROR(LOOKUP(DK15,HourlyTimeseries!$A:$A,HourlyTimeseries!$C:$C),"")</f>
        <v>25000</v>
      </c>
      <c r="DL31" s="63">
        <f>IFERROR(LOOKUP(DL15,HourlyTimeseries!$A:$A,HourlyTimeseries!$C:$C),"")</f>
        <v>25000</v>
      </c>
      <c r="DM31" s="63">
        <f>IFERROR(LOOKUP(DM15,HourlyTimeseries!$A:$A,HourlyTimeseries!$C:$C),"")</f>
        <v>25000</v>
      </c>
      <c r="DN31" s="63">
        <f>IFERROR(LOOKUP(DN15,HourlyTimeseries!$A:$A,HourlyTimeseries!$C:$C),"")</f>
        <v>25000</v>
      </c>
      <c r="DO31" s="63">
        <f>IFERROR(LOOKUP(DO15,HourlyTimeseries!$A:$A,HourlyTimeseries!$C:$C),"")</f>
        <v>25000</v>
      </c>
      <c r="DP31" s="63">
        <f>IFERROR(LOOKUP(DP15,HourlyTimeseries!$A:$A,HourlyTimeseries!$C:$C),"")</f>
        <v>25000</v>
      </c>
      <c r="DQ31" s="63">
        <f>IFERROR(LOOKUP(DQ15,HourlyTimeseries!$A:$A,HourlyTimeseries!$C:$C),"")</f>
        <v>25000</v>
      </c>
      <c r="DR31" s="63">
        <f>IFERROR(LOOKUP(DR15,HourlyTimeseries!$A:$A,HourlyTimeseries!$C:$C),"")</f>
        <v>25000</v>
      </c>
      <c r="DS31" s="63">
        <f>IFERROR(LOOKUP(DS15,HourlyTimeseries!$A:$A,HourlyTimeseries!$C:$C),"")</f>
        <v>25000</v>
      </c>
      <c r="DT31" s="63">
        <f>IFERROR(LOOKUP(DT15,HourlyTimeseries!$A:$A,HourlyTimeseries!$C:$C),"")</f>
        <v>25000</v>
      </c>
      <c r="DU31" s="63">
        <f>IFERROR(LOOKUP(DU15,HourlyTimeseries!$A:$A,HourlyTimeseries!$C:$C),"")</f>
        <v>25000</v>
      </c>
      <c r="DV31" s="63">
        <f>IFERROR(LOOKUP(DV15,HourlyTimeseries!$A:$A,HourlyTimeseries!$C:$C),"")</f>
        <v>25000</v>
      </c>
      <c r="DW31" s="72">
        <f>IFERROR(LOOKUP(DW15,HourlyTimeseries!$A:$A,HourlyTimeseries!$C:$C),"")</f>
        <v>25000</v>
      </c>
      <c r="DX31" s="79">
        <f>IFERROR(LOOKUP(DX15,HourlyTimeseries!$A:$A,HourlyTimeseries!$C:$C),"")</f>
        <v>25000</v>
      </c>
      <c r="DY31" s="63">
        <f>IFERROR(LOOKUP(DY15,HourlyTimeseries!$A:$A,HourlyTimeseries!$C:$C),"")</f>
        <v>25000</v>
      </c>
      <c r="DZ31" s="63">
        <f>IFERROR(LOOKUP(DZ15,HourlyTimeseries!$A:$A,HourlyTimeseries!$C:$C),"")</f>
        <v>25000</v>
      </c>
      <c r="EA31" s="63">
        <f>IFERROR(LOOKUP(EA15,HourlyTimeseries!$A:$A,HourlyTimeseries!$C:$C),"")</f>
        <v>25000</v>
      </c>
      <c r="EB31" s="63">
        <f>IFERROR(LOOKUP(EB15,HourlyTimeseries!$A:$A,HourlyTimeseries!$C:$C),"")</f>
        <v>25000</v>
      </c>
      <c r="EC31" s="63">
        <f>IFERROR(LOOKUP(EC15,HourlyTimeseries!$A:$A,HourlyTimeseries!$C:$C),"")</f>
        <v>25000</v>
      </c>
      <c r="ED31" s="63">
        <f>IFERROR(LOOKUP(ED15,HourlyTimeseries!$A:$A,HourlyTimeseries!$C:$C),"")</f>
        <v>25000</v>
      </c>
      <c r="EE31" s="63">
        <f>IFERROR(LOOKUP(EE15,HourlyTimeseries!$A:$A,HourlyTimeseries!$C:$C),"")</f>
        <v>25000</v>
      </c>
      <c r="EF31" s="63">
        <f>IFERROR(LOOKUP(EF15,HourlyTimeseries!$A:$A,HourlyTimeseries!$C:$C),"")</f>
        <v>25000</v>
      </c>
      <c r="EG31" s="63">
        <f>IFERROR(LOOKUP(EG15,HourlyTimeseries!$A:$A,HourlyTimeseries!$C:$C),"")</f>
        <v>25000</v>
      </c>
      <c r="EH31" s="63">
        <f>IFERROR(LOOKUP(EH15,HourlyTimeseries!$A:$A,HourlyTimeseries!$C:$C),"")</f>
        <v>25000</v>
      </c>
      <c r="EI31" s="63">
        <f>IFERROR(LOOKUP(EI15,HourlyTimeseries!$A:$A,HourlyTimeseries!$C:$C),"")</f>
        <v>25000</v>
      </c>
      <c r="EJ31" s="63">
        <f>IFERROR(LOOKUP(EJ15,HourlyTimeseries!$A:$A,HourlyTimeseries!$C:$C),"")</f>
        <v>25000</v>
      </c>
      <c r="EK31" s="63">
        <f>IFERROR(LOOKUP(EK15,HourlyTimeseries!$A:$A,HourlyTimeseries!$C:$C),"")</f>
        <v>25000</v>
      </c>
      <c r="EL31" s="63">
        <f>IFERROR(LOOKUP(EL15,HourlyTimeseries!$A:$A,HourlyTimeseries!$C:$C),"")</f>
        <v>25000</v>
      </c>
      <c r="EM31" s="63">
        <f>IFERROR(LOOKUP(EM15,HourlyTimeseries!$A:$A,HourlyTimeseries!$C:$C),"")</f>
        <v>25000</v>
      </c>
      <c r="EN31" s="63">
        <f>IFERROR(LOOKUP(EN15,HourlyTimeseries!$A:$A,HourlyTimeseries!$C:$C),"")</f>
        <v>25000</v>
      </c>
      <c r="EO31" s="63">
        <f>IFERROR(LOOKUP(EO15,HourlyTimeseries!$A:$A,HourlyTimeseries!$C:$C),"")</f>
        <v>25000</v>
      </c>
      <c r="EP31" s="63">
        <f>IFERROR(LOOKUP(EP15,HourlyTimeseries!$A:$A,HourlyTimeseries!$C:$C),"")</f>
        <v>25000</v>
      </c>
      <c r="EQ31" s="63">
        <f>IFERROR(LOOKUP(EQ15,HourlyTimeseries!$A:$A,HourlyTimeseries!$C:$C),"")</f>
        <v>25000</v>
      </c>
      <c r="ER31" s="63">
        <f>IFERROR(LOOKUP(ER15,HourlyTimeseries!$A:$A,HourlyTimeseries!$C:$C),"")</f>
        <v>25000</v>
      </c>
      <c r="ES31" s="63">
        <f>IFERROR(LOOKUP(ES15,HourlyTimeseries!$A:$A,HourlyTimeseries!$C:$C),"")</f>
        <v>25000</v>
      </c>
      <c r="ET31" s="63">
        <f>IFERROR(LOOKUP(ET15,HourlyTimeseries!$A:$A,HourlyTimeseries!$C:$C),"")</f>
        <v>25000</v>
      </c>
      <c r="EU31" s="72">
        <f>IFERROR(LOOKUP(EU15,HourlyTimeseries!$A:$A,HourlyTimeseries!$C:$C),"")</f>
        <v>25000</v>
      </c>
      <c r="EV31" s="79">
        <f>IFERROR(LOOKUP(EV15,HourlyTimeseries!$A:$A,HourlyTimeseries!$C:$C),"")</f>
        <v>25000</v>
      </c>
      <c r="EW31" s="63">
        <f>IFERROR(LOOKUP(EW15,HourlyTimeseries!$A:$A,HourlyTimeseries!$C:$C),"")</f>
        <v>25000</v>
      </c>
      <c r="EX31" s="63">
        <f>IFERROR(LOOKUP(EX15,HourlyTimeseries!$A:$A,HourlyTimeseries!$C:$C),"")</f>
        <v>25000</v>
      </c>
      <c r="EY31" s="63">
        <f>IFERROR(LOOKUP(EY15,HourlyTimeseries!$A:$A,HourlyTimeseries!$C:$C),"")</f>
        <v>25000</v>
      </c>
      <c r="EZ31" s="63">
        <f>IFERROR(LOOKUP(EZ15,HourlyTimeseries!$A:$A,HourlyTimeseries!$C:$C),"")</f>
        <v>25000</v>
      </c>
      <c r="FA31" s="63">
        <f>IFERROR(LOOKUP(FA15,HourlyTimeseries!$A:$A,HourlyTimeseries!$C:$C),"")</f>
        <v>25000</v>
      </c>
      <c r="FB31" s="63">
        <f>IFERROR(LOOKUP(FB15,HourlyTimeseries!$A:$A,HourlyTimeseries!$C:$C),"")</f>
        <v>25000</v>
      </c>
      <c r="FC31" s="63">
        <f>IFERROR(LOOKUP(FC15,HourlyTimeseries!$A:$A,HourlyTimeseries!$C:$C),"")</f>
        <v>25000</v>
      </c>
      <c r="FD31" s="63">
        <f>IFERROR(LOOKUP(FD15,HourlyTimeseries!$A:$A,HourlyTimeseries!$C:$C),"")</f>
        <v>25000</v>
      </c>
      <c r="FE31" s="63">
        <f>IFERROR(LOOKUP(FE15,HourlyTimeseries!$A:$A,HourlyTimeseries!$C:$C),"")</f>
        <v>25000</v>
      </c>
      <c r="FF31" s="63">
        <f>IFERROR(LOOKUP(FF15,HourlyTimeseries!$A:$A,HourlyTimeseries!$C:$C),"")</f>
        <v>25000</v>
      </c>
      <c r="FG31" s="63">
        <f>IFERROR(LOOKUP(FG15,HourlyTimeseries!$A:$A,HourlyTimeseries!$C:$C),"")</f>
        <v>25000</v>
      </c>
      <c r="FH31" s="63">
        <f>IFERROR(LOOKUP(FH15,HourlyTimeseries!$A:$A,HourlyTimeseries!$C:$C),"")</f>
        <v>25000</v>
      </c>
      <c r="FI31" s="63">
        <f>IFERROR(LOOKUP(FI15,HourlyTimeseries!$A:$A,HourlyTimeseries!$C:$C),"")</f>
        <v>25000</v>
      </c>
      <c r="FJ31" s="63">
        <f>IFERROR(LOOKUP(FJ15,HourlyTimeseries!$A:$A,HourlyTimeseries!$C:$C),"")</f>
        <v>25000</v>
      </c>
      <c r="FK31" s="63">
        <f>IFERROR(LOOKUP(FK15,HourlyTimeseries!$A:$A,HourlyTimeseries!$C:$C),"")</f>
        <v>25000</v>
      </c>
      <c r="FL31" s="63">
        <f>IFERROR(LOOKUP(FL15,HourlyTimeseries!$A:$A,HourlyTimeseries!$C:$C),"")</f>
        <v>25000</v>
      </c>
      <c r="FM31" s="63">
        <f>IFERROR(LOOKUP(FM15,HourlyTimeseries!$A:$A,HourlyTimeseries!$C:$C),"")</f>
        <v>25000</v>
      </c>
      <c r="FN31" s="63">
        <f>IFERROR(LOOKUP(FN15,HourlyTimeseries!$A:$A,HourlyTimeseries!$C:$C),"")</f>
        <v>25000</v>
      </c>
      <c r="FO31" s="63">
        <f>IFERROR(LOOKUP(FO15,HourlyTimeseries!$A:$A,HourlyTimeseries!$C:$C),"")</f>
        <v>25000</v>
      </c>
      <c r="FP31" s="63">
        <f>IFERROR(LOOKUP(FP15,HourlyTimeseries!$A:$A,HourlyTimeseries!$C:$C),"")</f>
        <v>25000</v>
      </c>
      <c r="FQ31" s="63">
        <f>IFERROR(LOOKUP(FQ15,HourlyTimeseries!$A:$A,HourlyTimeseries!$C:$C),"")</f>
        <v>25000</v>
      </c>
      <c r="FR31" s="63">
        <f>IFERROR(LOOKUP(FR15,HourlyTimeseries!$A:$A,HourlyTimeseries!$C:$C),"")</f>
        <v>25000</v>
      </c>
      <c r="FS31" s="72">
        <f>IFERROR(LOOKUP(FS15,HourlyTimeseries!$A:$A,HourlyTimeseries!$C:$C),"")</f>
        <v>25000</v>
      </c>
      <c r="FT31" s="85"/>
    </row>
    <row r="32" spans="1:176" x14ac:dyDescent="0.2">
      <c r="D32" s="15" t="s">
        <v>216</v>
      </c>
      <c r="E32" s="2" t="s">
        <v>219</v>
      </c>
      <c r="F32" s="8" t="s">
        <v>154</v>
      </c>
      <c r="G32" s="2"/>
      <c r="H32" s="63">
        <f>IFERROR(LOOKUP(H$15,HourlyTimeseries!$A:$A,HourlyTimeseries!$B:$B),"")</f>
        <v>5000</v>
      </c>
      <c r="I32" s="63">
        <f>IFERROR(LOOKUP(I$15,HourlyTimeseries!$A:$A,HourlyTimeseries!$B:$B),"")</f>
        <v>5000</v>
      </c>
      <c r="J32" s="63">
        <f>IFERROR(LOOKUP(J$15,HourlyTimeseries!$A:$A,HourlyTimeseries!$B:$B),"")</f>
        <v>5000</v>
      </c>
      <c r="K32" s="63">
        <f>IFERROR(LOOKUP(K$15,HourlyTimeseries!$A:$A,HourlyTimeseries!$B:$B),"")</f>
        <v>5000</v>
      </c>
      <c r="L32" s="63">
        <f>IFERROR(LOOKUP(L$15,HourlyTimeseries!$A:$A,HourlyTimeseries!$B:$B),"")</f>
        <v>5000</v>
      </c>
      <c r="M32" s="63">
        <f>IFERROR(LOOKUP(M$15,HourlyTimeseries!$A:$A,HourlyTimeseries!$B:$B),"")</f>
        <v>5000</v>
      </c>
      <c r="N32" s="63">
        <f>IFERROR(LOOKUP(N$15,HourlyTimeseries!$A:$A,HourlyTimeseries!$B:$B),"")</f>
        <v>8000</v>
      </c>
      <c r="O32" s="63">
        <f>IFERROR(LOOKUP(O$15,HourlyTimeseries!$A:$A,HourlyTimeseries!$B:$B),"")</f>
        <v>8000</v>
      </c>
      <c r="P32" s="63">
        <f>IFERROR(LOOKUP(P$15,HourlyTimeseries!$A:$A,HourlyTimeseries!$B:$B),"")</f>
        <v>8000</v>
      </c>
      <c r="Q32" s="63">
        <f>IFERROR(LOOKUP(Q$15,HourlyTimeseries!$A:$A,HourlyTimeseries!$B:$B),"")</f>
        <v>8000</v>
      </c>
      <c r="R32" s="63">
        <f>IFERROR(LOOKUP(R$15,HourlyTimeseries!$A:$A,HourlyTimeseries!$B:$B),"")</f>
        <v>8000</v>
      </c>
      <c r="S32" s="63">
        <f>IFERROR(LOOKUP(S$15,HourlyTimeseries!$A:$A,HourlyTimeseries!$B:$B),"")</f>
        <v>8000</v>
      </c>
      <c r="T32" s="63">
        <f>IFERROR(LOOKUP(T$15,HourlyTimeseries!$A:$A,HourlyTimeseries!$B:$B),"")</f>
        <v>8000</v>
      </c>
      <c r="U32" s="63">
        <f>IFERROR(LOOKUP(U$15,HourlyTimeseries!$A:$A,HourlyTimeseries!$B:$B),"")</f>
        <v>8000</v>
      </c>
      <c r="V32" s="63">
        <f>IFERROR(LOOKUP(V$15,HourlyTimeseries!$A:$A,HourlyTimeseries!$B:$B),"")</f>
        <v>8000</v>
      </c>
      <c r="W32" s="63">
        <f>IFERROR(LOOKUP(W$15,HourlyTimeseries!$A:$A,HourlyTimeseries!$B:$B),"")</f>
        <v>8000</v>
      </c>
      <c r="X32" s="63">
        <f>IFERROR(LOOKUP(X$15,HourlyTimeseries!$A:$A,HourlyTimeseries!$B:$B),"")</f>
        <v>8000</v>
      </c>
      <c r="Y32" s="63">
        <f>IFERROR(LOOKUP(Y$15,HourlyTimeseries!$A:$A,HourlyTimeseries!$B:$B),"")</f>
        <v>8000</v>
      </c>
      <c r="Z32" s="63">
        <f>IFERROR(LOOKUP(Z$15,HourlyTimeseries!$A:$A,HourlyTimeseries!$B:$B),"")</f>
        <v>5000</v>
      </c>
      <c r="AA32" s="63">
        <f>IFERROR(LOOKUP(AA$15,HourlyTimeseries!$A:$A,HourlyTimeseries!$B:$B),"")</f>
        <v>5000</v>
      </c>
      <c r="AB32" s="63">
        <f>IFERROR(LOOKUP(AB$15,HourlyTimeseries!$A:$A,HourlyTimeseries!$B:$B),"")</f>
        <v>5000</v>
      </c>
      <c r="AC32" s="63">
        <f>IFERROR(LOOKUP(AC$15,HourlyTimeseries!$A:$A,HourlyTimeseries!$B:$B),"")</f>
        <v>5000</v>
      </c>
      <c r="AD32" s="63">
        <f>IFERROR(LOOKUP(AD$15,HourlyTimeseries!$A:$A,HourlyTimeseries!$B:$B),"")</f>
        <v>5000</v>
      </c>
      <c r="AE32" s="72">
        <f>IFERROR(LOOKUP(AE$15,HourlyTimeseries!$A:$A,HourlyTimeseries!$B:$B),"")</f>
        <v>5000</v>
      </c>
      <c r="AF32" s="79">
        <f>IFERROR(LOOKUP(AF$15,HourlyTimeseries!$A:$A,HourlyTimeseries!$B:$B),"")</f>
        <v>5000</v>
      </c>
      <c r="AG32" s="63">
        <f>IFERROR(LOOKUP(AG$15,HourlyTimeseries!$A:$A,HourlyTimeseries!$B:$B),"")</f>
        <v>5000</v>
      </c>
      <c r="AH32" s="63">
        <f>IFERROR(LOOKUP(AH$15,HourlyTimeseries!$A:$A,HourlyTimeseries!$B:$B),"")</f>
        <v>5000</v>
      </c>
      <c r="AI32" s="63">
        <f>IFERROR(LOOKUP(AI$15,HourlyTimeseries!$A:$A,HourlyTimeseries!$B:$B),"")</f>
        <v>5000</v>
      </c>
      <c r="AJ32" s="63">
        <f>IFERROR(LOOKUP(AJ$15,HourlyTimeseries!$A:$A,HourlyTimeseries!$B:$B),"")</f>
        <v>5000</v>
      </c>
      <c r="AK32" s="63">
        <f>IFERROR(LOOKUP(AK$15,HourlyTimeseries!$A:$A,HourlyTimeseries!$B:$B),"")</f>
        <v>5000</v>
      </c>
      <c r="AL32" s="63">
        <f>IFERROR(LOOKUP(AL$15,HourlyTimeseries!$A:$A,HourlyTimeseries!$B:$B),"")</f>
        <v>8000</v>
      </c>
      <c r="AM32" s="63">
        <f>IFERROR(LOOKUP(AM$15,HourlyTimeseries!$A:$A,HourlyTimeseries!$B:$B),"")</f>
        <v>8000</v>
      </c>
      <c r="AN32" s="63">
        <f>IFERROR(LOOKUP(AN$15,HourlyTimeseries!$A:$A,HourlyTimeseries!$B:$B),"")</f>
        <v>8000</v>
      </c>
      <c r="AO32" s="63">
        <f>IFERROR(LOOKUP(AO$15,HourlyTimeseries!$A:$A,HourlyTimeseries!$B:$B),"")</f>
        <v>8000</v>
      </c>
      <c r="AP32" s="63">
        <f>IFERROR(LOOKUP(AP$15,HourlyTimeseries!$A:$A,HourlyTimeseries!$B:$B),"")</f>
        <v>8000</v>
      </c>
      <c r="AQ32" s="63">
        <f>IFERROR(LOOKUP(AQ$15,HourlyTimeseries!$A:$A,HourlyTimeseries!$B:$B),"")</f>
        <v>8000</v>
      </c>
      <c r="AR32" s="63">
        <f>IFERROR(LOOKUP(AR$15,HourlyTimeseries!$A:$A,HourlyTimeseries!$B:$B),"")</f>
        <v>8000</v>
      </c>
      <c r="AS32" s="63">
        <f>IFERROR(LOOKUP(AS$15,HourlyTimeseries!$A:$A,HourlyTimeseries!$B:$B),"")</f>
        <v>8000</v>
      </c>
      <c r="AT32" s="63">
        <f>IFERROR(LOOKUP(AT$15,HourlyTimeseries!$A:$A,HourlyTimeseries!$B:$B),"")</f>
        <v>8000</v>
      </c>
      <c r="AU32" s="63">
        <f>IFERROR(LOOKUP(AU$15,HourlyTimeseries!$A:$A,HourlyTimeseries!$B:$B),"")</f>
        <v>8000</v>
      </c>
      <c r="AV32" s="63">
        <f>IFERROR(LOOKUP(AV$15,HourlyTimeseries!$A:$A,HourlyTimeseries!$B:$B),"")</f>
        <v>8000</v>
      </c>
      <c r="AW32" s="63">
        <f>IFERROR(LOOKUP(AW$15,HourlyTimeseries!$A:$A,HourlyTimeseries!$B:$B),"")</f>
        <v>8000</v>
      </c>
      <c r="AX32" s="63">
        <f>IFERROR(LOOKUP(AX$15,HourlyTimeseries!$A:$A,HourlyTimeseries!$B:$B),"")</f>
        <v>5000</v>
      </c>
      <c r="AY32" s="63">
        <f>IFERROR(LOOKUP(AY$15,HourlyTimeseries!$A:$A,HourlyTimeseries!$B:$B),"")</f>
        <v>5000</v>
      </c>
      <c r="AZ32" s="63">
        <f>IFERROR(LOOKUP(AZ$15,HourlyTimeseries!$A:$A,HourlyTimeseries!$B:$B),"")</f>
        <v>5000</v>
      </c>
      <c r="BA32" s="63">
        <f>IFERROR(LOOKUP(BA$15,HourlyTimeseries!$A:$A,HourlyTimeseries!$B:$B),"")</f>
        <v>5000</v>
      </c>
      <c r="BB32" s="63">
        <f>IFERROR(LOOKUP(BB$15,HourlyTimeseries!$A:$A,HourlyTimeseries!$B:$B),"")</f>
        <v>5000</v>
      </c>
      <c r="BC32" s="72">
        <f>IFERROR(LOOKUP(BC$15,HourlyTimeseries!$A:$A,HourlyTimeseries!$B:$B),"")</f>
        <v>5000</v>
      </c>
      <c r="BD32" s="79">
        <f>IFERROR(LOOKUP(BD$15,HourlyTimeseries!$A:$A,HourlyTimeseries!$B:$B),"")</f>
        <v>5000</v>
      </c>
      <c r="BE32" s="63">
        <f>IFERROR(LOOKUP(BE$15,HourlyTimeseries!$A:$A,HourlyTimeseries!$B:$B),"")</f>
        <v>5000</v>
      </c>
      <c r="BF32" s="63">
        <f>IFERROR(LOOKUP(BF$15,HourlyTimeseries!$A:$A,HourlyTimeseries!$B:$B),"")</f>
        <v>5000</v>
      </c>
      <c r="BG32" s="63">
        <f>IFERROR(LOOKUP(BG$15,HourlyTimeseries!$A:$A,HourlyTimeseries!$B:$B),"")</f>
        <v>5000</v>
      </c>
      <c r="BH32" s="63">
        <f>IFERROR(LOOKUP(BH$15,HourlyTimeseries!$A:$A,HourlyTimeseries!$B:$B),"")</f>
        <v>5000</v>
      </c>
      <c r="BI32" s="63">
        <f>IFERROR(LOOKUP(BI$15,HourlyTimeseries!$A:$A,HourlyTimeseries!$B:$B),"")</f>
        <v>5000</v>
      </c>
      <c r="BJ32" s="63">
        <f>IFERROR(LOOKUP(BJ$15,HourlyTimeseries!$A:$A,HourlyTimeseries!$B:$B),"")</f>
        <v>8000</v>
      </c>
      <c r="BK32" s="63">
        <f>IFERROR(LOOKUP(BK$15,HourlyTimeseries!$A:$A,HourlyTimeseries!$B:$B),"")</f>
        <v>8000</v>
      </c>
      <c r="BL32" s="63">
        <f>IFERROR(LOOKUP(BL$15,HourlyTimeseries!$A:$A,HourlyTimeseries!$B:$B),"")</f>
        <v>8000</v>
      </c>
      <c r="BM32" s="63">
        <f>IFERROR(LOOKUP(BM$15,HourlyTimeseries!$A:$A,HourlyTimeseries!$B:$B),"")</f>
        <v>8000</v>
      </c>
      <c r="BN32" s="63">
        <f>IFERROR(LOOKUP(BN$15,HourlyTimeseries!$A:$A,HourlyTimeseries!$B:$B),"")</f>
        <v>8000</v>
      </c>
      <c r="BO32" s="63">
        <f>IFERROR(LOOKUP(BO$15,HourlyTimeseries!$A:$A,HourlyTimeseries!$B:$B),"")</f>
        <v>8000</v>
      </c>
      <c r="BP32" s="63">
        <f>IFERROR(LOOKUP(BP$15,HourlyTimeseries!$A:$A,HourlyTimeseries!$B:$B),"")</f>
        <v>8000</v>
      </c>
      <c r="BQ32" s="63">
        <f>IFERROR(LOOKUP(BQ$15,HourlyTimeseries!$A:$A,HourlyTimeseries!$B:$B),"")</f>
        <v>8000</v>
      </c>
      <c r="BR32" s="63">
        <f>IFERROR(LOOKUP(BR$15,HourlyTimeseries!$A:$A,HourlyTimeseries!$B:$B),"")</f>
        <v>8000</v>
      </c>
      <c r="BS32" s="63">
        <f>IFERROR(LOOKUP(BS$15,HourlyTimeseries!$A:$A,HourlyTimeseries!$B:$B),"")</f>
        <v>8000</v>
      </c>
      <c r="BT32" s="63">
        <f>IFERROR(LOOKUP(BT$15,HourlyTimeseries!$A:$A,HourlyTimeseries!$B:$B),"")</f>
        <v>8000</v>
      </c>
      <c r="BU32" s="63">
        <f>IFERROR(LOOKUP(BU$15,HourlyTimeseries!$A:$A,HourlyTimeseries!$B:$B),"")</f>
        <v>8000</v>
      </c>
      <c r="BV32" s="63">
        <f>IFERROR(LOOKUP(BV$15,HourlyTimeseries!$A:$A,HourlyTimeseries!$B:$B),"")</f>
        <v>5000</v>
      </c>
      <c r="BW32" s="63">
        <f>IFERROR(LOOKUP(BW$15,HourlyTimeseries!$A:$A,HourlyTimeseries!$B:$B),"")</f>
        <v>5000</v>
      </c>
      <c r="BX32" s="63">
        <f>IFERROR(LOOKUP(BX$15,HourlyTimeseries!$A:$A,HourlyTimeseries!$B:$B),"")</f>
        <v>5000</v>
      </c>
      <c r="BY32" s="63">
        <f>IFERROR(LOOKUP(BY$15,HourlyTimeseries!$A:$A,HourlyTimeseries!$B:$B),"")</f>
        <v>5000</v>
      </c>
      <c r="BZ32" s="63">
        <f>IFERROR(LOOKUP(BZ$15,HourlyTimeseries!$A:$A,HourlyTimeseries!$B:$B),"")</f>
        <v>5000</v>
      </c>
      <c r="CA32" s="72">
        <f>IFERROR(LOOKUP(CA$15,HourlyTimeseries!$A:$A,HourlyTimeseries!$B:$B),"")</f>
        <v>5000</v>
      </c>
      <c r="CB32" s="79">
        <f>IFERROR(LOOKUP(CB$15,HourlyTimeseries!$A:$A,HourlyTimeseries!$B:$B),"")</f>
        <v>5000</v>
      </c>
      <c r="CC32" s="63">
        <f>IFERROR(LOOKUP(CC$15,HourlyTimeseries!$A:$A,HourlyTimeseries!$B:$B),"")</f>
        <v>5000</v>
      </c>
      <c r="CD32" s="63">
        <f>IFERROR(LOOKUP(CD$15,HourlyTimeseries!$A:$A,HourlyTimeseries!$B:$B),"")</f>
        <v>5000</v>
      </c>
      <c r="CE32" s="63">
        <f>IFERROR(LOOKUP(CE$15,HourlyTimeseries!$A:$A,HourlyTimeseries!$B:$B),"")</f>
        <v>5000</v>
      </c>
      <c r="CF32" s="63">
        <f>IFERROR(LOOKUP(CF$15,HourlyTimeseries!$A:$A,HourlyTimeseries!$B:$B),"")</f>
        <v>5000</v>
      </c>
      <c r="CG32" s="63">
        <f>IFERROR(LOOKUP(CG$15,HourlyTimeseries!$A:$A,HourlyTimeseries!$B:$B),"")</f>
        <v>5000</v>
      </c>
      <c r="CH32" s="63">
        <f>IFERROR(LOOKUP(CH$15,HourlyTimeseries!$A:$A,HourlyTimeseries!$B:$B),"")</f>
        <v>8000</v>
      </c>
      <c r="CI32" s="63">
        <f>IFERROR(LOOKUP(CI$15,HourlyTimeseries!$A:$A,HourlyTimeseries!$B:$B),"")</f>
        <v>8000</v>
      </c>
      <c r="CJ32" s="63">
        <f>IFERROR(LOOKUP(CJ$15,HourlyTimeseries!$A:$A,HourlyTimeseries!$B:$B),"")</f>
        <v>8000</v>
      </c>
      <c r="CK32" s="63">
        <f>IFERROR(LOOKUP(CK$15,HourlyTimeseries!$A:$A,HourlyTimeseries!$B:$B),"")</f>
        <v>8000</v>
      </c>
      <c r="CL32" s="63">
        <f>IFERROR(LOOKUP(CL$15,HourlyTimeseries!$A:$A,HourlyTimeseries!$B:$B),"")</f>
        <v>8000</v>
      </c>
      <c r="CM32" s="63">
        <f>IFERROR(LOOKUP(CM$15,HourlyTimeseries!$A:$A,HourlyTimeseries!$B:$B),"")</f>
        <v>8000</v>
      </c>
      <c r="CN32" s="63">
        <f>IFERROR(LOOKUP(CN$15,HourlyTimeseries!$A:$A,HourlyTimeseries!$B:$B),"")</f>
        <v>8000</v>
      </c>
      <c r="CO32" s="63">
        <f>IFERROR(LOOKUP(CO$15,HourlyTimeseries!$A:$A,HourlyTimeseries!$B:$B),"")</f>
        <v>8000</v>
      </c>
      <c r="CP32" s="63">
        <f>IFERROR(LOOKUP(CP$15,HourlyTimeseries!$A:$A,HourlyTimeseries!$B:$B),"")</f>
        <v>8000</v>
      </c>
      <c r="CQ32" s="63">
        <f>IFERROR(LOOKUP(CQ$15,HourlyTimeseries!$A:$A,HourlyTimeseries!$B:$B),"")</f>
        <v>8000</v>
      </c>
      <c r="CR32" s="63">
        <f>IFERROR(LOOKUP(CR$15,HourlyTimeseries!$A:$A,HourlyTimeseries!$B:$B),"")</f>
        <v>8000</v>
      </c>
      <c r="CS32" s="63">
        <f>IFERROR(LOOKUP(CS$15,HourlyTimeseries!$A:$A,HourlyTimeseries!$B:$B),"")</f>
        <v>8000</v>
      </c>
      <c r="CT32" s="63">
        <f>IFERROR(LOOKUP(CT$15,HourlyTimeseries!$A:$A,HourlyTimeseries!$B:$B),"")</f>
        <v>5000</v>
      </c>
      <c r="CU32" s="63">
        <f>IFERROR(LOOKUP(CU$15,HourlyTimeseries!$A:$A,HourlyTimeseries!$B:$B),"")</f>
        <v>5000</v>
      </c>
      <c r="CV32" s="63">
        <f>IFERROR(LOOKUP(CV$15,HourlyTimeseries!$A:$A,HourlyTimeseries!$B:$B),"")</f>
        <v>5000</v>
      </c>
      <c r="CW32" s="63">
        <f>IFERROR(LOOKUP(CW$15,HourlyTimeseries!$A:$A,HourlyTimeseries!$B:$B),"")</f>
        <v>5000</v>
      </c>
      <c r="CX32" s="63">
        <f>IFERROR(LOOKUP(CX$15,HourlyTimeseries!$A:$A,HourlyTimeseries!$B:$B),"")</f>
        <v>5000</v>
      </c>
      <c r="CY32" s="72">
        <f>IFERROR(LOOKUP(CY$15,HourlyTimeseries!$A:$A,HourlyTimeseries!$B:$B),"")</f>
        <v>5000</v>
      </c>
      <c r="CZ32" s="79">
        <f>IFERROR(LOOKUP(CZ$15,HourlyTimeseries!$A:$A,HourlyTimeseries!$B:$B),"")</f>
        <v>5000</v>
      </c>
      <c r="DA32" s="63">
        <f>IFERROR(LOOKUP(DA$15,HourlyTimeseries!$A:$A,HourlyTimeseries!$B:$B),"")</f>
        <v>5000</v>
      </c>
      <c r="DB32" s="63">
        <f>IFERROR(LOOKUP(DB$15,HourlyTimeseries!$A:$A,HourlyTimeseries!$B:$B),"")</f>
        <v>5000</v>
      </c>
      <c r="DC32" s="63">
        <f>IFERROR(LOOKUP(DC$15,HourlyTimeseries!$A:$A,HourlyTimeseries!$B:$B),"")</f>
        <v>5000</v>
      </c>
      <c r="DD32" s="63">
        <f>IFERROR(LOOKUP(DD$15,HourlyTimeseries!$A:$A,HourlyTimeseries!$B:$B),"")</f>
        <v>5000</v>
      </c>
      <c r="DE32" s="63">
        <f>IFERROR(LOOKUP(DE$15,HourlyTimeseries!$A:$A,HourlyTimeseries!$B:$B),"")</f>
        <v>5000</v>
      </c>
      <c r="DF32" s="63">
        <f>IFERROR(LOOKUP(DF$15,HourlyTimeseries!$A:$A,HourlyTimeseries!$B:$B),"")</f>
        <v>8000</v>
      </c>
      <c r="DG32" s="63">
        <f>IFERROR(LOOKUP(DG$15,HourlyTimeseries!$A:$A,HourlyTimeseries!$B:$B),"")</f>
        <v>8000</v>
      </c>
      <c r="DH32" s="63">
        <f>IFERROR(LOOKUP(DH$15,HourlyTimeseries!$A:$A,HourlyTimeseries!$B:$B),"")</f>
        <v>8000</v>
      </c>
      <c r="DI32" s="63">
        <f>IFERROR(LOOKUP(DI$15,HourlyTimeseries!$A:$A,HourlyTimeseries!$B:$B),"")</f>
        <v>8000</v>
      </c>
      <c r="DJ32" s="63">
        <f>IFERROR(LOOKUP(DJ$15,HourlyTimeseries!$A:$A,HourlyTimeseries!$B:$B),"")</f>
        <v>8000</v>
      </c>
      <c r="DK32" s="63">
        <f>IFERROR(LOOKUP(DK$15,HourlyTimeseries!$A:$A,HourlyTimeseries!$B:$B),"")</f>
        <v>8000</v>
      </c>
      <c r="DL32" s="63">
        <f>IFERROR(LOOKUP(DL$15,HourlyTimeseries!$A:$A,HourlyTimeseries!$B:$B),"")</f>
        <v>8000</v>
      </c>
      <c r="DM32" s="63">
        <f>IFERROR(LOOKUP(DM$15,HourlyTimeseries!$A:$A,HourlyTimeseries!$B:$B),"")</f>
        <v>8000</v>
      </c>
      <c r="DN32" s="63">
        <f>IFERROR(LOOKUP(DN$15,HourlyTimeseries!$A:$A,HourlyTimeseries!$B:$B),"")</f>
        <v>8000</v>
      </c>
      <c r="DO32" s="63">
        <f>IFERROR(LOOKUP(DO$15,HourlyTimeseries!$A:$A,HourlyTimeseries!$B:$B),"")</f>
        <v>8000</v>
      </c>
      <c r="DP32" s="63">
        <f>IFERROR(LOOKUP(DP$15,HourlyTimeseries!$A:$A,HourlyTimeseries!$B:$B),"")</f>
        <v>8000</v>
      </c>
      <c r="DQ32" s="63">
        <f>IFERROR(LOOKUP(DQ$15,HourlyTimeseries!$A:$A,HourlyTimeseries!$B:$B),"")</f>
        <v>8000</v>
      </c>
      <c r="DR32" s="63">
        <f>IFERROR(LOOKUP(DR$15,HourlyTimeseries!$A:$A,HourlyTimeseries!$B:$B),"")</f>
        <v>5000</v>
      </c>
      <c r="DS32" s="63">
        <f>IFERROR(LOOKUP(DS$15,HourlyTimeseries!$A:$A,HourlyTimeseries!$B:$B),"")</f>
        <v>5000</v>
      </c>
      <c r="DT32" s="63">
        <f>IFERROR(LOOKUP(DT$15,HourlyTimeseries!$A:$A,HourlyTimeseries!$B:$B),"")</f>
        <v>5000</v>
      </c>
      <c r="DU32" s="63">
        <f>IFERROR(LOOKUP(DU$15,HourlyTimeseries!$A:$A,HourlyTimeseries!$B:$B),"")</f>
        <v>5000</v>
      </c>
      <c r="DV32" s="63">
        <f>IFERROR(LOOKUP(DV$15,HourlyTimeseries!$A:$A,HourlyTimeseries!$B:$B),"")</f>
        <v>5000</v>
      </c>
      <c r="DW32" s="72">
        <f>IFERROR(LOOKUP(DW$15,HourlyTimeseries!$A:$A,HourlyTimeseries!$B:$B),"")</f>
        <v>5000</v>
      </c>
      <c r="DX32" s="79">
        <f>IFERROR(LOOKUP(DX$15,HourlyTimeseries!$A:$A,HourlyTimeseries!$B:$B),"")</f>
        <v>5000</v>
      </c>
      <c r="DY32" s="63">
        <f>IFERROR(LOOKUP(DY$15,HourlyTimeseries!$A:$A,HourlyTimeseries!$B:$B),"")</f>
        <v>5000</v>
      </c>
      <c r="DZ32" s="63">
        <f>IFERROR(LOOKUP(DZ$15,HourlyTimeseries!$A:$A,HourlyTimeseries!$B:$B),"")</f>
        <v>5000</v>
      </c>
      <c r="EA32" s="63">
        <f>IFERROR(LOOKUP(EA$15,HourlyTimeseries!$A:$A,HourlyTimeseries!$B:$B),"")</f>
        <v>5000</v>
      </c>
      <c r="EB32" s="63">
        <f>IFERROR(LOOKUP(EB$15,HourlyTimeseries!$A:$A,HourlyTimeseries!$B:$B),"")</f>
        <v>5000</v>
      </c>
      <c r="EC32" s="63">
        <f>IFERROR(LOOKUP(EC$15,HourlyTimeseries!$A:$A,HourlyTimeseries!$B:$B),"")</f>
        <v>5000</v>
      </c>
      <c r="ED32" s="63">
        <f>IFERROR(LOOKUP(ED$15,HourlyTimeseries!$A:$A,HourlyTimeseries!$B:$B),"")</f>
        <v>8000</v>
      </c>
      <c r="EE32" s="63">
        <f>IFERROR(LOOKUP(EE$15,HourlyTimeseries!$A:$A,HourlyTimeseries!$B:$B),"")</f>
        <v>8000</v>
      </c>
      <c r="EF32" s="63">
        <f>IFERROR(LOOKUP(EF$15,HourlyTimeseries!$A:$A,HourlyTimeseries!$B:$B),"")</f>
        <v>8000</v>
      </c>
      <c r="EG32" s="63">
        <f>IFERROR(LOOKUP(EG$15,HourlyTimeseries!$A:$A,HourlyTimeseries!$B:$B),"")</f>
        <v>8000</v>
      </c>
      <c r="EH32" s="63">
        <f>IFERROR(LOOKUP(EH$15,HourlyTimeseries!$A:$A,HourlyTimeseries!$B:$B),"")</f>
        <v>8000</v>
      </c>
      <c r="EI32" s="63">
        <f>IFERROR(LOOKUP(EI$15,HourlyTimeseries!$A:$A,HourlyTimeseries!$B:$B),"")</f>
        <v>8000</v>
      </c>
      <c r="EJ32" s="63">
        <f>IFERROR(LOOKUP(EJ$15,HourlyTimeseries!$A:$A,HourlyTimeseries!$B:$B),"")</f>
        <v>8000</v>
      </c>
      <c r="EK32" s="63">
        <f>IFERROR(LOOKUP(EK$15,HourlyTimeseries!$A:$A,HourlyTimeseries!$B:$B),"")</f>
        <v>8000</v>
      </c>
      <c r="EL32" s="63">
        <f>IFERROR(LOOKUP(EL$15,HourlyTimeseries!$A:$A,HourlyTimeseries!$B:$B),"")</f>
        <v>8000</v>
      </c>
      <c r="EM32" s="63">
        <f>IFERROR(LOOKUP(EM$15,HourlyTimeseries!$A:$A,HourlyTimeseries!$B:$B),"")</f>
        <v>8000</v>
      </c>
      <c r="EN32" s="63">
        <f>IFERROR(LOOKUP(EN$15,HourlyTimeseries!$A:$A,HourlyTimeseries!$B:$B),"")</f>
        <v>8000</v>
      </c>
      <c r="EO32" s="63">
        <f>IFERROR(LOOKUP(EO$15,HourlyTimeseries!$A:$A,HourlyTimeseries!$B:$B),"")</f>
        <v>8000</v>
      </c>
      <c r="EP32" s="63">
        <f>IFERROR(LOOKUP(EP$15,HourlyTimeseries!$A:$A,HourlyTimeseries!$B:$B),"")</f>
        <v>5000</v>
      </c>
      <c r="EQ32" s="63">
        <f>IFERROR(LOOKUP(EQ$15,HourlyTimeseries!$A:$A,HourlyTimeseries!$B:$B),"")</f>
        <v>5000</v>
      </c>
      <c r="ER32" s="63">
        <f>IFERROR(LOOKUP(ER$15,HourlyTimeseries!$A:$A,HourlyTimeseries!$B:$B),"")</f>
        <v>5000</v>
      </c>
      <c r="ES32" s="63">
        <f>IFERROR(LOOKUP(ES$15,HourlyTimeseries!$A:$A,HourlyTimeseries!$B:$B),"")</f>
        <v>5000</v>
      </c>
      <c r="ET32" s="63">
        <f>IFERROR(LOOKUP(ET$15,HourlyTimeseries!$A:$A,HourlyTimeseries!$B:$B),"")</f>
        <v>5000</v>
      </c>
      <c r="EU32" s="72">
        <f>IFERROR(LOOKUP(EU$15,HourlyTimeseries!$A:$A,HourlyTimeseries!$B:$B),"")</f>
        <v>5000</v>
      </c>
      <c r="EV32" s="79">
        <f>IFERROR(LOOKUP(EV$15,HourlyTimeseries!$A:$A,HourlyTimeseries!$B:$B),"")</f>
        <v>5000</v>
      </c>
      <c r="EW32" s="63">
        <f>IFERROR(LOOKUP(EW$15,HourlyTimeseries!$A:$A,HourlyTimeseries!$B:$B),"")</f>
        <v>5000</v>
      </c>
      <c r="EX32" s="63">
        <f>IFERROR(LOOKUP(EX$15,HourlyTimeseries!$A:$A,HourlyTimeseries!$B:$B),"")</f>
        <v>5000</v>
      </c>
      <c r="EY32" s="63">
        <f>IFERROR(LOOKUP(EY$15,HourlyTimeseries!$A:$A,HourlyTimeseries!$B:$B),"")</f>
        <v>5000</v>
      </c>
      <c r="EZ32" s="63">
        <f>IFERROR(LOOKUP(EZ$15,HourlyTimeseries!$A:$A,HourlyTimeseries!$B:$B),"")</f>
        <v>5000</v>
      </c>
      <c r="FA32" s="63">
        <f>IFERROR(LOOKUP(FA$15,HourlyTimeseries!$A:$A,HourlyTimeseries!$B:$B),"")</f>
        <v>5000</v>
      </c>
      <c r="FB32" s="63">
        <f>IFERROR(LOOKUP(FB$15,HourlyTimeseries!$A:$A,HourlyTimeseries!$B:$B),"")</f>
        <v>8000</v>
      </c>
      <c r="FC32" s="63">
        <f>IFERROR(LOOKUP(FC$15,HourlyTimeseries!$A:$A,HourlyTimeseries!$B:$B),"")</f>
        <v>8000</v>
      </c>
      <c r="FD32" s="63">
        <f>IFERROR(LOOKUP(FD$15,HourlyTimeseries!$A:$A,HourlyTimeseries!$B:$B),"")</f>
        <v>8000</v>
      </c>
      <c r="FE32" s="63">
        <f>IFERROR(LOOKUP(FE$15,HourlyTimeseries!$A:$A,HourlyTimeseries!$B:$B),"")</f>
        <v>8000</v>
      </c>
      <c r="FF32" s="63">
        <f>IFERROR(LOOKUP(FF$15,HourlyTimeseries!$A:$A,HourlyTimeseries!$B:$B),"")</f>
        <v>8000</v>
      </c>
      <c r="FG32" s="63">
        <f>IFERROR(LOOKUP(FG$15,HourlyTimeseries!$A:$A,HourlyTimeseries!$B:$B),"")</f>
        <v>8000</v>
      </c>
      <c r="FH32" s="63">
        <f>IFERROR(LOOKUP(FH$15,HourlyTimeseries!$A:$A,HourlyTimeseries!$B:$B),"")</f>
        <v>8000</v>
      </c>
      <c r="FI32" s="63">
        <f>IFERROR(LOOKUP(FI$15,HourlyTimeseries!$A:$A,HourlyTimeseries!$B:$B),"")</f>
        <v>8000</v>
      </c>
      <c r="FJ32" s="63">
        <f>IFERROR(LOOKUP(FJ$15,HourlyTimeseries!$A:$A,HourlyTimeseries!$B:$B),"")</f>
        <v>8000</v>
      </c>
      <c r="FK32" s="63">
        <f>IFERROR(LOOKUP(FK$15,HourlyTimeseries!$A:$A,HourlyTimeseries!$B:$B),"")</f>
        <v>8000</v>
      </c>
      <c r="FL32" s="63">
        <f>IFERROR(LOOKUP(FL$15,HourlyTimeseries!$A:$A,HourlyTimeseries!$B:$B),"")</f>
        <v>8000</v>
      </c>
      <c r="FM32" s="63">
        <f>IFERROR(LOOKUP(FM$15,HourlyTimeseries!$A:$A,HourlyTimeseries!$B:$B),"")</f>
        <v>8000</v>
      </c>
      <c r="FN32" s="63">
        <f>IFERROR(LOOKUP(FN$15,HourlyTimeseries!$A:$A,HourlyTimeseries!$B:$B),"")</f>
        <v>5000</v>
      </c>
      <c r="FO32" s="63">
        <f>IFERROR(LOOKUP(FO$15,HourlyTimeseries!$A:$A,HourlyTimeseries!$B:$B),"")</f>
        <v>5000</v>
      </c>
      <c r="FP32" s="63">
        <f>IFERROR(LOOKUP(FP$15,HourlyTimeseries!$A:$A,HourlyTimeseries!$B:$B),"")</f>
        <v>5000</v>
      </c>
      <c r="FQ32" s="63">
        <f>IFERROR(LOOKUP(FQ$15,HourlyTimeseries!$A:$A,HourlyTimeseries!$B:$B),"")</f>
        <v>5000</v>
      </c>
      <c r="FR32" s="63">
        <f>IFERROR(LOOKUP(FR$15,HourlyTimeseries!$A:$A,HourlyTimeseries!$B:$B),"")</f>
        <v>5000</v>
      </c>
      <c r="FS32" s="72">
        <f>IFERROR(LOOKUP(FS$15,HourlyTimeseries!$A:$A,HourlyTimeseries!$B:$B),"")</f>
        <v>5000</v>
      </c>
    </row>
    <row r="33" spans="4:175" ht="15.75" customHeight="1" thickBot="1" x14ac:dyDescent="0.3">
      <c r="D33" s="16" t="s">
        <v>217</v>
      </c>
      <c r="E33" s="3"/>
      <c r="F33" s="3"/>
      <c r="G33" s="3"/>
      <c r="H33" s="3" t="s">
        <v>422</v>
      </c>
      <c r="I33" s="3" t="s">
        <v>423</v>
      </c>
      <c r="J33" s="3" t="s">
        <v>424</v>
      </c>
      <c r="K33" s="3" t="s">
        <v>425</v>
      </c>
      <c r="L33" s="3" t="s">
        <v>426</v>
      </c>
      <c r="M33" s="3" t="s">
        <v>427</v>
      </c>
      <c r="N33" s="3" t="s">
        <v>428</v>
      </c>
    </row>
    <row r="34" spans="4:175" x14ac:dyDescent="0.2">
      <c r="D34" s="15" t="s">
        <v>129</v>
      </c>
      <c r="E34" s="2" t="s">
        <v>59</v>
      </c>
      <c r="F34" s="8" t="s">
        <v>151</v>
      </c>
      <c r="G34" s="2"/>
      <c r="H34" s="63">
        <f>IFERROR(LOOKUP(H$17,DailyTimeseries!$A:$A,DailyTimeseries!$B:$B),"")</f>
        <v>16500</v>
      </c>
      <c r="I34" s="63">
        <f>IFERROR(LOOKUP(I$17,DailyTimeseries!$A:$A,DailyTimeseries!$B:$B),"")</f>
        <v>19322</v>
      </c>
      <c r="J34" s="63">
        <f>IFERROR(LOOKUP(J$17,DailyTimeseries!$A:$A,DailyTimeseries!$B:$B),"")</f>
        <v>19322</v>
      </c>
      <c r="K34" s="63">
        <f>IFERROR(LOOKUP(K$17,DailyTimeseries!$A:$A,DailyTimeseries!$B:$B),"")</f>
        <v>19322</v>
      </c>
      <c r="L34" s="63">
        <f>IFERROR(LOOKUP(L$17,DailyTimeseries!$A:$A,DailyTimeseries!$B:$B),"")</f>
        <v>19322</v>
      </c>
      <c r="M34" s="63">
        <f>IFERROR(LOOKUP(M$17,DailyTimeseries!$A:$A,DailyTimeseries!$B:$B),"")</f>
        <v>19322</v>
      </c>
      <c r="N34" s="63">
        <f>IFERROR(LOOKUP(N$17,DailyTimeseries!$A:$A,DailyTimeseries!$B:$B),"")</f>
        <v>17500</v>
      </c>
    </row>
    <row r="35" spans="4:175" ht="15.75" customHeight="1" thickBot="1" x14ac:dyDescent="0.25">
      <c r="D35" s="16" t="s">
        <v>97</v>
      </c>
      <c r="E35" s="2" t="s">
        <v>98</v>
      </c>
      <c r="F35" s="2"/>
      <c r="G35" s="4" t="b">
        <v>1</v>
      </c>
    </row>
    <row r="36" spans="4:175" x14ac:dyDescent="0.2">
      <c r="D36" s="15" t="s">
        <v>61</v>
      </c>
      <c r="E36" s="2" t="s">
        <v>60</v>
      </c>
      <c r="F36" s="8" t="s">
        <v>151</v>
      </c>
      <c r="G36" s="57"/>
      <c r="H36" s="63">
        <f>IFERROR(LOOKUP(H$17,DailyTimeseries!$A:$A,DailyTimeseries!$C:$C),"")</f>
        <v>5112</v>
      </c>
      <c r="I36" s="63">
        <f>IFERROR(LOOKUP(I$17,DailyTimeseries!$A:$A,DailyTimeseries!$C:$C),"")</f>
        <v>5112</v>
      </c>
      <c r="J36" s="63">
        <f>IFERROR(LOOKUP(J$17,DailyTimeseries!$A:$A,DailyTimeseries!$C:$C),"")</f>
        <v>5112</v>
      </c>
      <c r="K36" s="63">
        <f>IFERROR(LOOKUP(K$17,DailyTimeseries!$A:$A,DailyTimeseries!$C:$C),"")</f>
        <v>5112</v>
      </c>
      <c r="L36" s="63">
        <f>IFERROR(LOOKUP(L$17,DailyTimeseries!$A:$A,DailyTimeseries!$C:$C),"")</f>
        <v>5112</v>
      </c>
      <c r="M36" s="63">
        <f>IFERROR(LOOKUP(M$17,DailyTimeseries!$A:$A,DailyTimeseries!$C:$C),"")</f>
        <v>5112</v>
      </c>
      <c r="N36" s="63">
        <f>IFERROR(LOOKUP(N$17,DailyTimeseries!$A:$A,DailyTimeseries!$C:$C),"")</f>
        <v>5112</v>
      </c>
    </row>
    <row r="37" spans="4:175" ht="15.75" customHeight="1" thickBot="1" x14ac:dyDescent="0.25">
      <c r="D37" s="16" t="s">
        <v>143</v>
      </c>
      <c r="E37" s="2" t="s">
        <v>95</v>
      </c>
      <c r="F37" s="2"/>
      <c r="G37" s="4" t="b">
        <v>1</v>
      </c>
    </row>
    <row r="38" spans="4:175" x14ac:dyDescent="0.2">
      <c r="D38" s="15" t="s">
        <v>69</v>
      </c>
      <c r="E38" s="2" t="s">
        <v>62</v>
      </c>
      <c r="F38" s="8" t="s">
        <v>151</v>
      </c>
      <c r="G38" s="8">
        <v>7500</v>
      </c>
    </row>
    <row r="39" spans="4:175" x14ac:dyDescent="0.2">
      <c r="D39" s="15" t="s">
        <v>68</v>
      </c>
      <c r="E39" s="2" t="s">
        <v>63</v>
      </c>
      <c r="F39" s="8" t="s">
        <v>151</v>
      </c>
      <c r="G39" s="8">
        <v>7500</v>
      </c>
    </row>
    <row r="40" spans="4:175" x14ac:dyDescent="0.2">
      <c r="D40" s="15" t="s">
        <v>261</v>
      </c>
      <c r="E40" s="2" t="s">
        <v>260</v>
      </c>
      <c r="F40" s="8" t="s">
        <v>151</v>
      </c>
      <c r="G40" s="2"/>
      <c r="H40" s="63">
        <f>IFERROR(LOOKUP(H$15,HourlyTimeseries!$A:$A,HourlyTimeseries!$D:$D),"")</f>
        <v>0</v>
      </c>
      <c r="I40" s="63">
        <f>IFERROR(LOOKUP(I$15,HourlyTimeseries!$A:$A,HourlyTimeseries!$D:$D),"")</f>
        <v>0</v>
      </c>
      <c r="J40" s="63">
        <f>IFERROR(LOOKUP(J$15,HourlyTimeseries!$A:$A,HourlyTimeseries!$D:$D),"")</f>
        <v>0</v>
      </c>
      <c r="K40" s="63">
        <f>IFERROR(LOOKUP(K$15,HourlyTimeseries!$A:$A,HourlyTimeseries!$D:$D),"")</f>
        <v>0</v>
      </c>
      <c r="L40" s="63">
        <f>IFERROR(LOOKUP(L$15,HourlyTimeseries!$A:$A,HourlyTimeseries!$D:$D),"")</f>
        <v>0</v>
      </c>
      <c r="M40" s="63">
        <f>IFERROR(LOOKUP(M$15,HourlyTimeseries!$A:$A,HourlyTimeseries!$D:$D),"")</f>
        <v>0</v>
      </c>
      <c r="N40" s="63">
        <f>IFERROR(LOOKUP(N$15,HourlyTimeseries!$A:$A,HourlyTimeseries!$D:$D),"")</f>
        <v>0</v>
      </c>
      <c r="O40" s="63">
        <f>IFERROR(LOOKUP(O$15,HourlyTimeseries!$A:$A,HourlyTimeseries!$D:$D),"")</f>
        <v>0</v>
      </c>
      <c r="P40" s="63">
        <f>IFERROR(LOOKUP(P$15,HourlyTimeseries!$A:$A,HourlyTimeseries!$D:$D),"")</f>
        <v>0</v>
      </c>
      <c r="Q40" s="63">
        <f>IFERROR(LOOKUP(Q$15,HourlyTimeseries!$A:$A,HourlyTimeseries!$D:$D),"")</f>
        <v>0</v>
      </c>
      <c r="R40" s="63">
        <f>IFERROR(LOOKUP(R$15,HourlyTimeseries!$A:$A,HourlyTimeseries!$D:$D),"")</f>
        <v>0</v>
      </c>
      <c r="S40" s="63">
        <f>IFERROR(LOOKUP(S$15,HourlyTimeseries!$A:$A,HourlyTimeseries!$D:$D),"")</f>
        <v>0</v>
      </c>
      <c r="T40" s="63">
        <f>IFERROR(LOOKUP(T$15,HourlyTimeseries!$A:$A,HourlyTimeseries!$D:$D),"")</f>
        <v>0</v>
      </c>
      <c r="U40" s="63">
        <f>IFERROR(LOOKUP(U$15,HourlyTimeseries!$A:$A,HourlyTimeseries!$D:$D),"")</f>
        <v>0</v>
      </c>
      <c r="V40" s="63">
        <f>IFERROR(LOOKUP(V$15,HourlyTimeseries!$A:$A,HourlyTimeseries!$D:$D),"")</f>
        <v>0</v>
      </c>
      <c r="W40" s="63">
        <f>IFERROR(LOOKUP(W$15,HourlyTimeseries!$A:$A,HourlyTimeseries!$D:$D),"")</f>
        <v>0</v>
      </c>
      <c r="X40" s="63">
        <f>IFERROR(LOOKUP(X$15,HourlyTimeseries!$A:$A,HourlyTimeseries!$D:$D),"")</f>
        <v>0</v>
      </c>
      <c r="Y40" s="63">
        <f>IFERROR(LOOKUP(Y$15,HourlyTimeseries!$A:$A,HourlyTimeseries!$D:$D),"")</f>
        <v>0</v>
      </c>
      <c r="Z40" s="63">
        <f>IFERROR(LOOKUP(Z$15,HourlyTimeseries!$A:$A,HourlyTimeseries!$D:$D),"")</f>
        <v>0</v>
      </c>
      <c r="AA40" s="63">
        <f>IFERROR(LOOKUP(AA$15,HourlyTimeseries!$A:$A,HourlyTimeseries!$D:$D),"")</f>
        <v>0</v>
      </c>
      <c r="AB40" s="63">
        <f>IFERROR(LOOKUP(AB$15,HourlyTimeseries!$A:$A,HourlyTimeseries!$D:$D),"")</f>
        <v>0</v>
      </c>
      <c r="AC40" s="63">
        <f>IFERROR(LOOKUP(AC$15,HourlyTimeseries!$A:$A,HourlyTimeseries!$D:$D),"")</f>
        <v>0</v>
      </c>
      <c r="AD40" s="63">
        <f>IFERROR(LOOKUP(AD$15,HourlyTimeseries!$A:$A,HourlyTimeseries!$D:$D),"")</f>
        <v>0</v>
      </c>
      <c r="AE40" s="72">
        <f>IFERROR(LOOKUP(AE$15,HourlyTimeseries!$A:$A,HourlyTimeseries!$D:$D),"")</f>
        <v>0</v>
      </c>
      <c r="AF40" s="79">
        <f>IFERROR(LOOKUP(AF$15,HourlyTimeseries!$A:$A,HourlyTimeseries!$D:$D),"")</f>
        <v>0</v>
      </c>
      <c r="AG40" s="63">
        <f>IFERROR(LOOKUP(AG$15,HourlyTimeseries!$A:$A,HourlyTimeseries!$D:$D),"")</f>
        <v>0</v>
      </c>
      <c r="AH40" s="63">
        <f>IFERROR(LOOKUP(AH$15,HourlyTimeseries!$A:$A,HourlyTimeseries!$D:$D),"")</f>
        <v>0</v>
      </c>
      <c r="AI40" s="63">
        <f>IFERROR(LOOKUP(AI$15,HourlyTimeseries!$A:$A,HourlyTimeseries!$D:$D),"")</f>
        <v>0</v>
      </c>
      <c r="AJ40" s="63">
        <f>IFERROR(LOOKUP(AJ$15,HourlyTimeseries!$A:$A,HourlyTimeseries!$D:$D),"")</f>
        <v>0</v>
      </c>
      <c r="AK40" s="63">
        <f>IFERROR(LOOKUP(AK$15,HourlyTimeseries!$A:$A,HourlyTimeseries!$D:$D),"")</f>
        <v>0</v>
      </c>
      <c r="AL40" s="63">
        <f>IFERROR(LOOKUP(AL$15,HourlyTimeseries!$A:$A,HourlyTimeseries!$D:$D),"")</f>
        <v>0</v>
      </c>
      <c r="AM40" s="63">
        <f>IFERROR(LOOKUP(AM$15,HourlyTimeseries!$A:$A,HourlyTimeseries!$D:$D),"")</f>
        <v>0</v>
      </c>
      <c r="AN40" s="63">
        <f>IFERROR(LOOKUP(AN$15,HourlyTimeseries!$A:$A,HourlyTimeseries!$D:$D),"")</f>
        <v>0</v>
      </c>
      <c r="AO40" s="63">
        <f>IFERROR(LOOKUP(AO$15,HourlyTimeseries!$A:$A,HourlyTimeseries!$D:$D),"")</f>
        <v>0</v>
      </c>
      <c r="AP40" s="63">
        <f>IFERROR(LOOKUP(AP$15,HourlyTimeseries!$A:$A,HourlyTimeseries!$D:$D),"")</f>
        <v>0</v>
      </c>
      <c r="AQ40" s="63">
        <f>IFERROR(LOOKUP(AQ$15,HourlyTimeseries!$A:$A,HourlyTimeseries!$D:$D),"")</f>
        <v>0</v>
      </c>
      <c r="AR40" s="63">
        <f>IFERROR(LOOKUP(AR$15,HourlyTimeseries!$A:$A,HourlyTimeseries!$D:$D),"")</f>
        <v>0</v>
      </c>
      <c r="AS40" s="63">
        <f>IFERROR(LOOKUP(AS$15,HourlyTimeseries!$A:$A,HourlyTimeseries!$D:$D),"")</f>
        <v>0</v>
      </c>
      <c r="AT40" s="63">
        <f>IFERROR(LOOKUP(AT$15,HourlyTimeseries!$A:$A,HourlyTimeseries!$D:$D),"")</f>
        <v>0</v>
      </c>
      <c r="AU40" s="63">
        <f>IFERROR(LOOKUP(AU$15,HourlyTimeseries!$A:$A,HourlyTimeseries!$D:$D),"")</f>
        <v>0</v>
      </c>
      <c r="AV40" s="63">
        <f>IFERROR(LOOKUP(AV$15,HourlyTimeseries!$A:$A,HourlyTimeseries!$D:$D),"")</f>
        <v>0</v>
      </c>
      <c r="AW40" s="63">
        <f>IFERROR(LOOKUP(AW$15,HourlyTimeseries!$A:$A,HourlyTimeseries!$D:$D),"")</f>
        <v>0</v>
      </c>
      <c r="AX40" s="63">
        <f>IFERROR(LOOKUP(AX$15,HourlyTimeseries!$A:$A,HourlyTimeseries!$D:$D),"")</f>
        <v>0</v>
      </c>
      <c r="AY40" s="63">
        <f>IFERROR(LOOKUP(AY$15,HourlyTimeseries!$A:$A,HourlyTimeseries!$D:$D),"")</f>
        <v>0</v>
      </c>
      <c r="AZ40" s="63">
        <f>IFERROR(LOOKUP(AZ$15,HourlyTimeseries!$A:$A,HourlyTimeseries!$D:$D),"")</f>
        <v>0</v>
      </c>
      <c r="BA40" s="63">
        <f>IFERROR(LOOKUP(BA$15,HourlyTimeseries!$A:$A,HourlyTimeseries!$D:$D),"")</f>
        <v>0</v>
      </c>
      <c r="BB40" s="63">
        <f>IFERROR(LOOKUP(BB$15,HourlyTimeseries!$A:$A,HourlyTimeseries!$D:$D),"")</f>
        <v>0</v>
      </c>
      <c r="BC40" s="72">
        <f>IFERROR(LOOKUP(BC$15,HourlyTimeseries!$A:$A,HourlyTimeseries!$D:$D),"")</f>
        <v>0</v>
      </c>
      <c r="BD40" s="79">
        <f>IFERROR(LOOKUP(BD$15,HourlyTimeseries!$A:$A,HourlyTimeseries!$D:$D),"")</f>
        <v>0</v>
      </c>
      <c r="BE40" s="63">
        <f>IFERROR(LOOKUP(BE$15,HourlyTimeseries!$A:$A,HourlyTimeseries!$D:$D),"")</f>
        <v>0</v>
      </c>
      <c r="BF40" s="63">
        <f>IFERROR(LOOKUP(BF$15,HourlyTimeseries!$A:$A,HourlyTimeseries!$D:$D),"")</f>
        <v>0</v>
      </c>
      <c r="BG40" s="63">
        <f>IFERROR(LOOKUP(BG$15,HourlyTimeseries!$A:$A,HourlyTimeseries!$D:$D),"")</f>
        <v>0</v>
      </c>
      <c r="BH40" s="63">
        <f>IFERROR(LOOKUP(BH$15,HourlyTimeseries!$A:$A,HourlyTimeseries!$D:$D),"")</f>
        <v>0</v>
      </c>
      <c r="BI40" s="63">
        <f>IFERROR(LOOKUP(BI$15,HourlyTimeseries!$A:$A,HourlyTimeseries!$D:$D),"")</f>
        <v>0</v>
      </c>
      <c r="BJ40" s="63">
        <f>IFERROR(LOOKUP(BJ$15,HourlyTimeseries!$A:$A,HourlyTimeseries!$D:$D),"")</f>
        <v>0</v>
      </c>
      <c r="BK40" s="63">
        <f>IFERROR(LOOKUP(BK$15,HourlyTimeseries!$A:$A,HourlyTimeseries!$D:$D),"")</f>
        <v>0</v>
      </c>
      <c r="BL40" s="63">
        <f>IFERROR(LOOKUP(BL$15,HourlyTimeseries!$A:$A,HourlyTimeseries!$D:$D),"")</f>
        <v>0</v>
      </c>
      <c r="BM40" s="63">
        <f>IFERROR(LOOKUP(BM$15,HourlyTimeseries!$A:$A,HourlyTimeseries!$D:$D),"")</f>
        <v>0</v>
      </c>
      <c r="BN40" s="63">
        <f>IFERROR(LOOKUP(BN$15,HourlyTimeseries!$A:$A,HourlyTimeseries!$D:$D),"")</f>
        <v>0</v>
      </c>
      <c r="BO40" s="63">
        <f>IFERROR(LOOKUP(BO$15,HourlyTimeseries!$A:$A,HourlyTimeseries!$D:$D),"")</f>
        <v>0</v>
      </c>
      <c r="BP40" s="63">
        <f>IFERROR(LOOKUP(BP$15,HourlyTimeseries!$A:$A,HourlyTimeseries!$D:$D),"")</f>
        <v>0</v>
      </c>
      <c r="BQ40" s="63">
        <f>IFERROR(LOOKUP(BQ$15,HourlyTimeseries!$A:$A,HourlyTimeseries!$D:$D),"")</f>
        <v>0</v>
      </c>
      <c r="BR40" s="63">
        <f>IFERROR(LOOKUP(BR$15,HourlyTimeseries!$A:$A,HourlyTimeseries!$D:$D),"")</f>
        <v>0</v>
      </c>
      <c r="BS40" s="63">
        <f>IFERROR(LOOKUP(BS$15,HourlyTimeseries!$A:$A,HourlyTimeseries!$D:$D),"")</f>
        <v>0</v>
      </c>
      <c r="BT40" s="63">
        <f>IFERROR(LOOKUP(BT$15,HourlyTimeseries!$A:$A,HourlyTimeseries!$D:$D),"")</f>
        <v>0</v>
      </c>
      <c r="BU40" s="63">
        <f>IFERROR(LOOKUP(BU$15,HourlyTimeseries!$A:$A,HourlyTimeseries!$D:$D),"")</f>
        <v>0</v>
      </c>
      <c r="BV40" s="63">
        <f>IFERROR(LOOKUP(BV$15,HourlyTimeseries!$A:$A,HourlyTimeseries!$D:$D),"")</f>
        <v>0</v>
      </c>
      <c r="BW40" s="63">
        <f>IFERROR(LOOKUP(BW$15,HourlyTimeseries!$A:$A,HourlyTimeseries!$D:$D),"")</f>
        <v>0</v>
      </c>
      <c r="BX40" s="63">
        <f>IFERROR(LOOKUP(BX$15,HourlyTimeseries!$A:$A,HourlyTimeseries!$D:$D),"")</f>
        <v>0</v>
      </c>
      <c r="BY40" s="63">
        <f>IFERROR(LOOKUP(BY$15,HourlyTimeseries!$A:$A,HourlyTimeseries!$D:$D),"")</f>
        <v>0</v>
      </c>
      <c r="BZ40" s="63">
        <f>IFERROR(LOOKUP(BZ$15,HourlyTimeseries!$A:$A,HourlyTimeseries!$D:$D),"")</f>
        <v>0</v>
      </c>
      <c r="CA40" s="72">
        <f>IFERROR(LOOKUP(CA$15,HourlyTimeseries!$A:$A,HourlyTimeseries!$D:$D),"")</f>
        <v>0</v>
      </c>
      <c r="CB40" s="79">
        <f>IFERROR(LOOKUP(CB$15,HourlyTimeseries!$A:$A,HourlyTimeseries!$D:$D),"")</f>
        <v>0</v>
      </c>
      <c r="CC40" s="63">
        <f>IFERROR(LOOKUP(CC$15,HourlyTimeseries!$A:$A,HourlyTimeseries!$D:$D),"")</f>
        <v>0</v>
      </c>
      <c r="CD40" s="63">
        <f>IFERROR(LOOKUP(CD$15,HourlyTimeseries!$A:$A,HourlyTimeseries!$D:$D),"")</f>
        <v>0</v>
      </c>
      <c r="CE40" s="63">
        <f>IFERROR(LOOKUP(CE$15,HourlyTimeseries!$A:$A,HourlyTimeseries!$D:$D),"")</f>
        <v>0</v>
      </c>
      <c r="CF40" s="63">
        <f>IFERROR(LOOKUP(CF$15,HourlyTimeseries!$A:$A,HourlyTimeseries!$D:$D),"")</f>
        <v>0</v>
      </c>
      <c r="CG40" s="63">
        <f>IFERROR(LOOKUP(CG$15,HourlyTimeseries!$A:$A,HourlyTimeseries!$D:$D),"")</f>
        <v>0</v>
      </c>
      <c r="CH40" s="63">
        <f>IFERROR(LOOKUP(CH$15,HourlyTimeseries!$A:$A,HourlyTimeseries!$D:$D),"")</f>
        <v>0</v>
      </c>
      <c r="CI40" s="63">
        <f>IFERROR(LOOKUP(CI$15,HourlyTimeseries!$A:$A,HourlyTimeseries!$D:$D),"")</f>
        <v>0</v>
      </c>
      <c r="CJ40" s="63">
        <f>IFERROR(LOOKUP(CJ$15,HourlyTimeseries!$A:$A,HourlyTimeseries!$D:$D),"")</f>
        <v>0</v>
      </c>
      <c r="CK40" s="63">
        <f>IFERROR(LOOKUP(CK$15,HourlyTimeseries!$A:$A,HourlyTimeseries!$D:$D),"")</f>
        <v>0</v>
      </c>
      <c r="CL40" s="63">
        <f>IFERROR(LOOKUP(CL$15,HourlyTimeseries!$A:$A,HourlyTimeseries!$D:$D),"")</f>
        <v>0</v>
      </c>
      <c r="CM40" s="63">
        <f>IFERROR(LOOKUP(CM$15,HourlyTimeseries!$A:$A,HourlyTimeseries!$D:$D),"")</f>
        <v>0</v>
      </c>
      <c r="CN40" s="63">
        <f>IFERROR(LOOKUP(CN$15,HourlyTimeseries!$A:$A,HourlyTimeseries!$D:$D),"")</f>
        <v>0</v>
      </c>
      <c r="CO40" s="63">
        <f>IFERROR(LOOKUP(CO$15,HourlyTimeseries!$A:$A,HourlyTimeseries!$D:$D),"")</f>
        <v>0</v>
      </c>
      <c r="CP40" s="63">
        <f>IFERROR(LOOKUP(CP$15,HourlyTimeseries!$A:$A,HourlyTimeseries!$D:$D),"")</f>
        <v>0</v>
      </c>
      <c r="CQ40" s="63">
        <f>IFERROR(LOOKUP(CQ$15,HourlyTimeseries!$A:$A,HourlyTimeseries!$D:$D),"")</f>
        <v>0</v>
      </c>
      <c r="CR40" s="63">
        <f>IFERROR(LOOKUP(CR$15,HourlyTimeseries!$A:$A,HourlyTimeseries!$D:$D),"")</f>
        <v>0</v>
      </c>
      <c r="CS40" s="63">
        <f>IFERROR(LOOKUP(CS$15,HourlyTimeseries!$A:$A,HourlyTimeseries!$D:$D),"")</f>
        <v>0</v>
      </c>
      <c r="CT40" s="63">
        <f>IFERROR(LOOKUP(CT$15,HourlyTimeseries!$A:$A,HourlyTimeseries!$D:$D),"")</f>
        <v>0</v>
      </c>
      <c r="CU40" s="63">
        <f>IFERROR(LOOKUP(CU$15,HourlyTimeseries!$A:$A,HourlyTimeseries!$D:$D),"")</f>
        <v>0</v>
      </c>
      <c r="CV40" s="63">
        <f>IFERROR(LOOKUP(CV$15,HourlyTimeseries!$A:$A,HourlyTimeseries!$D:$D),"")</f>
        <v>0</v>
      </c>
      <c r="CW40" s="63">
        <f>IFERROR(LOOKUP(CW$15,HourlyTimeseries!$A:$A,HourlyTimeseries!$D:$D),"")</f>
        <v>0</v>
      </c>
      <c r="CX40" s="63">
        <f>IFERROR(LOOKUP(CX$15,HourlyTimeseries!$A:$A,HourlyTimeseries!$D:$D),"")</f>
        <v>0</v>
      </c>
      <c r="CY40" s="72">
        <f>IFERROR(LOOKUP(CY$15,HourlyTimeseries!$A:$A,HourlyTimeseries!$D:$D),"")</f>
        <v>0</v>
      </c>
      <c r="CZ40" s="79">
        <f>IFERROR(LOOKUP(CZ$15,HourlyTimeseries!$A:$A,HourlyTimeseries!$D:$D),"")</f>
        <v>0</v>
      </c>
      <c r="DA40" s="63">
        <f>IFERROR(LOOKUP(DA$15,HourlyTimeseries!$A:$A,HourlyTimeseries!$D:$D),"")</f>
        <v>0</v>
      </c>
      <c r="DB40" s="63">
        <f>IFERROR(LOOKUP(DB$15,HourlyTimeseries!$A:$A,HourlyTimeseries!$D:$D),"")</f>
        <v>0</v>
      </c>
      <c r="DC40" s="63">
        <f>IFERROR(LOOKUP(DC$15,HourlyTimeseries!$A:$A,HourlyTimeseries!$D:$D),"")</f>
        <v>0</v>
      </c>
      <c r="DD40" s="63">
        <f>IFERROR(LOOKUP(DD$15,HourlyTimeseries!$A:$A,HourlyTimeseries!$D:$D),"")</f>
        <v>0</v>
      </c>
      <c r="DE40" s="63">
        <f>IFERROR(LOOKUP(DE$15,HourlyTimeseries!$A:$A,HourlyTimeseries!$D:$D),"")</f>
        <v>0</v>
      </c>
      <c r="DF40" s="63">
        <f>IFERROR(LOOKUP(DF$15,HourlyTimeseries!$A:$A,HourlyTimeseries!$D:$D),"")</f>
        <v>0</v>
      </c>
      <c r="DG40" s="63">
        <f>IFERROR(LOOKUP(DG$15,HourlyTimeseries!$A:$A,HourlyTimeseries!$D:$D),"")</f>
        <v>0</v>
      </c>
      <c r="DH40" s="63">
        <f>IFERROR(LOOKUP(DH$15,HourlyTimeseries!$A:$A,HourlyTimeseries!$D:$D),"")</f>
        <v>0</v>
      </c>
      <c r="DI40" s="63">
        <f>IFERROR(LOOKUP(DI$15,HourlyTimeseries!$A:$A,HourlyTimeseries!$D:$D),"")</f>
        <v>0</v>
      </c>
      <c r="DJ40" s="63">
        <f>IFERROR(LOOKUP(DJ$15,HourlyTimeseries!$A:$A,HourlyTimeseries!$D:$D),"")</f>
        <v>0</v>
      </c>
      <c r="DK40" s="63">
        <f>IFERROR(LOOKUP(DK$15,HourlyTimeseries!$A:$A,HourlyTimeseries!$D:$D),"")</f>
        <v>0</v>
      </c>
      <c r="DL40" s="63">
        <f>IFERROR(LOOKUP(DL$15,HourlyTimeseries!$A:$A,HourlyTimeseries!$D:$D),"")</f>
        <v>0</v>
      </c>
      <c r="DM40" s="63">
        <f>IFERROR(LOOKUP(DM$15,HourlyTimeseries!$A:$A,HourlyTimeseries!$D:$D),"")</f>
        <v>0</v>
      </c>
      <c r="DN40" s="63">
        <f>IFERROR(LOOKUP(DN$15,HourlyTimeseries!$A:$A,HourlyTimeseries!$D:$D),"")</f>
        <v>0</v>
      </c>
      <c r="DO40" s="63">
        <f>IFERROR(LOOKUP(DO$15,HourlyTimeseries!$A:$A,HourlyTimeseries!$D:$D),"")</f>
        <v>0</v>
      </c>
      <c r="DP40" s="63">
        <f>IFERROR(LOOKUP(DP$15,HourlyTimeseries!$A:$A,HourlyTimeseries!$D:$D),"")</f>
        <v>0</v>
      </c>
      <c r="DQ40" s="63">
        <f>IFERROR(LOOKUP(DQ$15,HourlyTimeseries!$A:$A,HourlyTimeseries!$D:$D),"")</f>
        <v>0</v>
      </c>
      <c r="DR40" s="63">
        <f>IFERROR(LOOKUP(DR$15,HourlyTimeseries!$A:$A,HourlyTimeseries!$D:$D),"")</f>
        <v>0</v>
      </c>
      <c r="DS40" s="63">
        <f>IFERROR(LOOKUP(DS$15,HourlyTimeseries!$A:$A,HourlyTimeseries!$D:$D),"")</f>
        <v>0</v>
      </c>
      <c r="DT40" s="63">
        <f>IFERROR(LOOKUP(DT$15,HourlyTimeseries!$A:$A,HourlyTimeseries!$D:$D),"")</f>
        <v>0</v>
      </c>
      <c r="DU40" s="63">
        <f>IFERROR(LOOKUP(DU$15,HourlyTimeseries!$A:$A,HourlyTimeseries!$D:$D),"")</f>
        <v>0</v>
      </c>
      <c r="DV40" s="63">
        <f>IFERROR(LOOKUP(DV$15,HourlyTimeseries!$A:$A,HourlyTimeseries!$D:$D),"")</f>
        <v>0</v>
      </c>
      <c r="DW40" s="72">
        <f>IFERROR(LOOKUP(DW$15,HourlyTimeseries!$A:$A,HourlyTimeseries!$D:$D),"")</f>
        <v>0</v>
      </c>
      <c r="DX40" s="79">
        <f>IFERROR(LOOKUP(DX$15,HourlyTimeseries!$A:$A,HourlyTimeseries!$D:$D),"")</f>
        <v>0</v>
      </c>
      <c r="DY40" s="63">
        <f>IFERROR(LOOKUP(DY$15,HourlyTimeseries!$A:$A,HourlyTimeseries!$D:$D),"")</f>
        <v>0</v>
      </c>
      <c r="DZ40" s="63">
        <f>IFERROR(LOOKUP(DZ$15,HourlyTimeseries!$A:$A,HourlyTimeseries!$D:$D),"")</f>
        <v>0</v>
      </c>
      <c r="EA40" s="63">
        <f>IFERROR(LOOKUP(EA$15,HourlyTimeseries!$A:$A,HourlyTimeseries!$D:$D),"")</f>
        <v>0</v>
      </c>
      <c r="EB40" s="63">
        <f>IFERROR(LOOKUP(EB$15,HourlyTimeseries!$A:$A,HourlyTimeseries!$D:$D),"")</f>
        <v>0</v>
      </c>
      <c r="EC40" s="63">
        <f>IFERROR(LOOKUP(EC$15,HourlyTimeseries!$A:$A,HourlyTimeseries!$D:$D),"")</f>
        <v>0</v>
      </c>
      <c r="ED40" s="63">
        <f>IFERROR(LOOKUP(ED$15,HourlyTimeseries!$A:$A,HourlyTimeseries!$D:$D),"")</f>
        <v>0</v>
      </c>
      <c r="EE40" s="63">
        <f>IFERROR(LOOKUP(EE$15,HourlyTimeseries!$A:$A,HourlyTimeseries!$D:$D),"")</f>
        <v>0</v>
      </c>
      <c r="EF40" s="63">
        <f>IFERROR(LOOKUP(EF$15,HourlyTimeseries!$A:$A,HourlyTimeseries!$D:$D),"")</f>
        <v>0</v>
      </c>
      <c r="EG40" s="63">
        <f>IFERROR(LOOKUP(EG$15,HourlyTimeseries!$A:$A,HourlyTimeseries!$D:$D),"")</f>
        <v>0</v>
      </c>
      <c r="EH40" s="63">
        <f>IFERROR(LOOKUP(EH$15,HourlyTimeseries!$A:$A,HourlyTimeseries!$D:$D),"")</f>
        <v>0</v>
      </c>
      <c r="EI40" s="63">
        <f>IFERROR(LOOKUP(EI$15,HourlyTimeseries!$A:$A,HourlyTimeseries!$D:$D),"")</f>
        <v>0</v>
      </c>
      <c r="EJ40" s="63">
        <f>IFERROR(LOOKUP(EJ$15,HourlyTimeseries!$A:$A,HourlyTimeseries!$D:$D),"")</f>
        <v>0</v>
      </c>
      <c r="EK40" s="63">
        <f>IFERROR(LOOKUP(EK$15,HourlyTimeseries!$A:$A,HourlyTimeseries!$D:$D),"")</f>
        <v>0</v>
      </c>
      <c r="EL40" s="63">
        <f>IFERROR(LOOKUP(EL$15,HourlyTimeseries!$A:$A,HourlyTimeseries!$D:$D),"")</f>
        <v>0</v>
      </c>
      <c r="EM40" s="63">
        <f>IFERROR(LOOKUP(EM$15,HourlyTimeseries!$A:$A,HourlyTimeseries!$D:$D),"")</f>
        <v>0</v>
      </c>
      <c r="EN40" s="63">
        <f>IFERROR(LOOKUP(EN$15,HourlyTimeseries!$A:$A,HourlyTimeseries!$D:$D),"")</f>
        <v>0</v>
      </c>
      <c r="EO40" s="63">
        <f>IFERROR(LOOKUP(EO$15,HourlyTimeseries!$A:$A,HourlyTimeseries!$D:$D),"")</f>
        <v>0</v>
      </c>
      <c r="EP40" s="63">
        <f>IFERROR(LOOKUP(EP$15,HourlyTimeseries!$A:$A,HourlyTimeseries!$D:$D),"")</f>
        <v>0</v>
      </c>
      <c r="EQ40" s="63">
        <f>IFERROR(LOOKUP(EQ$15,HourlyTimeseries!$A:$A,HourlyTimeseries!$D:$D),"")</f>
        <v>0</v>
      </c>
      <c r="ER40" s="63">
        <f>IFERROR(LOOKUP(ER$15,HourlyTimeseries!$A:$A,HourlyTimeseries!$D:$D),"")</f>
        <v>0</v>
      </c>
      <c r="ES40" s="63">
        <f>IFERROR(LOOKUP(ES$15,HourlyTimeseries!$A:$A,HourlyTimeseries!$D:$D),"")</f>
        <v>0</v>
      </c>
      <c r="ET40" s="63">
        <f>IFERROR(LOOKUP(ET$15,HourlyTimeseries!$A:$A,HourlyTimeseries!$D:$D),"")</f>
        <v>0</v>
      </c>
      <c r="EU40" s="72">
        <f>IFERROR(LOOKUP(EU$15,HourlyTimeseries!$A:$A,HourlyTimeseries!$D:$D),"")</f>
        <v>0</v>
      </c>
      <c r="EV40" s="79">
        <f>IFERROR(LOOKUP(EV$15,HourlyTimeseries!$A:$A,HourlyTimeseries!$D:$D),"")</f>
        <v>0</v>
      </c>
      <c r="EW40" s="63">
        <f>IFERROR(LOOKUP(EW$15,HourlyTimeseries!$A:$A,HourlyTimeseries!$D:$D),"")</f>
        <v>0</v>
      </c>
      <c r="EX40" s="63">
        <f>IFERROR(LOOKUP(EX$15,HourlyTimeseries!$A:$A,HourlyTimeseries!$D:$D),"")</f>
        <v>0</v>
      </c>
      <c r="EY40" s="63">
        <f>IFERROR(LOOKUP(EY$15,HourlyTimeseries!$A:$A,HourlyTimeseries!$D:$D),"")</f>
        <v>0</v>
      </c>
      <c r="EZ40" s="63">
        <f>IFERROR(LOOKUP(EZ$15,HourlyTimeseries!$A:$A,HourlyTimeseries!$D:$D),"")</f>
        <v>0</v>
      </c>
      <c r="FA40" s="63">
        <f>IFERROR(LOOKUP(FA$15,HourlyTimeseries!$A:$A,HourlyTimeseries!$D:$D),"")</f>
        <v>0</v>
      </c>
      <c r="FB40" s="63">
        <f>IFERROR(LOOKUP(FB$15,HourlyTimeseries!$A:$A,HourlyTimeseries!$D:$D),"")</f>
        <v>0</v>
      </c>
      <c r="FC40" s="63">
        <f>IFERROR(LOOKUP(FC$15,HourlyTimeseries!$A:$A,HourlyTimeseries!$D:$D),"")</f>
        <v>0</v>
      </c>
      <c r="FD40" s="63">
        <f>IFERROR(LOOKUP(FD$15,HourlyTimeseries!$A:$A,HourlyTimeseries!$D:$D),"")</f>
        <v>0</v>
      </c>
      <c r="FE40" s="63">
        <f>IFERROR(LOOKUP(FE$15,HourlyTimeseries!$A:$A,HourlyTimeseries!$D:$D),"")</f>
        <v>0</v>
      </c>
      <c r="FF40" s="63">
        <f>IFERROR(LOOKUP(FF$15,HourlyTimeseries!$A:$A,HourlyTimeseries!$D:$D),"")</f>
        <v>0</v>
      </c>
      <c r="FG40" s="63">
        <f>IFERROR(LOOKUP(FG$15,HourlyTimeseries!$A:$A,HourlyTimeseries!$D:$D),"")</f>
        <v>0</v>
      </c>
      <c r="FH40" s="63">
        <f>IFERROR(LOOKUP(FH$15,HourlyTimeseries!$A:$A,HourlyTimeseries!$D:$D),"")</f>
        <v>0</v>
      </c>
      <c r="FI40" s="63">
        <f>IFERROR(LOOKUP(FI$15,HourlyTimeseries!$A:$A,HourlyTimeseries!$D:$D),"")</f>
        <v>0</v>
      </c>
      <c r="FJ40" s="63">
        <f>IFERROR(LOOKUP(FJ$15,HourlyTimeseries!$A:$A,HourlyTimeseries!$D:$D),"")</f>
        <v>0</v>
      </c>
      <c r="FK40" s="63">
        <f>IFERROR(LOOKUP(FK$15,HourlyTimeseries!$A:$A,HourlyTimeseries!$D:$D),"")</f>
        <v>0</v>
      </c>
      <c r="FL40" s="63">
        <f>IFERROR(LOOKUP(FL$15,HourlyTimeseries!$A:$A,HourlyTimeseries!$D:$D),"")</f>
        <v>0</v>
      </c>
      <c r="FM40" s="63">
        <f>IFERROR(LOOKUP(FM$15,HourlyTimeseries!$A:$A,HourlyTimeseries!$D:$D),"")</f>
        <v>0</v>
      </c>
      <c r="FN40" s="63">
        <f>IFERROR(LOOKUP(FN$15,HourlyTimeseries!$A:$A,HourlyTimeseries!$D:$D),"")</f>
        <v>0</v>
      </c>
      <c r="FO40" s="63">
        <f>IFERROR(LOOKUP(FO$15,HourlyTimeseries!$A:$A,HourlyTimeseries!$D:$D),"")</f>
        <v>0</v>
      </c>
      <c r="FP40" s="63">
        <f>IFERROR(LOOKUP(FP$15,HourlyTimeseries!$A:$A,HourlyTimeseries!$D:$D),"")</f>
        <v>0</v>
      </c>
      <c r="FQ40" s="63">
        <f>IFERROR(LOOKUP(FQ$15,HourlyTimeseries!$A:$A,HourlyTimeseries!$D:$D),"")</f>
        <v>0</v>
      </c>
      <c r="FR40" s="63">
        <f>IFERROR(LOOKUP(FR$15,HourlyTimeseries!$A:$A,HourlyTimeseries!$D:$D),"")</f>
        <v>0</v>
      </c>
      <c r="FS40" s="72">
        <f>IFERROR(LOOKUP(FS$15,HourlyTimeseries!$A:$A,HourlyTimeseries!$D:$D),"")</f>
        <v>0</v>
      </c>
    </row>
    <row r="41" spans="4:175" x14ac:dyDescent="0.2">
      <c r="D41" s="15" t="s">
        <v>80</v>
      </c>
      <c r="E41" s="2" t="s">
        <v>74</v>
      </c>
      <c r="F41" s="8" t="s">
        <v>151</v>
      </c>
      <c r="G41" s="2"/>
      <c r="H41" s="63">
        <f>IFERROR(LOOKUP(H$15,HourlyTimeseries!$A:$A,HourlyTimeseries!$E:$E),"")</f>
        <v>700</v>
      </c>
      <c r="I41" s="63">
        <f>IFERROR(LOOKUP(I$15,HourlyTimeseries!$A:$A,HourlyTimeseries!$E:$E),"")</f>
        <v>700</v>
      </c>
      <c r="J41" s="63">
        <f>IFERROR(LOOKUP(J$15,HourlyTimeseries!$A:$A,HourlyTimeseries!$E:$E),"")</f>
        <v>700</v>
      </c>
      <c r="K41" s="63">
        <f>IFERROR(LOOKUP(K$15,HourlyTimeseries!$A:$A,HourlyTimeseries!$E:$E),"")</f>
        <v>700</v>
      </c>
      <c r="L41" s="63">
        <f>IFERROR(LOOKUP(L$15,HourlyTimeseries!$A:$A,HourlyTimeseries!$E:$E),"")</f>
        <v>700</v>
      </c>
      <c r="M41" s="63">
        <f>IFERROR(LOOKUP(M$15,HourlyTimeseries!$A:$A,HourlyTimeseries!$E:$E),"")</f>
        <v>700</v>
      </c>
      <c r="N41" s="63">
        <f>IFERROR(LOOKUP(N$15,HourlyTimeseries!$A:$A,HourlyTimeseries!$E:$E),"")</f>
        <v>700</v>
      </c>
      <c r="O41" s="63">
        <f>IFERROR(LOOKUP(O$15,HourlyTimeseries!$A:$A,HourlyTimeseries!$E:$E),"")</f>
        <v>700</v>
      </c>
      <c r="P41" s="63">
        <f>IFERROR(LOOKUP(P$15,HourlyTimeseries!$A:$A,HourlyTimeseries!$E:$E),"")</f>
        <v>700</v>
      </c>
      <c r="Q41" s="63">
        <f>IFERROR(LOOKUP(Q$15,HourlyTimeseries!$A:$A,HourlyTimeseries!$E:$E),"")</f>
        <v>700</v>
      </c>
      <c r="R41" s="63">
        <f>IFERROR(LOOKUP(R$15,HourlyTimeseries!$A:$A,HourlyTimeseries!$E:$E),"")</f>
        <v>700</v>
      </c>
      <c r="S41" s="63">
        <f>IFERROR(LOOKUP(S$15,HourlyTimeseries!$A:$A,HourlyTimeseries!$E:$E),"")</f>
        <v>700</v>
      </c>
      <c r="T41" s="63">
        <f>IFERROR(LOOKUP(T$15,HourlyTimeseries!$A:$A,HourlyTimeseries!$E:$E),"")</f>
        <v>700</v>
      </c>
      <c r="U41" s="63">
        <f>IFERROR(LOOKUP(U$15,HourlyTimeseries!$A:$A,HourlyTimeseries!$E:$E),"")</f>
        <v>700</v>
      </c>
      <c r="V41" s="63">
        <f>IFERROR(LOOKUP(V$15,HourlyTimeseries!$A:$A,HourlyTimeseries!$E:$E),"")</f>
        <v>700</v>
      </c>
      <c r="W41" s="63">
        <f>IFERROR(LOOKUP(W$15,HourlyTimeseries!$A:$A,HourlyTimeseries!$E:$E),"")</f>
        <v>700</v>
      </c>
      <c r="X41" s="63">
        <f>IFERROR(LOOKUP(X$15,HourlyTimeseries!$A:$A,HourlyTimeseries!$E:$E),"")</f>
        <v>700</v>
      </c>
      <c r="Y41" s="63">
        <f>IFERROR(LOOKUP(Y$15,HourlyTimeseries!$A:$A,HourlyTimeseries!$E:$E),"")</f>
        <v>700</v>
      </c>
      <c r="Z41" s="63">
        <f>IFERROR(LOOKUP(Z$15,HourlyTimeseries!$A:$A,HourlyTimeseries!$E:$E),"")</f>
        <v>700</v>
      </c>
      <c r="AA41" s="63">
        <f>IFERROR(LOOKUP(AA$15,HourlyTimeseries!$A:$A,HourlyTimeseries!$E:$E),"")</f>
        <v>700</v>
      </c>
      <c r="AB41" s="63">
        <f>IFERROR(LOOKUP(AB$15,HourlyTimeseries!$A:$A,HourlyTimeseries!$E:$E),"")</f>
        <v>700</v>
      </c>
      <c r="AC41" s="63">
        <f>IFERROR(LOOKUP(AC$15,HourlyTimeseries!$A:$A,HourlyTimeseries!$E:$E),"")</f>
        <v>700</v>
      </c>
      <c r="AD41" s="63">
        <f>IFERROR(LOOKUP(AD$15,HourlyTimeseries!$A:$A,HourlyTimeseries!$E:$E),"")</f>
        <v>700</v>
      </c>
      <c r="AE41" s="72">
        <f>IFERROR(LOOKUP(AE$15,HourlyTimeseries!$A:$A,HourlyTimeseries!$E:$E),"")</f>
        <v>700</v>
      </c>
      <c r="AF41" s="79">
        <f>IFERROR(LOOKUP(AF$15,HourlyTimeseries!$A:$A,HourlyTimeseries!$E:$E),"")</f>
        <v>700</v>
      </c>
      <c r="AG41" s="63">
        <f>IFERROR(LOOKUP(AG$15,HourlyTimeseries!$A:$A,HourlyTimeseries!$E:$E),"")</f>
        <v>700</v>
      </c>
      <c r="AH41" s="63">
        <f>IFERROR(LOOKUP(AH$15,HourlyTimeseries!$A:$A,HourlyTimeseries!$E:$E),"")</f>
        <v>700</v>
      </c>
      <c r="AI41" s="63">
        <f>IFERROR(LOOKUP(AI$15,HourlyTimeseries!$A:$A,HourlyTimeseries!$E:$E),"")</f>
        <v>700</v>
      </c>
      <c r="AJ41" s="63">
        <f>IFERROR(LOOKUP(AJ$15,HourlyTimeseries!$A:$A,HourlyTimeseries!$E:$E),"")</f>
        <v>700</v>
      </c>
      <c r="AK41" s="63">
        <f>IFERROR(LOOKUP(AK$15,HourlyTimeseries!$A:$A,HourlyTimeseries!$E:$E),"")</f>
        <v>700</v>
      </c>
      <c r="AL41" s="63">
        <f>IFERROR(LOOKUP(AL$15,HourlyTimeseries!$A:$A,HourlyTimeseries!$E:$E),"")</f>
        <v>700</v>
      </c>
      <c r="AM41" s="63">
        <f>IFERROR(LOOKUP(AM$15,HourlyTimeseries!$A:$A,HourlyTimeseries!$E:$E),"")</f>
        <v>700</v>
      </c>
      <c r="AN41" s="63">
        <f>IFERROR(LOOKUP(AN$15,HourlyTimeseries!$A:$A,HourlyTimeseries!$E:$E),"")</f>
        <v>700</v>
      </c>
      <c r="AO41" s="63">
        <f>IFERROR(LOOKUP(AO$15,HourlyTimeseries!$A:$A,HourlyTimeseries!$E:$E),"")</f>
        <v>700</v>
      </c>
      <c r="AP41" s="63">
        <f>IFERROR(LOOKUP(AP$15,HourlyTimeseries!$A:$A,HourlyTimeseries!$E:$E),"")</f>
        <v>700</v>
      </c>
      <c r="AQ41" s="63">
        <f>IFERROR(LOOKUP(AQ$15,HourlyTimeseries!$A:$A,HourlyTimeseries!$E:$E),"")</f>
        <v>700</v>
      </c>
      <c r="AR41" s="63">
        <f>IFERROR(LOOKUP(AR$15,HourlyTimeseries!$A:$A,HourlyTimeseries!$E:$E),"")</f>
        <v>700</v>
      </c>
      <c r="AS41" s="63">
        <f>IFERROR(LOOKUP(AS$15,HourlyTimeseries!$A:$A,HourlyTimeseries!$E:$E),"")</f>
        <v>700</v>
      </c>
      <c r="AT41" s="63">
        <f>IFERROR(LOOKUP(AT$15,HourlyTimeseries!$A:$A,HourlyTimeseries!$E:$E),"")</f>
        <v>700</v>
      </c>
      <c r="AU41" s="63">
        <f>IFERROR(LOOKUP(AU$15,HourlyTimeseries!$A:$A,HourlyTimeseries!$E:$E),"")</f>
        <v>700</v>
      </c>
      <c r="AV41" s="63">
        <f>IFERROR(LOOKUP(AV$15,HourlyTimeseries!$A:$A,HourlyTimeseries!$E:$E),"")</f>
        <v>700</v>
      </c>
      <c r="AW41" s="63">
        <f>IFERROR(LOOKUP(AW$15,HourlyTimeseries!$A:$A,HourlyTimeseries!$E:$E),"")</f>
        <v>700</v>
      </c>
      <c r="AX41" s="63">
        <f>IFERROR(LOOKUP(AX$15,HourlyTimeseries!$A:$A,HourlyTimeseries!$E:$E),"")</f>
        <v>700</v>
      </c>
      <c r="AY41" s="63">
        <f>IFERROR(LOOKUP(AY$15,HourlyTimeseries!$A:$A,HourlyTimeseries!$E:$E),"")</f>
        <v>700</v>
      </c>
      <c r="AZ41" s="63">
        <f>IFERROR(LOOKUP(AZ$15,HourlyTimeseries!$A:$A,HourlyTimeseries!$E:$E),"")</f>
        <v>700</v>
      </c>
      <c r="BA41" s="63">
        <f>IFERROR(LOOKUP(BA$15,HourlyTimeseries!$A:$A,HourlyTimeseries!$E:$E),"")</f>
        <v>700</v>
      </c>
      <c r="BB41" s="63">
        <f>IFERROR(LOOKUP(BB$15,HourlyTimeseries!$A:$A,HourlyTimeseries!$E:$E),"")</f>
        <v>700</v>
      </c>
      <c r="BC41" s="72">
        <f>IFERROR(LOOKUP(BC$15,HourlyTimeseries!$A:$A,HourlyTimeseries!$E:$E),"")</f>
        <v>700</v>
      </c>
      <c r="BD41" s="79">
        <f>IFERROR(LOOKUP(BD$15,HourlyTimeseries!$A:$A,HourlyTimeseries!$E:$E),"")</f>
        <v>700</v>
      </c>
      <c r="BE41" s="63">
        <f>IFERROR(LOOKUP(BE$15,HourlyTimeseries!$A:$A,HourlyTimeseries!$E:$E),"")</f>
        <v>700</v>
      </c>
      <c r="BF41" s="63">
        <f>IFERROR(LOOKUP(BF$15,HourlyTimeseries!$A:$A,HourlyTimeseries!$E:$E),"")</f>
        <v>700</v>
      </c>
      <c r="BG41" s="63">
        <f>IFERROR(LOOKUP(BG$15,HourlyTimeseries!$A:$A,HourlyTimeseries!$E:$E),"")</f>
        <v>700</v>
      </c>
      <c r="BH41" s="63">
        <f>IFERROR(LOOKUP(BH$15,HourlyTimeseries!$A:$A,HourlyTimeseries!$E:$E),"")</f>
        <v>700</v>
      </c>
      <c r="BI41" s="63">
        <f>IFERROR(LOOKUP(BI$15,HourlyTimeseries!$A:$A,HourlyTimeseries!$E:$E),"")</f>
        <v>700</v>
      </c>
      <c r="BJ41" s="63">
        <f>IFERROR(LOOKUP(BJ$15,HourlyTimeseries!$A:$A,HourlyTimeseries!$E:$E),"")</f>
        <v>700</v>
      </c>
      <c r="BK41" s="63">
        <f>IFERROR(LOOKUP(BK$15,HourlyTimeseries!$A:$A,HourlyTimeseries!$E:$E),"")</f>
        <v>700</v>
      </c>
      <c r="BL41" s="63">
        <f>IFERROR(LOOKUP(BL$15,HourlyTimeseries!$A:$A,HourlyTimeseries!$E:$E),"")</f>
        <v>700</v>
      </c>
      <c r="BM41" s="63">
        <f>IFERROR(LOOKUP(BM$15,HourlyTimeseries!$A:$A,HourlyTimeseries!$E:$E),"")</f>
        <v>700</v>
      </c>
      <c r="BN41" s="63">
        <f>IFERROR(LOOKUP(BN$15,HourlyTimeseries!$A:$A,HourlyTimeseries!$E:$E),"")</f>
        <v>700</v>
      </c>
      <c r="BO41" s="63">
        <f>IFERROR(LOOKUP(BO$15,HourlyTimeseries!$A:$A,HourlyTimeseries!$E:$E),"")</f>
        <v>700</v>
      </c>
      <c r="BP41" s="63">
        <f>IFERROR(LOOKUP(BP$15,HourlyTimeseries!$A:$A,HourlyTimeseries!$E:$E),"")</f>
        <v>700</v>
      </c>
      <c r="BQ41" s="63">
        <f>IFERROR(LOOKUP(BQ$15,HourlyTimeseries!$A:$A,HourlyTimeseries!$E:$E),"")</f>
        <v>700</v>
      </c>
      <c r="BR41" s="63">
        <f>IFERROR(LOOKUP(BR$15,HourlyTimeseries!$A:$A,HourlyTimeseries!$E:$E),"")</f>
        <v>700</v>
      </c>
      <c r="BS41" s="63">
        <f>IFERROR(LOOKUP(BS$15,HourlyTimeseries!$A:$A,HourlyTimeseries!$E:$E),"")</f>
        <v>700</v>
      </c>
      <c r="BT41" s="63">
        <f>IFERROR(LOOKUP(BT$15,HourlyTimeseries!$A:$A,HourlyTimeseries!$E:$E),"")</f>
        <v>700</v>
      </c>
      <c r="BU41" s="63">
        <f>IFERROR(LOOKUP(BU$15,HourlyTimeseries!$A:$A,HourlyTimeseries!$E:$E),"")</f>
        <v>700</v>
      </c>
      <c r="BV41" s="63">
        <f>IFERROR(LOOKUP(BV$15,HourlyTimeseries!$A:$A,HourlyTimeseries!$E:$E),"")</f>
        <v>700</v>
      </c>
      <c r="BW41" s="63">
        <f>IFERROR(LOOKUP(BW$15,HourlyTimeseries!$A:$A,HourlyTimeseries!$E:$E),"")</f>
        <v>700</v>
      </c>
      <c r="BX41" s="63">
        <f>IFERROR(LOOKUP(BX$15,HourlyTimeseries!$A:$A,HourlyTimeseries!$E:$E),"")</f>
        <v>700</v>
      </c>
      <c r="BY41" s="63">
        <f>IFERROR(LOOKUP(BY$15,HourlyTimeseries!$A:$A,HourlyTimeseries!$E:$E),"")</f>
        <v>700</v>
      </c>
      <c r="BZ41" s="63">
        <f>IFERROR(LOOKUP(BZ$15,HourlyTimeseries!$A:$A,HourlyTimeseries!$E:$E),"")</f>
        <v>700</v>
      </c>
      <c r="CA41" s="72">
        <f>IFERROR(LOOKUP(CA$15,HourlyTimeseries!$A:$A,HourlyTimeseries!$E:$E),"")</f>
        <v>700</v>
      </c>
      <c r="CB41" s="79">
        <f>IFERROR(LOOKUP(CB$15,HourlyTimeseries!$A:$A,HourlyTimeseries!$E:$E),"")</f>
        <v>700</v>
      </c>
      <c r="CC41" s="63">
        <f>IFERROR(LOOKUP(CC$15,HourlyTimeseries!$A:$A,HourlyTimeseries!$E:$E),"")</f>
        <v>700</v>
      </c>
      <c r="CD41" s="63">
        <f>IFERROR(LOOKUP(CD$15,HourlyTimeseries!$A:$A,HourlyTimeseries!$E:$E),"")</f>
        <v>700</v>
      </c>
      <c r="CE41" s="63">
        <f>IFERROR(LOOKUP(CE$15,HourlyTimeseries!$A:$A,HourlyTimeseries!$E:$E),"")</f>
        <v>700</v>
      </c>
      <c r="CF41" s="63">
        <f>IFERROR(LOOKUP(CF$15,HourlyTimeseries!$A:$A,HourlyTimeseries!$E:$E),"")</f>
        <v>700</v>
      </c>
      <c r="CG41" s="63">
        <f>IFERROR(LOOKUP(CG$15,HourlyTimeseries!$A:$A,HourlyTimeseries!$E:$E),"")</f>
        <v>700</v>
      </c>
      <c r="CH41" s="63">
        <f>IFERROR(LOOKUP(CH$15,HourlyTimeseries!$A:$A,HourlyTimeseries!$E:$E),"")</f>
        <v>700</v>
      </c>
      <c r="CI41" s="63">
        <f>IFERROR(LOOKUP(CI$15,HourlyTimeseries!$A:$A,HourlyTimeseries!$E:$E),"")</f>
        <v>700</v>
      </c>
      <c r="CJ41" s="63">
        <f>IFERROR(LOOKUP(CJ$15,HourlyTimeseries!$A:$A,HourlyTimeseries!$E:$E),"")</f>
        <v>700</v>
      </c>
      <c r="CK41" s="63">
        <f>IFERROR(LOOKUP(CK$15,HourlyTimeseries!$A:$A,HourlyTimeseries!$E:$E),"")</f>
        <v>700</v>
      </c>
      <c r="CL41" s="63">
        <f>IFERROR(LOOKUP(CL$15,HourlyTimeseries!$A:$A,HourlyTimeseries!$E:$E),"")</f>
        <v>700</v>
      </c>
      <c r="CM41" s="63">
        <f>IFERROR(LOOKUP(CM$15,HourlyTimeseries!$A:$A,HourlyTimeseries!$E:$E),"")</f>
        <v>700</v>
      </c>
      <c r="CN41" s="63">
        <f>IFERROR(LOOKUP(CN$15,HourlyTimeseries!$A:$A,HourlyTimeseries!$E:$E),"")</f>
        <v>700</v>
      </c>
      <c r="CO41" s="63">
        <f>IFERROR(LOOKUP(CO$15,HourlyTimeseries!$A:$A,HourlyTimeseries!$E:$E),"")</f>
        <v>700</v>
      </c>
      <c r="CP41" s="63">
        <f>IFERROR(LOOKUP(CP$15,HourlyTimeseries!$A:$A,HourlyTimeseries!$E:$E),"")</f>
        <v>700</v>
      </c>
      <c r="CQ41" s="63">
        <f>IFERROR(LOOKUP(CQ$15,HourlyTimeseries!$A:$A,HourlyTimeseries!$E:$E),"")</f>
        <v>700</v>
      </c>
      <c r="CR41" s="63">
        <f>IFERROR(LOOKUP(CR$15,HourlyTimeseries!$A:$A,HourlyTimeseries!$E:$E),"")</f>
        <v>700</v>
      </c>
      <c r="CS41" s="63">
        <f>IFERROR(LOOKUP(CS$15,HourlyTimeseries!$A:$A,HourlyTimeseries!$E:$E),"")</f>
        <v>700</v>
      </c>
      <c r="CT41" s="63">
        <f>IFERROR(LOOKUP(CT$15,HourlyTimeseries!$A:$A,HourlyTimeseries!$E:$E),"")</f>
        <v>700</v>
      </c>
      <c r="CU41" s="63">
        <f>IFERROR(LOOKUP(CU$15,HourlyTimeseries!$A:$A,HourlyTimeseries!$E:$E),"")</f>
        <v>700</v>
      </c>
      <c r="CV41" s="63">
        <f>IFERROR(LOOKUP(CV$15,HourlyTimeseries!$A:$A,HourlyTimeseries!$E:$E),"")</f>
        <v>700</v>
      </c>
      <c r="CW41" s="63">
        <f>IFERROR(LOOKUP(CW$15,HourlyTimeseries!$A:$A,HourlyTimeseries!$E:$E),"")</f>
        <v>700</v>
      </c>
      <c r="CX41" s="63">
        <f>IFERROR(LOOKUP(CX$15,HourlyTimeseries!$A:$A,HourlyTimeseries!$E:$E),"")</f>
        <v>700</v>
      </c>
      <c r="CY41" s="72">
        <f>IFERROR(LOOKUP(CY$15,HourlyTimeseries!$A:$A,HourlyTimeseries!$E:$E),"")</f>
        <v>700</v>
      </c>
      <c r="CZ41" s="79">
        <f>IFERROR(LOOKUP(CZ$15,HourlyTimeseries!$A:$A,HourlyTimeseries!$E:$E),"")</f>
        <v>700</v>
      </c>
      <c r="DA41" s="63">
        <f>IFERROR(LOOKUP(DA$15,HourlyTimeseries!$A:$A,HourlyTimeseries!$E:$E),"")</f>
        <v>700</v>
      </c>
      <c r="DB41" s="63">
        <f>IFERROR(LOOKUP(DB$15,HourlyTimeseries!$A:$A,HourlyTimeseries!$E:$E),"")</f>
        <v>700</v>
      </c>
      <c r="DC41" s="63">
        <f>IFERROR(LOOKUP(DC$15,HourlyTimeseries!$A:$A,HourlyTimeseries!$E:$E),"")</f>
        <v>700</v>
      </c>
      <c r="DD41" s="63">
        <f>IFERROR(LOOKUP(DD$15,HourlyTimeseries!$A:$A,HourlyTimeseries!$E:$E),"")</f>
        <v>700</v>
      </c>
      <c r="DE41" s="63">
        <f>IFERROR(LOOKUP(DE$15,HourlyTimeseries!$A:$A,HourlyTimeseries!$E:$E),"")</f>
        <v>700</v>
      </c>
      <c r="DF41" s="63">
        <f>IFERROR(LOOKUP(DF$15,HourlyTimeseries!$A:$A,HourlyTimeseries!$E:$E),"")</f>
        <v>700</v>
      </c>
      <c r="DG41" s="63">
        <f>IFERROR(LOOKUP(DG$15,HourlyTimeseries!$A:$A,HourlyTimeseries!$E:$E),"")</f>
        <v>700</v>
      </c>
      <c r="DH41" s="63">
        <f>IFERROR(LOOKUP(DH$15,HourlyTimeseries!$A:$A,HourlyTimeseries!$E:$E),"")</f>
        <v>700</v>
      </c>
      <c r="DI41" s="63">
        <f>IFERROR(LOOKUP(DI$15,HourlyTimeseries!$A:$A,HourlyTimeseries!$E:$E),"")</f>
        <v>700</v>
      </c>
      <c r="DJ41" s="63">
        <f>IFERROR(LOOKUP(DJ$15,HourlyTimeseries!$A:$A,HourlyTimeseries!$E:$E),"")</f>
        <v>700</v>
      </c>
      <c r="DK41" s="63">
        <f>IFERROR(LOOKUP(DK$15,HourlyTimeseries!$A:$A,HourlyTimeseries!$E:$E),"")</f>
        <v>700</v>
      </c>
      <c r="DL41" s="63">
        <f>IFERROR(LOOKUP(DL$15,HourlyTimeseries!$A:$A,HourlyTimeseries!$E:$E),"")</f>
        <v>700</v>
      </c>
      <c r="DM41" s="63">
        <f>IFERROR(LOOKUP(DM$15,HourlyTimeseries!$A:$A,HourlyTimeseries!$E:$E),"")</f>
        <v>700</v>
      </c>
      <c r="DN41" s="63">
        <f>IFERROR(LOOKUP(DN$15,HourlyTimeseries!$A:$A,HourlyTimeseries!$E:$E),"")</f>
        <v>700</v>
      </c>
      <c r="DO41" s="63">
        <f>IFERROR(LOOKUP(DO$15,HourlyTimeseries!$A:$A,HourlyTimeseries!$E:$E),"")</f>
        <v>700</v>
      </c>
      <c r="DP41" s="63">
        <f>IFERROR(LOOKUP(DP$15,HourlyTimeseries!$A:$A,HourlyTimeseries!$E:$E),"")</f>
        <v>700</v>
      </c>
      <c r="DQ41" s="63">
        <f>IFERROR(LOOKUP(DQ$15,HourlyTimeseries!$A:$A,HourlyTimeseries!$E:$E),"")</f>
        <v>700</v>
      </c>
      <c r="DR41" s="63">
        <f>IFERROR(LOOKUP(DR$15,HourlyTimeseries!$A:$A,HourlyTimeseries!$E:$E),"")</f>
        <v>700</v>
      </c>
      <c r="DS41" s="63">
        <f>IFERROR(LOOKUP(DS$15,HourlyTimeseries!$A:$A,HourlyTimeseries!$E:$E),"")</f>
        <v>700</v>
      </c>
      <c r="DT41" s="63">
        <f>IFERROR(LOOKUP(DT$15,HourlyTimeseries!$A:$A,HourlyTimeseries!$E:$E),"")</f>
        <v>700</v>
      </c>
      <c r="DU41" s="63">
        <f>IFERROR(LOOKUP(DU$15,HourlyTimeseries!$A:$A,HourlyTimeseries!$E:$E),"")</f>
        <v>700</v>
      </c>
      <c r="DV41" s="63">
        <f>IFERROR(LOOKUP(DV$15,HourlyTimeseries!$A:$A,HourlyTimeseries!$E:$E),"")</f>
        <v>700</v>
      </c>
      <c r="DW41" s="72">
        <f>IFERROR(LOOKUP(DW$15,HourlyTimeseries!$A:$A,HourlyTimeseries!$E:$E),"")</f>
        <v>700</v>
      </c>
      <c r="DX41" s="79">
        <f>IFERROR(LOOKUP(DX$15,HourlyTimeseries!$A:$A,HourlyTimeseries!$E:$E),"")</f>
        <v>700</v>
      </c>
      <c r="DY41" s="63">
        <f>IFERROR(LOOKUP(DY$15,HourlyTimeseries!$A:$A,HourlyTimeseries!$E:$E),"")</f>
        <v>700</v>
      </c>
      <c r="DZ41" s="63">
        <f>IFERROR(LOOKUP(DZ$15,HourlyTimeseries!$A:$A,HourlyTimeseries!$E:$E),"")</f>
        <v>700</v>
      </c>
      <c r="EA41" s="63">
        <f>IFERROR(LOOKUP(EA$15,HourlyTimeseries!$A:$A,HourlyTimeseries!$E:$E),"")</f>
        <v>700</v>
      </c>
      <c r="EB41" s="63">
        <f>IFERROR(LOOKUP(EB$15,HourlyTimeseries!$A:$A,HourlyTimeseries!$E:$E),"")</f>
        <v>700</v>
      </c>
      <c r="EC41" s="63">
        <f>IFERROR(LOOKUP(EC$15,HourlyTimeseries!$A:$A,HourlyTimeseries!$E:$E),"")</f>
        <v>700</v>
      </c>
      <c r="ED41" s="63">
        <f>IFERROR(LOOKUP(ED$15,HourlyTimeseries!$A:$A,HourlyTimeseries!$E:$E),"")</f>
        <v>700</v>
      </c>
      <c r="EE41" s="63">
        <f>IFERROR(LOOKUP(EE$15,HourlyTimeseries!$A:$A,HourlyTimeseries!$E:$E),"")</f>
        <v>700</v>
      </c>
      <c r="EF41" s="63">
        <f>IFERROR(LOOKUP(EF$15,HourlyTimeseries!$A:$A,HourlyTimeseries!$E:$E),"")</f>
        <v>700</v>
      </c>
      <c r="EG41" s="63">
        <f>IFERROR(LOOKUP(EG$15,HourlyTimeseries!$A:$A,HourlyTimeseries!$E:$E),"")</f>
        <v>700</v>
      </c>
      <c r="EH41" s="63">
        <f>IFERROR(LOOKUP(EH$15,HourlyTimeseries!$A:$A,HourlyTimeseries!$E:$E),"")</f>
        <v>700</v>
      </c>
      <c r="EI41" s="63">
        <f>IFERROR(LOOKUP(EI$15,HourlyTimeseries!$A:$A,HourlyTimeseries!$E:$E),"")</f>
        <v>700</v>
      </c>
      <c r="EJ41" s="63">
        <f>IFERROR(LOOKUP(EJ$15,HourlyTimeseries!$A:$A,HourlyTimeseries!$E:$E),"")</f>
        <v>700</v>
      </c>
      <c r="EK41" s="63">
        <f>IFERROR(LOOKUP(EK$15,HourlyTimeseries!$A:$A,HourlyTimeseries!$E:$E),"")</f>
        <v>700</v>
      </c>
      <c r="EL41" s="63">
        <f>IFERROR(LOOKUP(EL$15,HourlyTimeseries!$A:$A,HourlyTimeseries!$E:$E),"")</f>
        <v>700</v>
      </c>
      <c r="EM41" s="63">
        <f>IFERROR(LOOKUP(EM$15,HourlyTimeseries!$A:$A,HourlyTimeseries!$E:$E),"")</f>
        <v>700</v>
      </c>
      <c r="EN41" s="63">
        <f>IFERROR(LOOKUP(EN$15,HourlyTimeseries!$A:$A,HourlyTimeseries!$E:$E),"")</f>
        <v>700</v>
      </c>
      <c r="EO41" s="63">
        <f>IFERROR(LOOKUP(EO$15,HourlyTimeseries!$A:$A,HourlyTimeseries!$E:$E),"")</f>
        <v>700</v>
      </c>
      <c r="EP41" s="63">
        <f>IFERROR(LOOKUP(EP$15,HourlyTimeseries!$A:$A,HourlyTimeseries!$E:$E),"")</f>
        <v>700</v>
      </c>
      <c r="EQ41" s="63">
        <f>IFERROR(LOOKUP(EQ$15,HourlyTimeseries!$A:$A,HourlyTimeseries!$E:$E),"")</f>
        <v>700</v>
      </c>
      <c r="ER41" s="63">
        <f>IFERROR(LOOKUP(ER$15,HourlyTimeseries!$A:$A,HourlyTimeseries!$E:$E),"")</f>
        <v>700</v>
      </c>
      <c r="ES41" s="63">
        <f>IFERROR(LOOKUP(ES$15,HourlyTimeseries!$A:$A,HourlyTimeseries!$E:$E),"")</f>
        <v>700</v>
      </c>
      <c r="ET41" s="63">
        <f>IFERROR(LOOKUP(ET$15,HourlyTimeseries!$A:$A,HourlyTimeseries!$E:$E),"")</f>
        <v>700</v>
      </c>
      <c r="EU41" s="72">
        <f>IFERROR(LOOKUP(EU$15,HourlyTimeseries!$A:$A,HourlyTimeseries!$E:$E),"")</f>
        <v>700</v>
      </c>
      <c r="EV41" s="79">
        <f>IFERROR(LOOKUP(EV$15,HourlyTimeseries!$A:$A,HourlyTimeseries!$E:$E),"")</f>
        <v>700</v>
      </c>
      <c r="EW41" s="63">
        <f>IFERROR(LOOKUP(EW$15,HourlyTimeseries!$A:$A,HourlyTimeseries!$E:$E),"")</f>
        <v>700</v>
      </c>
      <c r="EX41" s="63">
        <f>IFERROR(LOOKUP(EX$15,HourlyTimeseries!$A:$A,HourlyTimeseries!$E:$E),"")</f>
        <v>700</v>
      </c>
      <c r="EY41" s="63">
        <f>IFERROR(LOOKUP(EY$15,HourlyTimeseries!$A:$A,HourlyTimeseries!$E:$E),"")</f>
        <v>700</v>
      </c>
      <c r="EZ41" s="63">
        <f>IFERROR(LOOKUP(EZ$15,HourlyTimeseries!$A:$A,HourlyTimeseries!$E:$E),"")</f>
        <v>700</v>
      </c>
      <c r="FA41" s="63">
        <f>IFERROR(LOOKUP(FA$15,HourlyTimeseries!$A:$A,HourlyTimeseries!$E:$E),"")</f>
        <v>700</v>
      </c>
      <c r="FB41" s="63">
        <f>IFERROR(LOOKUP(FB$15,HourlyTimeseries!$A:$A,HourlyTimeseries!$E:$E),"")</f>
        <v>700</v>
      </c>
      <c r="FC41" s="63">
        <f>IFERROR(LOOKUP(FC$15,HourlyTimeseries!$A:$A,HourlyTimeseries!$E:$E),"")</f>
        <v>700</v>
      </c>
      <c r="FD41" s="63">
        <f>IFERROR(LOOKUP(FD$15,HourlyTimeseries!$A:$A,HourlyTimeseries!$E:$E),"")</f>
        <v>700</v>
      </c>
      <c r="FE41" s="63">
        <f>IFERROR(LOOKUP(FE$15,HourlyTimeseries!$A:$A,HourlyTimeseries!$E:$E),"")</f>
        <v>700</v>
      </c>
      <c r="FF41" s="63">
        <f>IFERROR(LOOKUP(FF$15,HourlyTimeseries!$A:$A,HourlyTimeseries!$E:$E),"")</f>
        <v>700</v>
      </c>
      <c r="FG41" s="63">
        <f>IFERROR(LOOKUP(FG$15,HourlyTimeseries!$A:$A,HourlyTimeseries!$E:$E),"")</f>
        <v>700</v>
      </c>
      <c r="FH41" s="63">
        <f>IFERROR(LOOKUP(FH$15,HourlyTimeseries!$A:$A,HourlyTimeseries!$E:$E),"")</f>
        <v>700</v>
      </c>
      <c r="FI41" s="63">
        <f>IFERROR(LOOKUP(FI$15,HourlyTimeseries!$A:$A,HourlyTimeseries!$E:$E),"")</f>
        <v>700</v>
      </c>
      <c r="FJ41" s="63">
        <f>IFERROR(LOOKUP(FJ$15,HourlyTimeseries!$A:$A,HourlyTimeseries!$E:$E),"")</f>
        <v>700</v>
      </c>
      <c r="FK41" s="63">
        <f>IFERROR(LOOKUP(FK$15,HourlyTimeseries!$A:$A,HourlyTimeseries!$E:$E),"")</f>
        <v>700</v>
      </c>
      <c r="FL41" s="63">
        <f>IFERROR(LOOKUP(FL$15,HourlyTimeseries!$A:$A,HourlyTimeseries!$E:$E),"")</f>
        <v>700</v>
      </c>
      <c r="FM41" s="63">
        <f>IFERROR(LOOKUP(FM$15,HourlyTimeseries!$A:$A,HourlyTimeseries!$E:$E),"")</f>
        <v>700</v>
      </c>
      <c r="FN41" s="63">
        <f>IFERROR(LOOKUP(FN$15,HourlyTimeseries!$A:$A,HourlyTimeseries!$E:$E),"")</f>
        <v>700</v>
      </c>
      <c r="FO41" s="63">
        <f>IFERROR(LOOKUP(FO$15,HourlyTimeseries!$A:$A,HourlyTimeseries!$E:$E),"")</f>
        <v>700</v>
      </c>
      <c r="FP41" s="63">
        <f>IFERROR(LOOKUP(FP$15,HourlyTimeseries!$A:$A,HourlyTimeseries!$E:$E),"")</f>
        <v>700</v>
      </c>
      <c r="FQ41" s="63">
        <f>IFERROR(LOOKUP(FQ$15,HourlyTimeseries!$A:$A,HourlyTimeseries!$E:$E),"")</f>
        <v>700</v>
      </c>
      <c r="FR41" s="63">
        <f>IFERROR(LOOKUP(FR$15,HourlyTimeseries!$A:$A,HourlyTimeseries!$E:$E),"")</f>
        <v>700</v>
      </c>
      <c r="FS41" s="72">
        <f>IFERROR(LOOKUP(FS$15,HourlyTimeseries!$A:$A,HourlyTimeseries!$E:$E),"")</f>
        <v>700</v>
      </c>
    </row>
    <row r="42" spans="4:175" x14ac:dyDescent="0.2">
      <c r="D42" s="15" t="s">
        <v>81</v>
      </c>
      <c r="E42" s="2" t="s">
        <v>75</v>
      </c>
      <c r="F42" s="8" t="s">
        <v>151</v>
      </c>
      <c r="G42" s="2"/>
      <c r="H42" s="63">
        <f>IFERROR(LOOKUP(H$15,HourlyTimeseries!$A:$A,HourlyTimeseries!$F:$F),"")</f>
        <v>7500</v>
      </c>
      <c r="I42" s="63">
        <f>IFERROR(LOOKUP(I$15,HourlyTimeseries!$A:$A,HourlyTimeseries!$F:$F),"")</f>
        <v>7500</v>
      </c>
      <c r="J42" s="63">
        <f>IFERROR(LOOKUP(J$15,HourlyTimeseries!$A:$A,HourlyTimeseries!$F:$F),"")</f>
        <v>7500</v>
      </c>
      <c r="K42" s="63">
        <f>IFERROR(LOOKUP(K$15,HourlyTimeseries!$A:$A,HourlyTimeseries!$F:$F),"")</f>
        <v>7500</v>
      </c>
      <c r="L42" s="63">
        <f>IFERROR(LOOKUP(L$15,HourlyTimeseries!$A:$A,HourlyTimeseries!$F:$F),"")</f>
        <v>7500</v>
      </c>
      <c r="M42" s="63">
        <f>IFERROR(LOOKUP(M$15,HourlyTimeseries!$A:$A,HourlyTimeseries!$F:$F),"")</f>
        <v>7500</v>
      </c>
      <c r="N42" s="63">
        <f>IFERROR(LOOKUP(N$15,HourlyTimeseries!$A:$A,HourlyTimeseries!$F:$F),"")</f>
        <v>7500</v>
      </c>
      <c r="O42" s="63">
        <f>IFERROR(LOOKUP(O$15,HourlyTimeseries!$A:$A,HourlyTimeseries!$F:$F),"")</f>
        <v>7500</v>
      </c>
      <c r="P42" s="63">
        <f>IFERROR(LOOKUP(P$15,HourlyTimeseries!$A:$A,HourlyTimeseries!$F:$F),"")</f>
        <v>7500</v>
      </c>
      <c r="Q42" s="63">
        <f>IFERROR(LOOKUP(Q$15,HourlyTimeseries!$A:$A,HourlyTimeseries!$F:$F),"")</f>
        <v>7500</v>
      </c>
      <c r="R42" s="63">
        <f>IFERROR(LOOKUP(R$15,HourlyTimeseries!$A:$A,HourlyTimeseries!$F:$F),"")</f>
        <v>7500</v>
      </c>
      <c r="S42" s="63">
        <f>IFERROR(LOOKUP(S$15,HourlyTimeseries!$A:$A,HourlyTimeseries!$F:$F),"")</f>
        <v>7500</v>
      </c>
      <c r="T42" s="63">
        <f>IFERROR(LOOKUP(T$15,HourlyTimeseries!$A:$A,HourlyTimeseries!$F:$F),"")</f>
        <v>7500</v>
      </c>
      <c r="U42" s="63">
        <f>IFERROR(LOOKUP(U$15,HourlyTimeseries!$A:$A,HourlyTimeseries!$F:$F),"")</f>
        <v>7500</v>
      </c>
      <c r="V42" s="63">
        <f>IFERROR(LOOKUP(V$15,HourlyTimeseries!$A:$A,HourlyTimeseries!$F:$F),"")</f>
        <v>7500</v>
      </c>
      <c r="W42" s="63">
        <f>IFERROR(LOOKUP(W$15,HourlyTimeseries!$A:$A,HourlyTimeseries!$F:$F),"")</f>
        <v>7500</v>
      </c>
      <c r="X42" s="63">
        <f>IFERROR(LOOKUP(X$15,HourlyTimeseries!$A:$A,HourlyTimeseries!$F:$F),"")</f>
        <v>7500</v>
      </c>
      <c r="Y42" s="63">
        <f>IFERROR(LOOKUP(Y$15,HourlyTimeseries!$A:$A,HourlyTimeseries!$F:$F),"")</f>
        <v>7500</v>
      </c>
      <c r="Z42" s="63">
        <f>IFERROR(LOOKUP(Z$15,HourlyTimeseries!$A:$A,HourlyTimeseries!$F:$F),"")</f>
        <v>7500</v>
      </c>
      <c r="AA42" s="63">
        <f>IFERROR(LOOKUP(AA$15,HourlyTimeseries!$A:$A,HourlyTimeseries!$F:$F),"")</f>
        <v>7500</v>
      </c>
      <c r="AB42" s="63">
        <f>IFERROR(LOOKUP(AB$15,HourlyTimeseries!$A:$A,HourlyTimeseries!$F:$F),"")</f>
        <v>7500</v>
      </c>
      <c r="AC42" s="63">
        <f>IFERROR(LOOKUP(AC$15,HourlyTimeseries!$A:$A,HourlyTimeseries!$F:$F),"")</f>
        <v>7500</v>
      </c>
      <c r="AD42" s="63">
        <f>IFERROR(LOOKUP(AD$15,HourlyTimeseries!$A:$A,HourlyTimeseries!$F:$F),"")</f>
        <v>7500</v>
      </c>
      <c r="AE42" s="72">
        <f>IFERROR(LOOKUP(AE$15,HourlyTimeseries!$A:$A,HourlyTimeseries!$F:$F),"")</f>
        <v>7500</v>
      </c>
      <c r="AF42" s="79">
        <f>IFERROR(LOOKUP(AF$15,HourlyTimeseries!$A:$A,HourlyTimeseries!$F:$F),"")</f>
        <v>7500</v>
      </c>
      <c r="AG42" s="63">
        <f>IFERROR(LOOKUP(AG$15,HourlyTimeseries!$A:$A,HourlyTimeseries!$F:$F),"")</f>
        <v>7500</v>
      </c>
      <c r="AH42" s="63">
        <f>IFERROR(LOOKUP(AH$15,HourlyTimeseries!$A:$A,HourlyTimeseries!$F:$F),"")</f>
        <v>7500</v>
      </c>
      <c r="AI42" s="63">
        <f>IFERROR(LOOKUP(AI$15,HourlyTimeseries!$A:$A,HourlyTimeseries!$F:$F),"")</f>
        <v>7500</v>
      </c>
      <c r="AJ42" s="63">
        <f>IFERROR(LOOKUP(AJ$15,HourlyTimeseries!$A:$A,HourlyTimeseries!$F:$F),"")</f>
        <v>7500</v>
      </c>
      <c r="AK42" s="63">
        <f>IFERROR(LOOKUP(AK$15,HourlyTimeseries!$A:$A,HourlyTimeseries!$F:$F),"")</f>
        <v>7500</v>
      </c>
      <c r="AL42" s="63">
        <f>IFERROR(LOOKUP(AL$15,HourlyTimeseries!$A:$A,HourlyTimeseries!$F:$F),"")</f>
        <v>7500</v>
      </c>
      <c r="AM42" s="63">
        <f>IFERROR(LOOKUP(AM$15,HourlyTimeseries!$A:$A,HourlyTimeseries!$F:$F),"")</f>
        <v>7500</v>
      </c>
      <c r="AN42" s="63">
        <f>IFERROR(LOOKUP(AN$15,HourlyTimeseries!$A:$A,HourlyTimeseries!$F:$F),"")</f>
        <v>7500</v>
      </c>
      <c r="AO42" s="63">
        <f>IFERROR(LOOKUP(AO$15,HourlyTimeseries!$A:$A,HourlyTimeseries!$F:$F),"")</f>
        <v>7500</v>
      </c>
      <c r="AP42" s="63">
        <f>IFERROR(LOOKUP(AP$15,HourlyTimeseries!$A:$A,HourlyTimeseries!$F:$F),"")</f>
        <v>7500</v>
      </c>
      <c r="AQ42" s="63">
        <f>IFERROR(LOOKUP(AQ$15,HourlyTimeseries!$A:$A,HourlyTimeseries!$F:$F),"")</f>
        <v>7500</v>
      </c>
      <c r="AR42" s="63">
        <f>IFERROR(LOOKUP(AR$15,HourlyTimeseries!$A:$A,HourlyTimeseries!$F:$F),"")</f>
        <v>7500</v>
      </c>
      <c r="AS42" s="63">
        <f>IFERROR(LOOKUP(AS$15,HourlyTimeseries!$A:$A,HourlyTimeseries!$F:$F),"")</f>
        <v>7500</v>
      </c>
      <c r="AT42" s="63">
        <f>IFERROR(LOOKUP(AT$15,HourlyTimeseries!$A:$A,HourlyTimeseries!$F:$F),"")</f>
        <v>7500</v>
      </c>
      <c r="AU42" s="63">
        <f>IFERROR(LOOKUP(AU$15,HourlyTimeseries!$A:$A,HourlyTimeseries!$F:$F),"")</f>
        <v>7500</v>
      </c>
      <c r="AV42" s="63">
        <f>IFERROR(LOOKUP(AV$15,HourlyTimeseries!$A:$A,HourlyTimeseries!$F:$F),"")</f>
        <v>7500</v>
      </c>
      <c r="AW42" s="63">
        <f>IFERROR(LOOKUP(AW$15,HourlyTimeseries!$A:$A,HourlyTimeseries!$F:$F),"")</f>
        <v>7500</v>
      </c>
      <c r="AX42" s="63">
        <f>IFERROR(LOOKUP(AX$15,HourlyTimeseries!$A:$A,HourlyTimeseries!$F:$F),"")</f>
        <v>7500</v>
      </c>
      <c r="AY42" s="63">
        <f>IFERROR(LOOKUP(AY$15,HourlyTimeseries!$A:$A,HourlyTimeseries!$F:$F),"")</f>
        <v>7500</v>
      </c>
      <c r="AZ42" s="63">
        <f>IFERROR(LOOKUP(AZ$15,HourlyTimeseries!$A:$A,HourlyTimeseries!$F:$F),"")</f>
        <v>7500</v>
      </c>
      <c r="BA42" s="63">
        <f>IFERROR(LOOKUP(BA$15,HourlyTimeseries!$A:$A,HourlyTimeseries!$F:$F),"")</f>
        <v>7500</v>
      </c>
      <c r="BB42" s="63">
        <f>IFERROR(LOOKUP(BB$15,HourlyTimeseries!$A:$A,HourlyTimeseries!$F:$F),"")</f>
        <v>7500</v>
      </c>
      <c r="BC42" s="72">
        <f>IFERROR(LOOKUP(BC$15,HourlyTimeseries!$A:$A,HourlyTimeseries!$F:$F),"")</f>
        <v>7500</v>
      </c>
      <c r="BD42" s="79">
        <f>IFERROR(LOOKUP(BD$15,HourlyTimeseries!$A:$A,HourlyTimeseries!$F:$F),"")</f>
        <v>7500</v>
      </c>
      <c r="BE42" s="63">
        <f>IFERROR(LOOKUP(BE$15,HourlyTimeseries!$A:$A,HourlyTimeseries!$F:$F),"")</f>
        <v>7500</v>
      </c>
      <c r="BF42" s="63">
        <f>IFERROR(LOOKUP(BF$15,HourlyTimeseries!$A:$A,HourlyTimeseries!$F:$F),"")</f>
        <v>7500</v>
      </c>
      <c r="BG42" s="63">
        <f>IFERROR(LOOKUP(BG$15,HourlyTimeseries!$A:$A,HourlyTimeseries!$F:$F),"")</f>
        <v>7500</v>
      </c>
      <c r="BH42" s="63">
        <f>IFERROR(LOOKUP(BH$15,HourlyTimeseries!$A:$A,HourlyTimeseries!$F:$F),"")</f>
        <v>7500</v>
      </c>
      <c r="BI42" s="63">
        <f>IFERROR(LOOKUP(BI$15,HourlyTimeseries!$A:$A,HourlyTimeseries!$F:$F),"")</f>
        <v>7500</v>
      </c>
      <c r="BJ42" s="63">
        <f>IFERROR(LOOKUP(BJ$15,HourlyTimeseries!$A:$A,HourlyTimeseries!$F:$F),"")</f>
        <v>7500</v>
      </c>
      <c r="BK42" s="63">
        <f>IFERROR(LOOKUP(BK$15,HourlyTimeseries!$A:$A,HourlyTimeseries!$F:$F),"")</f>
        <v>7500</v>
      </c>
      <c r="BL42" s="63">
        <f>IFERROR(LOOKUP(BL$15,HourlyTimeseries!$A:$A,HourlyTimeseries!$F:$F),"")</f>
        <v>7500</v>
      </c>
      <c r="BM42" s="63">
        <f>IFERROR(LOOKUP(BM$15,HourlyTimeseries!$A:$A,HourlyTimeseries!$F:$F),"")</f>
        <v>7500</v>
      </c>
      <c r="BN42" s="63">
        <f>IFERROR(LOOKUP(BN$15,HourlyTimeseries!$A:$A,HourlyTimeseries!$F:$F),"")</f>
        <v>7500</v>
      </c>
      <c r="BO42" s="63">
        <f>IFERROR(LOOKUP(BO$15,HourlyTimeseries!$A:$A,HourlyTimeseries!$F:$F),"")</f>
        <v>7500</v>
      </c>
      <c r="BP42" s="63">
        <f>IFERROR(LOOKUP(BP$15,HourlyTimeseries!$A:$A,HourlyTimeseries!$F:$F),"")</f>
        <v>7500</v>
      </c>
      <c r="BQ42" s="63">
        <f>IFERROR(LOOKUP(BQ$15,HourlyTimeseries!$A:$A,HourlyTimeseries!$F:$F),"")</f>
        <v>7500</v>
      </c>
      <c r="BR42" s="63">
        <f>IFERROR(LOOKUP(BR$15,HourlyTimeseries!$A:$A,HourlyTimeseries!$F:$F),"")</f>
        <v>7500</v>
      </c>
      <c r="BS42" s="63">
        <f>IFERROR(LOOKUP(BS$15,HourlyTimeseries!$A:$A,HourlyTimeseries!$F:$F),"")</f>
        <v>7500</v>
      </c>
      <c r="BT42" s="63">
        <f>IFERROR(LOOKUP(BT$15,HourlyTimeseries!$A:$A,HourlyTimeseries!$F:$F),"")</f>
        <v>7500</v>
      </c>
      <c r="BU42" s="63">
        <f>IFERROR(LOOKUP(BU$15,HourlyTimeseries!$A:$A,HourlyTimeseries!$F:$F),"")</f>
        <v>7500</v>
      </c>
      <c r="BV42" s="63">
        <f>IFERROR(LOOKUP(BV$15,HourlyTimeseries!$A:$A,HourlyTimeseries!$F:$F),"")</f>
        <v>7500</v>
      </c>
      <c r="BW42" s="63">
        <f>IFERROR(LOOKUP(BW$15,HourlyTimeseries!$A:$A,HourlyTimeseries!$F:$F),"")</f>
        <v>7500</v>
      </c>
      <c r="BX42" s="63">
        <f>IFERROR(LOOKUP(BX$15,HourlyTimeseries!$A:$A,HourlyTimeseries!$F:$F),"")</f>
        <v>7500</v>
      </c>
      <c r="BY42" s="63">
        <f>IFERROR(LOOKUP(BY$15,HourlyTimeseries!$A:$A,HourlyTimeseries!$F:$F),"")</f>
        <v>7500</v>
      </c>
      <c r="BZ42" s="63">
        <f>IFERROR(LOOKUP(BZ$15,HourlyTimeseries!$A:$A,HourlyTimeseries!$F:$F),"")</f>
        <v>7500</v>
      </c>
      <c r="CA42" s="72">
        <f>IFERROR(LOOKUP(CA$15,HourlyTimeseries!$A:$A,HourlyTimeseries!$F:$F),"")</f>
        <v>7500</v>
      </c>
      <c r="CB42" s="79">
        <f>IFERROR(LOOKUP(CB$15,HourlyTimeseries!$A:$A,HourlyTimeseries!$F:$F),"")</f>
        <v>7500</v>
      </c>
      <c r="CC42" s="63">
        <f>IFERROR(LOOKUP(CC$15,HourlyTimeseries!$A:$A,HourlyTimeseries!$F:$F),"")</f>
        <v>7500</v>
      </c>
      <c r="CD42" s="63">
        <f>IFERROR(LOOKUP(CD$15,HourlyTimeseries!$A:$A,HourlyTimeseries!$F:$F),"")</f>
        <v>7500</v>
      </c>
      <c r="CE42" s="63">
        <f>IFERROR(LOOKUP(CE$15,HourlyTimeseries!$A:$A,HourlyTimeseries!$F:$F),"")</f>
        <v>7500</v>
      </c>
      <c r="CF42" s="63">
        <f>IFERROR(LOOKUP(CF$15,HourlyTimeseries!$A:$A,HourlyTimeseries!$F:$F),"")</f>
        <v>7500</v>
      </c>
      <c r="CG42" s="63">
        <f>IFERROR(LOOKUP(CG$15,HourlyTimeseries!$A:$A,HourlyTimeseries!$F:$F),"")</f>
        <v>7500</v>
      </c>
      <c r="CH42" s="63">
        <f>IFERROR(LOOKUP(CH$15,HourlyTimeseries!$A:$A,HourlyTimeseries!$F:$F),"")</f>
        <v>7500</v>
      </c>
      <c r="CI42" s="63">
        <f>IFERROR(LOOKUP(CI$15,HourlyTimeseries!$A:$A,HourlyTimeseries!$F:$F),"")</f>
        <v>7500</v>
      </c>
      <c r="CJ42" s="63">
        <f>IFERROR(LOOKUP(CJ$15,HourlyTimeseries!$A:$A,HourlyTimeseries!$F:$F),"")</f>
        <v>7500</v>
      </c>
      <c r="CK42" s="63">
        <f>IFERROR(LOOKUP(CK$15,HourlyTimeseries!$A:$A,HourlyTimeseries!$F:$F),"")</f>
        <v>7500</v>
      </c>
      <c r="CL42" s="63">
        <f>IFERROR(LOOKUP(CL$15,HourlyTimeseries!$A:$A,HourlyTimeseries!$F:$F),"")</f>
        <v>7500</v>
      </c>
      <c r="CM42" s="63">
        <f>IFERROR(LOOKUP(CM$15,HourlyTimeseries!$A:$A,HourlyTimeseries!$F:$F),"")</f>
        <v>7500</v>
      </c>
      <c r="CN42" s="63">
        <f>IFERROR(LOOKUP(CN$15,HourlyTimeseries!$A:$A,HourlyTimeseries!$F:$F),"")</f>
        <v>7500</v>
      </c>
      <c r="CO42" s="63">
        <f>IFERROR(LOOKUP(CO$15,HourlyTimeseries!$A:$A,HourlyTimeseries!$F:$F),"")</f>
        <v>7500</v>
      </c>
      <c r="CP42" s="63">
        <f>IFERROR(LOOKUP(CP$15,HourlyTimeseries!$A:$A,HourlyTimeseries!$F:$F),"")</f>
        <v>7500</v>
      </c>
      <c r="CQ42" s="63">
        <f>IFERROR(LOOKUP(CQ$15,HourlyTimeseries!$A:$A,HourlyTimeseries!$F:$F),"")</f>
        <v>7500</v>
      </c>
      <c r="CR42" s="63">
        <f>IFERROR(LOOKUP(CR$15,HourlyTimeseries!$A:$A,HourlyTimeseries!$F:$F),"")</f>
        <v>7500</v>
      </c>
      <c r="CS42" s="63">
        <f>IFERROR(LOOKUP(CS$15,HourlyTimeseries!$A:$A,HourlyTimeseries!$F:$F),"")</f>
        <v>7500</v>
      </c>
      <c r="CT42" s="63">
        <f>IFERROR(LOOKUP(CT$15,HourlyTimeseries!$A:$A,HourlyTimeseries!$F:$F),"")</f>
        <v>7500</v>
      </c>
      <c r="CU42" s="63">
        <f>IFERROR(LOOKUP(CU$15,HourlyTimeseries!$A:$A,HourlyTimeseries!$F:$F),"")</f>
        <v>7500</v>
      </c>
      <c r="CV42" s="63">
        <f>IFERROR(LOOKUP(CV$15,HourlyTimeseries!$A:$A,HourlyTimeseries!$F:$F),"")</f>
        <v>7500</v>
      </c>
      <c r="CW42" s="63">
        <f>IFERROR(LOOKUP(CW$15,HourlyTimeseries!$A:$A,HourlyTimeseries!$F:$F),"")</f>
        <v>7500</v>
      </c>
      <c r="CX42" s="63">
        <f>IFERROR(LOOKUP(CX$15,HourlyTimeseries!$A:$A,HourlyTimeseries!$F:$F),"")</f>
        <v>7500</v>
      </c>
      <c r="CY42" s="72">
        <f>IFERROR(LOOKUP(CY$15,HourlyTimeseries!$A:$A,HourlyTimeseries!$F:$F),"")</f>
        <v>7500</v>
      </c>
      <c r="CZ42" s="79">
        <f>IFERROR(LOOKUP(CZ$15,HourlyTimeseries!$A:$A,HourlyTimeseries!$F:$F),"")</f>
        <v>7500</v>
      </c>
      <c r="DA42" s="63">
        <f>IFERROR(LOOKUP(DA$15,HourlyTimeseries!$A:$A,HourlyTimeseries!$F:$F),"")</f>
        <v>7500</v>
      </c>
      <c r="DB42" s="63">
        <f>IFERROR(LOOKUP(DB$15,HourlyTimeseries!$A:$A,HourlyTimeseries!$F:$F),"")</f>
        <v>7500</v>
      </c>
      <c r="DC42" s="63">
        <f>IFERROR(LOOKUP(DC$15,HourlyTimeseries!$A:$A,HourlyTimeseries!$F:$F),"")</f>
        <v>7500</v>
      </c>
      <c r="DD42" s="63">
        <f>IFERROR(LOOKUP(DD$15,HourlyTimeseries!$A:$A,HourlyTimeseries!$F:$F),"")</f>
        <v>7500</v>
      </c>
      <c r="DE42" s="63">
        <f>IFERROR(LOOKUP(DE$15,HourlyTimeseries!$A:$A,HourlyTimeseries!$F:$F),"")</f>
        <v>7500</v>
      </c>
      <c r="DF42" s="63">
        <f>IFERROR(LOOKUP(DF$15,HourlyTimeseries!$A:$A,HourlyTimeseries!$F:$F),"")</f>
        <v>7500</v>
      </c>
      <c r="DG42" s="63">
        <f>IFERROR(LOOKUP(DG$15,HourlyTimeseries!$A:$A,HourlyTimeseries!$F:$F),"")</f>
        <v>7500</v>
      </c>
      <c r="DH42" s="63">
        <f>IFERROR(LOOKUP(DH$15,HourlyTimeseries!$A:$A,HourlyTimeseries!$F:$F),"")</f>
        <v>7500</v>
      </c>
      <c r="DI42" s="63">
        <f>IFERROR(LOOKUP(DI$15,HourlyTimeseries!$A:$A,HourlyTimeseries!$F:$F),"")</f>
        <v>7500</v>
      </c>
      <c r="DJ42" s="63">
        <f>IFERROR(LOOKUP(DJ$15,HourlyTimeseries!$A:$A,HourlyTimeseries!$F:$F),"")</f>
        <v>7500</v>
      </c>
      <c r="DK42" s="63">
        <f>IFERROR(LOOKUP(DK$15,HourlyTimeseries!$A:$A,HourlyTimeseries!$F:$F),"")</f>
        <v>7500</v>
      </c>
      <c r="DL42" s="63">
        <f>IFERROR(LOOKUP(DL$15,HourlyTimeseries!$A:$A,HourlyTimeseries!$F:$F),"")</f>
        <v>7500</v>
      </c>
      <c r="DM42" s="63">
        <f>IFERROR(LOOKUP(DM$15,HourlyTimeseries!$A:$A,HourlyTimeseries!$F:$F),"")</f>
        <v>7500</v>
      </c>
      <c r="DN42" s="63">
        <f>IFERROR(LOOKUP(DN$15,HourlyTimeseries!$A:$A,HourlyTimeseries!$F:$F),"")</f>
        <v>7500</v>
      </c>
      <c r="DO42" s="63">
        <f>IFERROR(LOOKUP(DO$15,HourlyTimeseries!$A:$A,HourlyTimeseries!$F:$F),"")</f>
        <v>7500</v>
      </c>
      <c r="DP42" s="63">
        <f>IFERROR(LOOKUP(DP$15,HourlyTimeseries!$A:$A,HourlyTimeseries!$F:$F),"")</f>
        <v>7500</v>
      </c>
      <c r="DQ42" s="63">
        <f>IFERROR(LOOKUP(DQ$15,HourlyTimeseries!$A:$A,HourlyTimeseries!$F:$F),"")</f>
        <v>7500</v>
      </c>
      <c r="DR42" s="63">
        <f>IFERROR(LOOKUP(DR$15,HourlyTimeseries!$A:$A,HourlyTimeseries!$F:$F),"")</f>
        <v>7500</v>
      </c>
      <c r="DS42" s="63">
        <f>IFERROR(LOOKUP(DS$15,HourlyTimeseries!$A:$A,HourlyTimeseries!$F:$F),"")</f>
        <v>7500</v>
      </c>
      <c r="DT42" s="63">
        <f>IFERROR(LOOKUP(DT$15,HourlyTimeseries!$A:$A,HourlyTimeseries!$F:$F),"")</f>
        <v>7500</v>
      </c>
      <c r="DU42" s="63">
        <f>IFERROR(LOOKUP(DU$15,HourlyTimeseries!$A:$A,HourlyTimeseries!$F:$F),"")</f>
        <v>7500</v>
      </c>
      <c r="DV42" s="63">
        <f>IFERROR(LOOKUP(DV$15,HourlyTimeseries!$A:$A,HourlyTimeseries!$F:$F),"")</f>
        <v>7500</v>
      </c>
      <c r="DW42" s="72">
        <f>IFERROR(LOOKUP(DW$15,HourlyTimeseries!$A:$A,HourlyTimeseries!$F:$F),"")</f>
        <v>7500</v>
      </c>
      <c r="DX42" s="79">
        <f>IFERROR(LOOKUP(DX$15,HourlyTimeseries!$A:$A,HourlyTimeseries!$F:$F),"")</f>
        <v>7500</v>
      </c>
      <c r="DY42" s="63">
        <f>IFERROR(LOOKUP(DY$15,HourlyTimeseries!$A:$A,HourlyTimeseries!$F:$F),"")</f>
        <v>7500</v>
      </c>
      <c r="DZ42" s="63">
        <f>IFERROR(LOOKUP(DZ$15,HourlyTimeseries!$A:$A,HourlyTimeseries!$F:$F),"")</f>
        <v>7500</v>
      </c>
      <c r="EA42" s="63">
        <f>IFERROR(LOOKUP(EA$15,HourlyTimeseries!$A:$A,HourlyTimeseries!$F:$F),"")</f>
        <v>7500</v>
      </c>
      <c r="EB42" s="63">
        <f>IFERROR(LOOKUP(EB$15,HourlyTimeseries!$A:$A,HourlyTimeseries!$F:$F),"")</f>
        <v>7500</v>
      </c>
      <c r="EC42" s="63">
        <f>IFERROR(LOOKUP(EC$15,HourlyTimeseries!$A:$A,HourlyTimeseries!$F:$F),"")</f>
        <v>7500</v>
      </c>
      <c r="ED42" s="63">
        <f>IFERROR(LOOKUP(ED$15,HourlyTimeseries!$A:$A,HourlyTimeseries!$F:$F),"")</f>
        <v>7500</v>
      </c>
      <c r="EE42" s="63">
        <f>IFERROR(LOOKUP(EE$15,HourlyTimeseries!$A:$A,HourlyTimeseries!$F:$F),"")</f>
        <v>7500</v>
      </c>
      <c r="EF42" s="63">
        <f>IFERROR(LOOKUP(EF$15,HourlyTimeseries!$A:$A,HourlyTimeseries!$F:$F),"")</f>
        <v>7500</v>
      </c>
      <c r="EG42" s="63">
        <f>IFERROR(LOOKUP(EG$15,HourlyTimeseries!$A:$A,HourlyTimeseries!$F:$F),"")</f>
        <v>7500</v>
      </c>
      <c r="EH42" s="63">
        <f>IFERROR(LOOKUP(EH$15,HourlyTimeseries!$A:$A,HourlyTimeseries!$F:$F),"")</f>
        <v>7500</v>
      </c>
      <c r="EI42" s="63">
        <f>IFERROR(LOOKUP(EI$15,HourlyTimeseries!$A:$A,HourlyTimeseries!$F:$F),"")</f>
        <v>7500</v>
      </c>
      <c r="EJ42" s="63">
        <f>IFERROR(LOOKUP(EJ$15,HourlyTimeseries!$A:$A,HourlyTimeseries!$F:$F),"")</f>
        <v>7500</v>
      </c>
      <c r="EK42" s="63">
        <f>IFERROR(LOOKUP(EK$15,HourlyTimeseries!$A:$A,HourlyTimeseries!$F:$F),"")</f>
        <v>7500</v>
      </c>
      <c r="EL42" s="63">
        <f>IFERROR(LOOKUP(EL$15,HourlyTimeseries!$A:$A,HourlyTimeseries!$F:$F),"")</f>
        <v>7500</v>
      </c>
      <c r="EM42" s="63">
        <f>IFERROR(LOOKUP(EM$15,HourlyTimeseries!$A:$A,HourlyTimeseries!$F:$F),"")</f>
        <v>7500</v>
      </c>
      <c r="EN42" s="63">
        <f>IFERROR(LOOKUP(EN$15,HourlyTimeseries!$A:$A,HourlyTimeseries!$F:$F),"")</f>
        <v>7500</v>
      </c>
      <c r="EO42" s="63">
        <f>IFERROR(LOOKUP(EO$15,HourlyTimeseries!$A:$A,HourlyTimeseries!$F:$F),"")</f>
        <v>7500</v>
      </c>
      <c r="EP42" s="63">
        <f>IFERROR(LOOKUP(EP$15,HourlyTimeseries!$A:$A,HourlyTimeseries!$F:$F),"")</f>
        <v>7500</v>
      </c>
      <c r="EQ42" s="63">
        <f>IFERROR(LOOKUP(EQ$15,HourlyTimeseries!$A:$A,HourlyTimeseries!$F:$F),"")</f>
        <v>7500</v>
      </c>
      <c r="ER42" s="63">
        <f>IFERROR(LOOKUP(ER$15,HourlyTimeseries!$A:$A,HourlyTimeseries!$F:$F),"")</f>
        <v>7500</v>
      </c>
      <c r="ES42" s="63">
        <f>IFERROR(LOOKUP(ES$15,HourlyTimeseries!$A:$A,HourlyTimeseries!$F:$F),"")</f>
        <v>7500</v>
      </c>
      <c r="ET42" s="63">
        <f>IFERROR(LOOKUP(ET$15,HourlyTimeseries!$A:$A,HourlyTimeseries!$F:$F),"")</f>
        <v>7500</v>
      </c>
      <c r="EU42" s="72">
        <f>IFERROR(LOOKUP(EU$15,HourlyTimeseries!$A:$A,HourlyTimeseries!$F:$F),"")</f>
        <v>7500</v>
      </c>
      <c r="EV42" s="79">
        <f>IFERROR(LOOKUP(EV$15,HourlyTimeseries!$A:$A,HourlyTimeseries!$F:$F),"")</f>
        <v>7500</v>
      </c>
      <c r="EW42" s="63">
        <f>IFERROR(LOOKUP(EW$15,HourlyTimeseries!$A:$A,HourlyTimeseries!$F:$F),"")</f>
        <v>7500</v>
      </c>
      <c r="EX42" s="63">
        <f>IFERROR(LOOKUP(EX$15,HourlyTimeseries!$A:$A,HourlyTimeseries!$F:$F),"")</f>
        <v>7500</v>
      </c>
      <c r="EY42" s="63">
        <f>IFERROR(LOOKUP(EY$15,HourlyTimeseries!$A:$A,HourlyTimeseries!$F:$F),"")</f>
        <v>7500</v>
      </c>
      <c r="EZ42" s="63">
        <f>IFERROR(LOOKUP(EZ$15,HourlyTimeseries!$A:$A,HourlyTimeseries!$F:$F),"")</f>
        <v>7500</v>
      </c>
      <c r="FA42" s="63">
        <f>IFERROR(LOOKUP(FA$15,HourlyTimeseries!$A:$A,HourlyTimeseries!$F:$F),"")</f>
        <v>7500</v>
      </c>
      <c r="FB42" s="63">
        <f>IFERROR(LOOKUP(FB$15,HourlyTimeseries!$A:$A,HourlyTimeseries!$F:$F),"")</f>
        <v>7500</v>
      </c>
      <c r="FC42" s="63">
        <f>IFERROR(LOOKUP(FC$15,HourlyTimeseries!$A:$A,HourlyTimeseries!$F:$F),"")</f>
        <v>7500</v>
      </c>
      <c r="FD42" s="63">
        <f>IFERROR(LOOKUP(FD$15,HourlyTimeseries!$A:$A,HourlyTimeseries!$F:$F),"")</f>
        <v>7500</v>
      </c>
      <c r="FE42" s="63">
        <f>IFERROR(LOOKUP(FE$15,HourlyTimeseries!$A:$A,HourlyTimeseries!$F:$F),"")</f>
        <v>7500</v>
      </c>
      <c r="FF42" s="63">
        <f>IFERROR(LOOKUP(FF$15,HourlyTimeseries!$A:$A,HourlyTimeseries!$F:$F),"")</f>
        <v>7500</v>
      </c>
      <c r="FG42" s="63">
        <f>IFERROR(LOOKUP(FG$15,HourlyTimeseries!$A:$A,HourlyTimeseries!$F:$F),"")</f>
        <v>7500</v>
      </c>
      <c r="FH42" s="63">
        <f>IFERROR(LOOKUP(FH$15,HourlyTimeseries!$A:$A,HourlyTimeseries!$F:$F),"")</f>
        <v>7500</v>
      </c>
      <c r="FI42" s="63">
        <f>IFERROR(LOOKUP(FI$15,HourlyTimeseries!$A:$A,HourlyTimeseries!$F:$F),"")</f>
        <v>7500</v>
      </c>
      <c r="FJ42" s="63">
        <f>IFERROR(LOOKUP(FJ$15,HourlyTimeseries!$A:$A,HourlyTimeseries!$F:$F),"")</f>
        <v>7500</v>
      </c>
      <c r="FK42" s="63">
        <f>IFERROR(LOOKUP(FK$15,HourlyTimeseries!$A:$A,HourlyTimeseries!$F:$F),"")</f>
        <v>7500</v>
      </c>
      <c r="FL42" s="63">
        <f>IFERROR(LOOKUP(FL$15,HourlyTimeseries!$A:$A,HourlyTimeseries!$F:$F),"")</f>
        <v>7500</v>
      </c>
      <c r="FM42" s="63">
        <f>IFERROR(LOOKUP(FM$15,HourlyTimeseries!$A:$A,HourlyTimeseries!$F:$F),"")</f>
        <v>7500</v>
      </c>
      <c r="FN42" s="63">
        <f>IFERROR(LOOKUP(FN$15,HourlyTimeseries!$A:$A,HourlyTimeseries!$F:$F),"")</f>
        <v>7500</v>
      </c>
      <c r="FO42" s="63">
        <f>IFERROR(LOOKUP(FO$15,HourlyTimeseries!$A:$A,HourlyTimeseries!$F:$F),"")</f>
        <v>7500</v>
      </c>
      <c r="FP42" s="63">
        <f>IFERROR(LOOKUP(FP$15,HourlyTimeseries!$A:$A,HourlyTimeseries!$F:$F),"")</f>
        <v>7500</v>
      </c>
      <c r="FQ42" s="63">
        <f>IFERROR(LOOKUP(FQ$15,HourlyTimeseries!$A:$A,HourlyTimeseries!$F:$F),"")</f>
        <v>7500</v>
      </c>
      <c r="FR42" s="63">
        <f>IFERROR(LOOKUP(FR$15,HourlyTimeseries!$A:$A,HourlyTimeseries!$F:$F),"")</f>
        <v>7500</v>
      </c>
      <c r="FS42" s="72">
        <f>IFERROR(LOOKUP(FS$15,HourlyTimeseries!$A:$A,HourlyTimeseries!$F:$F),"")</f>
        <v>7500</v>
      </c>
    </row>
    <row r="43" spans="4:175" ht="15.75" customHeight="1" x14ac:dyDescent="0.2">
      <c r="D43" s="36" t="s">
        <v>103</v>
      </c>
      <c r="E43" s="2" t="s">
        <v>99</v>
      </c>
      <c r="F43" s="8" t="s">
        <v>151</v>
      </c>
      <c r="G43" s="4" t="b">
        <v>1</v>
      </c>
      <c r="H43" s="24" t="str">
        <f>IF(H72=AE72,"","Might cause infeasibility because Temperature delta between Glen Canyon and RM61 at H01 and H24 are not the same")</f>
        <v>Might cause infeasibility because Temperature delta between Glen Canyon and RM61 at H01 and H24 are not the same</v>
      </c>
    </row>
    <row r="44" spans="4:175" ht="15.75" customHeight="1" x14ac:dyDescent="0.2">
      <c r="D44" s="36" t="s">
        <v>147</v>
      </c>
      <c r="E44" s="2" t="s">
        <v>145</v>
      </c>
      <c r="F44" s="8" t="s">
        <v>151</v>
      </c>
      <c r="G44" s="8">
        <v>4</v>
      </c>
      <c r="H44" s="24"/>
    </row>
    <row r="45" spans="4:175" ht="15.75" customHeight="1" x14ac:dyDescent="0.2">
      <c r="D45" s="36" t="s">
        <v>148</v>
      </c>
      <c r="E45" s="2" t="s">
        <v>146</v>
      </c>
      <c r="F45" s="8" t="s">
        <v>151</v>
      </c>
      <c r="G45" s="8">
        <v>4</v>
      </c>
      <c r="H45" s="35"/>
    </row>
    <row r="46" spans="4:175" ht="15.75" customHeight="1" thickBot="1" x14ac:dyDescent="0.25">
      <c r="D46" s="34" t="s">
        <v>259</v>
      </c>
      <c r="E46" s="2" t="s">
        <v>220</v>
      </c>
      <c r="F46" s="8" t="s">
        <v>151</v>
      </c>
      <c r="G46" s="8">
        <v>4</v>
      </c>
      <c r="H46" s="35"/>
    </row>
    <row r="47" spans="4:175" ht="15.75" customHeight="1" thickBot="1" x14ac:dyDescent="0.25">
      <c r="D47" s="16" t="s">
        <v>144</v>
      </c>
      <c r="E47" s="2" t="s">
        <v>94</v>
      </c>
      <c r="F47" s="2"/>
      <c r="G47" s="4" t="b">
        <v>1</v>
      </c>
    </row>
    <row r="48" spans="4:175" x14ac:dyDescent="0.2">
      <c r="D48" s="15" t="s">
        <v>71</v>
      </c>
      <c r="E48" s="2" t="s">
        <v>64</v>
      </c>
      <c r="F48" s="8" t="s">
        <v>151</v>
      </c>
      <c r="G48" s="8">
        <v>10000</v>
      </c>
    </row>
    <row r="49" spans="4:175" x14ac:dyDescent="0.2">
      <c r="D49" s="15" t="s">
        <v>70</v>
      </c>
      <c r="E49" s="2" t="s">
        <v>65</v>
      </c>
      <c r="F49" s="8" t="s">
        <v>151</v>
      </c>
      <c r="G49" s="8">
        <v>10000</v>
      </c>
    </row>
    <row r="50" spans="4:175" x14ac:dyDescent="0.2">
      <c r="D50" s="15" t="s">
        <v>82</v>
      </c>
      <c r="E50" s="2" t="s">
        <v>76</v>
      </c>
      <c r="F50" s="8" t="s">
        <v>151</v>
      </c>
      <c r="G50" s="2"/>
      <c r="H50" s="63">
        <f>IFERROR(LOOKUP(H$15,HourlyTimeseries!$A:$A,HourlyTimeseries!$G:$G),"")</f>
        <v>2400</v>
      </c>
      <c r="I50" s="63">
        <f>IFERROR(LOOKUP(I$15,HourlyTimeseries!$A:$A,HourlyTimeseries!$G:$G),"")</f>
        <v>2400</v>
      </c>
      <c r="J50" s="63">
        <f>IFERROR(LOOKUP(J$15,HourlyTimeseries!$A:$A,HourlyTimeseries!$G:$G),"")</f>
        <v>2400</v>
      </c>
      <c r="K50" s="63">
        <f>IFERROR(LOOKUP(K$15,HourlyTimeseries!$A:$A,HourlyTimeseries!$G:$G),"")</f>
        <v>2400</v>
      </c>
      <c r="L50" s="63">
        <f>IFERROR(LOOKUP(L$15,HourlyTimeseries!$A:$A,HourlyTimeseries!$G:$G),"")</f>
        <v>2400</v>
      </c>
      <c r="M50" s="63">
        <f>IFERROR(LOOKUP(M$15,HourlyTimeseries!$A:$A,HourlyTimeseries!$G:$G),"")</f>
        <v>2400</v>
      </c>
      <c r="N50" s="63">
        <f>IFERROR(LOOKUP(N$15,HourlyTimeseries!$A:$A,HourlyTimeseries!$G:$G),"")</f>
        <v>2400</v>
      </c>
      <c r="O50" s="63">
        <f>IFERROR(LOOKUP(O$15,HourlyTimeseries!$A:$A,HourlyTimeseries!$G:$G),"")</f>
        <v>2400</v>
      </c>
      <c r="P50" s="63">
        <f>IFERROR(LOOKUP(P$15,HourlyTimeseries!$A:$A,HourlyTimeseries!$G:$G),"")</f>
        <v>2400</v>
      </c>
      <c r="Q50" s="63">
        <f>IFERROR(LOOKUP(Q$15,HourlyTimeseries!$A:$A,HourlyTimeseries!$G:$G),"")</f>
        <v>2400</v>
      </c>
      <c r="R50" s="63">
        <f>IFERROR(LOOKUP(R$15,HourlyTimeseries!$A:$A,HourlyTimeseries!$G:$G),"")</f>
        <v>2400</v>
      </c>
      <c r="S50" s="63">
        <f>IFERROR(LOOKUP(S$15,HourlyTimeseries!$A:$A,HourlyTimeseries!$G:$G),"")</f>
        <v>2400</v>
      </c>
      <c r="T50" s="63">
        <f>IFERROR(LOOKUP(T$15,HourlyTimeseries!$A:$A,HourlyTimeseries!$G:$G),"")</f>
        <v>2400</v>
      </c>
      <c r="U50" s="63">
        <f>IFERROR(LOOKUP(U$15,HourlyTimeseries!$A:$A,HourlyTimeseries!$G:$G),"")</f>
        <v>2400</v>
      </c>
      <c r="V50" s="63">
        <f>IFERROR(LOOKUP(V$15,HourlyTimeseries!$A:$A,HourlyTimeseries!$G:$G),"")</f>
        <v>2400</v>
      </c>
      <c r="W50" s="63">
        <f>IFERROR(LOOKUP(W$15,HourlyTimeseries!$A:$A,HourlyTimeseries!$G:$G),"")</f>
        <v>2400</v>
      </c>
      <c r="X50" s="63">
        <f>IFERROR(LOOKUP(X$15,HourlyTimeseries!$A:$A,HourlyTimeseries!$G:$G),"")</f>
        <v>2400</v>
      </c>
      <c r="Y50" s="63">
        <f>IFERROR(LOOKUP(Y$15,HourlyTimeseries!$A:$A,HourlyTimeseries!$G:$G),"")</f>
        <v>2400</v>
      </c>
      <c r="Z50" s="63">
        <f>IFERROR(LOOKUP(Z$15,HourlyTimeseries!$A:$A,HourlyTimeseries!$G:$G),"")</f>
        <v>2400</v>
      </c>
      <c r="AA50" s="63">
        <f>IFERROR(LOOKUP(AA$15,HourlyTimeseries!$A:$A,HourlyTimeseries!$G:$G),"")</f>
        <v>2400</v>
      </c>
      <c r="AB50" s="63">
        <f>IFERROR(LOOKUP(AB$15,HourlyTimeseries!$A:$A,HourlyTimeseries!$G:$G),"")</f>
        <v>2400</v>
      </c>
      <c r="AC50" s="63">
        <f>IFERROR(LOOKUP(AC$15,HourlyTimeseries!$A:$A,HourlyTimeseries!$G:$G),"")</f>
        <v>2400</v>
      </c>
      <c r="AD50" s="63">
        <f>IFERROR(LOOKUP(AD$15,HourlyTimeseries!$A:$A,HourlyTimeseries!$G:$G),"")</f>
        <v>2400</v>
      </c>
      <c r="AE50" s="72">
        <f>IFERROR(LOOKUP(AE$15,HourlyTimeseries!$A:$A,HourlyTimeseries!$G:$G),"")</f>
        <v>2400</v>
      </c>
      <c r="AF50" s="79">
        <f>IFERROR(LOOKUP(AF$15,HourlyTimeseries!$A:$A,HourlyTimeseries!$G:$G),"")</f>
        <v>2400</v>
      </c>
      <c r="AG50" s="63">
        <f>IFERROR(LOOKUP(AG$15,HourlyTimeseries!$A:$A,HourlyTimeseries!$G:$G),"")</f>
        <v>2400</v>
      </c>
      <c r="AH50" s="63">
        <f>IFERROR(LOOKUP(AH$15,HourlyTimeseries!$A:$A,HourlyTimeseries!$G:$G),"")</f>
        <v>2400</v>
      </c>
      <c r="AI50" s="63">
        <f>IFERROR(LOOKUP(AI$15,HourlyTimeseries!$A:$A,HourlyTimeseries!$G:$G),"")</f>
        <v>2400</v>
      </c>
      <c r="AJ50" s="63">
        <f>IFERROR(LOOKUP(AJ$15,HourlyTimeseries!$A:$A,HourlyTimeseries!$G:$G),"")</f>
        <v>2400</v>
      </c>
      <c r="AK50" s="63">
        <f>IFERROR(LOOKUP(AK$15,HourlyTimeseries!$A:$A,HourlyTimeseries!$G:$G),"")</f>
        <v>2400</v>
      </c>
      <c r="AL50" s="63">
        <f>IFERROR(LOOKUP(AL$15,HourlyTimeseries!$A:$A,HourlyTimeseries!$G:$G),"")</f>
        <v>2400</v>
      </c>
      <c r="AM50" s="63">
        <f>IFERROR(LOOKUP(AM$15,HourlyTimeseries!$A:$A,HourlyTimeseries!$G:$G),"")</f>
        <v>2400</v>
      </c>
      <c r="AN50" s="63">
        <f>IFERROR(LOOKUP(AN$15,HourlyTimeseries!$A:$A,HourlyTimeseries!$G:$G),"")</f>
        <v>2400</v>
      </c>
      <c r="AO50" s="63">
        <f>IFERROR(LOOKUP(AO$15,HourlyTimeseries!$A:$A,HourlyTimeseries!$G:$G),"")</f>
        <v>2400</v>
      </c>
      <c r="AP50" s="63">
        <f>IFERROR(LOOKUP(AP$15,HourlyTimeseries!$A:$A,HourlyTimeseries!$G:$G),"")</f>
        <v>2400</v>
      </c>
      <c r="AQ50" s="63">
        <f>IFERROR(LOOKUP(AQ$15,HourlyTimeseries!$A:$A,HourlyTimeseries!$G:$G),"")</f>
        <v>2400</v>
      </c>
      <c r="AR50" s="63">
        <f>IFERROR(LOOKUP(AR$15,HourlyTimeseries!$A:$A,HourlyTimeseries!$G:$G),"")</f>
        <v>2400</v>
      </c>
      <c r="AS50" s="63">
        <f>IFERROR(LOOKUP(AS$15,HourlyTimeseries!$A:$A,HourlyTimeseries!$G:$G),"")</f>
        <v>2400</v>
      </c>
      <c r="AT50" s="63">
        <f>IFERROR(LOOKUP(AT$15,HourlyTimeseries!$A:$A,HourlyTimeseries!$G:$G),"")</f>
        <v>2400</v>
      </c>
      <c r="AU50" s="63">
        <f>IFERROR(LOOKUP(AU$15,HourlyTimeseries!$A:$A,HourlyTimeseries!$G:$G),"")</f>
        <v>2400</v>
      </c>
      <c r="AV50" s="63">
        <f>IFERROR(LOOKUP(AV$15,HourlyTimeseries!$A:$A,HourlyTimeseries!$G:$G),"")</f>
        <v>2400</v>
      </c>
      <c r="AW50" s="63">
        <f>IFERROR(LOOKUP(AW$15,HourlyTimeseries!$A:$A,HourlyTimeseries!$G:$G),"")</f>
        <v>2400</v>
      </c>
      <c r="AX50" s="63">
        <f>IFERROR(LOOKUP(AX$15,HourlyTimeseries!$A:$A,HourlyTimeseries!$G:$G),"")</f>
        <v>2400</v>
      </c>
      <c r="AY50" s="63">
        <f>IFERROR(LOOKUP(AY$15,HourlyTimeseries!$A:$A,HourlyTimeseries!$G:$G),"")</f>
        <v>2400</v>
      </c>
      <c r="AZ50" s="63">
        <f>IFERROR(LOOKUP(AZ$15,HourlyTimeseries!$A:$A,HourlyTimeseries!$G:$G),"")</f>
        <v>2400</v>
      </c>
      <c r="BA50" s="63">
        <f>IFERROR(LOOKUP(BA$15,HourlyTimeseries!$A:$A,HourlyTimeseries!$G:$G),"")</f>
        <v>2400</v>
      </c>
      <c r="BB50" s="63">
        <f>IFERROR(LOOKUP(BB$15,HourlyTimeseries!$A:$A,HourlyTimeseries!$G:$G),"")</f>
        <v>2400</v>
      </c>
      <c r="BC50" s="72">
        <f>IFERROR(LOOKUP(BC$15,HourlyTimeseries!$A:$A,HourlyTimeseries!$G:$G),"")</f>
        <v>2400</v>
      </c>
      <c r="BD50" s="79">
        <f>IFERROR(LOOKUP(BD$15,HourlyTimeseries!$A:$A,HourlyTimeseries!$G:$G),"")</f>
        <v>2400</v>
      </c>
      <c r="BE50" s="63">
        <f>IFERROR(LOOKUP(BE$15,HourlyTimeseries!$A:$A,HourlyTimeseries!$G:$G),"")</f>
        <v>2400</v>
      </c>
      <c r="BF50" s="63">
        <f>IFERROR(LOOKUP(BF$15,HourlyTimeseries!$A:$A,HourlyTimeseries!$G:$G),"")</f>
        <v>2400</v>
      </c>
      <c r="BG50" s="63">
        <f>IFERROR(LOOKUP(BG$15,HourlyTimeseries!$A:$A,HourlyTimeseries!$G:$G),"")</f>
        <v>2400</v>
      </c>
      <c r="BH50" s="63">
        <f>IFERROR(LOOKUP(BH$15,HourlyTimeseries!$A:$A,HourlyTimeseries!$G:$G),"")</f>
        <v>2400</v>
      </c>
      <c r="BI50" s="63">
        <f>IFERROR(LOOKUP(BI$15,HourlyTimeseries!$A:$A,HourlyTimeseries!$G:$G),"")</f>
        <v>2400</v>
      </c>
      <c r="BJ50" s="63">
        <f>IFERROR(LOOKUP(BJ$15,HourlyTimeseries!$A:$A,HourlyTimeseries!$G:$G),"")</f>
        <v>2400</v>
      </c>
      <c r="BK50" s="63">
        <f>IFERROR(LOOKUP(BK$15,HourlyTimeseries!$A:$A,HourlyTimeseries!$G:$G),"")</f>
        <v>2400</v>
      </c>
      <c r="BL50" s="63">
        <f>IFERROR(LOOKUP(BL$15,HourlyTimeseries!$A:$A,HourlyTimeseries!$G:$G),"")</f>
        <v>2400</v>
      </c>
      <c r="BM50" s="63">
        <f>IFERROR(LOOKUP(BM$15,HourlyTimeseries!$A:$A,HourlyTimeseries!$G:$G),"")</f>
        <v>2400</v>
      </c>
      <c r="BN50" s="63">
        <f>IFERROR(LOOKUP(BN$15,HourlyTimeseries!$A:$A,HourlyTimeseries!$G:$G),"")</f>
        <v>2400</v>
      </c>
      <c r="BO50" s="63">
        <f>IFERROR(LOOKUP(BO$15,HourlyTimeseries!$A:$A,HourlyTimeseries!$G:$G),"")</f>
        <v>2400</v>
      </c>
      <c r="BP50" s="63">
        <f>IFERROR(LOOKUP(BP$15,HourlyTimeseries!$A:$A,HourlyTimeseries!$G:$G),"")</f>
        <v>2400</v>
      </c>
      <c r="BQ50" s="63">
        <f>IFERROR(LOOKUP(BQ$15,HourlyTimeseries!$A:$A,HourlyTimeseries!$G:$G),"")</f>
        <v>2400</v>
      </c>
      <c r="BR50" s="63">
        <f>IFERROR(LOOKUP(BR$15,HourlyTimeseries!$A:$A,HourlyTimeseries!$G:$G),"")</f>
        <v>2400</v>
      </c>
      <c r="BS50" s="63">
        <f>IFERROR(LOOKUP(BS$15,HourlyTimeseries!$A:$A,HourlyTimeseries!$G:$G),"")</f>
        <v>2400</v>
      </c>
      <c r="BT50" s="63">
        <f>IFERROR(LOOKUP(BT$15,HourlyTimeseries!$A:$A,HourlyTimeseries!$G:$G),"")</f>
        <v>2400</v>
      </c>
      <c r="BU50" s="63">
        <f>IFERROR(LOOKUP(BU$15,HourlyTimeseries!$A:$A,HourlyTimeseries!$G:$G),"")</f>
        <v>2400</v>
      </c>
      <c r="BV50" s="63">
        <f>IFERROR(LOOKUP(BV$15,HourlyTimeseries!$A:$A,HourlyTimeseries!$G:$G),"")</f>
        <v>2400</v>
      </c>
      <c r="BW50" s="63">
        <f>IFERROR(LOOKUP(BW$15,HourlyTimeseries!$A:$A,HourlyTimeseries!$G:$G),"")</f>
        <v>2400</v>
      </c>
      <c r="BX50" s="63">
        <f>IFERROR(LOOKUP(BX$15,HourlyTimeseries!$A:$A,HourlyTimeseries!$G:$G),"")</f>
        <v>2400</v>
      </c>
      <c r="BY50" s="63">
        <f>IFERROR(LOOKUP(BY$15,HourlyTimeseries!$A:$A,HourlyTimeseries!$G:$G),"")</f>
        <v>2400</v>
      </c>
      <c r="BZ50" s="63">
        <f>IFERROR(LOOKUP(BZ$15,HourlyTimeseries!$A:$A,HourlyTimeseries!$G:$G),"")</f>
        <v>2400</v>
      </c>
      <c r="CA50" s="72">
        <f>IFERROR(LOOKUP(CA$15,HourlyTimeseries!$A:$A,HourlyTimeseries!$G:$G),"")</f>
        <v>2400</v>
      </c>
      <c r="CB50" s="79">
        <f>IFERROR(LOOKUP(CB$15,HourlyTimeseries!$A:$A,HourlyTimeseries!$G:$G),"")</f>
        <v>2400</v>
      </c>
      <c r="CC50" s="63">
        <f>IFERROR(LOOKUP(CC$15,HourlyTimeseries!$A:$A,HourlyTimeseries!$G:$G),"")</f>
        <v>2400</v>
      </c>
      <c r="CD50" s="63">
        <f>IFERROR(LOOKUP(CD$15,HourlyTimeseries!$A:$A,HourlyTimeseries!$G:$G),"")</f>
        <v>2400</v>
      </c>
      <c r="CE50" s="63">
        <f>IFERROR(LOOKUP(CE$15,HourlyTimeseries!$A:$A,HourlyTimeseries!$G:$G),"")</f>
        <v>2400</v>
      </c>
      <c r="CF50" s="63">
        <f>IFERROR(LOOKUP(CF$15,HourlyTimeseries!$A:$A,HourlyTimeseries!$G:$G),"")</f>
        <v>2400</v>
      </c>
      <c r="CG50" s="63">
        <f>IFERROR(LOOKUP(CG$15,HourlyTimeseries!$A:$A,HourlyTimeseries!$G:$G),"")</f>
        <v>2400</v>
      </c>
      <c r="CH50" s="63">
        <f>IFERROR(LOOKUP(CH$15,HourlyTimeseries!$A:$A,HourlyTimeseries!$G:$G),"")</f>
        <v>2400</v>
      </c>
      <c r="CI50" s="63">
        <f>IFERROR(LOOKUP(CI$15,HourlyTimeseries!$A:$A,HourlyTimeseries!$G:$G),"")</f>
        <v>2400</v>
      </c>
      <c r="CJ50" s="63">
        <f>IFERROR(LOOKUP(CJ$15,HourlyTimeseries!$A:$A,HourlyTimeseries!$G:$G),"")</f>
        <v>2400</v>
      </c>
      <c r="CK50" s="63">
        <f>IFERROR(LOOKUP(CK$15,HourlyTimeseries!$A:$A,HourlyTimeseries!$G:$G),"")</f>
        <v>2400</v>
      </c>
      <c r="CL50" s="63">
        <f>IFERROR(LOOKUP(CL$15,HourlyTimeseries!$A:$A,HourlyTimeseries!$G:$G),"")</f>
        <v>2400</v>
      </c>
      <c r="CM50" s="63">
        <f>IFERROR(LOOKUP(CM$15,HourlyTimeseries!$A:$A,HourlyTimeseries!$G:$G),"")</f>
        <v>2400</v>
      </c>
      <c r="CN50" s="63">
        <f>IFERROR(LOOKUP(CN$15,HourlyTimeseries!$A:$A,HourlyTimeseries!$G:$G),"")</f>
        <v>2400</v>
      </c>
      <c r="CO50" s="63">
        <f>IFERROR(LOOKUP(CO$15,HourlyTimeseries!$A:$A,HourlyTimeseries!$G:$G),"")</f>
        <v>2400</v>
      </c>
      <c r="CP50" s="63">
        <f>IFERROR(LOOKUP(CP$15,HourlyTimeseries!$A:$A,HourlyTimeseries!$G:$G),"")</f>
        <v>2400</v>
      </c>
      <c r="CQ50" s="63">
        <f>IFERROR(LOOKUP(CQ$15,HourlyTimeseries!$A:$A,HourlyTimeseries!$G:$G),"")</f>
        <v>2400</v>
      </c>
      <c r="CR50" s="63">
        <f>IFERROR(LOOKUP(CR$15,HourlyTimeseries!$A:$A,HourlyTimeseries!$G:$G),"")</f>
        <v>2400</v>
      </c>
      <c r="CS50" s="63">
        <f>IFERROR(LOOKUP(CS$15,HourlyTimeseries!$A:$A,HourlyTimeseries!$G:$G),"")</f>
        <v>2400</v>
      </c>
      <c r="CT50" s="63">
        <f>IFERROR(LOOKUP(CT$15,HourlyTimeseries!$A:$A,HourlyTimeseries!$G:$G),"")</f>
        <v>2400</v>
      </c>
      <c r="CU50" s="63">
        <f>IFERROR(LOOKUP(CU$15,HourlyTimeseries!$A:$A,HourlyTimeseries!$G:$G),"")</f>
        <v>2400</v>
      </c>
      <c r="CV50" s="63">
        <f>IFERROR(LOOKUP(CV$15,HourlyTimeseries!$A:$A,HourlyTimeseries!$G:$G),"")</f>
        <v>2400</v>
      </c>
      <c r="CW50" s="63">
        <f>IFERROR(LOOKUP(CW$15,HourlyTimeseries!$A:$A,HourlyTimeseries!$G:$G),"")</f>
        <v>2400</v>
      </c>
      <c r="CX50" s="63">
        <f>IFERROR(LOOKUP(CX$15,HourlyTimeseries!$A:$A,HourlyTimeseries!$G:$G),"")</f>
        <v>2400</v>
      </c>
      <c r="CY50" s="72">
        <f>IFERROR(LOOKUP(CY$15,HourlyTimeseries!$A:$A,HourlyTimeseries!$G:$G),"")</f>
        <v>2400</v>
      </c>
      <c r="CZ50" s="79">
        <f>IFERROR(LOOKUP(CZ$15,HourlyTimeseries!$A:$A,HourlyTimeseries!$G:$G),"")</f>
        <v>2400</v>
      </c>
      <c r="DA50" s="63">
        <f>IFERROR(LOOKUP(DA$15,HourlyTimeseries!$A:$A,HourlyTimeseries!$G:$G),"")</f>
        <v>2400</v>
      </c>
      <c r="DB50" s="63">
        <f>IFERROR(LOOKUP(DB$15,HourlyTimeseries!$A:$A,HourlyTimeseries!$G:$G),"")</f>
        <v>2400</v>
      </c>
      <c r="DC50" s="63">
        <f>IFERROR(LOOKUP(DC$15,HourlyTimeseries!$A:$A,HourlyTimeseries!$G:$G),"")</f>
        <v>2400</v>
      </c>
      <c r="DD50" s="63">
        <f>IFERROR(LOOKUP(DD$15,HourlyTimeseries!$A:$A,HourlyTimeseries!$G:$G),"")</f>
        <v>2400</v>
      </c>
      <c r="DE50" s="63">
        <f>IFERROR(LOOKUP(DE$15,HourlyTimeseries!$A:$A,HourlyTimeseries!$G:$G),"")</f>
        <v>2400</v>
      </c>
      <c r="DF50" s="63">
        <f>IFERROR(LOOKUP(DF$15,HourlyTimeseries!$A:$A,HourlyTimeseries!$G:$G),"")</f>
        <v>2400</v>
      </c>
      <c r="DG50" s="63">
        <f>IFERROR(LOOKUP(DG$15,HourlyTimeseries!$A:$A,HourlyTimeseries!$G:$G),"")</f>
        <v>2400</v>
      </c>
      <c r="DH50" s="63">
        <f>IFERROR(LOOKUP(DH$15,HourlyTimeseries!$A:$A,HourlyTimeseries!$G:$G),"")</f>
        <v>2400</v>
      </c>
      <c r="DI50" s="63">
        <f>IFERROR(LOOKUP(DI$15,HourlyTimeseries!$A:$A,HourlyTimeseries!$G:$G),"")</f>
        <v>2400</v>
      </c>
      <c r="DJ50" s="63">
        <f>IFERROR(LOOKUP(DJ$15,HourlyTimeseries!$A:$A,HourlyTimeseries!$G:$G),"")</f>
        <v>2400</v>
      </c>
      <c r="DK50" s="63">
        <f>IFERROR(LOOKUP(DK$15,HourlyTimeseries!$A:$A,HourlyTimeseries!$G:$G),"")</f>
        <v>2400</v>
      </c>
      <c r="DL50" s="63">
        <f>IFERROR(LOOKUP(DL$15,HourlyTimeseries!$A:$A,HourlyTimeseries!$G:$G),"")</f>
        <v>2400</v>
      </c>
      <c r="DM50" s="63">
        <f>IFERROR(LOOKUP(DM$15,HourlyTimeseries!$A:$A,HourlyTimeseries!$G:$G),"")</f>
        <v>2400</v>
      </c>
      <c r="DN50" s="63">
        <f>IFERROR(LOOKUP(DN$15,HourlyTimeseries!$A:$A,HourlyTimeseries!$G:$G),"")</f>
        <v>2400</v>
      </c>
      <c r="DO50" s="63">
        <f>IFERROR(LOOKUP(DO$15,HourlyTimeseries!$A:$A,HourlyTimeseries!$G:$G),"")</f>
        <v>2400</v>
      </c>
      <c r="DP50" s="63">
        <f>IFERROR(LOOKUP(DP$15,HourlyTimeseries!$A:$A,HourlyTimeseries!$G:$G),"")</f>
        <v>2400</v>
      </c>
      <c r="DQ50" s="63">
        <f>IFERROR(LOOKUP(DQ$15,HourlyTimeseries!$A:$A,HourlyTimeseries!$G:$G),"")</f>
        <v>2400</v>
      </c>
      <c r="DR50" s="63">
        <f>IFERROR(LOOKUP(DR$15,HourlyTimeseries!$A:$A,HourlyTimeseries!$G:$G),"")</f>
        <v>2400</v>
      </c>
      <c r="DS50" s="63">
        <f>IFERROR(LOOKUP(DS$15,HourlyTimeseries!$A:$A,HourlyTimeseries!$G:$G),"")</f>
        <v>2400</v>
      </c>
      <c r="DT50" s="63">
        <f>IFERROR(LOOKUP(DT$15,HourlyTimeseries!$A:$A,HourlyTimeseries!$G:$G),"")</f>
        <v>2400</v>
      </c>
      <c r="DU50" s="63">
        <f>IFERROR(LOOKUP(DU$15,HourlyTimeseries!$A:$A,HourlyTimeseries!$G:$G),"")</f>
        <v>2400</v>
      </c>
      <c r="DV50" s="63">
        <f>IFERROR(LOOKUP(DV$15,HourlyTimeseries!$A:$A,HourlyTimeseries!$G:$G),"")</f>
        <v>2400</v>
      </c>
      <c r="DW50" s="72">
        <f>IFERROR(LOOKUP(DW$15,HourlyTimeseries!$A:$A,HourlyTimeseries!$G:$G),"")</f>
        <v>2400</v>
      </c>
      <c r="DX50" s="79">
        <f>IFERROR(LOOKUP(DX$15,HourlyTimeseries!$A:$A,HourlyTimeseries!$G:$G),"")</f>
        <v>2400</v>
      </c>
      <c r="DY50" s="63">
        <f>IFERROR(LOOKUP(DY$15,HourlyTimeseries!$A:$A,HourlyTimeseries!$G:$G),"")</f>
        <v>2400</v>
      </c>
      <c r="DZ50" s="63">
        <f>IFERROR(LOOKUP(DZ$15,HourlyTimeseries!$A:$A,HourlyTimeseries!$G:$G),"")</f>
        <v>2400</v>
      </c>
      <c r="EA50" s="63">
        <f>IFERROR(LOOKUP(EA$15,HourlyTimeseries!$A:$A,HourlyTimeseries!$G:$G),"")</f>
        <v>2400</v>
      </c>
      <c r="EB50" s="63">
        <f>IFERROR(LOOKUP(EB$15,HourlyTimeseries!$A:$A,HourlyTimeseries!$G:$G),"")</f>
        <v>2400</v>
      </c>
      <c r="EC50" s="63">
        <f>IFERROR(LOOKUP(EC$15,HourlyTimeseries!$A:$A,HourlyTimeseries!$G:$G),"")</f>
        <v>2400</v>
      </c>
      <c r="ED50" s="63">
        <f>IFERROR(LOOKUP(ED$15,HourlyTimeseries!$A:$A,HourlyTimeseries!$G:$G),"")</f>
        <v>2400</v>
      </c>
      <c r="EE50" s="63">
        <f>IFERROR(LOOKUP(EE$15,HourlyTimeseries!$A:$A,HourlyTimeseries!$G:$G),"")</f>
        <v>2400</v>
      </c>
      <c r="EF50" s="63">
        <f>IFERROR(LOOKUP(EF$15,HourlyTimeseries!$A:$A,HourlyTimeseries!$G:$G),"")</f>
        <v>2400</v>
      </c>
      <c r="EG50" s="63">
        <f>IFERROR(LOOKUP(EG$15,HourlyTimeseries!$A:$A,HourlyTimeseries!$G:$G),"")</f>
        <v>2400</v>
      </c>
      <c r="EH50" s="63">
        <f>IFERROR(LOOKUP(EH$15,HourlyTimeseries!$A:$A,HourlyTimeseries!$G:$G),"")</f>
        <v>2400</v>
      </c>
      <c r="EI50" s="63">
        <f>IFERROR(LOOKUP(EI$15,HourlyTimeseries!$A:$A,HourlyTimeseries!$G:$G),"")</f>
        <v>2400</v>
      </c>
      <c r="EJ50" s="63">
        <f>IFERROR(LOOKUP(EJ$15,HourlyTimeseries!$A:$A,HourlyTimeseries!$G:$G),"")</f>
        <v>2400</v>
      </c>
      <c r="EK50" s="63">
        <f>IFERROR(LOOKUP(EK$15,HourlyTimeseries!$A:$A,HourlyTimeseries!$G:$G),"")</f>
        <v>2400</v>
      </c>
      <c r="EL50" s="63">
        <f>IFERROR(LOOKUP(EL$15,HourlyTimeseries!$A:$A,HourlyTimeseries!$G:$G),"")</f>
        <v>2400</v>
      </c>
      <c r="EM50" s="63">
        <f>IFERROR(LOOKUP(EM$15,HourlyTimeseries!$A:$A,HourlyTimeseries!$G:$G),"")</f>
        <v>2400</v>
      </c>
      <c r="EN50" s="63">
        <f>IFERROR(LOOKUP(EN$15,HourlyTimeseries!$A:$A,HourlyTimeseries!$G:$G),"")</f>
        <v>2400</v>
      </c>
      <c r="EO50" s="63">
        <f>IFERROR(LOOKUP(EO$15,HourlyTimeseries!$A:$A,HourlyTimeseries!$G:$G),"")</f>
        <v>2400</v>
      </c>
      <c r="EP50" s="63">
        <f>IFERROR(LOOKUP(EP$15,HourlyTimeseries!$A:$A,HourlyTimeseries!$G:$G),"")</f>
        <v>2400</v>
      </c>
      <c r="EQ50" s="63">
        <f>IFERROR(LOOKUP(EQ$15,HourlyTimeseries!$A:$A,HourlyTimeseries!$G:$G),"")</f>
        <v>2400</v>
      </c>
      <c r="ER50" s="63">
        <f>IFERROR(LOOKUP(ER$15,HourlyTimeseries!$A:$A,HourlyTimeseries!$G:$G),"")</f>
        <v>2400</v>
      </c>
      <c r="ES50" s="63">
        <f>IFERROR(LOOKUP(ES$15,HourlyTimeseries!$A:$A,HourlyTimeseries!$G:$G),"")</f>
        <v>2400</v>
      </c>
      <c r="ET50" s="63">
        <f>IFERROR(LOOKUP(ET$15,HourlyTimeseries!$A:$A,HourlyTimeseries!$G:$G),"")</f>
        <v>2400</v>
      </c>
      <c r="EU50" s="72">
        <f>IFERROR(LOOKUP(EU$15,HourlyTimeseries!$A:$A,HourlyTimeseries!$G:$G),"")</f>
        <v>2400</v>
      </c>
      <c r="EV50" s="79">
        <f>IFERROR(LOOKUP(EV$15,HourlyTimeseries!$A:$A,HourlyTimeseries!$G:$G),"")</f>
        <v>2400</v>
      </c>
      <c r="EW50" s="63">
        <f>IFERROR(LOOKUP(EW$15,HourlyTimeseries!$A:$A,HourlyTimeseries!$G:$G),"")</f>
        <v>2400</v>
      </c>
      <c r="EX50" s="63">
        <f>IFERROR(LOOKUP(EX$15,HourlyTimeseries!$A:$A,HourlyTimeseries!$G:$G),"")</f>
        <v>2400</v>
      </c>
      <c r="EY50" s="63">
        <f>IFERROR(LOOKUP(EY$15,HourlyTimeseries!$A:$A,HourlyTimeseries!$G:$G),"")</f>
        <v>2400</v>
      </c>
      <c r="EZ50" s="63">
        <f>IFERROR(LOOKUP(EZ$15,HourlyTimeseries!$A:$A,HourlyTimeseries!$G:$G),"")</f>
        <v>2400</v>
      </c>
      <c r="FA50" s="63">
        <f>IFERROR(LOOKUP(FA$15,HourlyTimeseries!$A:$A,HourlyTimeseries!$G:$G),"")</f>
        <v>2400</v>
      </c>
      <c r="FB50" s="63">
        <f>IFERROR(LOOKUP(FB$15,HourlyTimeseries!$A:$A,HourlyTimeseries!$G:$G),"")</f>
        <v>2400</v>
      </c>
      <c r="FC50" s="63">
        <f>IFERROR(LOOKUP(FC$15,HourlyTimeseries!$A:$A,HourlyTimeseries!$G:$G),"")</f>
        <v>2400</v>
      </c>
      <c r="FD50" s="63">
        <f>IFERROR(LOOKUP(FD$15,HourlyTimeseries!$A:$A,HourlyTimeseries!$G:$G),"")</f>
        <v>2400</v>
      </c>
      <c r="FE50" s="63">
        <f>IFERROR(LOOKUP(FE$15,HourlyTimeseries!$A:$A,HourlyTimeseries!$G:$G),"")</f>
        <v>2400</v>
      </c>
      <c r="FF50" s="63">
        <f>IFERROR(LOOKUP(FF$15,HourlyTimeseries!$A:$A,HourlyTimeseries!$G:$G),"")</f>
        <v>2400</v>
      </c>
      <c r="FG50" s="63">
        <f>IFERROR(LOOKUP(FG$15,HourlyTimeseries!$A:$A,HourlyTimeseries!$G:$G),"")</f>
        <v>2400</v>
      </c>
      <c r="FH50" s="63">
        <f>IFERROR(LOOKUP(FH$15,HourlyTimeseries!$A:$A,HourlyTimeseries!$G:$G),"")</f>
        <v>2400</v>
      </c>
      <c r="FI50" s="63">
        <f>IFERROR(LOOKUP(FI$15,HourlyTimeseries!$A:$A,HourlyTimeseries!$G:$G),"")</f>
        <v>2400</v>
      </c>
      <c r="FJ50" s="63">
        <f>IFERROR(LOOKUP(FJ$15,HourlyTimeseries!$A:$A,HourlyTimeseries!$G:$G),"")</f>
        <v>2400</v>
      </c>
      <c r="FK50" s="63">
        <f>IFERROR(LOOKUP(FK$15,HourlyTimeseries!$A:$A,HourlyTimeseries!$G:$G),"")</f>
        <v>2400</v>
      </c>
      <c r="FL50" s="63">
        <f>IFERROR(LOOKUP(FL$15,HourlyTimeseries!$A:$A,HourlyTimeseries!$G:$G),"")</f>
        <v>2400</v>
      </c>
      <c r="FM50" s="63">
        <f>IFERROR(LOOKUP(FM$15,HourlyTimeseries!$A:$A,HourlyTimeseries!$G:$G),"")</f>
        <v>2400</v>
      </c>
      <c r="FN50" s="63">
        <f>IFERROR(LOOKUP(FN$15,HourlyTimeseries!$A:$A,HourlyTimeseries!$G:$G),"")</f>
        <v>2400</v>
      </c>
      <c r="FO50" s="63">
        <f>IFERROR(LOOKUP(FO$15,HourlyTimeseries!$A:$A,HourlyTimeseries!$G:$G),"")</f>
        <v>2400</v>
      </c>
      <c r="FP50" s="63">
        <f>IFERROR(LOOKUP(FP$15,HourlyTimeseries!$A:$A,HourlyTimeseries!$G:$G),"")</f>
        <v>2400</v>
      </c>
      <c r="FQ50" s="63">
        <f>IFERROR(LOOKUP(FQ$15,HourlyTimeseries!$A:$A,HourlyTimeseries!$G:$G),"")</f>
        <v>2400</v>
      </c>
      <c r="FR50" s="63">
        <f>IFERROR(LOOKUP(FR$15,HourlyTimeseries!$A:$A,HourlyTimeseries!$G:$G),"")</f>
        <v>2400</v>
      </c>
      <c r="FS50" s="72">
        <f>IFERROR(LOOKUP(FS$15,HourlyTimeseries!$A:$A,HourlyTimeseries!$G:$G),"")</f>
        <v>2400</v>
      </c>
    </row>
    <row r="51" spans="4:175" x14ac:dyDescent="0.2">
      <c r="D51" s="15" t="s">
        <v>83</v>
      </c>
      <c r="E51" s="2" t="s">
        <v>77</v>
      </c>
      <c r="F51" s="8" t="s">
        <v>151</v>
      </c>
      <c r="G51" s="2"/>
      <c r="H51" s="63">
        <f>IFERROR(LOOKUP(H$15,HourlyTimeseries!$A:$A,HourlyTimeseries!$H:$H),"")</f>
        <v>25000</v>
      </c>
      <c r="I51" s="63">
        <f>IFERROR(LOOKUP(I$15,HourlyTimeseries!$A:$A,HourlyTimeseries!$H:$H),"")</f>
        <v>25000</v>
      </c>
      <c r="J51" s="63">
        <f>IFERROR(LOOKUP(J$15,HourlyTimeseries!$A:$A,HourlyTimeseries!$H:$H),"")</f>
        <v>25000</v>
      </c>
      <c r="K51" s="63">
        <f>IFERROR(LOOKUP(K$15,HourlyTimeseries!$A:$A,HourlyTimeseries!$H:$H),"")</f>
        <v>25000</v>
      </c>
      <c r="L51" s="63">
        <f>IFERROR(LOOKUP(L$15,HourlyTimeseries!$A:$A,HourlyTimeseries!$H:$H),"")</f>
        <v>25000</v>
      </c>
      <c r="M51" s="63">
        <f>IFERROR(LOOKUP(M$15,HourlyTimeseries!$A:$A,HourlyTimeseries!$H:$H),"")</f>
        <v>25000</v>
      </c>
      <c r="N51" s="63">
        <f>IFERROR(LOOKUP(N$15,HourlyTimeseries!$A:$A,HourlyTimeseries!$H:$H),"")</f>
        <v>25000</v>
      </c>
      <c r="O51" s="63">
        <f>IFERROR(LOOKUP(O$15,HourlyTimeseries!$A:$A,HourlyTimeseries!$H:$H),"")</f>
        <v>25000</v>
      </c>
      <c r="P51" s="63">
        <f>IFERROR(LOOKUP(P$15,HourlyTimeseries!$A:$A,HourlyTimeseries!$H:$H),"")</f>
        <v>25000</v>
      </c>
      <c r="Q51" s="63">
        <f>IFERROR(LOOKUP(Q$15,HourlyTimeseries!$A:$A,HourlyTimeseries!$H:$H),"")</f>
        <v>25000</v>
      </c>
      <c r="R51" s="63">
        <f>IFERROR(LOOKUP(R$15,HourlyTimeseries!$A:$A,HourlyTimeseries!$H:$H),"")</f>
        <v>25000</v>
      </c>
      <c r="S51" s="63">
        <f>IFERROR(LOOKUP(S$15,HourlyTimeseries!$A:$A,HourlyTimeseries!$H:$H),"")</f>
        <v>25000</v>
      </c>
      <c r="T51" s="63">
        <f>IFERROR(LOOKUP(T$15,HourlyTimeseries!$A:$A,HourlyTimeseries!$H:$H),"")</f>
        <v>25000</v>
      </c>
      <c r="U51" s="63">
        <f>IFERROR(LOOKUP(U$15,HourlyTimeseries!$A:$A,HourlyTimeseries!$H:$H),"")</f>
        <v>25000</v>
      </c>
      <c r="V51" s="63">
        <f>IFERROR(LOOKUP(V$15,HourlyTimeseries!$A:$A,HourlyTimeseries!$H:$H),"")</f>
        <v>25000</v>
      </c>
      <c r="W51" s="63">
        <f>IFERROR(LOOKUP(W$15,HourlyTimeseries!$A:$A,HourlyTimeseries!$H:$H),"")</f>
        <v>25000</v>
      </c>
      <c r="X51" s="63">
        <f>IFERROR(LOOKUP(X$15,HourlyTimeseries!$A:$A,HourlyTimeseries!$H:$H),"")</f>
        <v>25000</v>
      </c>
      <c r="Y51" s="63">
        <f>IFERROR(LOOKUP(Y$15,HourlyTimeseries!$A:$A,HourlyTimeseries!$H:$H),"")</f>
        <v>25000</v>
      </c>
      <c r="Z51" s="63">
        <f>IFERROR(LOOKUP(Z$15,HourlyTimeseries!$A:$A,HourlyTimeseries!$H:$H),"")</f>
        <v>25000</v>
      </c>
      <c r="AA51" s="63">
        <f>IFERROR(LOOKUP(AA$15,HourlyTimeseries!$A:$A,HourlyTimeseries!$H:$H),"")</f>
        <v>25000</v>
      </c>
      <c r="AB51" s="63">
        <f>IFERROR(LOOKUP(AB$15,HourlyTimeseries!$A:$A,HourlyTimeseries!$H:$H),"")</f>
        <v>25000</v>
      </c>
      <c r="AC51" s="63">
        <f>IFERROR(LOOKUP(AC$15,HourlyTimeseries!$A:$A,HourlyTimeseries!$H:$H),"")</f>
        <v>25000</v>
      </c>
      <c r="AD51" s="63">
        <f>IFERROR(LOOKUP(AD$15,HourlyTimeseries!$A:$A,HourlyTimeseries!$H:$H),"")</f>
        <v>25000</v>
      </c>
      <c r="AE51" s="72">
        <f>IFERROR(LOOKUP(AE$15,HourlyTimeseries!$A:$A,HourlyTimeseries!$H:$H),"")</f>
        <v>25000</v>
      </c>
      <c r="AF51" s="79">
        <f>IFERROR(LOOKUP(AF$15,HourlyTimeseries!$A:$A,HourlyTimeseries!$H:$H),"")</f>
        <v>25000</v>
      </c>
      <c r="AG51" s="63">
        <f>IFERROR(LOOKUP(AG$15,HourlyTimeseries!$A:$A,HourlyTimeseries!$H:$H),"")</f>
        <v>25000</v>
      </c>
      <c r="AH51" s="63">
        <f>IFERROR(LOOKUP(AH$15,HourlyTimeseries!$A:$A,HourlyTimeseries!$H:$H),"")</f>
        <v>25000</v>
      </c>
      <c r="AI51" s="63">
        <f>IFERROR(LOOKUP(AI$15,HourlyTimeseries!$A:$A,HourlyTimeseries!$H:$H),"")</f>
        <v>25000</v>
      </c>
      <c r="AJ51" s="63">
        <f>IFERROR(LOOKUP(AJ$15,HourlyTimeseries!$A:$A,HourlyTimeseries!$H:$H),"")</f>
        <v>25000</v>
      </c>
      <c r="AK51" s="63">
        <f>IFERROR(LOOKUP(AK$15,HourlyTimeseries!$A:$A,HourlyTimeseries!$H:$H),"")</f>
        <v>25000</v>
      </c>
      <c r="AL51" s="63">
        <f>IFERROR(LOOKUP(AL$15,HourlyTimeseries!$A:$A,HourlyTimeseries!$H:$H),"")</f>
        <v>25000</v>
      </c>
      <c r="AM51" s="63">
        <f>IFERROR(LOOKUP(AM$15,HourlyTimeseries!$A:$A,HourlyTimeseries!$H:$H),"")</f>
        <v>25000</v>
      </c>
      <c r="AN51" s="63">
        <f>IFERROR(LOOKUP(AN$15,HourlyTimeseries!$A:$A,HourlyTimeseries!$H:$H),"")</f>
        <v>25000</v>
      </c>
      <c r="AO51" s="63">
        <f>IFERROR(LOOKUP(AO$15,HourlyTimeseries!$A:$A,HourlyTimeseries!$H:$H),"")</f>
        <v>25000</v>
      </c>
      <c r="AP51" s="63">
        <f>IFERROR(LOOKUP(AP$15,HourlyTimeseries!$A:$A,HourlyTimeseries!$H:$H),"")</f>
        <v>25000</v>
      </c>
      <c r="AQ51" s="63">
        <f>IFERROR(LOOKUP(AQ$15,HourlyTimeseries!$A:$A,HourlyTimeseries!$H:$H),"")</f>
        <v>25000</v>
      </c>
      <c r="AR51" s="63">
        <f>IFERROR(LOOKUP(AR$15,HourlyTimeseries!$A:$A,HourlyTimeseries!$H:$H),"")</f>
        <v>25000</v>
      </c>
      <c r="AS51" s="63">
        <f>IFERROR(LOOKUP(AS$15,HourlyTimeseries!$A:$A,HourlyTimeseries!$H:$H),"")</f>
        <v>25000</v>
      </c>
      <c r="AT51" s="63">
        <f>IFERROR(LOOKUP(AT$15,HourlyTimeseries!$A:$A,HourlyTimeseries!$H:$H),"")</f>
        <v>25000</v>
      </c>
      <c r="AU51" s="63">
        <f>IFERROR(LOOKUP(AU$15,HourlyTimeseries!$A:$A,HourlyTimeseries!$H:$H),"")</f>
        <v>25000</v>
      </c>
      <c r="AV51" s="63">
        <f>IFERROR(LOOKUP(AV$15,HourlyTimeseries!$A:$A,HourlyTimeseries!$H:$H),"")</f>
        <v>25000</v>
      </c>
      <c r="AW51" s="63">
        <f>IFERROR(LOOKUP(AW$15,HourlyTimeseries!$A:$A,HourlyTimeseries!$H:$H),"")</f>
        <v>25000</v>
      </c>
      <c r="AX51" s="63">
        <f>IFERROR(LOOKUP(AX$15,HourlyTimeseries!$A:$A,HourlyTimeseries!$H:$H),"")</f>
        <v>25000</v>
      </c>
      <c r="AY51" s="63">
        <f>IFERROR(LOOKUP(AY$15,HourlyTimeseries!$A:$A,HourlyTimeseries!$H:$H),"")</f>
        <v>25000</v>
      </c>
      <c r="AZ51" s="63">
        <f>IFERROR(LOOKUP(AZ$15,HourlyTimeseries!$A:$A,HourlyTimeseries!$H:$H),"")</f>
        <v>25000</v>
      </c>
      <c r="BA51" s="63">
        <f>IFERROR(LOOKUP(BA$15,HourlyTimeseries!$A:$A,HourlyTimeseries!$H:$H),"")</f>
        <v>25000</v>
      </c>
      <c r="BB51" s="63">
        <f>IFERROR(LOOKUP(BB$15,HourlyTimeseries!$A:$A,HourlyTimeseries!$H:$H),"")</f>
        <v>25000</v>
      </c>
      <c r="BC51" s="72">
        <f>IFERROR(LOOKUP(BC$15,HourlyTimeseries!$A:$A,HourlyTimeseries!$H:$H),"")</f>
        <v>25000</v>
      </c>
      <c r="BD51" s="79">
        <f>IFERROR(LOOKUP(BD$15,HourlyTimeseries!$A:$A,HourlyTimeseries!$H:$H),"")</f>
        <v>25000</v>
      </c>
      <c r="BE51" s="63">
        <f>IFERROR(LOOKUP(BE$15,HourlyTimeseries!$A:$A,HourlyTimeseries!$H:$H),"")</f>
        <v>25000</v>
      </c>
      <c r="BF51" s="63">
        <f>IFERROR(LOOKUP(BF$15,HourlyTimeseries!$A:$A,HourlyTimeseries!$H:$H),"")</f>
        <v>25000</v>
      </c>
      <c r="BG51" s="63">
        <f>IFERROR(LOOKUP(BG$15,HourlyTimeseries!$A:$A,HourlyTimeseries!$H:$H),"")</f>
        <v>25000</v>
      </c>
      <c r="BH51" s="63">
        <f>IFERROR(LOOKUP(BH$15,HourlyTimeseries!$A:$A,HourlyTimeseries!$H:$H),"")</f>
        <v>25000</v>
      </c>
      <c r="BI51" s="63">
        <f>IFERROR(LOOKUP(BI$15,HourlyTimeseries!$A:$A,HourlyTimeseries!$H:$H),"")</f>
        <v>25000</v>
      </c>
      <c r="BJ51" s="63">
        <f>IFERROR(LOOKUP(BJ$15,HourlyTimeseries!$A:$A,HourlyTimeseries!$H:$H),"")</f>
        <v>25000</v>
      </c>
      <c r="BK51" s="63">
        <f>IFERROR(LOOKUP(BK$15,HourlyTimeseries!$A:$A,HourlyTimeseries!$H:$H),"")</f>
        <v>25000</v>
      </c>
      <c r="BL51" s="63">
        <f>IFERROR(LOOKUP(BL$15,HourlyTimeseries!$A:$A,HourlyTimeseries!$H:$H),"")</f>
        <v>25000</v>
      </c>
      <c r="BM51" s="63">
        <f>IFERROR(LOOKUP(BM$15,HourlyTimeseries!$A:$A,HourlyTimeseries!$H:$H),"")</f>
        <v>25000</v>
      </c>
      <c r="BN51" s="63">
        <f>IFERROR(LOOKUP(BN$15,HourlyTimeseries!$A:$A,HourlyTimeseries!$H:$H),"")</f>
        <v>25000</v>
      </c>
      <c r="BO51" s="63">
        <f>IFERROR(LOOKUP(BO$15,HourlyTimeseries!$A:$A,HourlyTimeseries!$H:$H),"")</f>
        <v>25000</v>
      </c>
      <c r="BP51" s="63">
        <f>IFERROR(LOOKUP(BP$15,HourlyTimeseries!$A:$A,HourlyTimeseries!$H:$H),"")</f>
        <v>25000</v>
      </c>
      <c r="BQ51" s="63">
        <f>IFERROR(LOOKUP(BQ$15,HourlyTimeseries!$A:$A,HourlyTimeseries!$H:$H),"")</f>
        <v>25000</v>
      </c>
      <c r="BR51" s="63">
        <f>IFERROR(LOOKUP(BR$15,HourlyTimeseries!$A:$A,HourlyTimeseries!$H:$H),"")</f>
        <v>25000</v>
      </c>
      <c r="BS51" s="63">
        <f>IFERROR(LOOKUP(BS$15,HourlyTimeseries!$A:$A,HourlyTimeseries!$H:$H),"")</f>
        <v>25000</v>
      </c>
      <c r="BT51" s="63">
        <f>IFERROR(LOOKUP(BT$15,HourlyTimeseries!$A:$A,HourlyTimeseries!$H:$H),"")</f>
        <v>25000</v>
      </c>
      <c r="BU51" s="63">
        <f>IFERROR(LOOKUP(BU$15,HourlyTimeseries!$A:$A,HourlyTimeseries!$H:$H),"")</f>
        <v>25000</v>
      </c>
      <c r="BV51" s="63">
        <f>IFERROR(LOOKUP(BV$15,HourlyTimeseries!$A:$A,HourlyTimeseries!$H:$H),"")</f>
        <v>25000</v>
      </c>
      <c r="BW51" s="63">
        <f>IFERROR(LOOKUP(BW$15,HourlyTimeseries!$A:$A,HourlyTimeseries!$H:$H),"")</f>
        <v>25000</v>
      </c>
      <c r="BX51" s="63">
        <f>IFERROR(LOOKUP(BX$15,HourlyTimeseries!$A:$A,HourlyTimeseries!$H:$H),"")</f>
        <v>25000</v>
      </c>
      <c r="BY51" s="63">
        <f>IFERROR(LOOKUP(BY$15,HourlyTimeseries!$A:$A,HourlyTimeseries!$H:$H),"")</f>
        <v>25000</v>
      </c>
      <c r="BZ51" s="63">
        <f>IFERROR(LOOKUP(BZ$15,HourlyTimeseries!$A:$A,HourlyTimeseries!$H:$H),"")</f>
        <v>25000</v>
      </c>
      <c r="CA51" s="72">
        <f>IFERROR(LOOKUP(CA$15,HourlyTimeseries!$A:$A,HourlyTimeseries!$H:$H),"")</f>
        <v>25000</v>
      </c>
      <c r="CB51" s="79">
        <f>IFERROR(LOOKUP(CB$15,HourlyTimeseries!$A:$A,HourlyTimeseries!$H:$H),"")</f>
        <v>25000</v>
      </c>
      <c r="CC51" s="63">
        <f>IFERROR(LOOKUP(CC$15,HourlyTimeseries!$A:$A,HourlyTimeseries!$H:$H),"")</f>
        <v>25000</v>
      </c>
      <c r="CD51" s="63">
        <f>IFERROR(LOOKUP(CD$15,HourlyTimeseries!$A:$A,HourlyTimeseries!$H:$H),"")</f>
        <v>25000</v>
      </c>
      <c r="CE51" s="63">
        <f>IFERROR(LOOKUP(CE$15,HourlyTimeseries!$A:$A,HourlyTimeseries!$H:$H),"")</f>
        <v>25000</v>
      </c>
      <c r="CF51" s="63">
        <f>IFERROR(LOOKUP(CF$15,HourlyTimeseries!$A:$A,HourlyTimeseries!$H:$H),"")</f>
        <v>25000</v>
      </c>
      <c r="CG51" s="63">
        <f>IFERROR(LOOKUP(CG$15,HourlyTimeseries!$A:$A,HourlyTimeseries!$H:$H),"")</f>
        <v>25000</v>
      </c>
      <c r="CH51" s="63">
        <f>IFERROR(LOOKUP(CH$15,HourlyTimeseries!$A:$A,HourlyTimeseries!$H:$H),"")</f>
        <v>25000</v>
      </c>
      <c r="CI51" s="63">
        <f>IFERROR(LOOKUP(CI$15,HourlyTimeseries!$A:$A,HourlyTimeseries!$H:$H),"")</f>
        <v>25000</v>
      </c>
      <c r="CJ51" s="63">
        <f>IFERROR(LOOKUP(CJ$15,HourlyTimeseries!$A:$A,HourlyTimeseries!$H:$H),"")</f>
        <v>25000</v>
      </c>
      <c r="CK51" s="63">
        <f>IFERROR(LOOKUP(CK$15,HourlyTimeseries!$A:$A,HourlyTimeseries!$H:$H),"")</f>
        <v>25000</v>
      </c>
      <c r="CL51" s="63">
        <f>IFERROR(LOOKUP(CL$15,HourlyTimeseries!$A:$A,HourlyTimeseries!$H:$H),"")</f>
        <v>25000</v>
      </c>
      <c r="CM51" s="63">
        <f>IFERROR(LOOKUP(CM$15,HourlyTimeseries!$A:$A,HourlyTimeseries!$H:$H),"")</f>
        <v>25000</v>
      </c>
      <c r="CN51" s="63">
        <f>IFERROR(LOOKUP(CN$15,HourlyTimeseries!$A:$A,HourlyTimeseries!$H:$H),"")</f>
        <v>25000</v>
      </c>
      <c r="CO51" s="63">
        <f>IFERROR(LOOKUP(CO$15,HourlyTimeseries!$A:$A,HourlyTimeseries!$H:$H),"")</f>
        <v>25000</v>
      </c>
      <c r="CP51" s="63">
        <f>IFERROR(LOOKUP(CP$15,HourlyTimeseries!$A:$A,HourlyTimeseries!$H:$H),"")</f>
        <v>25000</v>
      </c>
      <c r="CQ51" s="63">
        <f>IFERROR(LOOKUP(CQ$15,HourlyTimeseries!$A:$A,HourlyTimeseries!$H:$H),"")</f>
        <v>25000</v>
      </c>
      <c r="CR51" s="63">
        <f>IFERROR(LOOKUP(CR$15,HourlyTimeseries!$A:$A,HourlyTimeseries!$H:$H),"")</f>
        <v>25000</v>
      </c>
      <c r="CS51" s="63">
        <f>IFERROR(LOOKUP(CS$15,HourlyTimeseries!$A:$A,HourlyTimeseries!$H:$H),"")</f>
        <v>25000</v>
      </c>
      <c r="CT51" s="63">
        <f>IFERROR(LOOKUP(CT$15,HourlyTimeseries!$A:$A,HourlyTimeseries!$H:$H),"")</f>
        <v>25000</v>
      </c>
      <c r="CU51" s="63">
        <f>IFERROR(LOOKUP(CU$15,HourlyTimeseries!$A:$A,HourlyTimeseries!$H:$H),"")</f>
        <v>25000</v>
      </c>
      <c r="CV51" s="63">
        <f>IFERROR(LOOKUP(CV$15,HourlyTimeseries!$A:$A,HourlyTimeseries!$H:$H),"")</f>
        <v>25000</v>
      </c>
      <c r="CW51" s="63">
        <f>IFERROR(LOOKUP(CW$15,HourlyTimeseries!$A:$A,HourlyTimeseries!$H:$H),"")</f>
        <v>25000</v>
      </c>
      <c r="CX51" s="63">
        <f>IFERROR(LOOKUP(CX$15,HourlyTimeseries!$A:$A,HourlyTimeseries!$H:$H),"")</f>
        <v>25000</v>
      </c>
      <c r="CY51" s="72">
        <f>IFERROR(LOOKUP(CY$15,HourlyTimeseries!$A:$A,HourlyTimeseries!$H:$H),"")</f>
        <v>25000</v>
      </c>
      <c r="CZ51" s="79">
        <f>IFERROR(LOOKUP(CZ$15,HourlyTimeseries!$A:$A,HourlyTimeseries!$H:$H),"")</f>
        <v>25000</v>
      </c>
      <c r="DA51" s="63">
        <f>IFERROR(LOOKUP(DA$15,HourlyTimeseries!$A:$A,HourlyTimeseries!$H:$H),"")</f>
        <v>25000</v>
      </c>
      <c r="DB51" s="63">
        <f>IFERROR(LOOKUP(DB$15,HourlyTimeseries!$A:$A,HourlyTimeseries!$H:$H),"")</f>
        <v>25000</v>
      </c>
      <c r="DC51" s="63">
        <f>IFERROR(LOOKUP(DC$15,HourlyTimeseries!$A:$A,HourlyTimeseries!$H:$H),"")</f>
        <v>25000</v>
      </c>
      <c r="DD51" s="63">
        <f>IFERROR(LOOKUP(DD$15,HourlyTimeseries!$A:$A,HourlyTimeseries!$H:$H),"")</f>
        <v>25000</v>
      </c>
      <c r="DE51" s="63">
        <f>IFERROR(LOOKUP(DE$15,HourlyTimeseries!$A:$A,HourlyTimeseries!$H:$H),"")</f>
        <v>25000</v>
      </c>
      <c r="DF51" s="63">
        <f>IFERROR(LOOKUP(DF$15,HourlyTimeseries!$A:$A,HourlyTimeseries!$H:$H),"")</f>
        <v>25000</v>
      </c>
      <c r="DG51" s="63">
        <f>IFERROR(LOOKUP(DG$15,HourlyTimeseries!$A:$A,HourlyTimeseries!$H:$H),"")</f>
        <v>25000</v>
      </c>
      <c r="DH51" s="63">
        <f>IFERROR(LOOKUP(DH$15,HourlyTimeseries!$A:$A,HourlyTimeseries!$H:$H),"")</f>
        <v>25000</v>
      </c>
      <c r="DI51" s="63">
        <f>IFERROR(LOOKUP(DI$15,HourlyTimeseries!$A:$A,HourlyTimeseries!$H:$H),"")</f>
        <v>25000</v>
      </c>
      <c r="DJ51" s="63">
        <f>IFERROR(LOOKUP(DJ$15,HourlyTimeseries!$A:$A,HourlyTimeseries!$H:$H),"")</f>
        <v>25000</v>
      </c>
      <c r="DK51" s="63">
        <f>IFERROR(LOOKUP(DK$15,HourlyTimeseries!$A:$A,HourlyTimeseries!$H:$H),"")</f>
        <v>25000</v>
      </c>
      <c r="DL51" s="63">
        <f>IFERROR(LOOKUP(DL$15,HourlyTimeseries!$A:$A,HourlyTimeseries!$H:$H),"")</f>
        <v>25000</v>
      </c>
      <c r="DM51" s="63">
        <f>IFERROR(LOOKUP(DM$15,HourlyTimeseries!$A:$A,HourlyTimeseries!$H:$H),"")</f>
        <v>25000</v>
      </c>
      <c r="DN51" s="63">
        <f>IFERROR(LOOKUP(DN$15,HourlyTimeseries!$A:$A,HourlyTimeseries!$H:$H),"")</f>
        <v>25000</v>
      </c>
      <c r="DO51" s="63">
        <f>IFERROR(LOOKUP(DO$15,HourlyTimeseries!$A:$A,HourlyTimeseries!$H:$H),"")</f>
        <v>25000</v>
      </c>
      <c r="DP51" s="63">
        <f>IFERROR(LOOKUP(DP$15,HourlyTimeseries!$A:$A,HourlyTimeseries!$H:$H),"")</f>
        <v>25000</v>
      </c>
      <c r="DQ51" s="63">
        <f>IFERROR(LOOKUP(DQ$15,HourlyTimeseries!$A:$A,HourlyTimeseries!$H:$H),"")</f>
        <v>25000</v>
      </c>
      <c r="DR51" s="63">
        <f>IFERROR(LOOKUP(DR$15,HourlyTimeseries!$A:$A,HourlyTimeseries!$H:$H),"")</f>
        <v>25000</v>
      </c>
      <c r="DS51" s="63">
        <f>IFERROR(LOOKUP(DS$15,HourlyTimeseries!$A:$A,HourlyTimeseries!$H:$H),"")</f>
        <v>25000</v>
      </c>
      <c r="DT51" s="63">
        <f>IFERROR(LOOKUP(DT$15,HourlyTimeseries!$A:$A,HourlyTimeseries!$H:$H),"")</f>
        <v>25000</v>
      </c>
      <c r="DU51" s="63">
        <f>IFERROR(LOOKUP(DU$15,HourlyTimeseries!$A:$A,HourlyTimeseries!$H:$H),"")</f>
        <v>25000</v>
      </c>
      <c r="DV51" s="63">
        <f>IFERROR(LOOKUP(DV$15,HourlyTimeseries!$A:$A,HourlyTimeseries!$H:$H),"")</f>
        <v>25000</v>
      </c>
      <c r="DW51" s="72">
        <f>IFERROR(LOOKUP(DW$15,HourlyTimeseries!$A:$A,HourlyTimeseries!$H:$H),"")</f>
        <v>25000</v>
      </c>
      <c r="DX51" s="79">
        <f>IFERROR(LOOKUP(DX$15,HourlyTimeseries!$A:$A,HourlyTimeseries!$H:$H),"")</f>
        <v>25000</v>
      </c>
      <c r="DY51" s="63">
        <f>IFERROR(LOOKUP(DY$15,HourlyTimeseries!$A:$A,HourlyTimeseries!$H:$H),"")</f>
        <v>25000</v>
      </c>
      <c r="DZ51" s="63">
        <f>IFERROR(LOOKUP(DZ$15,HourlyTimeseries!$A:$A,HourlyTimeseries!$H:$H),"")</f>
        <v>25000</v>
      </c>
      <c r="EA51" s="63">
        <f>IFERROR(LOOKUP(EA$15,HourlyTimeseries!$A:$A,HourlyTimeseries!$H:$H),"")</f>
        <v>25000</v>
      </c>
      <c r="EB51" s="63">
        <f>IFERROR(LOOKUP(EB$15,HourlyTimeseries!$A:$A,HourlyTimeseries!$H:$H),"")</f>
        <v>25000</v>
      </c>
      <c r="EC51" s="63">
        <f>IFERROR(LOOKUP(EC$15,HourlyTimeseries!$A:$A,HourlyTimeseries!$H:$H),"")</f>
        <v>25000</v>
      </c>
      <c r="ED51" s="63">
        <f>IFERROR(LOOKUP(ED$15,HourlyTimeseries!$A:$A,HourlyTimeseries!$H:$H),"")</f>
        <v>25000</v>
      </c>
      <c r="EE51" s="63">
        <f>IFERROR(LOOKUP(EE$15,HourlyTimeseries!$A:$A,HourlyTimeseries!$H:$H),"")</f>
        <v>25000</v>
      </c>
      <c r="EF51" s="63">
        <f>IFERROR(LOOKUP(EF$15,HourlyTimeseries!$A:$A,HourlyTimeseries!$H:$H),"")</f>
        <v>25000</v>
      </c>
      <c r="EG51" s="63">
        <f>IFERROR(LOOKUP(EG$15,HourlyTimeseries!$A:$A,HourlyTimeseries!$H:$H),"")</f>
        <v>25000</v>
      </c>
      <c r="EH51" s="63">
        <f>IFERROR(LOOKUP(EH$15,HourlyTimeseries!$A:$A,HourlyTimeseries!$H:$H),"")</f>
        <v>25000</v>
      </c>
      <c r="EI51" s="63">
        <f>IFERROR(LOOKUP(EI$15,HourlyTimeseries!$A:$A,HourlyTimeseries!$H:$H),"")</f>
        <v>25000</v>
      </c>
      <c r="EJ51" s="63">
        <f>IFERROR(LOOKUP(EJ$15,HourlyTimeseries!$A:$A,HourlyTimeseries!$H:$H),"")</f>
        <v>25000</v>
      </c>
      <c r="EK51" s="63">
        <f>IFERROR(LOOKUP(EK$15,HourlyTimeseries!$A:$A,HourlyTimeseries!$H:$H),"")</f>
        <v>25000</v>
      </c>
      <c r="EL51" s="63">
        <f>IFERROR(LOOKUP(EL$15,HourlyTimeseries!$A:$A,HourlyTimeseries!$H:$H),"")</f>
        <v>25000</v>
      </c>
      <c r="EM51" s="63">
        <f>IFERROR(LOOKUP(EM$15,HourlyTimeseries!$A:$A,HourlyTimeseries!$H:$H),"")</f>
        <v>25000</v>
      </c>
      <c r="EN51" s="63">
        <f>IFERROR(LOOKUP(EN$15,HourlyTimeseries!$A:$A,HourlyTimeseries!$H:$H),"")</f>
        <v>25000</v>
      </c>
      <c r="EO51" s="63">
        <f>IFERROR(LOOKUP(EO$15,HourlyTimeseries!$A:$A,HourlyTimeseries!$H:$H),"")</f>
        <v>25000</v>
      </c>
      <c r="EP51" s="63">
        <f>IFERROR(LOOKUP(EP$15,HourlyTimeseries!$A:$A,HourlyTimeseries!$H:$H),"")</f>
        <v>25000</v>
      </c>
      <c r="EQ51" s="63">
        <f>IFERROR(LOOKUP(EQ$15,HourlyTimeseries!$A:$A,HourlyTimeseries!$H:$H),"")</f>
        <v>25000</v>
      </c>
      <c r="ER51" s="63">
        <f>IFERROR(LOOKUP(ER$15,HourlyTimeseries!$A:$A,HourlyTimeseries!$H:$H),"")</f>
        <v>25000</v>
      </c>
      <c r="ES51" s="63">
        <f>IFERROR(LOOKUP(ES$15,HourlyTimeseries!$A:$A,HourlyTimeseries!$H:$H),"")</f>
        <v>25000</v>
      </c>
      <c r="ET51" s="63">
        <f>IFERROR(LOOKUP(ET$15,HourlyTimeseries!$A:$A,HourlyTimeseries!$H:$H),"")</f>
        <v>25000</v>
      </c>
      <c r="EU51" s="72">
        <f>IFERROR(LOOKUP(EU$15,HourlyTimeseries!$A:$A,HourlyTimeseries!$H:$H),"")</f>
        <v>25000</v>
      </c>
      <c r="EV51" s="79">
        <f>IFERROR(LOOKUP(EV$15,HourlyTimeseries!$A:$A,HourlyTimeseries!$H:$H),"")</f>
        <v>25000</v>
      </c>
      <c r="EW51" s="63">
        <f>IFERROR(LOOKUP(EW$15,HourlyTimeseries!$A:$A,HourlyTimeseries!$H:$H),"")</f>
        <v>25000</v>
      </c>
      <c r="EX51" s="63">
        <f>IFERROR(LOOKUP(EX$15,HourlyTimeseries!$A:$A,HourlyTimeseries!$H:$H),"")</f>
        <v>25000</v>
      </c>
      <c r="EY51" s="63">
        <f>IFERROR(LOOKUP(EY$15,HourlyTimeseries!$A:$A,HourlyTimeseries!$H:$H),"")</f>
        <v>25000</v>
      </c>
      <c r="EZ51" s="63">
        <f>IFERROR(LOOKUP(EZ$15,HourlyTimeseries!$A:$A,HourlyTimeseries!$H:$H),"")</f>
        <v>25000</v>
      </c>
      <c r="FA51" s="63">
        <f>IFERROR(LOOKUP(FA$15,HourlyTimeseries!$A:$A,HourlyTimeseries!$H:$H),"")</f>
        <v>25000</v>
      </c>
      <c r="FB51" s="63">
        <f>IFERROR(LOOKUP(FB$15,HourlyTimeseries!$A:$A,HourlyTimeseries!$H:$H),"")</f>
        <v>25000</v>
      </c>
      <c r="FC51" s="63">
        <f>IFERROR(LOOKUP(FC$15,HourlyTimeseries!$A:$A,HourlyTimeseries!$H:$H),"")</f>
        <v>25000</v>
      </c>
      <c r="FD51" s="63">
        <f>IFERROR(LOOKUP(FD$15,HourlyTimeseries!$A:$A,HourlyTimeseries!$H:$H),"")</f>
        <v>25000</v>
      </c>
      <c r="FE51" s="63">
        <f>IFERROR(LOOKUP(FE$15,HourlyTimeseries!$A:$A,HourlyTimeseries!$H:$H),"")</f>
        <v>25000</v>
      </c>
      <c r="FF51" s="63">
        <f>IFERROR(LOOKUP(FF$15,HourlyTimeseries!$A:$A,HourlyTimeseries!$H:$H),"")</f>
        <v>25000</v>
      </c>
      <c r="FG51" s="63">
        <f>IFERROR(LOOKUP(FG$15,HourlyTimeseries!$A:$A,HourlyTimeseries!$H:$H),"")</f>
        <v>25000</v>
      </c>
      <c r="FH51" s="63">
        <f>IFERROR(LOOKUP(FH$15,HourlyTimeseries!$A:$A,HourlyTimeseries!$H:$H),"")</f>
        <v>25000</v>
      </c>
      <c r="FI51" s="63">
        <f>IFERROR(LOOKUP(FI$15,HourlyTimeseries!$A:$A,HourlyTimeseries!$H:$H),"")</f>
        <v>25000</v>
      </c>
      <c r="FJ51" s="63">
        <f>IFERROR(LOOKUP(FJ$15,HourlyTimeseries!$A:$A,HourlyTimeseries!$H:$H),"")</f>
        <v>25000</v>
      </c>
      <c r="FK51" s="63">
        <f>IFERROR(LOOKUP(FK$15,HourlyTimeseries!$A:$A,HourlyTimeseries!$H:$H),"")</f>
        <v>25000</v>
      </c>
      <c r="FL51" s="63">
        <f>IFERROR(LOOKUP(FL$15,HourlyTimeseries!$A:$A,HourlyTimeseries!$H:$H),"")</f>
        <v>25000</v>
      </c>
      <c r="FM51" s="63">
        <f>IFERROR(LOOKUP(FM$15,HourlyTimeseries!$A:$A,HourlyTimeseries!$H:$H),"")</f>
        <v>25000</v>
      </c>
      <c r="FN51" s="63">
        <f>IFERROR(LOOKUP(FN$15,HourlyTimeseries!$A:$A,HourlyTimeseries!$H:$H),"")</f>
        <v>25000</v>
      </c>
      <c r="FO51" s="63">
        <f>IFERROR(LOOKUP(FO$15,HourlyTimeseries!$A:$A,HourlyTimeseries!$H:$H),"")</f>
        <v>25000</v>
      </c>
      <c r="FP51" s="63">
        <f>IFERROR(LOOKUP(FP$15,HourlyTimeseries!$A:$A,HourlyTimeseries!$H:$H),"")</f>
        <v>25000</v>
      </c>
      <c r="FQ51" s="63">
        <f>IFERROR(LOOKUP(FQ$15,HourlyTimeseries!$A:$A,HourlyTimeseries!$H:$H),"")</f>
        <v>25000</v>
      </c>
      <c r="FR51" s="63">
        <f>IFERROR(LOOKUP(FR$15,HourlyTimeseries!$A:$A,HourlyTimeseries!$H:$H),"")</f>
        <v>25000</v>
      </c>
      <c r="FS51" s="72">
        <f>IFERROR(LOOKUP(FS$15,HourlyTimeseries!$A:$A,HourlyTimeseries!$H:$H),"")</f>
        <v>25000</v>
      </c>
    </row>
    <row r="52" spans="4:175" ht="15.75" customHeight="1" x14ac:dyDescent="0.2">
      <c r="D52" s="36" t="s">
        <v>104</v>
      </c>
      <c r="E52" s="2" t="s">
        <v>100</v>
      </c>
      <c r="F52" s="8" t="s">
        <v>151</v>
      </c>
      <c r="G52" s="4" t="b">
        <v>0</v>
      </c>
      <c r="H52" s="24" t="str">
        <f>IF(H72=AE72,"","Might cause infeasibility because Temperature delta between Glen Canyon and RM61 at H01 and H24 are not the same")</f>
        <v>Might cause infeasibility because Temperature delta between Glen Canyon and RM61 at H01 and H24 are not the same</v>
      </c>
    </row>
    <row r="53" spans="4:175" ht="15.75" customHeight="1" thickBot="1" x14ac:dyDescent="0.25">
      <c r="D53" s="16" t="s">
        <v>142</v>
      </c>
      <c r="E53" s="2" t="s">
        <v>96</v>
      </c>
      <c r="F53" s="2"/>
      <c r="G53" s="4" t="b">
        <v>1</v>
      </c>
    </row>
    <row r="54" spans="4:175" x14ac:dyDescent="0.2">
      <c r="D54" s="15" t="s">
        <v>72</v>
      </c>
      <c r="E54" s="2" t="s">
        <v>66</v>
      </c>
      <c r="F54" s="8" t="s">
        <v>151</v>
      </c>
      <c r="G54" s="8">
        <v>4000</v>
      </c>
    </row>
    <row r="55" spans="4:175" x14ac:dyDescent="0.2">
      <c r="D55" s="15" t="s">
        <v>73</v>
      </c>
      <c r="E55" s="2" t="s">
        <v>67</v>
      </c>
      <c r="F55" s="8" t="s">
        <v>151</v>
      </c>
      <c r="G55" s="8">
        <v>2500</v>
      </c>
    </row>
    <row r="56" spans="4:175" x14ac:dyDescent="0.2">
      <c r="D56" s="15" t="s">
        <v>84</v>
      </c>
      <c r="E56" s="2" t="s">
        <v>78</v>
      </c>
      <c r="F56" s="8" t="s">
        <v>151</v>
      </c>
      <c r="G56" s="2"/>
      <c r="H56" s="63">
        <f>IFERROR(LOOKUP(H$15,HourlyTimeseries!$A:$A,HourlyTimeseries!$I:$I),"")</f>
        <v>5000</v>
      </c>
      <c r="I56" s="63">
        <f>IFERROR(LOOKUP(I$15,HourlyTimeseries!$A:$A,HourlyTimeseries!$I:$I),"")</f>
        <v>5000</v>
      </c>
      <c r="J56" s="63">
        <f>IFERROR(LOOKUP(J$15,HourlyTimeseries!$A:$A,HourlyTimeseries!$I:$I),"")</f>
        <v>5000</v>
      </c>
      <c r="K56" s="63">
        <f>IFERROR(LOOKUP(K$15,HourlyTimeseries!$A:$A,HourlyTimeseries!$I:$I),"")</f>
        <v>5000</v>
      </c>
      <c r="L56" s="63">
        <f>IFERROR(LOOKUP(L$15,HourlyTimeseries!$A:$A,HourlyTimeseries!$I:$I),"")</f>
        <v>5000</v>
      </c>
      <c r="M56" s="63">
        <f>IFERROR(LOOKUP(M$15,HourlyTimeseries!$A:$A,HourlyTimeseries!$I:$I),"")</f>
        <v>5000</v>
      </c>
      <c r="N56" s="63">
        <f>IFERROR(LOOKUP(N$15,HourlyTimeseries!$A:$A,HourlyTimeseries!$I:$I),"")</f>
        <v>8000</v>
      </c>
      <c r="O56" s="63">
        <f>IFERROR(LOOKUP(O$15,HourlyTimeseries!$A:$A,HourlyTimeseries!$I:$I),"")</f>
        <v>8000</v>
      </c>
      <c r="P56" s="63">
        <f>IFERROR(LOOKUP(P$15,HourlyTimeseries!$A:$A,HourlyTimeseries!$I:$I),"")</f>
        <v>8000</v>
      </c>
      <c r="Q56" s="63">
        <f>IFERROR(LOOKUP(Q$15,HourlyTimeseries!$A:$A,HourlyTimeseries!$I:$I),"")</f>
        <v>8000</v>
      </c>
      <c r="R56" s="63">
        <f>IFERROR(LOOKUP(R$15,HourlyTimeseries!$A:$A,HourlyTimeseries!$I:$I),"")</f>
        <v>8000</v>
      </c>
      <c r="S56" s="63">
        <f>IFERROR(LOOKUP(S$15,HourlyTimeseries!$A:$A,HourlyTimeseries!$I:$I),"")</f>
        <v>8000</v>
      </c>
      <c r="T56" s="63">
        <f>IFERROR(LOOKUP(T$15,HourlyTimeseries!$A:$A,HourlyTimeseries!$I:$I),"")</f>
        <v>8000</v>
      </c>
      <c r="U56" s="63">
        <f>IFERROR(LOOKUP(U$15,HourlyTimeseries!$A:$A,HourlyTimeseries!$I:$I),"")</f>
        <v>8000</v>
      </c>
      <c r="V56" s="63">
        <f>IFERROR(LOOKUP(V$15,HourlyTimeseries!$A:$A,HourlyTimeseries!$I:$I),"")</f>
        <v>8000</v>
      </c>
      <c r="W56" s="63">
        <f>IFERROR(LOOKUP(W$15,HourlyTimeseries!$A:$A,HourlyTimeseries!$I:$I),"")</f>
        <v>8000</v>
      </c>
      <c r="X56" s="63">
        <f>IFERROR(LOOKUP(X$15,HourlyTimeseries!$A:$A,HourlyTimeseries!$I:$I),"")</f>
        <v>8000</v>
      </c>
      <c r="Y56" s="63">
        <f>IFERROR(LOOKUP(Y$15,HourlyTimeseries!$A:$A,HourlyTimeseries!$I:$I),"")</f>
        <v>8000</v>
      </c>
      <c r="Z56" s="63">
        <f>IFERROR(LOOKUP(Z$15,HourlyTimeseries!$A:$A,HourlyTimeseries!$I:$I),"")</f>
        <v>5000</v>
      </c>
      <c r="AA56" s="63">
        <f>IFERROR(LOOKUP(AA$15,HourlyTimeseries!$A:$A,HourlyTimeseries!$I:$I),"")</f>
        <v>5000</v>
      </c>
      <c r="AB56" s="63">
        <f>IFERROR(LOOKUP(AB$15,HourlyTimeseries!$A:$A,HourlyTimeseries!$I:$I),"")</f>
        <v>5000</v>
      </c>
      <c r="AC56" s="63">
        <f>IFERROR(LOOKUP(AC$15,HourlyTimeseries!$A:$A,HourlyTimeseries!$I:$I),"")</f>
        <v>5000</v>
      </c>
      <c r="AD56" s="63">
        <f>IFERROR(LOOKUP(AD$15,HourlyTimeseries!$A:$A,HourlyTimeseries!$I:$I),"")</f>
        <v>5000</v>
      </c>
      <c r="AE56" s="72">
        <f>IFERROR(LOOKUP(AE$15,HourlyTimeseries!$A:$A,HourlyTimeseries!$I:$I),"")</f>
        <v>5000</v>
      </c>
      <c r="AF56" s="79">
        <f>IFERROR(LOOKUP(AF$15,HourlyTimeseries!$A:$A,HourlyTimeseries!$I:$I),"")</f>
        <v>5000</v>
      </c>
      <c r="AG56" s="63">
        <f>IFERROR(LOOKUP(AG$15,HourlyTimeseries!$A:$A,HourlyTimeseries!$I:$I),"")</f>
        <v>5000</v>
      </c>
      <c r="AH56" s="63">
        <f>IFERROR(LOOKUP(AH$15,HourlyTimeseries!$A:$A,HourlyTimeseries!$I:$I),"")</f>
        <v>5000</v>
      </c>
      <c r="AI56" s="63">
        <f>IFERROR(LOOKUP(AI$15,HourlyTimeseries!$A:$A,HourlyTimeseries!$I:$I),"")</f>
        <v>5000</v>
      </c>
      <c r="AJ56" s="63">
        <f>IFERROR(LOOKUP(AJ$15,HourlyTimeseries!$A:$A,HourlyTimeseries!$I:$I),"")</f>
        <v>5000</v>
      </c>
      <c r="AK56" s="63">
        <f>IFERROR(LOOKUP(AK$15,HourlyTimeseries!$A:$A,HourlyTimeseries!$I:$I),"")</f>
        <v>5000</v>
      </c>
      <c r="AL56" s="63">
        <f>IFERROR(LOOKUP(AL$15,HourlyTimeseries!$A:$A,HourlyTimeseries!$I:$I),"")</f>
        <v>8000</v>
      </c>
      <c r="AM56" s="63">
        <f>IFERROR(LOOKUP(AM$15,HourlyTimeseries!$A:$A,HourlyTimeseries!$I:$I),"")</f>
        <v>8000</v>
      </c>
      <c r="AN56" s="63">
        <f>IFERROR(LOOKUP(AN$15,HourlyTimeseries!$A:$A,HourlyTimeseries!$I:$I),"")</f>
        <v>8000</v>
      </c>
      <c r="AO56" s="63">
        <f>IFERROR(LOOKUP(AO$15,HourlyTimeseries!$A:$A,HourlyTimeseries!$I:$I),"")</f>
        <v>8000</v>
      </c>
      <c r="AP56" s="63">
        <f>IFERROR(LOOKUP(AP$15,HourlyTimeseries!$A:$A,HourlyTimeseries!$I:$I),"")</f>
        <v>8000</v>
      </c>
      <c r="AQ56" s="63">
        <f>IFERROR(LOOKUP(AQ$15,HourlyTimeseries!$A:$A,HourlyTimeseries!$I:$I),"")</f>
        <v>8000</v>
      </c>
      <c r="AR56" s="63">
        <f>IFERROR(LOOKUP(AR$15,HourlyTimeseries!$A:$A,HourlyTimeseries!$I:$I),"")</f>
        <v>8000</v>
      </c>
      <c r="AS56" s="63">
        <f>IFERROR(LOOKUP(AS$15,HourlyTimeseries!$A:$A,HourlyTimeseries!$I:$I),"")</f>
        <v>8000</v>
      </c>
      <c r="AT56" s="63">
        <f>IFERROR(LOOKUP(AT$15,HourlyTimeseries!$A:$A,HourlyTimeseries!$I:$I),"")</f>
        <v>8000</v>
      </c>
      <c r="AU56" s="63">
        <f>IFERROR(LOOKUP(AU$15,HourlyTimeseries!$A:$A,HourlyTimeseries!$I:$I),"")</f>
        <v>8000</v>
      </c>
      <c r="AV56" s="63">
        <f>IFERROR(LOOKUP(AV$15,HourlyTimeseries!$A:$A,HourlyTimeseries!$I:$I),"")</f>
        <v>8000</v>
      </c>
      <c r="AW56" s="63">
        <f>IFERROR(LOOKUP(AW$15,HourlyTimeseries!$A:$A,HourlyTimeseries!$I:$I),"")</f>
        <v>8000</v>
      </c>
      <c r="AX56" s="63">
        <f>IFERROR(LOOKUP(AX$15,HourlyTimeseries!$A:$A,HourlyTimeseries!$I:$I),"")</f>
        <v>5000</v>
      </c>
      <c r="AY56" s="63">
        <f>IFERROR(LOOKUP(AY$15,HourlyTimeseries!$A:$A,HourlyTimeseries!$I:$I),"")</f>
        <v>5000</v>
      </c>
      <c r="AZ56" s="63">
        <f>IFERROR(LOOKUP(AZ$15,HourlyTimeseries!$A:$A,HourlyTimeseries!$I:$I),"")</f>
        <v>5000</v>
      </c>
      <c r="BA56" s="63">
        <f>IFERROR(LOOKUP(BA$15,HourlyTimeseries!$A:$A,HourlyTimeseries!$I:$I),"")</f>
        <v>5000</v>
      </c>
      <c r="BB56" s="63">
        <f>IFERROR(LOOKUP(BB$15,HourlyTimeseries!$A:$A,HourlyTimeseries!$I:$I),"")</f>
        <v>5000</v>
      </c>
      <c r="BC56" s="72">
        <f>IFERROR(LOOKUP(BC$15,HourlyTimeseries!$A:$A,HourlyTimeseries!$I:$I),"")</f>
        <v>5000</v>
      </c>
      <c r="BD56" s="79">
        <f>IFERROR(LOOKUP(BD$15,HourlyTimeseries!$A:$A,HourlyTimeseries!$I:$I),"")</f>
        <v>5000</v>
      </c>
      <c r="BE56" s="63">
        <f>IFERROR(LOOKUP(BE$15,HourlyTimeseries!$A:$A,HourlyTimeseries!$I:$I),"")</f>
        <v>5000</v>
      </c>
      <c r="BF56" s="63">
        <f>IFERROR(LOOKUP(BF$15,HourlyTimeseries!$A:$A,HourlyTimeseries!$I:$I),"")</f>
        <v>5000</v>
      </c>
      <c r="BG56" s="63">
        <f>IFERROR(LOOKUP(BG$15,HourlyTimeseries!$A:$A,HourlyTimeseries!$I:$I),"")</f>
        <v>5000</v>
      </c>
      <c r="BH56" s="63">
        <f>IFERROR(LOOKUP(BH$15,HourlyTimeseries!$A:$A,HourlyTimeseries!$I:$I),"")</f>
        <v>5000</v>
      </c>
      <c r="BI56" s="63">
        <f>IFERROR(LOOKUP(BI$15,HourlyTimeseries!$A:$A,HourlyTimeseries!$I:$I),"")</f>
        <v>5000</v>
      </c>
      <c r="BJ56" s="63">
        <f>IFERROR(LOOKUP(BJ$15,HourlyTimeseries!$A:$A,HourlyTimeseries!$I:$I),"")</f>
        <v>8000</v>
      </c>
      <c r="BK56" s="63">
        <f>IFERROR(LOOKUP(BK$15,HourlyTimeseries!$A:$A,HourlyTimeseries!$I:$I),"")</f>
        <v>8000</v>
      </c>
      <c r="BL56" s="63">
        <f>IFERROR(LOOKUP(BL$15,HourlyTimeseries!$A:$A,HourlyTimeseries!$I:$I),"")</f>
        <v>8000</v>
      </c>
      <c r="BM56" s="63">
        <f>IFERROR(LOOKUP(BM$15,HourlyTimeseries!$A:$A,HourlyTimeseries!$I:$I),"")</f>
        <v>8000</v>
      </c>
      <c r="BN56" s="63">
        <f>IFERROR(LOOKUP(BN$15,HourlyTimeseries!$A:$A,HourlyTimeseries!$I:$I),"")</f>
        <v>8000</v>
      </c>
      <c r="BO56" s="63">
        <f>IFERROR(LOOKUP(BO$15,HourlyTimeseries!$A:$A,HourlyTimeseries!$I:$I),"")</f>
        <v>8000</v>
      </c>
      <c r="BP56" s="63">
        <f>IFERROR(LOOKUP(BP$15,HourlyTimeseries!$A:$A,HourlyTimeseries!$I:$I),"")</f>
        <v>8000</v>
      </c>
      <c r="BQ56" s="63">
        <f>IFERROR(LOOKUP(BQ$15,HourlyTimeseries!$A:$A,HourlyTimeseries!$I:$I),"")</f>
        <v>8000</v>
      </c>
      <c r="BR56" s="63">
        <f>IFERROR(LOOKUP(BR$15,HourlyTimeseries!$A:$A,HourlyTimeseries!$I:$I),"")</f>
        <v>8000</v>
      </c>
      <c r="BS56" s="63">
        <f>IFERROR(LOOKUP(BS$15,HourlyTimeseries!$A:$A,HourlyTimeseries!$I:$I),"")</f>
        <v>8000</v>
      </c>
      <c r="BT56" s="63">
        <f>IFERROR(LOOKUP(BT$15,HourlyTimeseries!$A:$A,HourlyTimeseries!$I:$I),"")</f>
        <v>8000</v>
      </c>
      <c r="BU56" s="63">
        <f>IFERROR(LOOKUP(BU$15,HourlyTimeseries!$A:$A,HourlyTimeseries!$I:$I),"")</f>
        <v>8000</v>
      </c>
      <c r="BV56" s="63">
        <f>IFERROR(LOOKUP(BV$15,HourlyTimeseries!$A:$A,HourlyTimeseries!$I:$I),"")</f>
        <v>5000</v>
      </c>
      <c r="BW56" s="63">
        <f>IFERROR(LOOKUP(BW$15,HourlyTimeseries!$A:$A,HourlyTimeseries!$I:$I),"")</f>
        <v>5000</v>
      </c>
      <c r="BX56" s="63">
        <f>IFERROR(LOOKUP(BX$15,HourlyTimeseries!$A:$A,HourlyTimeseries!$I:$I),"")</f>
        <v>5000</v>
      </c>
      <c r="BY56" s="63">
        <f>IFERROR(LOOKUP(BY$15,HourlyTimeseries!$A:$A,HourlyTimeseries!$I:$I),"")</f>
        <v>5000</v>
      </c>
      <c r="BZ56" s="63">
        <f>IFERROR(LOOKUP(BZ$15,HourlyTimeseries!$A:$A,HourlyTimeseries!$I:$I),"")</f>
        <v>5000</v>
      </c>
      <c r="CA56" s="72">
        <f>IFERROR(LOOKUP(CA$15,HourlyTimeseries!$A:$A,HourlyTimeseries!$I:$I),"")</f>
        <v>5000</v>
      </c>
      <c r="CB56" s="79">
        <f>IFERROR(LOOKUP(CB$15,HourlyTimeseries!$A:$A,HourlyTimeseries!$I:$I),"")</f>
        <v>5000</v>
      </c>
      <c r="CC56" s="63">
        <f>IFERROR(LOOKUP(CC$15,HourlyTimeseries!$A:$A,HourlyTimeseries!$I:$I),"")</f>
        <v>5000</v>
      </c>
      <c r="CD56" s="63">
        <f>IFERROR(LOOKUP(CD$15,HourlyTimeseries!$A:$A,HourlyTimeseries!$I:$I),"")</f>
        <v>5000</v>
      </c>
      <c r="CE56" s="63">
        <f>IFERROR(LOOKUP(CE$15,HourlyTimeseries!$A:$A,HourlyTimeseries!$I:$I),"")</f>
        <v>5000</v>
      </c>
      <c r="CF56" s="63">
        <f>IFERROR(LOOKUP(CF$15,HourlyTimeseries!$A:$A,HourlyTimeseries!$I:$I),"")</f>
        <v>5000</v>
      </c>
      <c r="CG56" s="63">
        <f>IFERROR(LOOKUP(CG$15,HourlyTimeseries!$A:$A,HourlyTimeseries!$I:$I),"")</f>
        <v>5000</v>
      </c>
      <c r="CH56" s="63">
        <f>IFERROR(LOOKUP(CH$15,HourlyTimeseries!$A:$A,HourlyTimeseries!$I:$I),"")</f>
        <v>8000</v>
      </c>
      <c r="CI56" s="63">
        <f>IFERROR(LOOKUP(CI$15,HourlyTimeseries!$A:$A,HourlyTimeseries!$I:$I),"")</f>
        <v>8000</v>
      </c>
      <c r="CJ56" s="63">
        <f>IFERROR(LOOKUP(CJ$15,HourlyTimeseries!$A:$A,HourlyTimeseries!$I:$I),"")</f>
        <v>8000</v>
      </c>
      <c r="CK56" s="63">
        <f>IFERROR(LOOKUP(CK$15,HourlyTimeseries!$A:$A,HourlyTimeseries!$I:$I),"")</f>
        <v>8000</v>
      </c>
      <c r="CL56" s="63">
        <f>IFERROR(LOOKUP(CL$15,HourlyTimeseries!$A:$A,HourlyTimeseries!$I:$I),"")</f>
        <v>8000</v>
      </c>
      <c r="CM56" s="63">
        <f>IFERROR(LOOKUP(CM$15,HourlyTimeseries!$A:$A,HourlyTimeseries!$I:$I),"")</f>
        <v>8000</v>
      </c>
      <c r="CN56" s="63">
        <f>IFERROR(LOOKUP(CN$15,HourlyTimeseries!$A:$A,HourlyTimeseries!$I:$I),"")</f>
        <v>8000</v>
      </c>
      <c r="CO56" s="63">
        <f>IFERROR(LOOKUP(CO$15,HourlyTimeseries!$A:$A,HourlyTimeseries!$I:$I),"")</f>
        <v>8000</v>
      </c>
      <c r="CP56" s="63">
        <f>IFERROR(LOOKUP(CP$15,HourlyTimeseries!$A:$A,HourlyTimeseries!$I:$I),"")</f>
        <v>8000</v>
      </c>
      <c r="CQ56" s="63">
        <f>IFERROR(LOOKUP(CQ$15,HourlyTimeseries!$A:$A,HourlyTimeseries!$I:$I),"")</f>
        <v>8000</v>
      </c>
      <c r="CR56" s="63">
        <f>IFERROR(LOOKUP(CR$15,HourlyTimeseries!$A:$A,HourlyTimeseries!$I:$I),"")</f>
        <v>8000</v>
      </c>
      <c r="CS56" s="63">
        <f>IFERROR(LOOKUP(CS$15,HourlyTimeseries!$A:$A,HourlyTimeseries!$I:$I),"")</f>
        <v>8000</v>
      </c>
      <c r="CT56" s="63">
        <f>IFERROR(LOOKUP(CT$15,HourlyTimeseries!$A:$A,HourlyTimeseries!$I:$I),"")</f>
        <v>5000</v>
      </c>
      <c r="CU56" s="63">
        <f>IFERROR(LOOKUP(CU$15,HourlyTimeseries!$A:$A,HourlyTimeseries!$I:$I),"")</f>
        <v>5000</v>
      </c>
      <c r="CV56" s="63">
        <f>IFERROR(LOOKUP(CV$15,HourlyTimeseries!$A:$A,HourlyTimeseries!$I:$I),"")</f>
        <v>5000</v>
      </c>
      <c r="CW56" s="63">
        <f>IFERROR(LOOKUP(CW$15,HourlyTimeseries!$A:$A,HourlyTimeseries!$I:$I),"")</f>
        <v>5000</v>
      </c>
      <c r="CX56" s="63">
        <f>IFERROR(LOOKUP(CX$15,HourlyTimeseries!$A:$A,HourlyTimeseries!$I:$I),"")</f>
        <v>5000</v>
      </c>
      <c r="CY56" s="72">
        <f>IFERROR(LOOKUP(CY$15,HourlyTimeseries!$A:$A,HourlyTimeseries!$I:$I),"")</f>
        <v>5000</v>
      </c>
      <c r="CZ56" s="79">
        <f>IFERROR(LOOKUP(CZ$15,HourlyTimeseries!$A:$A,HourlyTimeseries!$I:$I),"")</f>
        <v>5000</v>
      </c>
      <c r="DA56" s="63">
        <f>IFERROR(LOOKUP(DA$15,HourlyTimeseries!$A:$A,HourlyTimeseries!$I:$I),"")</f>
        <v>5000</v>
      </c>
      <c r="DB56" s="63">
        <f>IFERROR(LOOKUP(DB$15,HourlyTimeseries!$A:$A,HourlyTimeseries!$I:$I),"")</f>
        <v>5000</v>
      </c>
      <c r="DC56" s="63">
        <f>IFERROR(LOOKUP(DC$15,HourlyTimeseries!$A:$A,HourlyTimeseries!$I:$I),"")</f>
        <v>5000</v>
      </c>
      <c r="DD56" s="63">
        <f>IFERROR(LOOKUP(DD$15,HourlyTimeseries!$A:$A,HourlyTimeseries!$I:$I),"")</f>
        <v>5000</v>
      </c>
      <c r="DE56" s="63">
        <f>IFERROR(LOOKUP(DE$15,HourlyTimeseries!$A:$A,HourlyTimeseries!$I:$I),"")</f>
        <v>5000</v>
      </c>
      <c r="DF56" s="63">
        <f>IFERROR(LOOKUP(DF$15,HourlyTimeseries!$A:$A,HourlyTimeseries!$I:$I),"")</f>
        <v>8000</v>
      </c>
      <c r="DG56" s="63">
        <f>IFERROR(LOOKUP(DG$15,HourlyTimeseries!$A:$A,HourlyTimeseries!$I:$I),"")</f>
        <v>8000</v>
      </c>
      <c r="DH56" s="63">
        <f>IFERROR(LOOKUP(DH$15,HourlyTimeseries!$A:$A,HourlyTimeseries!$I:$I),"")</f>
        <v>8000</v>
      </c>
      <c r="DI56" s="63">
        <f>IFERROR(LOOKUP(DI$15,HourlyTimeseries!$A:$A,HourlyTimeseries!$I:$I),"")</f>
        <v>8000</v>
      </c>
      <c r="DJ56" s="63">
        <f>IFERROR(LOOKUP(DJ$15,HourlyTimeseries!$A:$A,HourlyTimeseries!$I:$I),"")</f>
        <v>8000</v>
      </c>
      <c r="DK56" s="63">
        <f>IFERROR(LOOKUP(DK$15,HourlyTimeseries!$A:$A,HourlyTimeseries!$I:$I),"")</f>
        <v>8000</v>
      </c>
      <c r="DL56" s="63">
        <f>IFERROR(LOOKUP(DL$15,HourlyTimeseries!$A:$A,HourlyTimeseries!$I:$I),"")</f>
        <v>8000</v>
      </c>
      <c r="DM56" s="63">
        <f>IFERROR(LOOKUP(DM$15,HourlyTimeseries!$A:$A,HourlyTimeseries!$I:$I),"")</f>
        <v>8000</v>
      </c>
      <c r="DN56" s="63">
        <f>IFERROR(LOOKUP(DN$15,HourlyTimeseries!$A:$A,HourlyTimeseries!$I:$I),"")</f>
        <v>8000</v>
      </c>
      <c r="DO56" s="63">
        <f>IFERROR(LOOKUP(DO$15,HourlyTimeseries!$A:$A,HourlyTimeseries!$I:$I),"")</f>
        <v>8000</v>
      </c>
      <c r="DP56" s="63">
        <f>IFERROR(LOOKUP(DP$15,HourlyTimeseries!$A:$A,HourlyTimeseries!$I:$I),"")</f>
        <v>8000</v>
      </c>
      <c r="DQ56" s="63">
        <f>IFERROR(LOOKUP(DQ$15,HourlyTimeseries!$A:$A,HourlyTimeseries!$I:$I),"")</f>
        <v>8000</v>
      </c>
      <c r="DR56" s="63">
        <f>IFERROR(LOOKUP(DR$15,HourlyTimeseries!$A:$A,HourlyTimeseries!$I:$I),"")</f>
        <v>5000</v>
      </c>
      <c r="DS56" s="63">
        <f>IFERROR(LOOKUP(DS$15,HourlyTimeseries!$A:$A,HourlyTimeseries!$I:$I),"")</f>
        <v>5000</v>
      </c>
      <c r="DT56" s="63">
        <f>IFERROR(LOOKUP(DT$15,HourlyTimeseries!$A:$A,HourlyTimeseries!$I:$I),"")</f>
        <v>5000</v>
      </c>
      <c r="DU56" s="63">
        <f>IFERROR(LOOKUP(DU$15,HourlyTimeseries!$A:$A,HourlyTimeseries!$I:$I),"")</f>
        <v>5000</v>
      </c>
      <c r="DV56" s="63">
        <f>IFERROR(LOOKUP(DV$15,HourlyTimeseries!$A:$A,HourlyTimeseries!$I:$I),"")</f>
        <v>5000</v>
      </c>
      <c r="DW56" s="72">
        <f>IFERROR(LOOKUP(DW$15,HourlyTimeseries!$A:$A,HourlyTimeseries!$I:$I),"")</f>
        <v>5000</v>
      </c>
      <c r="DX56" s="79">
        <f>IFERROR(LOOKUP(DX$15,HourlyTimeseries!$A:$A,HourlyTimeseries!$I:$I),"")</f>
        <v>5000</v>
      </c>
      <c r="DY56" s="63">
        <f>IFERROR(LOOKUP(DY$15,HourlyTimeseries!$A:$A,HourlyTimeseries!$I:$I),"")</f>
        <v>5000</v>
      </c>
      <c r="DZ56" s="63">
        <f>IFERROR(LOOKUP(DZ$15,HourlyTimeseries!$A:$A,HourlyTimeseries!$I:$I),"")</f>
        <v>5000</v>
      </c>
      <c r="EA56" s="63">
        <f>IFERROR(LOOKUP(EA$15,HourlyTimeseries!$A:$A,HourlyTimeseries!$I:$I),"")</f>
        <v>5000</v>
      </c>
      <c r="EB56" s="63">
        <f>IFERROR(LOOKUP(EB$15,HourlyTimeseries!$A:$A,HourlyTimeseries!$I:$I),"")</f>
        <v>5000</v>
      </c>
      <c r="EC56" s="63">
        <f>IFERROR(LOOKUP(EC$15,HourlyTimeseries!$A:$A,HourlyTimeseries!$I:$I),"")</f>
        <v>5000</v>
      </c>
      <c r="ED56" s="63">
        <f>IFERROR(LOOKUP(ED$15,HourlyTimeseries!$A:$A,HourlyTimeseries!$I:$I),"")</f>
        <v>8000</v>
      </c>
      <c r="EE56" s="63">
        <f>IFERROR(LOOKUP(EE$15,HourlyTimeseries!$A:$A,HourlyTimeseries!$I:$I),"")</f>
        <v>8000</v>
      </c>
      <c r="EF56" s="63">
        <f>IFERROR(LOOKUP(EF$15,HourlyTimeseries!$A:$A,HourlyTimeseries!$I:$I),"")</f>
        <v>8000</v>
      </c>
      <c r="EG56" s="63">
        <f>IFERROR(LOOKUP(EG$15,HourlyTimeseries!$A:$A,HourlyTimeseries!$I:$I),"")</f>
        <v>8000</v>
      </c>
      <c r="EH56" s="63">
        <f>IFERROR(LOOKUP(EH$15,HourlyTimeseries!$A:$A,HourlyTimeseries!$I:$I),"")</f>
        <v>8000</v>
      </c>
      <c r="EI56" s="63">
        <f>IFERROR(LOOKUP(EI$15,HourlyTimeseries!$A:$A,HourlyTimeseries!$I:$I),"")</f>
        <v>8000</v>
      </c>
      <c r="EJ56" s="63">
        <f>IFERROR(LOOKUP(EJ$15,HourlyTimeseries!$A:$A,HourlyTimeseries!$I:$I),"")</f>
        <v>8000</v>
      </c>
      <c r="EK56" s="63">
        <f>IFERROR(LOOKUP(EK$15,HourlyTimeseries!$A:$A,HourlyTimeseries!$I:$I),"")</f>
        <v>8000</v>
      </c>
      <c r="EL56" s="63">
        <f>IFERROR(LOOKUP(EL$15,HourlyTimeseries!$A:$A,HourlyTimeseries!$I:$I),"")</f>
        <v>8000</v>
      </c>
      <c r="EM56" s="63">
        <f>IFERROR(LOOKUP(EM$15,HourlyTimeseries!$A:$A,HourlyTimeseries!$I:$I),"")</f>
        <v>8000</v>
      </c>
      <c r="EN56" s="63">
        <f>IFERROR(LOOKUP(EN$15,HourlyTimeseries!$A:$A,HourlyTimeseries!$I:$I),"")</f>
        <v>8000</v>
      </c>
      <c r="EO56" s="63">
        <f>IFERROR(LOOKUP(EO$15,HourlyTimeseries!$A:$A,HourlyTimeseries!$I:$I),"")</f>
        <v>8000</v>
      </c>
      <c r="EP56" s="63">
        <f>IFERROR(LOOKUP(EP$15,HourlyTimeseries!$A:$A,HourlyTimeseries!$I:$I),"")</f>
        <v>5000</v>
      </c>
      <c r="EQ56" s="63">
        <f>IFERROR(LOOKUP(EQ$15,HourlyTimeseries!$A:$A,HourlyTimeseries!$I:$I),"")</f>
        <v>5000</v>
      </c>
      <c r="ER56" s="63">
        <f>IFERROR(LOOKUP(ER$15,HourlyTimeseries!$A:$A,HourlyTimeseries!$I:$I),"")</f>
        <v>5000</v>
      </c>
      <c r="ES56" s="63">
        <f>IFERROR(LOOKUP(ES$15,HourlyTimeseries!$A:$A,HourlyTimeseries!$I:$I),"")</f>
        <v>5000</v>
      </c>
      <c r="ET56" s="63">
        <f>IFERROR(LOOKUP(ET$15,HourlyTimeseries!$A:$A,HourlyTimeseries!$I:$I),"")</f>
        <v>5000</v>
      </c>
      <c r="EU56" s="72">
        <f>IFERROR(LOOKUP(EU$15,HourlyTimeseries!$A:$A,HourlyTimeseries!$I:$I),"")</f>
        <v>5000</v>
      </c>
      <c r="EV56" s="79">
        <f>IFERROR(LOOKUP(EV$15,HourlyTimeseries!$A:$A,HourlyTimeseries!$I:$I),"")</f>
        <v>5000</v>
      </c>
      <c r="EW56" s="63">
        <f>IFERROR(LOOKUP(EW$15,HourlyTimeseries!$A:$A,HourlyTimeseries!$I:$I),"")</f>
        <v>5000</v>
      </c>
      <c r="EX56" s="63">
        <f>IFERROR(LOOKUP(EX$15,HourlyTimeseries!$A:$A,HourlyTimeseries!$I:$I),"")</f>
        <v>5000</v>
      </c>
      <c r="EY56" s="63">
        <f>IFERROR(LOOKUP(EY$15,HourlyTimeseries!$A:$A,HourlyTimeseries!$I:$I),"")</f>
        <v>5000</v>
      </c>
      <c r="EZ56" s="63">
        <f>IFERROR(LOOKUP(EZ$15,HourlyTimeseries!$A:$A,HourlyTimeseries!$I:$I),"")</f>
        <v>5000</v>
      </c>
      <c r="FA56" s="63">
        <f>IFERROR(LOOKUP(FA$15,HourlyTimeseries!$A:$A,HourlyTimeseries!$I:$I),"")</f>
        <v>5000</v>
      </c>
      <c r="FB56" s="63">
        <f>IFERROR(LOOKUP(FB$15,HourlyTimeseries!$A:$A,HourlyTimeseries!$I:$I),"")</f>
        <v>8000</v>
      </c>
      <c r="FC56" s="63">
        <f>IFERROR(LOOKUP(FC$15,HourlyTimeseries!$A:$A,HourlyTimeseries!$I:$I),"")</f>
        <v>8000</v>
      </c>
      <c r="FD56" s="63">
        <f>IFERROR(LOOKUP(FD$15,HourlyTimeseries!$A:$A,HourlyTimeseries!$I:$I),"")</f>
        <v>8000</v>
      </c>
      <c r="FE56" s="63">
        <f>IFERROR(LOOKUP(FE$15,HourlyTimeseries!$A:$A,HourlyTimeseries!$I:$I),"")</f>
        <v>8000</v>
      </c>
      <c r="FF56" s="63">
        <f>IFERROR(LOOKUP(FF$15,HourlyTimeseries!$A:$A,HourlyTimeseries!$I:$I),"")</f>
        <v>8000</v>
      </c>
      <c r="FG56" s="63">
        <f>IFERROR(LOOKUP(FG$15,HourlyTimeseries!$A:$A,HourlyTimeseries!$I:$I),"")</f>
        <v>8000</v>
      </c>
      <c r="FH56" s="63">
        <f>IFERROR(LOOKUP(FH$15,HourlyTimeseries!$A:$A,HourlyTimeseries!$I:$I),"")</f>
        <v>8000</v>
      </c>
      <c r="FI56" s="63">
        <f>IFERROR(LOOKUP(FI$15,HourlyTimeseries!$A:$A,HourlyTimeseries!$I:$I),"")</f>
        <v>8000</v>
      </c>
      <c r="FJ56" s="63">
        <f>IFERROR(LOOKUP(FJ$15,HourlyTimeseries!$A:$A,HourlyTimeseries!$I:$I),"")</f>
        <v>8000</v>
      </c>
      <c r="FK56" s="63">
        <f>IFERROR(LOOKUP(FK$15,HourlyTimeseries!$A:$A,HourlyTimeseries!$I:$I),"")</f>
        <v>8000</v>
      </c>
      <c r="FL56" s="63">
        <f>IFERROR(LOOKUP(FL$15,HourlyTimeseries!$A:$A,HourlyTimeseries!$I:$I),"")</f>
        <v>8000</v>
      </c>
      <c r="FM56" s="63">
        <f>IFERROR(LOOKUP(FM$15,HourlyTimeseries!$A:$A,HourlyTimeseries!$I:$I),"")</f>
        <v>8000</v>
      </c>
      <c r="FN56" s="63">
        <f>IFERROR(LOOKUP(FN$15,HourlyTimeseries!$A:$A,HourlyTimeseries!$I:$I),"")</f>
        <v>5000</v>
      </c>
      <c r="FO56" s="63">
        <f>IFERROR(LOOKUP(FO$15,HourlyTimeseries!$A:$A,HourlyTimeseries!$I:$I),"")</f>
        <v>5000</v>
      </c>
      <c r="FP56" s="63">
        <f>IFERROR(LOOKUP(FP$15,HourlyTimeseries!$A:$A,HourlyTimeseries!$I:$I),"")</f>
        <v>5000</v>
      </c>
      <c r="FQ56" s="63">
        <f>IFERROR(LOOKUP(FQ$15,HourlyTimeseries!$A:$A,HourlyTimeseries!$I:$I),"")</f>
        <v>5000</v>
      </c>
      <c r="FR56" s="63">
        <f>IFERROR(LOOKUP(FR$15,HourlyTimeseries!$A:$A,HourlyTimeseries!$I:$I),"")</f>
        <v>5000</v>
      </c>
      <c r="FS56" s="72">
        <f>IFERROR(LOOKUP(FS$15,HourlyTimeseries!$A:$A,HourlyTimeseries!$I:$I),"")</f>
        <v>5000</v>
      </c>
    </row>
    <row r="57" spans="4:175" x14ac:dyDescent="0.2">
      <c r="D57" s="15" t="s">
        <v>85</v>
      </c>
      <c r="E57" s="2" t="s">
        <v>79</v>
      </c>
      <c r="F57" s="8" t="s">
        <v>151</v>
      </c>
      <c r="G57" s="2"/>
      <c r="H57" s="63">
        <f>IFERROR(LOOKUP(H$15,HourlyTimeseries!$A:$A,HourlyTimeseries!$J:$J),"")</f>
        <v>25000</v>
      </c>
      <c r="I57" s="63">
        <f>IFERROR(LOOKUP(I$15,HourlyTimeseries!$A:$A,HourlyTimeseries!$J:$J),"")</f>
        <v>25000</v>
      </c>
      <c r="J57" s="63">
        <f>IFERROR(LOOKUP(J$15,HourlyTimeseries!$A:$A,HourlyTimeseries!$J:$J),"")</f>
        <v>25000</v>
      </c>
      <c r="K57" s="63">
        <f>IFERROR(LOOKUP(K$15,HourlyTimeseries!$A:$A,HourlyTimeseries!$J:$J),"")</f>
        <v>25000</v>
      </c>
      <c r="L57" s="63">
        <f>IFERROR(LOOKUP(L$15,HourlyTimeseries!$A:$A,HourlyTimeseries!$J:$J),"")</f>
        <v>25000</v>
      </c>
      <c r="M57" s="63">
        <f>IFERROR(LOOKUP(M$15,HourlyTimeseries!$A:$A,HourlyTimeseries!$J:$J),"")</f>
        <v>25000</v>
      </c>
      <c r="N57" s="63">
        <f>IFERROR(LOOKUP(N$15,HourlyTimeseries!$A:$A,HourlyTimeseries!$J:$J),"")</f>
        <v>25000</v>
      </c>
      <c r="O57" s="63">
        <f>IFERROR(LOOKUP(O$15,HourlyTimeseries!$A:$A,HourlyTimeseries!$J:$J),"")</f>
        <v>25000</v>
      </c>
      <c r="P57" s="63">
        <f>IFERROR(LOOKUP(P$15,HourlyTimeseries!$A:$A,HourlyTimeseries!$J:$J),"")</f>
        <v>25000</v>
      </c>
      <c r="Q57" s="63">
        <f>IFERROR(LOOKUP(Q$15,HourlyTimeseries!$A:$A,HourlyTimeseries!$J:$J),"")</f>
        <v>25000</v>
      </c>
      <c r="R57" s="63">
        <f>IFERROR(LOOKUP(R$15,HourlyTimeseries!$A:$A,HourlyTimeseries!$J:$J),"")</f>
        <v>25000</v>
      </c>
      <c r="S57" s="63">
        <f>IFERROR(LOOKUP(S$15,HourlyTimeseries!$A:$A,HourlyTimeseries!$J:$J),"")</f>
        <v>25000</v>
      </c>
      <c r="T57" s="63">
        <f>IFERROR(LOOKUP(T$15,HourlyTimeseries!$A:$A,HourlyTimeseries!$J:$J),"")</f>
        <v>25000</v>
      </c>
      <c r="U57" s="63">
        <f>IFERROR(LOOKUP(U$15,HourlyTimeseries!$A:$A,HourlyTimeseries!$J:$J),"")</f>
        <v>25000</v>
      </c>
      <c r="V57" s="63">
        <f>IFERROR(LOOKUP(V$15,HourlyTimeseries!$A:$A,HourlyTimeseries!$J:$J),"")</f>
        <v>25000</v>
      </c>
      <c r="W57" s="63">
        <f>IFERROR(LOOKUP(W$15,HourlyTimeseries!$A:$A,HourlyTimeseries!$J:$J),"")</f>
        <v>25000</v>
      </c>
      <c r="X57" s="63">
        <f>IFERROR(LOOKUP(X$15,HourlyTimeseries!$A:$A,HourlyTimeseries!$J:$J),"")</f>
        <v>25000</v>
      </c>
      <c r="Y57" s="63">
        <f>IFERROR(LOOKUP(Y$15,HourlyTimeseries!$A:$A,HourlyTimeseries!$J:$J),"")</f>
        <v>25000</v>
      </c>
      <c r="Z57" s="63">
        <f>IFERROR(LOOKUP(Z$15,HourlyTimeseries!$A:$A,HourlyTimeseries!$J:$J),"")</f>
        <v>25000</v>
      </c>
      <c r="AA57" s="63">
        <f>IFERROR(LOOKUP(AA$15,HourlyTimeseries!$A:$A,HourlyTimeseries!$J:$J),"")</f>
        <v>25000</v>
      </c>
      <c r="AB57" s="63">
        <f>IFERROR(LOOKUP(AB$15,HourlyTimeseries!$A:$A,HourlyTimeseries!$J:$J),"")</f>
        <v>25000</v>
      </c>
      <c r="AC57" s="63">
        <f>IFERROR(LOOKUP(AC$15,HourlyTimeseries!$A:$A,HourlyTimeseries!$J:$J),"")</f>
        <v>25000</v>
      </c>
      <c r="AD57" s="63">
        <f>IFERROR(LOOKUP(AD$15,HourlyTimeseries!$A:$A,HourlyTimeseries!$J:$J),"")</f>
        <v>25000</v>
      </c>
      <c r="AE57" s="72">
        <f>IFERROR(LOOKUP(AE$15,HourlyTimeseries!$A:$A,HourlyTimeseries!$J:$J),"")</f>
        <v>25000</v>
      </c>
      <c r="AF57" s="79">
        <f>IFERROR(LOOKUP(AF$15,HourlyTimeseries!$A:$A,HourlyTimeseries!$J:$J),"")</f>
        <v>25000</v>
      </c>
      <c r="AG57" s="63">
        <f>IFERROR(LOOKUP(AG$15,HourlyTimeseries!$A:$A,HourlyTimeseries!$J:$J),"")</f>
        <v>25000</v>
      </c>
      <c r="AH57" s="63">
        <f>IFERROR(LOOKUP(AH$15,HourlyTimeseries!$A:$A,HourlyTimeseries!$J:$J),"")</f>
        <v>25000</v>
      </c>
      <c r="AI57" s="63">
        <f>IFERROR(LOOKUP(AI$15,HourlyTimeseries!$A:$A,HourlyTimeseries!$J:$J),"")</f>
        <v>25000</v>
      </c>
      <c r="AJ57" s="63">
        <f>IFERROR(LOOKUP(AJ$15,HourlyTimeseries!$A:$A,HourlyTimeseries!$J:$J),"")</f>
        <v>25000</v>
      </c>
      <c r="AK57" s="63">
        <f>IFERROR(LOOKUP(AK$15,HourlyTimeseries!$A:$A,HourlyTimeseries!$J:$J),"")</f>
        <v>25000</v>
      </c>
      <c r="AL57" s="63">
        <f>IFERROR(LOOKUP(AL$15,HourlyTimeseries!$A:$A,HourlyTimeseries!$J:$J),"")</f>
        <v>25000</v>
      </c>
      <c r="AM57" s="63">
        <f>IFERROR(LOOKUP(AM$15,HourlyTimeseries!$A:$A,HourlyTimeseries!$J:$J),"")</f>
        <v>25000</v>
      </c>
      <c r="AN57" s="63">
        <f>IFERROR(LOOKUP(AN$15,HourlyTimeseries!$A:$A,HourlyTimeseries!$J:$J),"")</f>
        <v>25000</v>
      </c>
      <c r="AO57" s="63">
        <f>IFERROR(LOOKUP(AO$15,HourlyTimeseries!$A:$A,HourlyTimeseries!$J:$J),"")</f>
        <v>25000</v>
      </c>
      <c r="AP57" s="63">
        <f>IFERROR(LOOKUP(AP$15,HourlyTimeseries!$A:$A,HourlyTimeseries!$J:$J),"")</f>
        <v>25000</v>
      </c>
      <c r="AQ57" s="63">
        <f>IFERROR(LOOKUP(AQ$15,HourlyTimeseries!$A:$A,HourlyTimeseries!$J:$J),"")</f>
        <v>25000</v>
      </c>
      <c r="AR57" s="63">
        <f>IFERROR(LOOKUP(AR$15,HourlyTimeseries!$A:$A,HourlyTimeseries!$J:$J),"")</f>
        <v>25000</v>
      </c>
      <c r="AS57" s="63">
        <f>IFERROR(LOOKUP(AS$15,HourlyTimeseries!$A:$A,HourlyTimeseries!$J:$J),"")</f>
        <v>25000</v>
      </c>
      <c r="AT57" s="63">
        <f>IFERROR(LOOKUP(AT$15,HourlyTimeseries!$A:$A,HourlyTimeseries!$J:$J),"")</f>
        <v>25000</v>
      </c>
      <c r="AU57" s="63">
        <f>IFERROR(LOOKUP(AU$15,HourlyTimeseries!$A:$A,HourlyTimeseries!$J:$J),"")</f>
        <v>25000</v>
      </c>
      <c r="AV57" s="63">
        <f>IFERROR(LOOKUP(AV$15,HourlyTimeseries!$A:$A,HourlyTimeseries!$J:$J),"")</f>
        <v>25000</v>
      </c>
      <c r="AW57" s="63">
        <f>IFERROR(LOOKUP(AW$15,HourlyTimeseries!$A:$A,HourlyTimeseries!$J:$J),"")</f>
        <v>25000</v>
      </c>
      <c r="AX57" s="63">
        <f>IFERROR(LOOKUP(AX$15,HourlyTimeseries!$A:$A,HourlyTimeseries!$J:$J),"")</f>
        <v>25000</v>
      </c>
      <c r="AY57" s="63">
        <f>IFERROR(LOOKUP(AY$15,HourlyTimeseries!$A:$A,HourlyTimeseries!$J:$J),"")</f>
        <v>25000</v>
      </c>
      <c r="AZ57" s="63">
        <f>IFERROR(LOOKUP(AZ$15,HourlyTimeseries!$A:$A,HourlyTimeseries!$J:$J),"")</f>
        <v>25000</v>
      </c>
      <c r="BA57" s="63">
        <f>IFERROR(LOOKUP(BA$15,HourlyTimeseries!$A:$A,HourlyTimeseries!$J:$J),"")</f>
        <v>25000</v>
      </c>
      <c r="BB57" s="63">
        <f>IFERROR(LOOKUP(BB$15,HourlyTimeseries!$A:$A,HourlyTimeseries!$J:$J),"")</f>
        <v>25000</v>
      </c>
      <c r="BC57" s="72">
        <f>IFERROR(LOOKUP(BC$15,HourlyTimeseries!$A:$A,HourlyTimeseries!$J:$J),"")</f>
        <v>25000</v>
      </c>
      <c r="BD57" s="79">
        <f>IFERROR(LOOKUP(BD$15,HourlyTimeseries!$A:$A,HourlyTimeseries!$J:$J),"")</f>
        <v>25000</v>
      </c>
      <c r="BE57" s="63">
        <f>IFERROR(LOOKUP(BE$15,HourlyTimeseries!$A:$A,HourlyTimeseries!$J:$J),"")</f>
        <v>25000</v>
      </c>
      <c r="BF57" s="63">
        <f>IFERROR(LOOKUP(BF$15,HourlyTimeseries!$A:$A,HourlyTimeseries!$J:$J),"")</f>
        <v>25000</v>
      </c>
      <c r="BG57" s="63">
        <f>IFERROR(LOOKUP(BG$15,HourlyTimeseries!$A:$A,HourlyTimeseries!$J:$J),"")</f>
        <v>25000</v>
      </c>
      <c r="BH57" s="63">
        <f>IFERROR(LOOKUP(BH$15,HourlyTimeseries!$A:$A,HourlyTimeseries!$J:$J),"")</f>
        <v>25000</v>
      </c>
      <c r="BI57" s="63">
        <f>IFERROR(LOOKUP(BI$15,HourlyTimeseries!$A:$A,HourlyTimeseries!$J:$J),"")</f>
        <v>25000</v>
      </c>
      <c r="BJ57" s="63">
        <f>IFERROR(LOOKUP(BJ$15,HourlyTimeseries!$A:$A,HourlyTimeseries!$J:$J),"")</f>
        <v>25000</v>
      </c>
      <c r="BK57" s="63">
        <f>IFERROR(LOOKUP(BK$15,HourlyTimeseries!$A:$A,HourlyTimeseries!$J:$J),"")</f>
        <v>25000</v>
      </c>
      <c r="BL57" s="63">
        <f>IFERROR(LOOKUP(BL$15,HourlyTimeseries!$A:$A,HourlyTimeseries!$J:$J),"")</f>
        <v>25000</v>
      </c>
      <c r="BM57" s="63">
        <f>IFERROR(LOOKUP(BM$15,HourlyTimeseries!$A:$A,HourlyTimeseries!$J:$J),"")</f>
        <v>25000</v>
      </c>
      <c r="BN57" s="63">
        <f>IFERROR(LOOKUP(BN$15,HourlyTimeseries!$A:$A,HourlyTimeseries!$J:$J),"")</f>
        <v>25000</v>
      </c>
      <c r="BO57" s="63">
        <f>IFERROR(LOOKUP(BO$15,HourlyTimeseries!$A:$A,HourlyTimeseries!$J:$J),"")</f>
        <v>25000</v>
      </c>
      <c r="BP57" s="63">
        <f>IFERROR(LOOKUP(BP$15,HourlyTimeseries!$A:$A,HourlyTimeseries!$J:$J),"")</f>
        <v>25000</v>
      </c>
      <c r="BQ57" s="63">
        <f>IFERROR(LOOKUP(BQ$15,HourlyTimeseries!$A:$A,HourlyTimeseries!$J:$J),"")</f>
        <v>25000</v>
      </c>
      <c r="BR57" s="63">
        <f>IFERROR(LOOKUP(BR$15,HourlyTimeseries!$A:$A,HourlyTimeseries!$J:$J),"")</f>
        <v>25000</v>
      </c>
      <c r="BS57" s="63">
        <f>IFERROR(LOOKUP(BS$15,HourlyTimeseries!$A:$A,HourlyTimeseries!$J:$J),"")</f>
        <v>25000</v>
      </c>
      <c r="BT57" s="63">
        <f>IFERROR(LOOKUP(BT$15,HourlyTimeseries!$A:$A,HourlyTimeseries!$J:$J),"")</f>
        <v>25000</v>
      </c>
      <c r="BU57" s="63">
        <f>IFERROR(LOOKUP(BU$15,HourlyTimeseries!$A:$A,HourlyTimeseries!$J:$J),"")</f>
        <v>25000</v>
      </c>
      <c r="BV57" s="63">
        <f>IFERROR(LOOKUP(BV$15,HourlyTimeseries!$A:$A,HourlyTimeseries!$J:$J),"")</f>
        <v>25000</v>
      </c>
      <c r="BW57" s="63">
        <f>IFERROR(LOOKUP(BW$15,HourlyTimeseries!$A:$A,HourlyTimeseries!$J:$J),"")</f>
        <v>25000</v>
      </c>
      <c r="BX57" s="63">
        <f>IFERROR(LOOKUP(BX$15,HourlyTimeseries!$A:$A,HourlyTimeseries!$J:$J),"")</f>
        <v>25000</v>
      </c>
      <c r="BY57" s="63">
        <f>IFERROR(LOOKUP(BY$15,HourlyTimeseries!$A:$A,HourlyTimeseries!$J:$J),"")</f>
        <v>25000</v>
      </c>
      <c r="BZ57" s="63">
        <f>IFERROR(LOOKUP(BZ$15,HourlyTimeseries!$A:$A,HourlyTimeseries!$J:$J),"")</f>
        <v>25000</v>
      </c>
      <c r="CA57" s="72">
        <f>IFERROR(LOOKUP(CA$15,HourlyTimeseries!$A:$A,HourlyTimeseries!$J:$J),"")</f>
        <v>25000</v>
      </c>
      <c r="CB57" s="79">
        <f>IFERROR(LOOKUP(CB$15,HourlyTimeseries!$A:$A,HourlyTimeseries!$J:$J),"")</f>
        <v>25000</v>
      </c>
      <c r="CC57" s="63">
        <f>IFERROR(LOOKUP(CC$15,HourlyTimeseries!$A:$A,HourlyTimeseries!$J:$J),"")</f>
        <v>25000</v>
      </c>
      <c r="CD57" s="63">
        <f>IFERROR(LOOKUP(CD$15,HourlyTimeseries!$A:$A,HourlyTimeseries!$J:$J),"")</f>
        <v>25000</v>
      </c>
      <c r="CE57" s="63">
        <f>IFERROR(LOOKUP(CE$15,HourlyTimeseries!$A:$A,HourlyTimeseries!$J:$J),"")</f>
        <v>25000</v>
      </c>
      <c r="CF57" s="63">
        <f>IFERROR(LOOKUP(CF$15,HourlyTimeseries!$A:$A,HourlyTimeseries!$J:$J),"")</f>
        <v>25000</v>
      </c>
      <c r="CG57" s="63">
        <f>IFERROR(LOOKUP(CG$15,HourlyTimeseries!$A:$A,HourlyTimeseries!$J:$J),"")</f>
        <v>25000</v>
      </c>
      <c r="CH57" s="63">
        <f>IFERROR(LOOKUP(CH$15,HourlyTimeseries!$A:$A,HourlyTimeseries!$J:$J),"")</f>
        <v>25000</v>
      </c>
      <c r="CI57" s="63">
        <f>IFERROR(LOOKUP(CI$15,HourlyTimeseries!$A:$A,HourlyTimeseries!$J:$J),"")</f>
        <v>25000</v>
      </c>
      <c r="CJ57" s="63">
        <f>IFERROR(LOOKUP(CJ$15,HourlyTimeseries!$A:$A,HourlyTimeseries!$J:$J),"")</f>
        <v>25000</v>
      </c>
      <c r="CK57" s="63">
        <f>IFERROR(LOOKUP(CK$15,HourlyTimeseries!$A:$A,HourlyTimeseries!$J:$J),"")</f>
        <v>25000</v>
      </c>
      <c r="CL57" s="63">
        <f>IFERROR(LOOKUP(CL$15,HourlyTimeseries!$A:$A,HourlyTimeseries!$J:$J),"")</f>
        <v>25000</v>
      </c>
      <c r="CM57" s="63">
        <f>IFERROR(LOOKUP(CM$15,HourlyTimeseries!$A:$A,HourlyTimeseries!$J:$J),"")</f>
        <v>25000</v>
      </c>
      <c r="CN57" s="63">
        <f>IFERROR(LOOKUP(CN$15,HourlyTimeseries!$A:$A,HourlyTimeseries!$J:$J),"")</f>
        <v>25000</v>
      </c>
      <c r="CO57" s="63">
        <f>IFERROR(LOOKUP(CO$15,HourlyTimeseries!$A:$A,HourlyTimeseries!$J:$J),"")</f>
        <v>25000</v>
      </c>
      <c r="CP57" s="63">
        <f>IFERROR(LOOKUP(CP$15,HourlyTimeseries!$A:$A,HourlyTimeseries!$J:$J),"")</f>
        <v>25000</v>
      </c>
      <c r="CQ57" s="63">
        <f>IFERROR(LOOKUP(CQ$15,HourlyTimeseries!$A:$A,HourlyTimeseries!$J:$J),"")</f>
        <v>25000</v>
      </c>
      <c r="CR57" s="63">
        <f>IFERROR(LOOKUP(CR$15,HourlyTimeseries!$A:$A,HourlyTimeseries!$J:$J),"")</f>
        <v>25000</v>
      </c>
      <c r="CS57" s="63">
        <f>IFERROR(LOOKUP(CS$15,HourlyTimeseries!$A:$A,HourlyTimeseries!$J:$J),"")</f>
        <v>25000</v>
      </c>
      <c r="CT57" s="63">
        <f>IFERROR(LOOKUP(CT$15,HourlyTimeseries!$A:$A,HourlyTimeseries!$J:$J),"")</f>
        <v>25000</v>
      </c>
      <c r="CU57" s="63">
        <f>IFERROR(LOOKUP(CU$15,HourlyTimeseries!$A:$A,HourlyTimeseries!$J:$J),"")</f>
        <v>25000</v>
      </c>
      <c r="CV57" s="63">
        <f>IFERROR(LOOKUP(CV$15,HourlyTimeseries!$A:$A,HourlyTimeseries!$J:$J),"")</f>
        <v>25000</v>
      </c>
      <c r="CW57" s="63">
        <f>IFERROR(LOOKUP(CW$15,HourlyTimeseries!$A:$A,HourlyTimeseries!$J:$J),"")</f>
        <v>25000</v>
      </c>
      <c r="CX57" s="63">
        <f>IFERROR(LOOKUP(CX$15,HourlyTimeseries!$A:$A,HourlyTimeseries!$J:$J),"")</f>
        <v>25000</v>
      </c>
      <c r="CY57" s="72">
        <f>IFERROR(LOOKUP(CY$15,HourlyTimeseries!$A:$A,HourlyTimeseries!$J:$J),"")</f>
        <v>25000</v>
      </c>
      <c r="CZ57" s="79">
        <f>IFERROR(LOOKUP(CZ$15,HourlyTimeseries!$A:$A,HourlyTimeseries!$J:$J),"")</f>
        <v>25000</v>
      </c>
      <c r="DA57" s="63">
        <f>IFERROR(LOOKUP(DA$15,HourlyTimeseries!$A:$A,HourlyTimeseries!$J:$J),"")</f>
        <v>25000</v>
      </c>
      <c r="DB57" s="63">
        <f>IFERROR(LOOKUP(DB$15,HourlyTimeseries!$A:$A,HourlyTimeseries!$J:$J),"")</f>
        <v>25000</v>
      </c>
      <c r="DC57" s="63">
        <f>IFERROR(LOOKUP(DC$15,HourlyTimeseries!$A:$A,HourlyTimeseries!$J:$J),"")</f>
        <v>25000</v>
      </c>
      <c r="DD57" s="63">
        <f>IFERROR(LOOKUP(DD$15,HourlyTimeseries!$A:$A,HourlyTimeseries!$J:$J),"")</f>
        <v>25000</v>
      </c>
      <c r="DE57" s="63">
        <f>IFERROR(LOOKUP(DE$15,HourlyTimeseries!$A:$A,HourlyTimeseries!$J:$J),"")</f>
        <v>25000</v>
      </c>
      <c r="DF57" s="63">
        <f>IFERROR(LOOKUP(DF$15,HourlyTimeseries!$A:$A,HourlyTimeseries!$J:$J),"")</f>
        <v>25000</v>
      </c>
      <c r="DG57" s="63">
        <f>IFERROR(LOOKUP(DG$15,HourlyTimeseries!$A:$A,HourlyTimeseries!$J:$J),"")</f>
        <v>25000</v>
      </c>
      <c r="DH57" s="63">
        <f>IFERROR(LOOKUP(DH$15,HourlyTimeseries!$A:$A,HourlyTimeseries!$J:$J),"")</f>
        <v>25000</v>
      </c>
      <c r="DI57" s="63">
        <f>IFERROR(LOOKUP(DI$15,HourlyTimeseries!$A:$A,HourlyTimeseries!$J:$J),"")</f>
        <v>25000</v>
      </c>
      <c r="DJ57" s="63">
        <f>IFERROR(LOOKUP(DJ$15,HourlyTimeseries!$A:$A,HourlyTimeseries!$J:$J),"")</f>
        <v>25000</v>
      </c>
      <c r="DK57" s="63">
        <f>IFERROR(LOOKUP(DK$15,HourlyTimeseries!$A:$A,HourlyTimeseries!$J:$J),"")</f>
        <v>25000</v>
      </c>
      <c r="DL57" s="63">
        <f>IFERROR(LOOKUP(DL$15,HourlyTimeseries!$A:$A,HourlyTimeseries!$J:$J),"")</f>
        <v>25000</v>
      </c>
      <c r="DM57" s="63">
        <f>IFERROR(LOOKUP(DM$15,HourlyTimeseries!$A:$A,HourlyTimeseries!$J:$J),"")</f>
        <v>25000</v>
      </c>
      <c r="DN57" s="63">
        <f>IFERROR(LOOKUP(DN$15,HourlyTimeseries!$A:$A,HourlyTimeseries!$J:$J),"")</f>
        <v>25000</v>
      </c>
      <c r="DO57" s="63">
        <f>IFERROR(LOOKUP(DO$15,HourlyTimeseries!$A:$A,HourlyTimeseries!$J:$J),"")</f>
        <v>25000</v>
      </c>
      <c r="DP57" s="63">
        <f>IFERROR(LOOKUP(DP$15,HourlyTimeseries!$A:$A,HourlyTimeseries!$J:$J),"")</f>
        <v>25000</v>
      </c>
      <c r="DQ57" s="63">
        <f>IFERROR(LOOKUP(DQ$15,HourlyTimeseries!$A:$A,HourlyTimeseries!$J:$J),"")</f>
        <v>25000</v>
      </c>
      <c r="DR57" s="63">
        <f>IFERROR(LOOKUP(DR$15,HourlyTimeseries!$A:$A,HourlyTimeseries!$J:$J),"")</f>
        <v>25000</v>
      </c>
      <c r="DS57" s="63">
        <f>IFERROR(LOOKUP(DS$15,HourlyTimeseries!$A:$A,HourlyTimeseries!$J:$J),"")</f>
        <v>25000</v>
      </c>
      <c r="DT57" s="63">
        <f>IFERROR(LOOKUP(DT$15,HourlyTimeseries!$A:$A,HourlyTimeseries!$J:$J),"")</f>
        <v>25000</v>
      </c>
      <c r="DU57" s="63">
        <f>IFERROR(LOOKUP(DU$15,HourlyTimeseries!$A:$A,HourlyTimeseries!$J:$J),"")</f>
        <v>25000</v>
      </c>
      <c r="DV57" s="63">
        <f>IFERROR(LOOKUP(DV$15,HourlyTimeseries!$A:$A,HourlyTimeseries!$J:$J),"")</f>
        <v>25000</v>
      </c>
      <c r="DW57" s="72">
        <f>IFERROR(LOOKUP(DW$15,HourlyTimeseries!$A:$A,HourlyTimeseries!$J:$J),"")</f>
        <v>25000</v>
      </c>
      <c r="DX57" s="79">
        <f>IFERROR(LOOKUP(DX$15,HourlyTimeseries!$A:$A,HourlyTimeseries!$J:$J),"")</f>
        <v>25000</v>
      </c>
      <c r="DY57" s="63">
        <f>IFERROR(LOOKUP(DY$15,HourlyTimeseries!$A:$A,HourlyTimeseries!$J:$J),"")</f>
        <v>25000</v>
      </c>
      <c r="DZ57" s="63">
        <f>IFERROR(LOOKUP(DZ$15,HourlyTimeseries!$A:$A,HourlyTimeseries!$J:$J),"")</f>
        <v>25000</v>
      </c>
      <c r="EA57" s="63">
        <f>IFERROR(LOOKUP(EA$15,HourlyTimeseries!$A:$A,HourlyTimeseries!$J:$J),"")</f>
        <v>25000</v>
      </c>
      <c r="EB57" s="63">
        <f>IFERROR(LOOKUP(EB$15,HourlyTimeseries!$A:$A,HourlyTimeseries!$J:$J),"")</f>
        <v>25000</v>
      </c>
      <c r="EC57" s="63">
        <f>IFERROR(LOOKUP(EC$15,HourlyTimeseries!$A:$A,HourlyTimeseries!$J:$J),"")</f>
        <v>25000</v>
      </c>
      <c r="ED57" s="63">
        <f>IFERROR(LOOKUP(ED$15,HourlyTimeseries!$A:$A,HourlyTimeseries!$J:$J),"")</f>
        <v>25000</v>
      </c>
      <c r="EE57" s="63">
        <f>IFERROR(LOOKUP(EE$15,HourlyTimeseries!$A:$A,HourlyTimeseries!$J:$J),"")</f>
        <v>25000</v>
      </c>
      <c r="EF57" s="63">
        <f>IFERROR(LOOKUP(EF$15,HourlyTimeseries!$A:$A,HourlyTimeseries!$J:$J),"")</f>
        <v>25000</v>
      </c>
      <c r="EG57" s="63">
        <f>IFERROR(LOOKUP(EG$15,HourlyTimeseries!$A:$A,HourlyTimeseries!$J:$J),"")</f>
        <v>25000</v>
      </c>
      <c r="EH57" s="63">
        <f>IFERROR(LOOKUP(EH$15,HourlyTimeseries!$A:$A,HourlyTimeseries!$J:$J),"")</f>
        <v>25000</v>
      </c>
      <c r="EI57" s="63">
        <f>IFERROR(LOOKUP(EI$15,HourlyTimeseries!$A:$A,HourlyTimeseries!$J:$J),"")</f>
        <v>25000</v>
      </c>
      <c r="EJ57" s="63">
        <f>IFERROR(LOOKUP(EJ$15,HourlyTimeseries!$A:$A,HourlyTimeseries!$J:$J),"")</f>
        <v>25000</v>
      </c>
      <c r="EK57" s="63">
        <f>IFERROR(LOOKUP(EK$15,HourlyTimeseries!$A:$A,HourlyTimeseries!$J:$J),"")</f>
        <v>25000</v>
      </c>
      <c r="EL57" s="63">
        <f>IFERROR(LOOKUP(EL$15,HourlyTimeseries!$A:$A,HourlyTimeseries!$J:$J),"")</f>
        <v>25000</v>
      </c>
      <c r="EM57" s="63">
        <f>IFERROR(LOOKUP(EM$15,HourlyTimeseries!$A:$A,HourlyTimeseries!$J:$J),"")</f>
        <v>25000</v>
      </c>
      <c r="EN57" s="63">
        <f>IFERROR(LOOKUP(EN$15,HourlyTimeseries!$A:$A,HourlyTimeseries!$J:$J),"")</f>
        <v>25000</v>
      </c>
      <c r="EO57" s="63">
        <f>IFERROR(LOOKUP(EO$15,HourlyTimeseries!$A:$A,HourlyTimeseries!$J:$J),"")</f>
        <v>25000</v>
      </c>
      <c r="EP57" s="63">
        <f>IFERROR(LOOKUP(EP$15,HourlyTimeseries!$A:$A,HourlyTimeseries!$J:$J),"")</f>
        <v>25000</v>
      </c>
      <c r="EQ57" s="63">
        <f>IFERROR(LOOKUP(EQ$15,HourlyTimeseries!$A:$A,HourlyTimeseries!$J:$J),"")</f>
        <v>25000</v>
      </c>
      <c r="ER57" s="63">
        <f>IFERROR(LOOKUP(ER$15,HourlyTimeseries!$A:$A,HourlyTimeseries!$J:$J),"")</f>
        <v>25000</v>
      </c>
      <c r="ES57" s="63">
        <f>IFERROR(LOOKUP(ES$15,HourlyTimeseries!$A:$A,HourlyTimeseries!$J:$J),"")</f>
        <v>25000</v>
      </c>
      <c r="ET57" s="63">
        <f>IFERROR(LOOKUP(ET$15,HourlyTimeseries!$A:$A,HourlyTimeseries!$J:$J),"")</f>
        <v>25000</v>
      </c>
      <c r="EU57" s="72">
        <f>IFERROR(LOOKUP(EU$15,HourlyTimeseries!$A:$A,HourlyTimeseries!$J:$J),"")</f>
        <v>25000</v>
      </c>
      <c r="EV57" s="79">
        <f>IFERROR(LOOKUP(EV$15,HourlyTimeseries!$A:$A,HourlyTimeseries!$J:$J),"")</f>
        <v>25000</v>
      </c>
      <c r="EW57" s="63">
        <f>IFERROR(LOOKUP(EW$15,HourlyTimeseries!$A:$A,HourlyTimeseries!$J:$J),"")</f>
        <v>25000</v>
      </c>
      <c r="EX57" s="63">
        <f>IFERROR(LOOKUP(EX$15,HourlyTimeseries!$A:$A,HourlyTimeseries!$J:$J),"")</f>
        <v>25000</v>
      </c>
      <c r="EY57" s="63">
        <f>IFERROR(LOOKUP(EY$15,HourlyTimeseries!$A:$A,HourlyTimeseries!$J:$J),"")</f>
        <v>25000</v>
      </c>
      <c r="EZ57" s="63">
        <f>IFERROR(LOOKUP(EZ$15,HourlyTimeseries!$A:$A,HourlyTimeseries!$J:$J),"")</f>
        <v>25000</v>
      </c>
      <c r="FA57" s="63">
        <f>IFERROR(LOOKUP(FA$15,HourlyTimeseries!$A:$A,HourlyTimeseries!$J:$J),"")</f>
        <v>25000</v>
      </c>
      <c r="FB57" s="63">
        <f>IFERROR(LOOKUP(FB$15,HourlyTimeseries!$A:$A,HourlyTimeseries!$J:$J),"")</f>
        <v>25000</v>
      </c>
      <c r="FC57" s="63">
        <f>IFERROR(LOOKUP(FC$15,HourlyTimeseries!$A:$A,HourlyTimeseries!$J:$J),"")</f>
        <v>25000</v>
      </c>
      <c r="FD57" s="63">
        <f>IFERROR(LOOKUP(FD$15,HourlyTimeseries!$A:$A,HourlyTimeseries!$J:$J),"")</f>
        <v>25000</v>
      </c>
      <c r="FE57" s="63">
        <f>IFERROR(LOOKUP(FE$15,HourlyTimeseries!$A:$A,HourlyTimeseries!$J:$J),"")</f>
        <v>25000</v>
      </c>
      <c r="FF57" s="63">
        <f>IFERROR(LOOKUP(FF$15,HourlyTimeseries!$A:$A,HourlyTimeseries!$J:$J),"")</f>
        <v>25000</v>
      </c>
      <c r="FG57" s="63">
        <f>IFERROR(LOOKUP(FG$15,HourlyTimeseries!$A:$A,HourlyTimeseries!$J:$J),"")</f>
        <v>25000</v>
      </c>
      <c r="FH57" s="63">
        <f>IFERROR(LOOKUP(FH$15,HourlyTimeseries!$A:$A,HourlyTimeseries!$J:$J),"")</f>
        <v>25000</v>
      </c>
      <c r="FI57" s="63">
        <f>IFERROR(LOOKUP(FI$15,HourlyTimeseries!$A:$A,HourlyTimeseries!$J:$J),"")</f>
        <v>25000</v>
      </c>
      <c r="FJ57" s="63">
        <f>IFERROR(LOOKUP(FJ$15,HourlyTimeseries!$A:$A,HourlyTimeseries!$J:$J),"")</f>
        <v>25000</v>
      </c>
      <c r="FK57" s="63">
        <f>IFERROR(LOOKUP(FK$15,HourlyTimeseries!$A:$A,HourlyTimeseries!$J:$J),"")</f>
        <v>25000</v>
      </c>
      <c r="FL57" s="63">
        <f>IFERROR(LOOKUP(FL$15,HourlyTimeseries!$A:$A,HourlyTimeseries!$J:$J),"")</f>
        <v>25000</v>
      </c>
      <c r="FM57" s="63">
        <f>IFERROR(LOOKUP(FM$15,HourlyTimeseries!$A:$A,HourlyTimeseries!$J:$J),"")</f>
        <v>25000</v>
      </c>
      <c r="FN57" s="63">
        <f>IFERROR(LOOKUP(FN$15,HourlyTimeseries!$A:$A,HourlyTimeseries!$J:$J),"")</f>
        <v>25000</v>
      </c>
      <c r="FO57" s="63">
        <f>IFERROR(LOOKUP(FO$15,HourlyTimeseries!$A:$A,HourlyTimeseries!$J:$J),"")</f>
        <v>25000</v>
      </c>
      <c r="FP57" s="63">
        <f>IFERROR(LOOKUP(FP$15,HourlyTimeseries!$A:$A,HourlyTimeseries!$J:$J),"")</f>
        <v>25000</v>
      </c>
      <c r="FQ57" s="63">
        <f>IFERROR(LOOKUP(FQ$15,HourlyTimeseries!$A:$A,HourlyTimeseries!$J:$J),"")</f>
        <v>25000</v>
      </c>
      <c r="FR57" s="63">
        <f>IFERROR(LOOKUP(FR$15,HourlyTimeseries!$A:$A,HourlyTimeseries!$J:$J),"")</f>
        <v>25000</v>
      </c>
      <c r="FS57" s="72">
        <f>IFERROR(LOOKUP(FS$15,HourlyTimeseries!$A:$A,HourlyTimeseries!$J:$J),"")</f>
        <v>25000</v>
      </c>
    </row>
    <row r="58" spans="4:175" ht="15.75" customHeight="1" x14ac:dyDescent="0.2">
      <c r="D58" s="36" t="s">
        <v>105</v>
      </c>
      <c r="E58" s="2" t="s">
        <v>101</v>
      </c>
      <c r="F58" s="8" t="s">
        <v>151</v>
      </c>
      <c r="G58" s="4" t="b">
        <v>1</v>
      </c>
      <c r="H58" s="24" t="str">
        <f>IF(H72=AE72,"","Might cause infeasibility because Temperature delta between Glen Canyon and RM61 at H01 and H24 are not the same")</f>
        <v>Might cause infeasibility because Temperature delta between Glen Canyon and RM61 at H01 and H24 are not the same</v>
      </c>
    </row>
    <row r="59" spans="4:175" ht="15.75" customHeight="1" thickBot="1" x14ac:dyDescent="0.25">
      <c r="D59" s="16" t="s">
        <v>189</v>
      </c>
      <c r="E59" s="2" t="s">
        <v>200</v>
      </c>
      <c r="F59" s="2"/>
      <c r="G59" s="4" t="b">
        <v>0</v>
      </c>
    </row>
    <row r="60" spans="4:175" x14ac:dyDescent="0.2">
      <c r="D60" s="15" t="s">
        <v>190</v>
      </c>
      <c r="E60" s="2" t="s">
        <v>191</v>
      </c>
      <c r="F60" s="8" t="s">
        <v>153</v>
      </c>
      <c r="G60" s="8">
        <v>15000</v>
      </c>
    </row>
    <row r="61" spans="4:175" x14ac:dyDescent="0.2">
      <c r="D61" s="15" t="s">
        <v>192</v>
      </c>
      <c r="E61" s="2" t="s">
        <v>193</v>
      </c>
      <c r="F61" s="8" t="s">
        <v>153</v>
      </c>
      <c r="G61" s="8">
        <v>15000</v>
      </c>
    </row>
    <row r="62" spans="4:175" x14ac:dyDescent="0.2">
      <c r="D62" s="15" t="s">
        <v>194</v>
      </c>
      <c r="E62" s="2" t="s">
        <v>195</v>
      </c>
      <c r="F62" s="8" t="s">
        <v>153</v>
      </c>
      <c r="G62" s="2"/>
      <c r="H62" s="63">
        <f>IFERROR(LOOKUP(H$15,HourlyTimeseries!$A:$A,HourlyTimeseries!$K:$K),"")</f>
        <v>5000</v>
      </c>
      <c r="I62" s="63">
        <f>IFERROR(LOOKUP(I$15,HourlyTimeseries!$A:$A,HourlyTimeseries!$K:$K),"")</f>
        <v>5000</v>
      </c>
      <c r="J62" s="63">
        <f>IFERROR(LOOKUP(J$15,HourlyTimeseries!$A:$A,HourlyTimeseries!$K:$K),"")</f>
        <v>5000</v>
      </c>
      <c r="K62" s="63">
        <f>IFERROR(LOOKUP(K$15,HourlyTimeseries!$A:$A,HourlyTimeseries!$K:$K),"")</f>
        <v>5000</v>
      </c>
      <c r="L62" s="63">
        <f>IFERROR(LOOKUP(L$15,HourlyTimeseries!$A:$A,HourlyTimeseries!$K:$K),"")</f>
        <v>5000</v>
      </c>
      <c r="M62" s="63">
        <f>IFERROR(LOOKUP(M$15,HourlyTimeseries!$A:$A,HourlyTimeseries!$K:$K),"")</f>
        <v>5000</v>
      </c>
      <c r="N62" s="63">
        <f>IFERROR(LOOKUP(N$15,HourlyTimeseries!$A:$A,HourlyTimeseries!$K:$K),"")</f>
        <v>8000</v>
      </c>
      <c r="O62" s="63">
        <f>IFERROR(LOOKUP(O$15,HourlyTimeseries!$A:$A,HourlyTimeseries!$K:$K),"")</f>
        <v>8000</v>
      </c>
      <c r="P62" s="63">
        <f>IFERROR(LOOKUP(P$15,HourlyTimeseries!$A:$A,HourlyTimeseries!$K:$K),"")</f>
        <v>8000</v>
      </c>
      <c r="Q62" s="63">
        <f>IFERROR(LOOKUP(Q$15,HourlyTimeseries!$A:$A,HourlyTimeseries!$K:$K),"")</f>
        <v>8000</v>
      </c>
      <c r="R62" s="63">
        <f>IFERROR(LOOKUP(R$15,HourlyTimeseries!$A:$A,HourlyTimeseries!$K:$K),"")</f>
        <v>8000</v>
      </c>
      <c r="S62" s="63">
        <f>IFERROR(LOOKUP(S$15,HourlyTimeseries!$A:$A,HourlyTimeseries!$K:$K),"")</f>
        <v>8000</v>
      </c>
      <c r="T62" s="63">
        <f>IFERROR(LOOKUP(T$15,HourlyTimeseries!$A:$A,HourlyTimeseries!$K:$K),"")</f>
        <v>8000</v>
      </c>
      <c r="U62" s="63">
        <f>IFERROR(LOOKUP(U$15,HourlyTimeseries!$A:$A,HourlyTimeseries!$K:$K),"")</f>
        <v>8000</v>
      </c>
      <c r="V62" s="63">
        <f>IFERROR(LOOKUP(V$15,HourlyTimeseries!$A:$A,HourlyTimeseries!$K:$K),"")</f>
        <v>8000</v>
      </c>
      <c r="W62" s="63">
        <f>IFERROR(LOOKUP(W$15,HourlyTimeseries!$A:$A,HourlyTimeseries!$K:$K),"")</f>
        <v>8000</v>
      </c>
      <c r="X62" s="63">
        <f>IFERROR(LOOKUP(X$15,HourlyTimeseries!$A:$A,HourlyTimeseries!$K:$K),"")</f>
        <v>8000</v>
      </c>
      <c r="Y62" s="63">
        <f>IFERROR(LOOKUP(Y$15,HourlyTimeseries!$A:$A,HourlyTimeseries!$K:$K),"")</f>
        <v>8000</v>
      </c>
      <c r="Z62" s="63">
        <f>IFERROR(LOOKUP(Z$15,HourlyTimeseries!$A:$A,HourlyTimeseries!$K:$K),"")</f>
        <v>5000</v>
      </c>
      <c r="AA62" s="63">
        <f>IFERROR(LOOKUP(AA$15,HourlyTimeseries!$A:$A,HourlyTimeseries!$K:$K),"")</f>
        <v>5000</v>
      </c>
      <c r="AB62" s="63">
        <f>IFERROR(LOOKUP(AB$15,HourlyTimeseries!$A:$A,HourlyTimeseries!$K:$K),"")</f>
        <v>5000</v>
      </c>
      <c r="AC62" s="63">
        <f>IFERROR(LOOKUP(AC$15,HourlyTimeseries!$A:$A,HourlyTimeseries!$K:$K),"")</f>
        <v>5000</v>
      </c>
      <c r="AD62" s="63">
        <f>IFERROR(LOOKUP(AD$15,HourlyTimeseries!$A:$A,HourlyTimeseries!$K:$K),"")</f>
        <v>5000</v>
      </c>
      <c r="AE62" s="72">
        <f>IFERROR(LOOKUP(AE$15,HourlyTimeseries!$A:$A,HourlyTimeseries!$K:$K),"")</f>
        <v>5000</v>
      </c>
      <c r="AF62" s="79">
        <f>IFERROR(LOOKUP(AF$15,HourlyTimeseries!$A:$A,HourlyTimeseries!$K:$K),"")</f>
        <v>5000</v>
      </c>
      <c r="AG62" s="63">
        <f>IFERROR(LOOKUP(AG$15,HourlyTimeseries!$A:$A,HourlyTimeseries!$K:$K),"")</f>
        <v>5000</v>
      </c>
      <c r="AH62" s="63">
        <f>IFERROR(LOOKUP(AH$15,HourlyTimeseries!$A:$A,HourlyTimeseries!$K:$K),"")</f>
        <v>5000</v>
      </c>
      <c r="AI62" s="63">
        <f>IFERROR(LOOKUP(AI$15,HourlyTimeseries!$A:$A,HourlyTimeseries!$K:$K),"")</f>
        <v>5000</v>
      </c>
      <c r="AJ62" s="63">
        <f>IFERROR(LOOKUP(AJ$15,HourlyTimeseries!$A:$A,HourlyTimeseries!$K:$K),"")</f>
        <v>5000</v>
      </c>
      <c r="AK62" s="63">
        <f>IFERROR(LOOKUP(AK$15,HourlyTimeseries!$A:$A,HourlyTimeseries!$K:$K),"")</f>
        <v>5000</v>
      </c>
      <c r="AL62" s="63">
        <f>IFERROR(LOOKUP(AL$15,HourlyTimeseries!$A:$A,HourlyTimeseries!$K:$K),"")</f>
        <v>8000</v>
      </c>
      <c r="AM62" s="63">
        <f>IFERROR(LOOKUP(AM$15,HourlyTimeseries!$A:$A,HourlyTimeseries!$K:$K),"")</f>
        <v>8000</v>
      </c>
      <c r="AN62" s="63">
        <f>IFERROR(LOOKUP(AN$15,HourlyTimeseries!$A:$A,HourlyTimeseries!$K:$K),"")</f>
        <v>8000</v>
      </c>
      <c r="AO62" s="63">
        <f>IFERROR(LOOKUP(AO$15,HourlyTimeseries!$A:$A,HourlyTimeseries!$K:$K),"")</f>
        <v>8000</v>
      </c>
      <c r="AP62" s="63">
        <f>IFERROR(LOOKUP(AP$15,HourlyTimeseries!$A:$A,HourlyTimeseries!$K:$K),"")</f>
        <v>8000</v>
      </c>
      <c r="AQ62" s="63">
        <f>IFERROR(LOOKUP(AQ$15,HourlyTimeseries!$A:$A,HourlyTimeseries!$K:$K),"")</f>
        <v>8000</v>
      </c>
      <c r="AR62" s="63">
        <f>IFERROR(LOOKUP(AR$15,HourlyTimeseries!$A:$A,HourlyTimeseries!$K:$K),"")</f>
        <v>8000</v>
      </c>
      <c r="AS62" s="63">
        <f>IFERROR(LOOKUP(AS$15,HourlyTimeseries!$A:$A,HourlyTimeseries!$K:$K),"")</f>
        <v>8000</v>
      </c>
      <c r="AT62" s="63">
        <f>IFERROR(LOOKUP(AT$15,HourlyTimeseries!$A:$A,HourlyTimeseries!$K:$K),"")</f>
        <v>8000</v>
      </c>
      <c r="AU62" s="63">
        <f>IFERROR(LOOKUP(AU$15,HourlyTimeseries!$A:$A,HourlyTimeseries!$K:$K),"")</f>
        <v>8000</v>
      </c>
      <c r="AV62" s="63">
        <f>IFERROR(LOOKUP(AV$15,HourlyTimeseries!$A:$A,HourlyTimeseries!$K:$K),"")</f>
        <v>8000</v>
      </c>
      <c r="AW62" s="63">
        <f>IFERROR(LOOKUP(AW$15,HourlyTimeseries!$A:$A,HourlyTimeseries!$K:$K),"")</f>
        <v>8000</v>
      </c>
      <c r="AX62" s="63">
        <f>IFERROR(LOOKUP(AX$15,HourlyTimeseries!$A:$A,HourlyTimeseries!$K:$K),"")</f>
        <v>5000</v>
      </c>
      <c r="AY62" s="63">
        <f>IFERROR(LOOKUP(AY$15,HourlyTimeseries!$A:$A,HourlyTimeseries!$K:$K),"")</f>
        <v>5000</v>
      </c>
      <c r="AZ62" s="63">
        <f>IFERROR(LOOKUP(AZ$15,HourlyTimeseries!$A:$A,HourlyTimeseries!$K:$K),"")</f>
        <v>5000</v>
      </c>
      <c r="BA62" s="63">
        <f>IFERROR(LOOKUP(BA$15,HourlyTimeseries!$A:$A,HourlyTimeseries!$K:$K),"")</f>
        <v>5000</v>
      </c>
      <c r="BB62" s="63">
        <f>IFERROR(LOOKUP(BB$15,HourlyTimeseries!$A:$A,HourlyTimeseries!$K:$K),"")</f>
        <v>5000</v>
      </c>
      <c r="BC62" s="72">
        <f>IFERROR(LOOKUP(BC$15,HourlyTimeseries!$A:$A,HourlyTimeseries!$K:$K),"")</f>
        <v>5000</v>
      </c>
      <c r="BD62" s="79">
        <f>IFERROR(LOOKUP(BD$15,HourlyTimeseries!$A:$A,HourlyTimeseries!$K:$K),"")</f>
        <v>5000</v>
      </c>
      <c r="BE62" s="63">
        <f>IFERROR(LOOKUP(BE$15,HourlyTimeseries!$A:$A,HourlyTimeseries!$K:$K),"")</f>
        <v>5000</v>
      </c>
      <c r="BF62" s="63">
        <f>IFERROR(LOOKUP(BF$15,HourlyTimeseries!$A:$A,HourlyTimeseries!$K:$K),"")</f>
        <v>5000</v>
      </c>
      <c r="BG62" s="63">
        <f>IFERROR(LOOKUP(BG$15,HourlyTimeseries!$A:$A,HourlyTimeseries!$K:$K),"")</f>
        <v>5000</v>
      </c>
      <c r="BH62" s="63">
        <f>IFERROR(LOOKUP(BH$15,HourlyTimeseries!$A:$A,HourlyTimeseries!$K:$K),"")</f>
        <v>5000</v>
      </c>
      <c r="BI62" s="63">
        <f>IFERROR(LOOKUP(BI$15,HourlyTimeseries!$A:$A,HourlyTimeseries!$K:$K),"")</f>
        <v>5000</v>
      </c>
      <c r="BJ62" s="63">
        <f>IFERROR(LOOKUP(BJ$15,HourlyTimeseries!$A:$A,HourlyTimeseries!$K:$K),"")</f>
        <v>8000</v>
      </c>
      <c r="BK62" s="63">
        <f>IFERROR(LOOKUP(BK$15,HourlyTimeseries!$A:$A,HourlyTimeseries!$K:$K),"")</f>
        <v>8000</v>
      </c>
      <c r="BL62" s="63">
        <f>IFERROR(LOOKUP(BL$15,HourlyTimeseries!$A:$A,HourlyTimeseries!$K:$K),"")</f>
        <v>8000</v>
      </c>
      <c r="BM62" s="63">
        <f>IFERROR(LOOKUP(BM$15,HourlyTimeseries!$A:$A,HourlyTimeseries!$K:$K),"")</f>
        <v>8000</v>
      </c>
      <c r="BN62" s="63">
        <f>IFERROR(LOOKUP(BN$15,HourlyTimeseries!$A:$A,HourlyTimeseries!$K:$K),"")</f>
        <v>8000</v>
      </c>
      <c r="BO62" s="63">
        <f>IFERROR(LOOKUP(BO$15,HourlyTimeseries!$A:$A,HourlyTimeseries!$K:$K),"")</f>
        <v>8000</v>
      </c>
      <c r="BP62" s="63">
        <f>IFERROR(LOOKUP(BP$15,HourlyTimeseries!$A:$A,HourlyTimeseries!$K:$K),"")</f>
        <v>8000</v>
      </c>
      <c r="BQ62" s="63">
        <f>IFERROR(LOOKUP(BQ$15,HourlyTimeseries!$A:$A,HourlyTimeseries!$K:$K),"")</f>
        <v>8000</v>
      </c>
      <c r="BR62" s="63">
        <f>IFERROR(LOOKUP(BR$15,HourlyTimeseries!$A:$A,HourlyTimeseries!$K:$K),"")</f>
        <v>8000</v>
      </c>
      <c r="BS62" s="63">
        <f>IFERROR(LOOKUP(BS$15,HourlyTimeseries!$A:$A,HourlyTimeseries!$K:$K),"")</f>
        <v>8000</v>
      </c>
      <c r="BT62" s="63">
        <f>IFERROR(LOOKUP(BT$15,HourlyTimeseries!$A:$A,HourlyTimeseries!$K:$K),"")</f>
        <v>8000</v>
      </c>
      <c r="BU62" s="63">
        <f>IFERROR(LOOKUP(BU$15,HourlyTimeseries!$A:$A,HourlyTimeseries!$K:$K),"")</f>
        <v>8000</v>
      </c>
      <c r="BV62" s="63">
        <f>IFERROR(LOOKUP(BV$15,HourlyTimeseries!$A:$A,HourlyTimeseries!$K:$K),"")</f>
        <v>5000</v>
      </c>
      <c r="BW62" s="63">
        <f>IFERROR(LOOKUP(BW$15,HourlyTimeseries!$A:$A,HourlyTimeseries!$K:$K),"")</f>
        <v>5000</v>
      </c>
      <c r="BX62" s="63">
        <f>IFERROR(LOOKUP(BX$15,HourlyTimeseries!$A:$A,HourlyTimeseries!$K:$K),"")</f>
        <v>5000</v>
      </c>
      <c r="BY62" s="63">
        <f>IFERROR(LOOKUP(BY$15,HourlyTimeseries!$A:$A,HourlyTimeseries!$K:$K),"")</f>
        <v>5000</v>
      </c>
      <c r="BZ62" s="63">
        <f>IFERROR(LOOKUP(BZ$15,HourlyTimeseries!$A:$A,HourlyTimeseries!$K:$K),"")</f>
        <v>5000</v>
      </c>
      <c r="CA62" s="72">
        <f>IFERROR(LOOKUP(CA$15,HourlyTimeseries!$A:$A,HourlyTimeseries!$K:$K),"")</f>
        <v>5000</v>
      </c>
      <c r="CB62" s="79">
        <f>IFERROR(LOOKUP(CB$15,HourlyTimeseries!$A:$A,HourlyTimeseries!$K:$K),"")</f>
        <v>5000</v>
      </c>
      <c r="CC62" s="63">
        <f>IFERROR(LOOKUP(CC$15,HourlyTimeseries!$A:$A,HourlyTimeseries!$K:$K),"")</f>
        <v>5000</v>
      </c>
      <c r="CD62" s="63">
        <f>IFERROR(LOOKUP(CD$15,HourlyTimeseries!$A:$A,HourlyTimeseries!$K:$K),"")</f>
        <v>5000</v>
      </c>
      <c r="CE62" s="63">
        <f>IFERROR(LOOKUP(CE$15,HourlyTimeseries!$A:$A,HourlyTimeseries!$K:$K),"")</f>
        <v>5000</v>
      </c>
      <c r="CF62" s="63">
        <f>IFERROR(LOOKUP(CF$15,HourlyTimeseries!$A:$A,HourlyTimeseries!$K:$K),"")</f>
        <v>5000</v>
      </c>
      <c r="CG62" s="63">
        <f>IFERROR(LOOKUP(CG$15,HourlyTimeseries!$A:$A,HourlyTimeseries!$K:$K),"")</f>
        <v>5000</v>
      </c>
      <c r="CH62" s="63">
        <f>IFERROR(LOOKUP(CH$15,HourlyTimeseries!$A:$A,HourlyTimeseries!$K:$K),"")</f>
        <v>8000</v>
      </c>
      <c r="CI62" s="63">
        <f>IFERROR(LOOKUP(CI$15,HourlyTimeseries!$A:$A,HourlyTimeseries!$K:$K),"")</f>
        <v>8000</v>
      </c>
      <c r="CJ62" s="63">
        <f>IFERROR(LOOKUP(CJ$15,HourlyTimeseries!$A:$A,HourlyTimeseries!$K:$K),"")</f>
        <v>8000</v>
      </c>
      <c r="CK62" s="63">
        <f>IFERROR(LOOKUP(CK$15,HourlyTimeseries!$A:$A,HourlyTimeseries!$K:$K),"")</f>
        <v>8000</v>
      </c>
      <c r="CL62" s="63">
        <f>IFERROR(LOOKUP(CL$15,HourlyTimeseries!$A:$A,HourlyTimeseries!$K:$K),"")</f>
        <v>8000</v>
      </c>
      <c r="CM62" s="63">
        <f>IFERROR(LOOKUP(CM$15,HourlyTimeseries!$A:$A,HourlyTimeseries!$K:$K),"")</f>
        <v>8000</v>
      </c>
      <c r="CN62" s="63">
        <f>IFERROR(LOOKUP(CN$15,HourlyTimeseries!$A:$A,HourlyTimeseries!$K:$K),"")</f>
        <v>8000</v>
      </c>
      <c r="CO62" s="63">
        <f>IFERROR(LOOKUP(CO$15,HourlyTimeseries!$A:$A,HourlyTimeseries!$K:$K),"")</f>
        <v>8000</v>
      </c>
      <c r="CP62" s="63">
        <f>IFERROR(LOOKUP(CP$15,HourlyTimeseries!$A:$A,HourlyTimeseries!$K:$K),"")</f>
        <v>8000</v>
      </c>
      <c r="CQ62" s="63">
        <f>IFERROR(LOOKUP(CQ$15,HourlyTimeseries!$A:$A,HourlyTimeseries!$K:$K),"")</f>
        <v>8000</v>
      </c>
      <c r="CR62" s="63">
        <f>IFERROR(LOOKUP(CR$15,HourlyTimeseries!$A:$A,HourlyTimeseries!$K:$K),"")</f>
        <v>8000</v>
      </c>
      <c r="CS62" s="63">
        <f>IFERROR(LOOKUP(CS$15,HourlyTimeseries!$A:$A,HourlyTimeseries!$K:$K),"")</f>
        <v>8000</v>
      </c>
      <c r="CT62" s="63">
        <f>IFERROR(LOOKUP(CT$15,HourlyTimeseries!$A:$A,HourlyTimeseries!$K:$K),"")</f>
        <v>5000</v>
      </c>
      <c r="CU62" s="63">
        <f>IFERROR(LOOKUP(CU$15,HourlyTimeseries!$A:$A,HourlyTimeseries!$K:$K),"")</f>
        <v>5000</v>
      </c>
      <c r="CV62" s="63">
        <f>IFERROR(LOOKUP(CV$15,HourlyTimeseries!$A:$A,HourlyTimeseries!$K:$K),"")</f>
        <v>5000</v>
      </c>
      <c r="CW62" s="63">
        <f>IFERROR(LOOKUP(CW$15,HourlyTimeseries!$A:$A,HourlyTimeseries!$K:$K),"")</f>
        <v>5000</v>
      </c>
      <c r="CX62" s="63">
        <f>IFERROR(LOOKUP(CX$15,HourlyTimeseries!$A:$A,HourlyTimeseries!$K:$K),"")</f>
        <v>5000</v>
      </c>
      <c r="CY62" s="72">
        <f>IFERROR(LOOKUP(CY$15,HourlyTimeseries!$A:$A,HourlyTimeseries!$K:$K),"")</f>
        <v>5000</v>
      </c>
      <c r="CZ62" s="79">
        <f>IFERROR(LOOKUP(CZ$15,HourlyTimeseries!$A:$A,HourlyTimeseries!$K:$K),"")</f>
        <v>5000</v>
      </c>
      <c r="DA62" s="63">
        <f>IFERROR(LOOKUP(DA$15,HourlyTimeseries!$A:$A,HourlyTimeseries!$K:$K),"")</f>
        <v>5000</v>
      </c>
      <c r="DB62" s="63">
        <f>IFERROR(LOOKUP(DB$15,HourlyTimeseries!$A:$A,HourlyTimeseries!$K:$K),"")</f>
        <v>5000</v>
      </c>
      <c r="DC62" s="63">
        <f>IFERROR(LOOKUP(DC$15,HourlyTimeseries!$A:$A,HourlyTimeseries!$K:$K),"")</f>
        <v>5000</v>
      </c>
      <c r="DD62" s="63">
        <f>IFERROR(LOOKUP(DD$15,HourlyTimeseries!$A:$A,HourlyTimeseries!$K:$K),"")</f>
        <v>5000</v>
      </c>
      <c r="DE62" s="63">
        <f>IFERROR(LOOKUP(DE$15,HourlyTimeseries!$A:$A,HourlyTimeseries!$K:$K),"")</f>
        <v>5000</v>
      </c>
      <c r="DF62" s="63">
        <f>IFERROR(LOOKUP(DF$15,HourlyTimeseries!$A:$A,HourlyTimeseries!$K:$K),"")</f>
        <v>8000</v>
      </c>
      <c r="DG62" s="63">
        <f>IFERROR(LOOKUP(DG$15,HourlyTimeseries!$A:$A,HourlyTimeseries!$K:$K),"")</f>
        <v>8000</v>
      </c>
      <c r="DH62" s="63">
        <f>IFERROR(LOOKUP(DH$15,HourlyTimeseries!$A:$A,HourlyTimeseries!$K:$K),"")</f>
        <v>8000</v>
      </c>
      <c r="DI62" s="63">
        <f>IFERROR(LOOKUP(DI$15,HourlyTimeseries!$A:$A,HourlyTimeseries!$K:$K),"")</f>
        <v>8000</v>
      </c>
      <c r="DJ62" s="63">
        <f>IFERROR(LOOKUP(DJ$15,HourlyTimeseries!$A:$A,HourlyTimeseries!$K:$K),"")</f>
        <v>8000</v>
      </c>
      <c r="DK62" s="63">
        <f>IFERROR(LOOKUP(DK$15,HourlyTimeseries!$A:$A,HourlyTimeseries!$K:$K),"")</f>
        <v>8000</v>
      </c>
      <c r="DL62" s="63">
        <f>IFERROR(LOOKUP(DL$15,HourlyTimeseries!$A:$A,HourlyTimeseries!$K:$K),"")</f>
        <v>8000</v>
      </c>
      <c r="DM62" s="63">
        <f>IFERROR(LOOKUP(DM$15,HourlyTimeseries!$A:$A,HourlyTimeseries!$K:$K),"")</f>
        <v>8000</v>
      </c>
      <c r="DN62" s="63">
        <f>IFERROR(LOOKUP(DN$15,HourlyTimeseries!$A:$A,HourlyTimeseries!$K:$K),"")</f>
        <v>8000</v>
      </c>
      <c r="DO62" s="63">
        <f>IFERROR(LOOKUP(DO$15,HourlyTimeseries!$A:$A,HourlyTimeseries!$K:$K),"")</f>
        <v>8000</v>
      </c>
      <c r="DP62" s="63">
        <f>IFERROR(LOOKUP(DP$15,HourlyTimeseries!$A:$A,HourlyTimeseries!$K:$K),"")</f>
        <v>8000</v>
      </c>
      <c r="DQ62" s="63">
        <f>IFERROR(LOOKUP(DQ$15,HourlyTimeseries!$A:$A,HourlyTimeseries!$K:$K),"")</f>
        <v>8000</v>
      </c>
      <c r="DR62" s="63">
        <f>IFERROR(LOOKUP(DR$15,HourlyTimeseries!$A:$A,HourlyTimeseries!$K:$K),"")</f>
        <v>5000</v>
      </c>
      <c r="DS62" s="63">
        <f>IFERROR(LOOKUP(DS$15,HourlyTimeseries!$A:$A,HourlyTimeseries!$K:$K),"")</f>
        <v>5000</v>
      </c>
      <c r="DT62" s="63">
        <f>IFERROR(LOOKUP(DT$15,HourlyTimeseries!$A:$A,HourlyTimeseries!$K:$K),"")</f>
        <v>5000</v>
      </c>
      <c r="DU62" s="63">
        <f>IFERROR(LOOKUP(DU$15,HourlyTimeseries!$A:$A,HourlyTimeseries!$K:$K),"")</f>
        <v>5000</v>
      </c>
      <c r="DV62" s="63">
        <f>IFERROR(LOOKUP(DV$15,HourlyTimeseries!$A:$A,HourlyTimeseries!$K:$K),"")</f>
        <v>5000</v>
      </c>
      <c r="DW62" s="72">
        <f>IFERROR(LOOKUP(DW$15,HourlyTimeseries!$A:$A,HourlyTimeseries!$K:$K),"")</f>
        <v>5000</v>
      </c>
      <c r="DX62" s="79">
        <f>IFERROR(LOOKUP(DX$15,HourlyTimeseries!$A:$A,HourlyTimeseries!$K:$K),"")</f>
        <v>5000</v>
      </c>
      <c r="DY62" s="63">
        <f>IFERROR(LOOKUP(DY$15,HourlyTimeseries!$A:$A,HourlyTimeseries!$K:$K),"")</f>
        <v>5000</v>
      </c>
      <c r="DZ62" s="63">
        <f>IFERROR(LOOKUP(DZ$15,HourlyTimeseries!$A:$A,HourlyTimeseries!$K:$K),"")</f>
        <v>5000</v>
      </c>
      <c r="EA62" s="63">
        <f>IFERROR(LOOKUP(EA$15,HourlyTimeseries!$A:$A,HourlyTimeseries!$K:$K),"")</f>
        <v>5000</v>
      </c>
      <c r="EB62" s="63">
        <f>IFERROR(LOOKUP(EB$15,HourlyTimeseries!$A:$A,HourlyTimeseries!$K:$K),"")</f>
        <v>5000</v>
      </c>
      <c r="EC62" s="63">
        <f>IFERROR(LOOKUP(EC$15,HourlyTimeseries!$A:$A,HourlyTimeseries!$K:$K),"")</f>
        <v>5000</v>
      </c>
      <c r="ED62" s="63">
        <f>IFERROR(LOOKUP(ED$15,HourlyTimeseries!$A:$A,HourlyTimeseries!$K:$K),"")</f>
        <v>8000</v>
      </c>
      <c r="EE62" s="63">
        <f>IFERROR(LOOKUP(EE$15,HourlyTimeseries!$A:$A,HourlyTimeseries!$K:$K),"")</f>
        <v>8000</v>
      </c>
      <c r="EF62" s="63">
        <f>IFERROR(LOOKUP(EF$15,HourlyTimeseries!$A:$A,HourlyTimeseries!$K:$K),"")</f>
        <v>8000</v>
      </c>
      <c r="EG62" s="63">
        <f>IFERROR(LOOKUP(EG$15,HourlyTimeseries!$A:$A,HourlyTimeseries!$K:$K),"")</f>
        <v>8000</v>
      </c>
      <c r="EH62" s="63">
        <f>IFERROR(LOOKUP(EH$15,HourlyTimeseries!$A:$A,HourlyTimeseries!$K:$K),"")</f>
        <v>8000</v>
      </c>
      <c r="EI62" s="63">
        <f>IFERROR(LOOKUP(EI$15,HourlyTimeseries!$A:$A,HourlyTimeseries!$K:$K),"")</f>
        <v>8000</v>
      </c>
      <c r="EJ62" s="63">
        <f>IFERROR(LOOKUP(EJ$15,HourlyTimeseries!$A:$A,HourlyTimeseries!$K:$K),"")</f>
        <v>8000</v>
      </c>
      <c r="EK62" s="63">
        <f>IFERROR(LOOKUP(EK$15,HourlyTimeseries!$A:$A,HourlyTimeseries!$K:$K),"")</f>
        <v>8000</v>
      </c>
      <c r="EL62" s="63">
        <f>IFERROR(LOOKUP(EL$15,HourlyTimeseries!$A:$A,HourlyTimeseries!$K:$K),"")</f>
        <v>8000</v>
      </c>
      <c r="EM62" s="63">
        <f>IFERROR(LOOKUP(EM$15,HourlyTimeseries!$A:$A,HourlyTimeseries!$K:$K),"")</f>
        <v>8000</v>
      </c>
      <c r="EN62" s="63">
        <f>IFERROR(LOOKUP(EN$15,HourlyTimeseries!$A:$A,HourlyTimeseries!$K:$K),"")</f>
        <v>8000</v>
      </c>
      <c r="EO62" s="63">
        <f>IFERROR(LOOKUP(EO$15,HourlyTimeseries!$A:$A,HourlyTimeseries!$K:$K),"")</f>
        <v>8000</v>
      </c>
      <c r="EP62" s="63">
        <f>IFERROR(LOOKUP(EP$15,HourlyTimeseries!$A:$A,HourlyTimeseries!$K:$K),"")</f>
        <v>5000</v>
      </c>
      <c r="EQ62" s="63">
        <f>IFERROR(LOOKUP(EQ$15,HourlyTimeseries!$A:$A,HourlyTimeseries!$K:$K),"")</f>
        <v>5000</v>
      </c>
      <c r="ER62" s="63">
        <f>IFERROR(LOOKUP(ER$15,HourlyTimeseries!$A:$A,HourlyTimeseries!$K:$K),"")</f>
        <v>5000</v>
      </c>
      <c r="ES62" s="63">
        <f>IFERROR(LOOKUP(ES$15,HourlyTimeseries!$A:$A,HourlyTimeseries!$K:$K),"")</f>
        <v>5000</v>
      </c>
      <c r="ET62" s="63">
        <f>IFERROR(LOOKUP(ET$15,HourlyTimeseries!$A:$A,HourlyTimeseries!$K:$K),"")</f>
        <v>5000</v>
      </c>
      <c r="EU62" s="72">
        <f>IFERROR(LOOKUP(EU$15,HourlyTimeseries!$A:$A,HourlyTimeseries!$K:$K),"")</f>
        <v>5000</v>
      </c>
      <c r="EV62" s="79">
        <f>IFERROR(LOOKUP(EV$15,HourlyTimeseries!$A:$A,HourlyTimeseries!$K:$K),"")</f>
        <v>5000</v>
      </c>
      <c r="EW62" s="63">
        <f>IFERROR(LOOKUP(EW$15,HourlyTimeseries!$A:$A,HourlyTimeseries!$K:$K),"")</f>
        <v>5000</v>
      </c>
      <c r="EX62" s="63">
        <f>IFERROR(LOOKUP(EX$15,HourlyTimeseries!$A:$A,HourlyTimeseries!$K:$K),"")</f>
        <v>5000</v>
      </c>
      <c r="EY62" s="63">
        <f>IFERROR(LOOKUP(EY$15,HourlyTimeseries!$A:$A,HourlyTimeseries!$K:$K),"")</f>
        <v>5000</v>
      </c>
      <c r="EZ62" s="63">
        <f>IFERROR(LOOKUP(EZ$15,HourlyTimeseries!$A:$A,HourlyTimeseries!$K:$K),"")</f>
        <v>5000</v>
      </c>
      <c r="FA62" s="63">
        <f>IFERROR(LOOKUP(FA$15,HourlyTimeseries!$A:$A,HourlyTimeseries!$K:$K),"")</f>
        <v>5000</v>
      </c>
      <c r="FB62" s="63">
        <f>IFERROR(LOOKUP(FB$15,HourlyTimeseries!$A:$A,HourlyTimeseries!$K:$K),"")</f>
        <v>8000</v>
      </c>
      <c r="FC62" s="63">
        <f>IFERROR(LOOKUP(FC$15,HourlyTimeseries!$A:$A,HourlyTimeseries!$K:$K),"")</f>
        <v>8000</v>
      </c>
      <c r="FD62" s="63">
        <f>IFERROR(LOOKUP(FD$15,HourlyTimeseries!$A:$A,HourlyTimeseries!$K:$K),"")</f>
        <v>8000</v>
      </c>
      <c r="FE62" s="63">
        <f>IFERROR(LOOKUP(FE$15,HourlyTimeseries!$A:$A,HourlyTimeseries!$K:$K),"")</f>
        <v>8000</v>
      </c>
      <c r="FF62" s="63">
        <f>IFERROR(LOOKUP(FF$15,HourlyTimeseries!$A:$A,HourlyTimeseries!$K:$K),"")</f>
        <v>8000</v>
      </c>
      <c r="FG62" s="63">
        <f>IFERROR(LOOKUP(FG$15,HourlyTimeseries!$A:$A,HourlyTimeseries!$K:$K),"")</f>
        <v>8000</v>
      </c>
      <c r="FH62" s="63">
        <f>IFERROR(LOOKUP(FH$15,HourlyTimeseries!$A:$A,HourlyTimeseries!$K:$K),"")</f>
        <v>8000</v>
      </c>
      <c r="FI62" s="63">
        <f>IFERROR(LOOKUP(FI$15,HourlyTimeseries!$A:$A,HourlyTimeseries!$K:$K),"")</f>
        <v>8000</v>
      </c>
      <c r="FJ62" s="63">
        <f>IFERROR(LOOKUP(FJ$15,HourlyTimeseries!$A:$A,HourlyTimeseries!$K:$K),"")</f>
        <v>8000</v>
      </c>
      <c r="FK62" s="63">
        <f>IFERROR(LOOKUP(FK$15,HourlyTimeseries!$A:$A,HourlyTimeseries!$K:$K),"")</f>
        <v>8000</v>
      </c>
      <c r="FL62" s="63">
        <f>IFERROR(LOOKUP(FL$15,HourlyTimeseries!$A:$A,HourlyTimeseries!$K:$K),"")</f>
        <v>8000</v>
      </c>
      <c r="FM62" s="63">
        <f>IFERROR(LOOKUP(FM$15,HourlyTimeseries!$A:$A,HourlyTimeseries!$K:$K),"")</f>
        <v>8000</v>
      </c>
      <c r="FN62" s="63">
        <f>IFERROR(LOOKUP(FN$15,HourlyTimeseries!$A:$A,HourlyTimeseries!$K:$K),"")</f>
        <v>5000</v>
      </c>
      <c r="FO62" s="63">
        <f>IFERROR(LOOKUP(FO$15,HourlyTimeseries!$A:$A,HourlyTimeseries!$K:$K),"")</f>
        <v>5000</v>
      </c>
      <c r="FP62" s="63">
        <f>IFERROR(LOOKUP(FP$15,HourlyTimeseries!$A:$A,HourlyTimeseries!$K:$K),"")</f>
        <v>5000</v>
      </c>
      <c r="FQ62" s="63">
        <f>IFERROR(LOOKUP(FQ$15,HourlyTimeseries!$A:$A,HourlyTimeseries!$K:$K),"")</f>
        <v>5000</v>
      </c>
      <c r="FR62" s="63">
        <f>IFERROR(LOOKUP(FR$15,HourlyTimeseries!$A:$A,HourlyTimeseries!$K:$K),"")</f>
        <v>5000</v>
      </c>
      <c r="FS62" s="72">
        <f>IFERROR(LOOKUP(FS$15,HourlyTimeseries!$A:$A,HourlyTimeseries!$K:$K),"")</f>
        <v>5000</v>
      </c>
    </row>
    <row r="63" spans="4:175" x14ac:dyDescent="0.2">
      <c r="D63" s="15" t="s">
        <v>196</v>
      </c>
      <c r="E63" s="2" t="s">
        <v>197</v>
      </c>
      <c r="F63" s="8" t="s">
        <v>153</v>
      </c>
      <c r="G63" s="2"/>
      <c r="H63" s="63">
        <f>IFERROR(LOOKUP(H$15,HourlyTimeseries!$A:$A,HourlyTimeseries!$L:$L),"")</f>
        <v>25000</v>
      </c>
      <c r="I63" s="63">
        <f>IFERROR(LOOKUP(I$15,HourlyTimeseries!$A:$A,HourlyTimeseries!$L:$L),"")</f>
        <v>25000</v>
      </c>
      <c r="J63" s="63">
        <f>IFERROR(LOOKUP(J$15,HourlyTimeseries!$A:$A,HourlyTimeseries!$L:$L),"")</f>
        <v>25000</v>
      </c>
      <c r="K63" s="63">
        <f>IFERROR(LOOKUP(K$15,HourlyTimeseries!$A:$A,HourlyTimeseries!$L:$L),"")</f>
        <v>25000</v>
      </c>
      <c r="L63" s="63">
        <f>IFERROR(LOOKUP(L$15,HourlyTimeseries!$A:$A,HourlyTimeseries!$L:$L),"")</f>
        <v>25000</v>
      </c>
      <c r="M63" s="63">
        <f>IFERROR(LOOKUP(M$15,HourlyTimeseries!$A:$A,HourlyTimeseries!$L:$L),"")</f>
        <v>25000</v>
      </c>
      <c r="N63" s="63">
        <f>IFERROR(LOOKUP(N$15,HourlyTimeseries!$A:$A,HourlyTimeseries!$L:$L),"")</f>
        <v>25000</v>
      </c>
      <c r="O63" s="63">
        <f>IFERROR(LOOKUP(O$15,HourlyTimeseries!$A:$A,HourlyTimeseries!$L:$L),"")</f>
        <v>25000</v>
      </c>
      <c r="P63" s="63">
        <f>IFERROR(LOOKUP(P$15,HourlyTimeseries!$A:$A,HourlyTimeseries!$L:$L),"")</f>
        <v>25000</v>
      </c>
      <c r="Q63" s="63">
        <f>IFERROR(LOOKUP(Q$15,HourlyTimeseries!$A:$A,HourlyTimeseries!$L:$L),"")</f>
        <v>25000</v>
      </c>
      <c r="R63" s="63">
        <f>IFERROR(LOOKUP(R$15,HourlyTimeseries!$A:$A,HourlyTimeseries!$L:$L),"")</f>
        <v>25000</v>
      </c>
      <c r="S63" s="63">
        <f>IFERROR(LOOKUP(S$15,HourlyTimeseries!$A:$A,HourlyTimeseries!$L:$L),"")</f>
        <v>25000</v>
      </c>
      <c r="T63" s="63">
        <f>IFERROR(LOOKUP(T$15,HourlyTimeseries!$A:$A,HourlyTimeseries!$L:$L),"")</f>
        <v>25000</v>
      </c>
      <c r="U63" s="63">
        <f>IFERROR(LOOKUP(U$15,HourlyTimeseries!$A:$A,HourlyTimeseries!$L:$L),"")</f>
        <v>25000</v>
      </c>
      <c r="V63" s="63">
        <f>IFERROR(LOOKUP(V$15,HourlyTimeseries!$A:$A,HourlyTimeseries!$L:$L),"")</f>
        <v>25000</v>
      </c>
      <c r="W63" s="63">
        <f>IFERROR(LOOKUP(W$15,HourlyTimeseries!$A:$A,HourlyTimeseries!$L:$L),"")</f>
        <v>25000</v>
      </c>
      <c r="X63" s="63">
        <f>IFERROR(LOOKUP(X$15,HourlyTimeseries!$A:$A,HourlyTimeseries!$L:$L),"")</f>
        <v>25000</v>
      </c>
      <c r="Y63" s="63">
        <f>IFERROR(LOOKUP(Y$15,HourlyTimeseries!$A:$A,HourlyTimeseries!$L:$L),"")</f>
        <v>25000</v>
      </c>
      <c r="Z63" s="63">
        <f>IFERROR(LOOKUP(Z$15,HourlyTimeseries!$A:$A,HourlyTimeseries!$L:$L),"")</f>
        <v>25000</v>
      </c>
      <c r="AA63" s="63">
        <f>IFERROR(LOOKUP(AA$15,HourlyTimeseries!$A:$A,HourlyTimeseries!$L:$L),"")</f>
        <v>25000</v>
      </c>
      <c r="AB63" s="63">
        <f>IFERROR(LOOKUP(AB$15,HourlyTimeseries!$A:$A,HourlyTimeseries!$L:$L),"")</f>
        <v>25000</v>
      </c>
      <c r="AC63" s="63">
        <f>IFERROR(LOOKUP(AC$15,HourlyTimeseries!$A:$A,HourlyTimeseries!$L:$L),"")</f>
        <v>25000</v>
      </c>
      <c r="AD63" s="63">
        <f>IFERROR(LOOKUP(AD$15,HourlyTimeseries!$A:$A,HourlyTimeseries!$L:$L),"")</f>
        <v>25000</v>
      </c>
      <c r="AE63" s="72">
        <f>IFERROR(LOOKUP(AE$15,HourlyTimeseries!$A:$A,HourlyTimeseries!$L:$L),"")</f>
        <v>25000</v>
      </c>
      <c r="AF63" s="79">
        <f>IFERROR(LOOKUP(AF$15,HourlyTimeseries!$A:$A,HourlyTimeseries!$L:$L),"")</f>
        <v>25000</v>
      </c>
      <c r="AG63" s="63">
        <f>IFERROR(LOOKUP(AG$15,HourlyTimeseries!$A:$A,HourlyTimeseries!$L:$L),"")</f>
        <v>25000</v>
      </c>
      <c r="AH63" s="63">
        <f>IFERROR(LOOKUP(AH$15,HourlyTimeseries!$A:$A,HourlyTimeseries!$L:$L),"")</f>
        <v>25000</v>
      </c>
      <c r="AI63" s="63">
        <f>IFERROR(LOOKUP(AI$15,HourlyTimeseries!$A:$A,HourlyTimeseries!$L:$L),"")</f>
        <v>25000</v>
      </c>
      <c r="AJ63" s="63">
        <f>IFERROR(LOOKUP(AJ$15,HourlyTimeseries!$A:$A,HourlyTimeseries!$L:$L),"")</f>
        <v>25000</v>
      </c>
      <c r="AK63" s="63">
        <f>IFERROR(LOOKUP(AK$15,HourlyTimeseries!$A:$A,HourlyTimeseries!$L:$L),"")</f>
        <v>25000</v>
      </c>
      <c r="AL63" s="63">
        <f>IFERROR(LOOKUP(AL$15,HourlyTimeseries!$A:$A,HourlyTimeseries!$L:$L),"")</f>
        <v>25000</v>
      </c>
      <c r="AM63" s="63">
        <f>IFERROR(LOOKUP(AM$15,HourlyTimeseries!$A:$A,HourlyTimeseries!$L:$L),"")</f>
        <v>25000</v>
      </c>
      <c r="AN63" s="63">
        <f>IFERROR(LOOKUP(AN$15,HourlyTimeseries!$A:$A,HourlyTimeseries!$L:$L),"")</f>
        <v>25000</v>
      </c>
      <c r="AO63" s="63">
        <f>IFERROR(LOOKUP(AO$15,HourlyTimeseries!$A:$A,HourlyTimeseries!$L:$L),"")</f>
        <v>25000</v>
      </c>
      <c r="AP63" s="63">
        <f>IFERROR(LOOKUP(AP$15,HourlyTimeseries!$A:$A,HourlyTimeseries!$L:$L),"")</f>
        <v>25000</v>
      </c>
      <c r="AQ63" s="63">
        <f>IFERROR(LOOKUP(AQ$15,HourlyTimeseries!$A:$A,HourlyTimeseries!$L:$L),"")</f>
        <v>25000</v>
      </c>
      <c r="AR63" s="63">
        <f>IFERROR(LOOKUP(AR$15,HourlyTimeseries!$A:$A,HourlyTimeseries!$L:$L),"")</f>
        <v>25000</v>
      </c>
      <c r="AS63" s="63">
        <f>IFERROR(LOOKUP(AS$15,HourlyTimeseries!$A:$A,HourlyTimeseries!$L:$L),"")</f>
        <v>25000</v>
      </c>
      <c r="AT63" s="63">
        <f>IFERROR(LOOKUP(AT$15,HourlyTimeseries!$A:$A,HourlyTimeseries!$L:$L),"")</f>
        <v>25000</v>
      </c>
      <c r="AU63" s="63">
        <f>IFERROR(LOOKUP(AU$15,HourlyTimeseries!$A:$A,HourlyTimeseries!$L:$L),"")</f>
        <v>25000</v>
      </c>
      <c r="AV63" s="63">
        <f>IFERROR(LOOKUP(AV$15,HourlyTimeseries!$A:$A,HourlyTimeseries!$L:$L),"")</f>
        <v>25000</v>
      </c>
      <c r="AW63" s="63">
        <f>IFERROR(LOOKUP(AW$15,HourlyTimeseries!$A:$A,HourlyTimeseries!$L:$L),"")</f>
        <v>25000</v>
      </c>
      <c r="AX63" s="63">
        <f>IFERROR(LOOKUP(AX$15,HourlyTimeseries!$A:$A,HourlyTimeseries!$L:$L),"")</f>
        <v>25000</v>
      </c>
      <c r="AY63" s="63">
        <f>IFERROR(LOOKUP(AY$15,HourlyTimeseries!$A:$A,HourlyTimeseries!$L:$L),"")</f>
        <v>25000</v>
      </c>
      <c r="AZ63" s="63">
        <f>IFERROR(LOOKUP(AZ$15,HourlyTimeseries!$A:$A,HourlyTimeseries!$L:$L),"")</f>
        <v>25000</v>
      </c>
      <c r="BA63" s="63">
        <f>IFERROR(LOOKUP(BA$15,HourlyTimeseries!$A:$A,HourlyTimeseries!$L:$L),"")</f>
        <v>25000</v>
      </c>
      <c r="BB63" s="63">
        <f>IFERROR(LOOKUP(BB$15,HourlyTimeseries!$A:$A,HourlyTimeseries!$L:$L),"")</f>
        <v>25000</v>
      </c>
      <c r="BC63" s="72">
        <f>IFERROR(LOOKUP(BC$15,HourlyTimeseries!$A:$A,HourlyTimeseries!$L:$L),"")</f>
        <v>25000</v>
      </c>
      <c r="BD63" s="79">
        <f>IFERROR(LOOKUP(BD$15,HourlyTimeseries!$A:$A,HourlyTimeseries!$L:$L),"")</f>
        <v>25000</v>
      </c>
      <c r="BE63" s="63">
        <f>IFERROR(LOOKUP(BE$15,HourlyTimeseries!$A:$A,HourlyTimeseries!$L:$L),"")</f>
        <v>25000</v>
      </c>
      <c r="BF63" s="63">
        <f>IFERROR(LOOKUP(BF$15,HourlyTimeseries!$A:$A,HourlyTimeseries!$L:$L),"")</f>
        <v>25000</v>
      </c>
      <c r="BG63" s="63">
        <f>IFERROR(LOOKUP(BG$15,HourlyTimeseries!$A:$A,HourlyTimeseries!$L:$L),"")</f>
        <v>25000</v>
      </c>
      <c r="BH63" s="63">
        <f>IFERROR(LOOKUP(BH$15,HourlyTimeseries!$A:$A,HourlyTimeseries!$L:$L),"")</f>
        <v>25000</v>
      </c>
      <c r="BI63" s="63">
        <f>IFERROR(LOOKUP(BI$15,HourlyTimeseries!$A:$A,HourlyTimeseries!$L:$L),"")</f>
        <v>25000</v>
      </c>
      <c r="BJ63" s="63">
        <f>IFERROR(LOOKUP(BJ$15,HourlyTimeseries!$A:$A,HourlyTimeseries!$L:$L),"")</f>
        <v>25000</v>
      </c>
      <c r="BK63" s="63">
        <f>IFERROR(LOOKUP(BK$15,HourlyTimeseries!$A:$A,HourlyTimeseries!$L:$L),"")</f>
        <v>25000</v>
      </c>
      <c r="BL63" s="63">
        <f>IFERROR(LOOKUP(BL$15,HourlyTimeseries!$A:$A,HourlyTimeseries!$L:$L),"")</f>
        <v>25000</v>
      </c>
      <c r="BM63" s="63">
        <f>IFERROR(LOOKUP(BM$15,HourlyTimeseries!$A:$A,HourlyTimeseries!$L:$L),"")</f>
        <v>25000</v>
      </c>
      <c r="BN63" s="63">
        <f>IFERROR(LOOKUP(BN$15,HourlyTimeseries!$A:$A,HourlyTimeseries!$L:$L),"")</f>
        <v>25000</v>
      </c>
      <c r="BO63" s="63">
        <f>IFERROR(LOOKUP(BO$15,HourlyTimeseries!$A:$A,HourlyTimeseries!$L:$L),"")</f>
        <v>25000</v>
      </c>
      <c r="BP63" s="63">
        <f>IFERROR(LOOKUP(BP$15,HourlyTimeseries!$A:$A,HourlyTimeseries!$L:$L),"")</f>
        <v>25000</v>
      </c>
      <c r="BQ63" s="63">
        <f>IFERROR(LOOKUP(BQ$15,HourlyTimeseries!$A:$A,HourlyTimeseries!$L:$L),"")</f>
        <v>25000</v>
      </c>
      <c r="BR63" s="63">
        <f>IFERROR(LOOKUP(BR$15,HourlyTimeseries!$A:$A,HourlyTimeseries!$L:$L),"")</f>
        <v>25000</v>
      </c>
      <c r="BS63" s="63">
        <f>IFERROR(LOOKUP(BS$15,HourlyTimeseries!$A:$A,HourlyTimeseries!$L:$L),"")</f>
        <v>25000</v>
      </c>
      <c r="BT63" s="63">
        <f>IFERROR(LOOKUP(BT$15,HourlyTimeseries!$A:$A,HourlyTimeseries!$L:$L),"")</f>
        <v>25000</v>
      </c>
      <c r="BU63" s="63">
        <f>IFERROR(LOOKUP(BU$15,HourlyTimeseries!$A:$A,HourlyTimeseries!$L:$L),"")</f>
        <v>25000</v>
      </c>
      <c r="BV63" s="63">
        <f>IFERROR(LOOKUP(BV$15,HourlyTimeseries!$A:$A,HourlyTimeseries!$L:$L),"")</f>
        <v>25000</v>
      </c>
      <c r="BW63" s="63">
        <f>IFERROR(LOOKUP(BW$15,HourlyTimeseries!$A:$A,HourlyTimeseries!$L:$L),"")</f>
        <v>25000</v>
      </c>
      <c r="BX63" s="63">
        <f>IFERROR(LOOKUP(BX$15,HourlyTimeseries!$A:$A,HourlyTimeseries!$L:$L),"")</f>
        <v>25000</v>
      </c>
      <c r="BY63" s="63">
        <f>IFERROR(LOOKUP(BY$15,HourlyTimeseries!$A:$A,HourlyTimeseries!$L:$L),"")</f>
        <v>25000</v>
      </c>
      <c r="BZ63" s="63">
        <f>IFERROR(LOOKUP(BZ$15,HourlyTimeseries!$A:$A,HourlyTimeseries!$L:$L),"")</f>
        <v>25000</v>
      </c>
      <c r="CA63" s="72">
        <f>IFERROR(LOOKUP(CA$15,HourlyTimeseries!$A:$A,HourlyTimeseries!$L:$L),"")</f>
        <v>25000</v>
      </c>
      <c r="CB63" s="79">
        <f>IFERROR(LOOKUP(CB$15,HourlyTimeseries!$A:$A,HourlyTimeseries!$L:$L),"")</f>
        <v>25000</v>
      </c>
      <c r="CC63" s="63">
        <f>IFERROR(LOOKUP(CC$15,HourlyTimeseries!$A:$A,HourlyTimeseries!$L:$L),"")</f>
        <v>25000</v>
      </c>
      <c r="CD63" s="63">
        <f>IFERROR(LOOKUP(CD$15,HourlyTimeseries!$A:$A,HourlyTimeseries!$L:$L),"")</f>
        <v>25000</v>
      </c>
      <c r="CE63" s="63">
        <f>IFERROR(LOOKUP(CE$15,HourlyTimeseries!$A:$A,HourlyTimeseries!$L:$L),"")</f>
        <v>25000</v>
      </c>
      <c r="CF63" s="63">
        <f>IFERROR(LOOKUP(CF$15,HourlyTimeseries!$A:$A,HourlyTimeseries!$L:$L),"")</f>
        <v>25000</v>
      </c>
      <c r="CG63" s="63">
        <f>IFERROR(LOOKUP(CG$15,HourlyTimeseries!$A:$A,HourlyTimeseries!$L:$L),"")</f>
        <v>25000</v>
      </c>
      <c r="CH63" s="63">
        <f>IFERROR(LOOKUP(CH$15,HourlyTimeseries!$A:$A,HourlyTimeseries!$L:$L),"")</f>
        <v>25000</v>
      </c>
      <c r="CI63" s="63">
        <f>IFERROR(LOOKUP(CI$15,HourlyTimeseries!$A:$A,HourlyTimeseries!$L:$L),"")</f>
        <v>25000</v>
      </c>
      <c r="CJ63" s="63">
        <f>IFERROR(LOOKUP(CJ$15,HourlyTimeseries!$A:$A,HourlyTimeseries!$L:$L),"")</f>
        <v>25000</v>
      </c>
      <c r="CK63" s="63">
        <f>IFERROR(LOOKUP(CK$15,HourlyTimeseries!$A:$A,HourlyTimeseries!$L:$L),"")</f>
        <v>25000</v>
      </c>
      <c r="CL63" s="63">
        <f>IFERROR(LOOKUP(CL$15,HourlyTimeseries!$A:$A,HourlyTimeseries!$L:$L),"")</f>
        <v>25000</v>
      </c>
      <c r="CM63" s="63">
        <f>IFERROR(LOOKUP(CM$15,HourlyTimeseries!$A:$A,HourlyTimeseries!$L:$L),"")</f>
        <v>25000</v>
      </c>
      <c r="CN63" s="63">
        <f>IFERROR(LOOKUP(CN$15,HourlyTimeseries!$A:$A,HourlyTimeseries!$L:$L),"")</f>
        <v>25000</v>
      </c>
      <c r="CO63" s="63">
        <f>IFERROR(LOOKUP(CO$15,HourlyTimeseries!$A:$A,HourlyTimeseries!$L:$L),"")</f>
        <v>25000</v>
      </c>
      <c r="CP63" s="63">
        <f>IFERROR(LOOKUP(CP$15,HourlyTimeseries!$A:$A,HourlyTimeseries!$L:$L),"")</f>
        <v>25000</v>
      </c>
      <c r="CQ63" s="63">
        <f>IFERROR(LOOKUP(CQ$15,HourlyTimeseries!$A:$A,HourlyTimeseries!$L:$L),"")</f>
        <v>25000</v>
      </c>
      <c r="CR63" s="63">
        <f>IFERROR(LOOKUP(CR$15,HourlyTimeseries!$A:$A,HourlyTimeseries!$L:$L),"")</f>
        <v>25000</v>
      </c>
      <c r="CS63" s="63">
        <f>IFERROR(LOOKUP(CS$15,HourlyTimeseries!$A:$A,HourlyTimeseries!$L:$L),"")</f>
        <v>25000</v>
      </c>
      <c r="CT63" s="63">
        <f>IFERROR(LOOKUP(CT$15,HourlyTimeseries!$A:$A,HourlyTimeseries!$L:$L),"")</f>
        <v>25000</v>
      </c>
      <c r="CU63" s="63">
        <f>IFERROR(LOOKUP(CU$15,HourlyTimeseries!$A:$A,HourlyTimeseries!$L:$L),"")</f>
        <v>25000</v>
      </c>
      <c r="CV63" s="63">
        <f>IFERROR(LOOKUP(CV$15,HourlyTimeseries!$A:$A,HourlyTimeseries!$L:$L),"")</f>
        <v>25000</v>
      </c>
      <c r="CW63" s="63">
        <f>IFERROR(LOOKUP(CW$15,HourlyTimeseries!$A:$A,HourlyTimeseries!$L:$L),"")</f>
        <v>25000</v>
      </c>
      <c r="CX63" s="63">
        <f>IFERROR(LOOKUP(CX$15,HourlyTimeseries!$A:$A,HourlyTimeseries!$L:$L),"")</f>
        <v>25000</v>
      </c>
      <c r="CY63" s="72">
        <f>IFERROR(LOOKUP(CY$15,HourlyTimeseries!$A:$A,HourlyTimeseries!$L:$L),"")</f>
        <v>25000</v>
      </c>
      <c r="CZ63" s="79">
        <f>IFERROR(LOOKUP(CZ$15,HourlyTimeseries!$A:$A,HourlyTimeseries!$L:$L),"")</f>
        <v>25000</v>
      </c>
      <c r="DA63" s="63">
        <f>IFERROR(LOOKUP(DA$15,HourlyTimeseries!$A:$A,HourlyTimeseries!$L:$L),"")</f>
        <v>25000</v>
      </c>
      <c r="DB63" s="63">
        <f>IFERROR(LOOKUP(DB$15,HourlyTimeseries!$A:$A,HourlyTimeseries!$L:$L),"")</f>
        <v>25000</v>
      </c>
      <c r="DC63" s="63">
        <f>IFERROR(LOOKUP(DC$15,HourlyTimeseries!$A:$A,HourlyTimeseries!$L:$L),"")</f>
        <v>25000</v>
      </c>
      <c r="DD63" s="63">
        <f>IFERROR(LOOKUP(DD$15,HourlyTimeseries!$A:$A,HourlyTimeseries!$L:$L),"")</f>
        <v>25000</v>
      </c>
      <c r="DE63" s="63">
        <f>IFERROR(LOOKUP(DE$15,HourlyTimeseries!$A:$A,HourlyTimeseries!$L:$L),"")</f>
        <v>25000</v>
      </c>
      <c r="DF63" s="63">
        <f>IFERROR(LOOKUP(DF$15,HourlyTimeseries!$A:$A,HourlyTimeseries!$L:$L),"")</f>
        <v>25000</v>
      </c>
      <c r="DG63" s="63">
        <f>IFERROR(LOOKUP(DG$15,HourlyTimeseries!$A:$A,HourlyTimeseries!$L:$L),"")</f>
        <v>25000</v>
      </c>
      <c r="DH63" s="63">
        <f>IFERROR(LOOKUP(DH$15,HourlyTimeseries!$A:$A,HourlyTimeseries!$L:$L),"")</f>
        <v>25000</v>
      </c>
      <c r="DI63" s="63">
        <f>IFERROR(LOOKUP(DI$15,HourlyTimeseries!$A:$A,HourlyTimeseries!$L:$L),"")</f>
        <v>25000</v>
      </c>
      <c r="DJ63" s="63">
        <f>IFERROR(LOOKUP(DJ$15,HourlyTimeseries!$A:$A,HourlyTimeseries!$L:$L),"")</f>
        <v>25000</v>
      </c>
      <c r="DK63" s="63">
        <f>IFERROR(LOOKUP(DK$15,HourlyTimeseries!$A:$A,HourlyTimeseries!$L:$L),"")</f>
        <v>25000</v>
      </c>
      <c r="DL63" s="63">
        <f>IFERROR(LOOKUP(DL$15,HourlyTimeseries!$A:$A,HourlyTimeseries!$L:$L),"")</f>
        <v>25000</v>
      </c>
      <c r="DM63" s="63">
        <f>IFERROR(LOOKUP(DM$15,HourlyTimeseries!$A:$A,HourlyTimeseries!$L:$L),"")</f>
        <v>25000</v>
      </c>
      <c r="DN63" s="63">
        <f>IFERROR(LOOKUP(DN$15,HourlyTimeseries!$A:$A,HourlyTimeseries!$L:$L),"")</f>
        <v>25000</v>
      </c>
      <c r="DO63" s="63">
        <f>IFERROR(LOOKUP(DO$15,HourlyTimeseries!$A:$A,HourlyTimeseries!$L:$L),"")</f>
        <v>25000</v>
      </c>
      <c r="DP63" s="63">
        <f>IFERROR(LOOKUP(DP$15,HourlyTimeseries!$A:$A,HourlyTimeseries!$L:$L),"")</f>
        <v>25000</v>
      </c>
      <c r="DQ63" s="63">
        <f>IFERROR(LOOKUP(DQ$15,HourlyTimeseries!$A:$A,HourlyTimeseries!$L:$L),"")</f>
        <v>25000</v>
      </c>
      <c r="DR63" s="63">
        <f>IFERROR(LOOKUP(DR$15,HourlyTimeseries!$A:$A,HourlyTimeseries!$L:$L),"")</f>
        <v>25000</v>
      </c>
      <c r="DS63" s="63">
        <f>IFERROR(LOOKUP(DS$15,HourlyTimeseries!$A:$A,HourlyTimeseries!$L:$L),"")</f>
        <v>25000</v>
      </c>
      <c r="DT63" s="63">
        <f>IFERROR(LOOKUP(DT$15,HourlyTimeseries!$A:$A,HourlyTimeseries!$L:$L),"")</f>
        <v>25000</v>
      </c>
      <c r="DU63" s="63">
        <f>IFERROR(LOOKUP(DU$15,HourlyTimeseries!$A:$A,HourlyTimeseries!$L:$L),"")</f>
        <v>25000</v>
      </c>
      <c r="DV63" s="63">
        <f>IFERROR(LOOKUP(DV$15,HourlyTimeseries!$A:$A,HourlyTimeseries!$L:$L),"")</f>
        <v>25000</v>
      </c>
      <c r="DW63" s="72">
        <f>IFERROR(LOOKUP(DW$15,HourlyTimeseries!$A:$A,HourlyTimeseries!$L:$L),"")</f>
        <v>25000</v>
      </c>
      <c r="DX63" s="79">
        <f>IFERROR(LOOKUP(DX$15,HourlyTimeseries!$A:$A,HourlyTimeseries!$L:$L),"")</f>
        <v>25000</v>
      </c>
      <c r="DY63" s="63">
        <f>IFERROR(LOOKUP(DY$15,HourlyTimeseries!$A:$A,HourlyTimeseries!$L:$L),"")</f>
        <v>25000</v>
      </c>
      <c r="DZ63" s="63">
        <f>IFERROR(LOOKUP(DZ$15,HourlyTimeseries!$A:$A,HourlyTimeseries!$L:$L),"")</f>
        <v>25000</v>
      </c>
      <c r="EA63" s="63">
        <f>IFERROR(LOOKUP(EA$15,HourlyTimeseries!$A:$A,HourlyTimeseries!$L:$L),"")</f>
        <v>25000</v>
      </c>
      <c r="EB63" s="63">
        <f>IFERROR(LOOKUP(EB$15,HourlyTimeseries!$A:$A,HourlyTimeseries!$L:$L),"")</f>
        <v>25000</v>
      </c>
      <c r="EC63" s="63">
        <f>IFERROR(LOOKUP(EC$15,HourlyTimeseries!$A:$A,HourlyTimeseries!$L:$L),"")</f>
        <v>25000</v>
      </c>
      <c r="ED63" s="63">
        <f>IFERROR(LOOKUP(ED$15,HourlyTimeseries!$A:$A,HourlyTimeseries!$L:$L),"")</f>
        <v>25000</v>
      </c>
      <c r="EE63" s="63">
        <f>IFERROR(LOOKUP(EE$15,HourlyTimeseries!$A:$A,HourlyTimeseries!$L:$L),"")</f>
        <v>25000</v>
      </c>
      <c r="EF63" s="63">
        <f>IFERROR(LOOKUP(EF$15,HourlyTimeseries!$A:$A,HourlyTimeseries!$L:$L),"")</f>
        <v>25000</v>
      </c>
      <c r="EG63" s="63">
        <f>IFERROR(LOOKUP(EG$15,HourlyTimeseries!$A:$A,HourlyTimeseries!$L:$L),"")</f>
        <v>25000</v>
      </c>
      <c r="EH63" s="63">
        <f>IFERROR(LOOKUP(EH$15,HourlyTimeseries!$A:$A,HourlyTimeseries!$L:$L),"")</f>
        <v>25000</v>
      </c>
      <c r="EI63" s="63">
        <f>IFERROR(LOOKUP(EI$15,HourlyTimeseries!$A:$A,HourlyTimeseries!$L:$L),"")</f>
        <v>25000</v>
      </c>
      <c r="EJ63" s="63">
        <f>IFERROR(LOOKUP(EJ$15,HourlyTimeseries!$A:$A,HourlyTimeseries!$L:$L),"")</f>
        <v>25000</v>
      </c>
      <c r="EK63" s="63">
        <f>IFERROR(LOOKUP(EK$15,HourlyTimeseries!$A:$A,HourlyTimeseries!$L:$L),"")</f>
        <v>25000</v>
      </c>
      <c r="EL63" s="63">
        <f>IFERROR(LOOKUP(EL$15,HourlyTimeseries!$A:$A,HourlyTimeseries!$L:$L),"")</f>
        <v>25000</v>
      </c>
      <c r="EM63" s="63">
        <f>IFERROR(LOOKUP(EM$15,HourlyTimeseries!$A:$A,HourlyTimeseries!$L:$L),"")</f>
        <v>25000</v>
      </c>
      <c r="EN63" s="63">
        <f>IFERROR(LOOKUP(EN$15,HourlyTimeseries!$A:$A,HourlyTimeseries!$L:$L),"")</f>
        <v>25000</v>
      </c>
      <c r="EO63" s="63">
        <f>IFERROR(LOOKUP(EO$15,HourlyTimeseries!$A:$A,HourlyTimeseries!$L:$L),"")</f>
        <v>25000</v>
      </c>
      <c r="EP63" s="63">
        <f>IFERROR(LOOKUP(EP$15,HourlyTimeseries!$A:$A,HourlyTimeseries!$L:$L),"")</f>
        <v>25000</v>
      </c>
      <c r="EQ63" s="63">
        <f>IFERROR(LOOKUP(EQ$15,HourlyTimeseries!$A:$A,HourlyTimeseries!$L:$L),"")</f>
        <v>25000</v>
      </c>
      <c r="ER63" s="63">
        <f>IFERROR(LOOKUP(ER$15,HourlyTimeseries!$A:$A,HourlyTimeseries!$L:$L),"")</f>
        <v>25000</v>
      </c>
      <c r="ES63" s="63">
        <f>IFERROR(LOOKUP(ES$15,HourlyTimeseries!$A:$A,HourlyTimeseries!$L:$L),"")</f>
        <v>25000</v>
      </c>
      <c r="ET63" s="63">
        <f>IFERROR(LOOKUP(ET$15,HourlyTimeseries!$A:$A,HourlyTimeseries!$L:$L),"")</f>
        <v>25000</v>
      </c>
      <c r="EU63" s="72">
        <f>IFERROR(LOOKUP(EU$15,HourlyTimeseries!$A:$A,HourlyTimeseries!$L:$L),"")</f>
        <v>25000</v>
      </c>
      <c r="EV63" s="79">
        <f>IFERROR(LOOKUP(EV$15,HourlyTimeseries!$A:$A,HourlyTimeseries!$L:$L),"")</f>
        <v>25000</v>
      </c>
      <c r="EW63" s="63">
        <f>IFERROR(LOOKUP(EW$15,HourlyTimeseries!$A:$A,HourlyTimeseries!$L:$L),"")</f>
        <v>25000</v>
      </c>
      <c r="EX63" s="63">
        <f>IFERROR(LOOKUP(EX$15,HourlyTimeseries!$A:$A,HourlyTimeseries!$L:$L),"")</f>
        <v>25000</v>
      </c>
      <c r="EY63" s="63">
        <f>IFERROR(LOOKUP(EY$15,HourlyTimeseries!$A:$A,HourlyTimeseries!$L:$L),"")</f>
        <v>25000</v>
      </c>
      <c r="EZ63" s="63">
        <f>IFERROR(LOOKUP(EZ$15,HourlyTimeseries!$A:$A,HourlyTimeseries!$L:$L),"")</f>
        <v>25000</v>
      </c>
      <c r="FA63" s="63">
        <f>IFERROR(LOOKUP(FA$15,HourlyTimeseries!$A:$A,HourlyTimeseries!$L:$L),"")</f>
        <v>25000</v>
      </c>
      <c r="FB63" s="63">
        <f>IFERROR(LOOKUP(FB$15,HourlyTimeseries!$A:$A,HourlyTimeseries!$L:$L),"")</f>
        <v>25000</v>
      </c>
      <c r="FC63" s="63">
        <f>IFERROR(LOOKUP(FC$15,HourlyTimeseries!$A:$A,HourlyTimeseries!$L:$L),"")</f>
        <v>25000</v>
      </c>
      <c r="FD63" s="63">
        <f>IFERROR(LOOKUP(FD$15,HourlyTimeseries!$A:$A,HourlyTimeseries!$L:$L),"")</f>
        <v>25000</v>
      </c>
      <c r="FE63" s="63">
        <f>IFERROR(LOOKUP(FE$15,HourlyTimeseries!$A:$A,HourlyTimeseries!$L:$L),"")</f>
        <v>25000</v>
      </c>
      <c r="FF63" s="63">
        <f>IFERROR(LOOKUP(FF$15,HourlyTimeseries!$A:$A,HourlyTimeseries!$L:$L),"")</f>
        <v>25000</v>
      </c>
      <c r="FG63" s="63">
        <f>IFERROR(LOOKUP(FG$15,HourlyTimeseries!$A:$A,HourlyTimeseries!$L:$L),"")</f>
        <v>25000</v>
      </c>
      <c r="FH63" s="63">
        <f>IFERROR(LOOKUP(FH$15,HourlyTimeseries!$A:$A,HourlyTimeseries!$L:$L),"")</f>
        <v>25000</v>
      </c>
      <c r="FI63" s="63">
        <f>IFERROR(LOOKUP(FI$15,HourlyTimeseries!$A:$A,HourlyTimeseries!$L:$L),"")</f>
        <v>25000</v>
      </c>
      <c r="FJ63" s="63">
        <f>IFERROR(LOOKUP(FJ$15,HourlyTimeseries!$A:$A,HourlyTimeseries!$L:$L),"")</f>
        <v>25000</v>
      </c>
      <c r="FK63" s="63">
        <f>IFERROR(LOOKUP(FK$15,HourlyTimeseries!$A:$A,HourlyTimeseries!$L:$L),"")</f>
        <v>25000</v>
      </c>
      <c r="FL63" s="63">
        <f>IFERROR(LOOKUP(FL$15,HourlyTimeseries!$A:$A,HourlyTimeseries!$L:$L),"")</f>
        <v>25000</v>
      </c>
      <c r="FM63" s="63">
        <f>IFERROR(LOOKUP(FM$15,HourlyTimeseries!$A:$A,HourlyTimeseries!$L:$L),"")</f>
        <v>25000</v>
      </c>
      <c r="FN63" s="63">
        <f>IFERROR(LOOKUP(FN$15,HourlyTimeseries!$A:$A,HourlyTimeseries!$L:$L),"")</f>
        <v>25000</v>
      </c>
      <c r="FO63" s="63">
        <f>IFERROR(LOOKUP(FO$15,HourlyTimeseries!$A:$A,HourlyTimeseries!$L:$L),"")</f>
        <v>25000</v>
      </c>
      <c r="FP63" s="63">
        <f>IFERROR(LOOKUP(FP$15,HourlyTimeseries!$A:$A,HourlyTimeseries!$L:$L),"")</f>
        <v>25000</v>
      </c>
      <c r="FQ63" s="63">
        <f>IFERROR(LOOKUP(FQ$15,HourlyTimeseries!$A:$A,HourlyTimeseries!$L:$L),"")</f>
        <v>25000</v>
      </c>
      <c r="FR63" s="63">
        <f>IFERROR(LOOKUP(FR$15,HourlyTimeseries!$A:$A,HourlyTimeseries!$L:$L),"")</f>
        <v>25000</v>
      </c>
      <c r="FS63" s="72">
        <f>IFERROR(LOOKUP(FS$15,HourlyTimeseries!$A:$A,HourlyTimeseries!$L:$L),"")</f>
        <v>25000</v>
      </c>
    </row>
    <row r="64" spans="4:175" ht="15.75" customHeight="1" x14ac:dyDescent="0.2">
      <c r="D64" s="36" t="s">
        <v>198</v>
      </c>
      <c r="E64" s="2" t="s">
        <v>199</v>
      </c>
      <c r="F64" s="8" t="s">
        <v>153</v>
      </c>
      <c r="G64" s="4" t="b">
        <v>0</v>
      </c>
      <c r="H64" s="24"/>
    </row>
    <row r="66" spans="4:175" ht="21" thickBot="1" x14ac:dyDescent="0.3">
      <c r="D66" s="1" t="s">
        <v>1</v>
      </c>
      <c r="E66" s="7" t="s">
        <v>32</v>
      </c>
      <c r="F66" s="3" t="s">
        <v>150</v>
      </c>
      <c r="G66" s="7"/>
      <c r="H66" s="3" t="s">
        <v>7</v>
      </c>
      <c r="I66" s="3" t="s">
        <v>8</v>
      </c>
      <c r="J66" s="3" t="s">
        <v>9</v>
      </c>
      <c r="K66" s="3" t="s">
        <v>10</v>
      </c>
      <c r="L66" s="3" t="s">
        <v>11</v>
      </c>
      <c r="M66" s="3" t="s">
        <v>12</v>
      </c>
      <c r="N66" s="3" t="s">
        <v>13</v>
      </c>
      <c r="O66" s="3" t="s">
        <v>14</v>
      </c>
      <c r="P66" s="3" t="s">
        <v>15</v>
      </c>
      <c r="Q66" s="3" t="s">
        <v>16</v>
      </c>
      <c r="R66" s="3" t="s">
        <v>17</v>
      </c>
      <c r="S66" s="3" t="s">
        <v>18</v>
      </c>
      <c r="T66" s="3" t="s">
        <v>19</v>
      </c>
      <c r="U66" s="3" t="s">
        <v>20</v>
      </c>
      <c r="V66" s="3" t="s">
        <v>21</v>
      </c>
      <c r="W66" s="3" t="s">
        <v>22</v>
      </c>
      <c r="X66" s="3" t="s">
        <v>23</v>
      </c>
      <c r="Y66" s="3" t="s">
        <v>24</v>
      </c>
      <c r="Z66" s="3" t="s">
        <v>25</v>
      </c>
      <c r="AA66" s="3" t="s">
        <v>26</v>
      </c>
      <c r="AB66" s="3" t="s">
        <v>27</v>
      </c>
      <c r="AC66" s="3" t="s">
        <v>28</v>
      </c>
      <c r="AD66" s="3" t="s">
        <v>29</v>
      </c>
      <c r="AE66" s="3" t="s">
        <v>30</v>
      </c>
      <c r="AF66" s="78" t="s">
        <v>278</v>
      </c>
      <c r="AG66" s="3" t="s">
        <v>279</v>
      </c>
      <c r="AH66" s="3" t="s">
        <v>280</v>
      </c>
      <c r="AI66" s="3" t="s">
        <v>281</v>
      </c>
      <c r="AJ66" s="3" t="s">
        <v>282</v>
      </c>
      <c r="AK66" s="3" t="s">
        <v>283</v>
      </c>
      <c r="AL66" s="3" t="s">
        <v>284</v>
      </c>
      <c r="AM66" s="3" t="s">
        <v>285</v>
      </c>
      <c r="AN66" s="3" t="s">
        <v>286</v>
      </c>
      <c r="AO66" s="3" t="s">
        <v>287</v>
      </c>
      <c r="AP66" s="3" t="s">
        <v>288</v>
      </c>
      <c r="AQ66" s="3" t="s">
        <v>289</v>
      </c>
      <c r="AR66" s="3" t="s">
        <v>290</v>
      </c>
      <c r="AS66" s="3" t="s">
        <v>291</v>
      </c>
      <c r="AT66" s="3" t="s">
        <v>292</v>
      </c>
      <c r="AU66" s="3" t="s">
        <v>293</v>
      </c>
      <c r="AV66" s="3" t="s">
        <v>294</v>
      </c>
      <c r="AW66" s="3" t="s">
        <v>295</v>
      </c>
      <c r="AX66" s="3" t="s">
        <v>296</v>
      </c>
      <c r="AY66" s="3" t="s">
        <v>297</v>
      </c>
      <c r="AZ66" s="3" t="s">
        <v>298</v>
      </c>
      <c r="BA66" s="3" t="s">
        <v>299</v>
      </c>
      <c r="BB66" s="3" t="s">
        <v>300</v>
      </c>
      <c r="BC66" s="3" t="s">
        <v>301</v>
      </c>
      <c r="BD66" s="78" t="s">
        <v>302</v>
      </c>
      <c r="BE66" s="3" t="s">
        <v>303</v>
      </c>
      <c r="BF66" s="3" t="s">
        <v>304</v>
      </c>
      <c r="BG66" s="3" t="s">
        <v>305</v>
      </c>
      <c r="BH66" s="3" t="s">
        <v>306</v>
      </c>
      <c r="BI66" s="3" t="s">
        <v>307</v>
      </c>
      <c r="BJ66" s="3" t="s">
        <v>308</v>
      </c>
      <c r="BK66" s="3" t="s">
        <v>309</v>
      </c>
      <c r="BL66" s="3" t="s">
        <v>310</v>
      </c>
      <c r="BM66" s="3" t="s">
        <v>311</v>
      </c>
      <c r="BN66" s="3" t="s">
        <v>312</v>
      </c>
      <c r="BO66" s="3" t="s">
        <v>313</v>
      </c>
      <c r="BP66" s="3" t="s">
        <v>314</v>
      </c>
      <c r="BQ66" s="3" t="s">
        <v>315</v>
      </c>
      <c r="BR66" s="3" t="s">
        <v>316</v>
      </c>
      <c r="BS66" s="3" t="s">
        <v>317</v>
      </c>
      <c r="BT66" s="3" t="s">
        <v>318</v>
      </c>
      <c r="BU66" s="3" t="s">
        <v>319</v>
      </c>
      <c r="BV66" s="3" t="s">
        <v>320</v>
      </c>
      <c r="BW66" s="3" t="s">
        <v>321</v>
      </c>
      <c r="BX66" s="3" t="s">
        <v>322</v>
      </c>
      <c r="BY66" s="3" t="s">
        <v>323</v>
      </c>
      <c r="BZ66" s="3" t="s">
        <v>324</v>
      </c>
      <c r="CA66" s="3" t="s">
        <v>325</v>
      </c>
      <c r="CB66" s="78" t="s">
        <v>326</v>
      </c>
      <c r="CC66" s="3" t="s">
        <v>327</v>
      </c>
      <c r="CD66" s="3" t="s">
        <v>328</v>
      </c>
      <c r="CE66" s="3" t="s">
        <v>329</v>
      </c>
      <c r="CF66" s="3" t="s">
        <v>330</v>
      </c>
      <c r="CG66" s="3" t="s">
        <v>331</v>
      </c>
      <c r="CH66" s="3" t="s">
        <v>332</v>
      </c>
      <c r="CI66" s="3" t="s">
        <v>333</v>
      </c>
      <c r="CJ66" s="3" t="s">
        <v>334</v>
      </c>
      <c r="CK66" s="3" t="s">
        <v>335</v>
      </c>
      <c r="CL66" s="3" t="s">
        <v>336</v>
      </c>
      <c r="CM66" s="3" t="s">
        <v>337</v>
      </c>
      <c r="CN66" s="3" t="s">
        <v>338</v>
      </c>
      <c r="CO66" s="3" t="s">
        <v>339</v>
      </c>
      <c r="CP66" s="3" t="s">
        <v>340</v>
      </c>
      <c r="CQ66" s="3" t="s">
        <v>341</v>
      </c>
      <c r="CR66" s="3" t="s">
        <v>342</v>
      </c>
      <c r="CS66" s="3" t="s">
        <v>343</v>
      </c>
      <c r="CT66" s="3" t="s">
        <v>344</v>
      </c>
      <c r="CU66" s="3" t="s">
        <v>345</v>
      </c>
      <c r="CV66" s="3" t="s">
        <v>346</v>
      </c>
      <c r="CW66" s="3" t="s">
        <v>347</v>
      </c>
      <c r="CX66" s="3" t="s">
        <v>348</v>
      </c>
      <c r="CY66" s="3" t="s">
        <v>349</v>
      </c>
      <c r="CZ66" s="78" t="s">
        <v>350</v>
      </c>
      <c r="DA66" s="3" t="s">
        <v>351</v>
      </c>
      <c r="DB66" s="3" t="s">
        <v>352</v>
      </c>
      <c r="DC66" s="3" t="s">
        <v>353</v>
      </c>
      <c r="DD66" s="3" t="s">
        <v>354</v>
      </c>
      <c r="DE66" s="3" t="s">
        <v>355</v>
      </c>
      <c r="DF66" s="3" t="s">
        <v>356</v>
      </c>
      <c r="DG66" s="3" t="s">
        <v>357</v>
      </c>
      <c r="DH66" s="3" t="s">
        <v>358</v>
      </c>
      <c r="DI66" s="3" t="s">
        <v>359</v>
      </c>
      <c r="DJ66" s="3" t="s">
        <v>360</v>
      </c>
      <c r="DK66" s="3" t="s">
        <v>361</v>
      </c>
      <c r="DL66" s="3" t="s">
        <v>362</v>
      </c>
      <c r="DM66" s="3" t="s">
        <v>363</v>
      </c>
      <c r="DN66" s="3" t="s">
        <v>364</v>
      </c>
      <c r="DO66" s="3" t="s">
        <v>365</v>
      </c>
      <c r="DP66" s="3" t="s">
        <v>366</v>
      </c>
      <c r="DQ66" s="3" t="s">
        <v>367</v>
      </c>
      <c r="DR66" s="3" t="s">
        <v>368</v>
      </c>
      <c r="DS66" s="3" t="s">
        <v>369</v>
      </c>
      <c r="DT66" s="3" t="s">
        <v>370</v>
      </c>
      <c r="DU66" s="3" t="s">
        <v>371</v>
      </c>
      <c r="DV66" s="3" t="s">
        <v>372</v>
      </c>
      <c r="DW66" s="3" t="s">
        <v>373</v>
      </c>
      <c r="DX66" s="78" t="s">
        <v>374</v>
      </c>
      <c r="DY66" s="3" t="s">
        <v>375</v>
      </c>
      <c r="DZ66" s="3" t="s">
        <v>376</v>
      </c>
      <c r="EA66" s="3" t="s">
        <v>377</v>
      </c>
      <c r="EB66" s="3" t="s">
        <v>378</v>
      </c>
      <c r="EC66" s="3" t="s">
        <v>379</v>
      </c>
      <c r="ED66" s="3" t="s">
        <v>380</v>
      </c>
      <c r="EE66" s="3" t="s">
        <v>381</v>
      </c>
      <c r="EF66" s="3" t="s">
        <v>382</v>
      </c>
      <c r="EG66" s="3" t="s">
        <v>383</v>
      </c>
      <c r="EH66" s="3" t="s">
        <v>384</v>
      </c>
      <c r="EI66" s="3" t="s">
        <v>385</v>
      </c>
      <c r="EJ66" s="3" t="s">
        <v>386</v>
      </c>
      <c r="EK66" s="3" t="s">
        <v>387</v>
      </c>
      <c r="EL66" s="3" t="s">
        <v>388</v>
      </c>
      <c r="EM66" s="3" t="s">
        <v>389</v>
      </c>
      <c r="EN66" s="3" t="s">
        <v>390</v>
      </c>
      <c r="EO66" s="3" t="s">
        <v>391</v>
      </c>
      <c r="EP66" s="3" t="s">
        <v>392</v>
      </c>
      <c r="EQ66" s="3" t="s">
        <v>393</v>
      </c>
      <c r="ER66" s="3" t="s">
        <v>394</v>
      </c>
      <c r="ES66" s="3" t="s">
        <v>395</v>
      </c>
      <c r="ET66" s="3" t="s">
        <v>396</v>
      </c>
      <c r="EU66" s="3" t="s">
        <v>397</v>
      </c>
      <c r="EV66" s="78" t="s">
        <v>398</v>
      </c>
      <c r="EW66" s="3" t="s">
        <v>399</v>
      </c>
      <c r="EX66" s="3" t="s">
        <v>400</v>
      </c>
      <c r="EY66" s="3" t="s">
        <v>401</v>
      </c>
      <c r="EZ66" s="3" t="s">
        <v>402</v>
      </c>
      <c r="FA66" s="3" t="s">
        <v>403</v>
      </c>
      <c r="FB66" s="3" t="s">
        <v>404</v>
      </c>
      <c r="FC66" s="3" t="s">
        <v>405</v>
      </c>
      <c r="FD66" s="3" t="s">
        <v>406</v>
      </c>
      <c r="FE66" s="3" t="s">
        <v>407</v>
      </c>
      <c r="FF66" s="3" t="s">
        <v>408</v>
      </c>
      <c r="FG66" s="3" t="s">
        <v>409</v>
      </c>
      <c r="FH66" s="3" t="s">
        <v>410</v>
      </c>
      <c r="FI66" s="3" t="s">
        <v>411</v>
      </c>
      <c r="FJ66" s="3" t="s">
        <v>412</v>
      </c>
      <c r="FK66" s="3" t="s">
        <v>413</v>
      </c>
      <c r="FL66" s="3" t="s">
        <v>414</v>
      </c>
      <c r="FM66" s="3" t="s">
        <v>415</v>
      </c>
      <c r="FN66" s="3" t="s">
        <v>416</v>
      </c>
      <c r="FO66" s="3" t="s">
        <v>417</v>
      </c>
      <c r="FP66" s="3" t="s">
        <v>418</v>
      </c>
      <c r="FQ66" s="3" t="s">
        <v>419</v>
      </c>
      <c r="FR66" s="3" t="s">
        <v>420</v>
      </c>
      <c r="FS66" s="3" t="s">
        <v>421</v>
      </c>
    </row>
    <row r="67" spans="4:175" ht="16" thickTop="1" x14ac:dyDescent="0.2">
      <c r="D67" s="15" t="s">
        <v>35</v>
      </c>
      <c r="E67" s="2" t="s">
        <v>5</v>
      </c>
      <c r="F67" s="8" t="s">
        <v>151</v>
      </c>
      <c r="G67" s="2"/>
      <c r="H67" s="64">
        <f>IFERROR(LOOKUP(H$15,HourlyTimeseries!$A:$A,HourlyTimeseries!$M:$M),"")</f>
        <v>9</v>
      </c>
      <c r="I67" s="64">
        <f>IFERROR(LOOKUP(I$15,HourlyTimeseries!$A:$A,HourlyTimeseries!$M:$M),"")</f>
        <v>9</v>
      </c>
      <c r="J67" s="64">
        <f>IFERROR(LOOKUP(J$15,HourlyTimeseries!$A:$A,HourlyTimeseries!$M:$M),"")</f>
        <v>9</v>
      </c>
      <c r="K67" s="64">
        <f>IFERROR(LOOKUP(K$15,HourlyTimeseries!$A:$A,HourlyTimeseries!$M:$M),"")</f>
        <v>9</v>
      </c>
      <c r="L67" s="64">
        <f>IFERROR(LOOKUP(L$15,HourlyTimeseries!$A:$A,HourlyTimeseries!$M:$M),"")</f>
        <v>9</v>
      </c>
      <c r="M67" s="64">
        <f>IFERROR(LOOKUP(M$15,HourlyTimeseries!$A:$A,HourlyTimeseries!$M:$M),"")</f>
        <v>9</v>
      </c>
      <c r="N67" s="64">
        <f>IFERROR(LOOKUP(N$15,HourlyTimeseries!$A:$A,HourlyTimeseries!$M:$M),"")</f>
        <v>9</v>
      </c>
      <c r="O67" s="64">
        <f>IFERROR(LOOKUP(O$15,HourlyTimeseries!$A:$A,HourlyTimeseries!$M:$M),"")</f>
        <v>9</v>
      </c>
      <c r="P67" s="64">
        <f>IFERROR(LOOKUP(P$15,HourlyTimeseries!$A:$A,HourlyTimeseries!$M:$M),"")</f>
        <v>9</v>
      </c>
      <c r="Q67" s="64">
        <f>IFERROR(LOOKUP(Q$15,HourlyTimeseries!$A:$A,HourlyTimeseries!$M:$M),"")</f>
        <v>9</v>
      </c>
      <c r="R67" s="64">
        <f>IFERROR(LOOKUP(R$15,HourlyTimeseries!$A:$A,HourlyTimeseries!$M:$M),"")</f>
        <v>9</v>
      </c>
      <c r="S67" s="64">
        <f>IFERROR(LOOKUP(S$15,HourlyTimeseries!$A:$A,HourlyTimeseries!$M:$M),"")</f>
        <v>9</v>
      </c>
      <c r="T67" s="64">
        <f>IFERROR(LOOKUP(T$15,HourlyTimeseries!$A:$A,HourlyTimeseries!$M:$M),"")</f>
        <v>9</v>
      </c>
      <c r="U67" s="64">
        <f>IFERROR(LOOKUP(U$15,HourlyTimeseries!$A:$A,HourlyTimeseries!$M:$M),"")</f>
        <v>9</v>
      </c>
      <c r="V67" s="64">
        <f>IFERROR(LOOKUP(V$15,HourlyTimeseries!$A:$A,HourlyTimeseries!$M:$M),"")</f>
        <v>9</v>
      </c>
      <c r="W67" s="64">
        <f>IFERROR(LOOKUP(W$15,HourlyTimeseries!$A:$A,HourlyTimeseries!$M:$M),"")</f>
        <v>9</v>
      </c>
      <c r="X67" s="64">
        <f>IFERROR(LOOKUP(X$15,HourlyTimeseries!$A:$A,HourlyTimeseries!$M:$M),"")</f>
        <v>9</v>
      </c>
      <c r="Y67" s="64">
        <f>IFERROR(LOOKUP(Y$15,HourlyTimeseries!$A:$A,HourlyTimeseries!$M:$M),"")</f>
        <v>9</v>
      </c>
      <c r="Z67" s="64">
        <f>IFERROR(LOOKUP(Z$15,HourlyTimeseries!$A:$A,HourlyTimeseries!$M:$M),"")</f>
        <v>9</v>
      </c>
      <c r="AA67" s="64">
        <f>IFERROR(LOOKUP(AA$15,HourlyTimeseries!$A:$A,HourlyTimeseries!$M:$M),"")</f>
        <v>9</v>
      </c>
      <c r="AB67" s="64">
        <f>IFERROR(LOOKUP(AB$15,HourlyTimeseries!$A:$A,HourlyTimeseries!$M:$M),"")</f>
        <v>9</v>
      </c>
      <c r="AC67" s="64">
        <f>IFERROR(LOOKUP(AC$15,HourlyTimeseries!$A:$A,HourlyTimeseries!$M:$M),"")</f>
        <v>9</v>
      </c>
      <c r="AD67" s="64">
        <f>IFERROR(LOOKUP(AD$15,HourlyTimeseries!$A:$A,HourlyTimeseries!$M:$M),"")</f>
        <v>9</v>
      </c>
      <c r="AE67" s="73">
        <f>IFERROR(LOOKUP(AE$15,HourlyTimeseries!$A:$A,HourlyTimeseries!$M:$M),"")</f>
        <v>9</v>
      </c>
      <c r="AF67" s="80">
        <f>IFERROR(LOOKUP(AF$15,HourlyTimeseries!$A:$A,HourlyTimeseries!$M:$M),"")</f>
        <v>9</v>
      </c>
      <c r="AG67" s="64">
        <f>IFERROR(LOOKUP(AG$15,HourlyTimeseries!$A:$A,HourlyTimeseries!$M:$M),"")</f>
        <v>9</v>
      </c>
      <c r="AH67" s="64">
        <f>IFERROR(LOOKUP(AH$15,HourlyTimeseries!$A:$A,HourlyTimeseries!$M:$M),"")</f>
        <v>9</v>
      </c>
      <c r="AI67" s="64">
        <f>IFERROR(LOOKUP(AI$15,HourlyTimeseries!$A:$A,HourlyTimeseries!$M:$M),"")</f>
        <v>9</v>
      </c>
      <c r="AJ67" s="64">
        <f>IFERROR(LOOKUP(AJ$15,HourlyTimeseries!$A:$A,HourlyTimeseries!$M:$M),"")</f>
        <v>9</v>
      </c>
      <c r="AK67" s="64">
        <f>IFERROR(LOOKUP(AK$15,HourlyTimeseries!$A:$A,HourlyTimeseries!$M:$M),"")</f>
        <v>9</v>
      </c>
      <c r="AL67" s="64">
        <f>IFERROR(LOOKUP(AL$15,HourlyTimeseries!$A:$A,HourlyTimeseries!$M:$M),"")</f>
        <v>9</v>
      </c>
      <c r="AM67" s="64">
        <f>IFERROR(LOOKUP(AM$15,HourlyTimeseries!$A:$A,HourlyTimeseries!$M:$M),"")</f>
        <v>9</v>
      </c>
      <c r="AN67" s="64">
        <f>IFERROR(LOOKUP(AN$15,HourlyTimeseries!$A:$A,HourlyTimeseries!$M:$M),"")</f>
        <v>9</v>
      </c>
      <c r="AO67" s="64">
        <f>IFERROR(LOOKUP(AO$15,HourlyTimeseries!$A:$A,HourlyTimeseries!$M:$M),"")</f>
        <v>9</v>
      </c>
      <c r="AP67" s="64">
        <f>IFERROR(LOOKUP(AP$15,HourlyTimeseries!$A:$A,HourlyTimeseries!$M:$M),"")</f>
        <v>9</v>
      </c>
      <c r="AQ67" s="64">
        <f>IFERROR(LOOKUP(AQ$15,HourlyTimeseries!$A:$A,HourlyTimeseries!$M:$M),"")</f>
        <v>9</v>
      </c>
      <c r="AR67" s="64">
        <f>IFERROR(LOOKUP(AR$15,HourlyTimeseries!$A:$A,HourlyTimeseries!$M:$M),"")</f>
        <v>9</v>
      </c>
      <c r="AS67" s="64">
        <f>IFERROR(LOOKUP(AS$15,HourlyTimeseries!$A:$A,HourlyTimeseries!$M:$M),"")</f>
        <v>9</v>
      </c>
      <c r="AT67" s="64">
        <f>IFERROR(LOOKUP(AT$15,HourlyTimeseries!$A:$A,HourlyTimeseries!$M:$M),"")</f>
        <v>9</v>
      </c>
      <c r="AU67" s="64">
        <f>IFERROR(LOOKUP(AU$15,HourlyTimeseries!$A:$A,HourlyTimeseries!$M:$M),"")</f>
        <v>9</v>
      </c>
      <c r="AV67" s="64">
        <f>IFERROR(LOOKUP(AV$15,HourlyTimeseries!$A:$A,HourlyTimeseries!$M:$M),"")</f>
        <v>9</v>
      </c>
      <c r="AW67" s="64">
        <f>IFERROR(LOOKUP(AW$15,HourlyTimeseries!$A:$A,HourlyTimeseries!$M:$M),"")</f>
        <v>9</v>
      </c>
      <c r="AX67" s="64">
        <f>IFERROR(LOOKUP(AX$15,HourlyTimeseries!$A:$A,HourlyTimeseries!$M:$M),"")</f>
        <v>9</v>
      </c>
      <c r="AY67" s="64">
        <f>IFERROR(LOOKUP(AY$15,HourlyTimeseries!$A:$A,HourlyTimeseries!$M:$M),"")</f>
        <v>9</v>
      </c>
      <c r="AZ67" s="64">
        <f>IFERROR(LOOKUP(AZ$15,HourlyTimeseries!$A:$A,HourlyTimeseries!$M:$M),"")</f>
        <v>9</v>
      </c>
      <c r="BA67" s="64">
        <f>IFERROR(LOOKUP(BA$15,HourlyTimeseries!$A:$A,HourlyTimeseries!$M:$M),"")</f>
        <v>9</v>
      </c>
      <c r="BB67" s="64">
        <f>IFERROR(LOOKUP(BB$15,HourlyTimeseries!$A:$A,HourlyTimeseries!$M:$M),"")</f>
        <v>9</v>
      </c>
      <c r="BC67" s="73">
        <f>IFERROR(LOOKUP(BC$15,HourlyTimeseries!$A:$A,HourlyTimeseries!$M:$M),"")</f>
        <v>9</v>
      </c>
      <c r="BD67" s="80">
        <f>IFERROR(LOOKUP(BD$15,HourlyTimeseries!$A:$A,HourlyTimeseries!$M:$M),"")</f>
        <v>9</v>
      </c>
      <c r="BE67" s="64">
        <f>IFERROR(LOOKUP(BE$15,HourlyTimeseries!$A:$A,HourlyTimeseries!$M:$M),"")</f>
        <v>9</v>
      </c>
      <c r="BF67" s="64">
        <f>IFERROR(LOOKUP(BF$15,HourlyTimeseries!$A:$A,HourlyTimeseries!$M:$M),"")</f>
        <v>9</v>
      </c>
      <c r="BG67" s="64">
        <f>IFERROR(LOOKUP(BG$15,HourlyTimeseries!$A:$A,HourlyTimeseries!$M:$M),"")</f>
        <v>9</v>
      </c>
      <c r="BH67" s="64">
        <f>IFERROR(LOOKUP(BH$15,HourlyTimeseries!$A:$A,HourlyTimeseries!$M:$M),"")</f>
        <v>9</v>
      </c>
      <c r="BI67" s="64">
        <f>IFERROR(LOOKUP(BI$15,HourlyTimeseries!$A:$A,HourlyTimeseries!$M:$M),"")</f>
        <v>9</v>
      </c>
      <c r="BJ67" s="64">
        <f>IFERROR(LOOKUP(BJ$15,HourlyTimeseries!$A:$A,HourlyTimeseries!$M:$M),"")</f>
        <v>9</v>
      </c>
      <c r="BK67" s="64">
        <f>IFERROR(LOOKUP(BK$15,HourlyTimeseries!$A:$A,HourlyTimeseries!$M:$M),"")</f>
        <v>9</v>
      </c>
      <c r="BL67" s="64">
        <f>IFERROR(LOOKUP(BL$15,HourlyTimeseries!$A:$A,HourlyTimeseries!$M:$M),"")</f>
        <v>9</v>
      </c>
      <c r="BM67" s="64">
        <f>IFERROR(LOOKUP(BM$15,HourlyTimeseries!$A:$A,HourlyTimeseries!$M:$M),"")</f>
        <v>9</v>
      </c>
      <c r="BN67" s="64">
        <f>IFERROR(LOOKUP(BN$15,HourlyTimeseries!$A:$A,HourlyTimeseries!$M:$M),"")</f>
        <v>9</v>
      </c>
      <c r="BO67" s="64">
        <f>IFERROR(LOOKUP(BO$15,HourlyTimeseries!$A:$A,HourlyTimeseries!$M:$M),"")</f>
        <v>9</v>
      </c>
      <c r="BP67" s="64">
        <f>IFERROR(LOOKUP(BP$15,HourlyTimeseries!$A:$A,HourlyTimeseries!$M:$M),"")</f>
        <v>9</v>
      </c>
      <c r="BQ67" s="64">
        <f>IFERROR(LOOKUP(BQ$15,HourlyTimeseries!$A:$A,HourlyTimeseries!$M:$M),"")</f>
        <v>9</v>
      </c>
      <c r="BR67" s="64">
        <f>IFERROR(LOOKUP(BR$15,HourlyTimeseries!$A:$A,HourlyTimeseries!$M:$M),"")</f>
        <v>9</v>
      </c>
      <c r="BS67" s="64">
        <f>IFERROR(LOOKUP(BS$15,HourlyTimeseries!$A:$A,HourlyTimeseries!$M:$M),"")</f>
        <v>9</v>
      </c>
      <c r="BT67" s="64">
        <f>IFERROR(LOOKUP(BT$15,HourlyTimeseries!$A:$A,HourlyTimeseries!$M:$M),"")</f>
        <v>9</v>
      </c>
      <c r="BU67" s="64">
        <f>IFERROR(LOOKUP(BU$15,HourlyTimeseries!$A:$A,HourlyTimeseries!$M:$M),"")</f>
        <v>9</v>
      </c>
      <c r="BV67" s="64">
        <f>IFERROR(LOOKUP(BV$15,HourlyTimeseries!$A:$A,HourlyTimeseries!$M:$M),"")</f>
        <v>9</v>
      </c>
      <c r="BW67" s="64">
        <f>IFERROR(LOOKUP(BW$15,HourlyTimeseries!$A:$A,HourlyTimeseries!$M:$M),"")</f>
        <v>9</v>
      </c>
      <c r="BX67" s="64">
        <f>IFERROR(LOOKUP(BX$15,HourlyTimeseries!$A:$A,HourlyTimeseries!$M:$M),"")</f>
        <v>9</v>
      </c>
      <c r="BY67" s="64">
        <f>IFERROR(LOOKUP(BY$15,HourlyTimeseries!$A:$A,HourlyTimeseries!$M:$M),"")</f>
        <v>9</v>
      </c>
      <c r="BZ67" s="64">
        <f>IFERROR(LOOKUP(BZ$15,HourlyTimeseries!$A:$A,HourlyTimeseries!$M:$M),"")</f>
        <v>9</v>
      </c>
      <c r="CA67" s="73">
        <f>IFERROR(LOOKUP(CA$15,HourlyTimeseries!$A:$A,HourlyTimeseries!$M:$M),"")</f>
        <v>9</v>
      </c>
      <c r="CB67" s="80">
        <f>IFERROR(LOOKUP(CB$15,HourlyTimeseries!$A:$A,HourlyTimeseries!$M:$M),"")</f>
        <v>9</v>
      </c>
      <c r="CC67" s="64">
        <f>IFERROR(LOOKUP(CC$15,HourlyTimeseries!$A:$A,HourlyTimeseries!$M:$M),"")</f>
        <v>9</v>
      </c>
      <c r="CD67" s="64">
        <f>IFERROR(LOOKUP(CD$15,HourlyTimeseries!$A:$A,HourlyTimeseries!$M:$M),"")</f>
        <v>9</v>
      </c>
      <c r="CE67" s="64">
        <f>IFERROR(LOOKUP(CE$15,HourlyTimeseries!$A:$A,HourlyTimeseries!$M:$M),"")</f>
        <v>9</v>
      </c>
      <c r="CF67" s="64">
        <f>IFERROR(LOOKUP(CF$15,HourlyTimeseries!$A:$A,HourlyTimeseries!$M:$M),"")</f>
        <v>9</v>
      </c>
      <c r="CG67" s="64">
        <f>IFERROR(LOOKUP(CG$15,HourlyTimeseries!$A:$A,HourlyTimeseries!$M:$M),"")</f>
        <v>9</v>
      </c>
      <c r="CH67" s="64">
        <f>IFERROR(LOOKUP(CH$15,HourlyTimeseries!$A:$A,HourlyTimeseries!$M:$M),"")</f>
        <v>9</v>
      </c>
      <c r="CI67" s="64">
        <f>IFERROR(LOOKUP(CI$15,HourlyTimeseries!$A:$A,HourlyTimeseries!$M:$M),"")</f>
        <v>9</v>
      </c>
      <c r="CJ67" s="64">
        <f>IFERROR(LOOKUP(CJ$15,HourlyTimeseries!$A:$A,HourlyTimeseries!$M:$M),"")</f>
        <v>9</v>
      </c>
      <c r="CK67" s="64">
        <f>IFERROR(LOOKUP(CK$15,HourlyTimeseries!$A:$A,HourlyTimeseries!$M:$M),"")</f>
        <v>9</v>
      </c>
      <c r="CL67" s="64">
        <f>IFERROR(LOOKUP(CL$15,HourlyTimeseries!$A:$A,HourlyTimeseries!$M:$M),"")</f>
        <v>9</v>
      </c>
      <c r="CM67" s="64">
        <f>IFERROR(LOOKUP(CM$15,HourlyTimeseries!$A:$A,HourlyTimeseries!$M:$M),"")</f>
        <v>9</v>
      </c>
      <c r="CN67" s="64">
        <f>IFERROR(LOOKUP(CN$15,HourlyTimeseries!$A:$A,HourlyTimeseries!$M:$M),"")</f>
        <v>9</v>
      </c>
      <c r="CO67" s="64">
        <f>IFERROR(LOOKUP(CO$15,HourlyTimeseries!$A:$A,HourlyTimeseries!$M:$M),"")</f>
        <v>9</v>
      </c>
      <c r="CP67" s="64">
        <f>IFERROR(LOOKUP(CP$15,HourlyTimeseries!$A:$A,HourlyTimeseries!$M:$M),"")</f>
        <v>9</v>
      </c>
      <c r="CQ67" s="64">
        <f>IFERROR(LOOKUP(CQ$15,HourlyTimeseries!$A:$A,HourlyTimeseries!$M:$M),"")</f>
        <v>9</v>
      </c>
      <c r="CR67" s="64">
        <f>IFERROR(LOOKUP(CR$15,HourlyTimeseries!$A:$A,HourlyTimeseries!$M:$M),"")</f>
        <v>9</v>
      </c>
      <c r="CS67" s="64">
        <f>IFERROR(LOOKUP(CS$15,HourlyTimeseries!$A:$A,HourlyTimeseries!$M:$M),"")</f>
        <v>9</v>
      </c>
      <c r="CT67" s="64">
        <f>IFERROR(LOOKUP(CT$15,HourlyTimeseries!$A:$A,HourlyTimeseries!$M:$M),"")</f>
        <v>9</v>
      </c>
      <c r="CU67" s="64">
        <f>IFERROR(LOOKUP(CU$15,HourlyTimeseries!$A:$A,HourlyTimeseries!$M:$M),"")</f>
        <v>9</v>
      </c>
      <c r="CV67" s="64">
        <f>IFERROR(LOOKUP(CV$15,HourlyTimeseries!$A:$A,HourlyTimeseries!$M:$M),"")</f>
        <v>9</v>
      </c>
      <c r="CW67" s="64">
        <f>IFERROR(LOOKUP(CW$15,HourlyTimeseries!$A:$A,HourlyTimeseries!$M:$M),"")</f>
        <v>9</v>
      </c>
      <c r="CX67" s="64">
        <f>IFERROR(LOOKUP(CX$15,HourlyTimeseries!$A:$A,HourlyTimeseries!$M:$M),"")</f>
        <v>9</v>
      </c>
      <c r="CY67" s="73">
        <f>IFERROR(LOOKUP(CY$15,HourlyTimeseries!$A:$A,HourlyTimeseries!$M:$M),"")</f>
        <v>9</v>
      </c>
      <c r="CZ67" s="80">
        <f>IFERROR(LOOKUP(CZ$15,HourlyTimeseries!$A:$A,HourlyTimeseries!$M:$M),"")</f>
        <v>9</v>
      </c>
      <c r="DA67" s="64">
        <f>IFERROR(LOOKUP(DA$15,HourlyTimeseries!$A:$A,HourlyTimeseries!$M:$M),"")</f>
        <v>9</v>
      </c>
      <c r="DB67" s="64">
        <f>IFERROR(LOOKUP(DB$15,HourlyTimeseries!$A:$A,HourlyTimeseries!$M:$M),"")</f>
        <v>9</v>
      </c>
      <c r="DC67" s="64">
        <f>IFERROR(LOOKUP(DC$15,HourlyTimeseries!$A:$A,HourlyTimeseries!$M:$M),"")</f>
        <v>9</v>
      </c>
      <c r="DD67" s="64">
        <f>IFERROR(LOOKUP(DD$15,HourlyTimeseries!$A:$A,HourlyTimeseries!$M:$M),"")</f>
        <v>9</v>
      </c>
      <c r="DE67" s="64">
        <f>IFERROR(LOOKUP(DE$15,HourlyTimeseries!$A:$A,HourlyTimeseries!$M:$M),"")</f>
        <v>9</v>
      </c>
      <c r="DF67" s="64">
        <f>IFERROR(LOOKUP(DF$15,HourlyTimeseries!$A:$A,HourlyTimeseries!$M:$M),"")</f>
        <v>9</v>
      </c>
      <c r="DG67" s="64">
        <f>IFERROR(LOOKUP(DG$15,HourlyTimeseries!$A:$A,HourlyTimeseries!$M:$M),"")</f>
        <v>9</v>
      </c>
      <c r="DH67" s="64">
        <f>IFERROR(LOOKUP(DH$15,HourlyTimeseries!$A:$A,HourlyTimeseries!$M:$M),"")</f>
        <v>9</v>
      </c>
      <c r="DI67" s="64">
        <f>IFERROR(LOOKUP(DI$15,HourlyTimeseries!$A:$A,HourlyTimeseries!$M:$M),"")</f>
        <v>9</v>
      </c>
      <c r="DJ67" s="64">
        <f>IFERROR(LOOKUP(DJ$15,HourlyTimeseries!$A:$A,HourlyTimeseries!$M:$M),"")</f>
        <v>9</v>
      </c>
      <c r="DK67" s="64">
        <f>IFERROR(LOOKUP(DK$15,HourlyTimeseries!$A:$A,HourlyTimeseries!$M:$M),"")</f>
        <v>9</v>
      </c>
      <c r="DL67" s="64">
        <f>IFERROR(LOOKUP(DL$15,HourlyTimeseries!$A:$A,HourlyTimeseries!$M:$M),"")</f>
        <v>9</v>
      </c>
      <c r="DM67" s="64">
        <f>IFERROR(LOOKUP(DM$15,HourlyTimeseries!$A:$A,HourlyTimeseries!$M:$M),"")</f>
        <v>9</v>
      </c>
      <c r="DN67" s="64">
        <f>IFERROR(LOOKUP(DN$15,HourlyTimeseries!$A:$A,HourlyTimeseries!$M:$M),"")</f>
        <v>9</v>
      </c>
      <c r="DO67" s="64">
        <f>IFERROR(LOOKUP(DO$15,HourlyTimeseries!$A:$A,HourlyTimeseries!$M:$M),"")</f>
        <v>9</v>
      </c>
      <c r="DP67" s="64">
        <f>IFERROR(LOOKUP(DP$15,HourlyTimeseries!$A:$A,HourlyTimeseries!$M:$M),"")</f>
        <v>9</v>
      </c>
      <c r="DQ67" s="64">
        <f>IFERROR(LOOKUP(DQ$15,HourlyTimeseries!$A:$A,HourlyTimeseries!$M:$M),"")</f>
        <v>9</v>
      </c>
      <c r="DR67" s="64">
        <f>IFERROR(LOOKUP(DR$15,HourlyTimeseries!$A:$A,HourlyTimeseries!$M:$M),"")</f>
        <v>9</v>
      </c>
      <c r="DS67" s="64">
        <f>IFERROR(LOOKUP(DS$15,HourlyTimeseries!$A:$A,HourlyTimeseries!$M:$M),"")</f>
        <v>9</v>
      </c>
      <c r="DT67" s="64">
        <f>IFERROR(LOOKUP(DT$15,HourlyTimeseries!$A:$A,HourlyTimeseries!$M:$M),"")</f>
        <v>9</v>
      </c>
      <c r="DU67" s="64">
        <f>IFERROR(LOOKUP(DU$15,HourlyTimeseries!$A:$A,HourlyTimeseries!$M:$M),"")</f>
        <v>9</v>
      </c>
      <c r="DV67" s="64">
        <f>IFERROR(LOOKUP(DV$15,HourlyTimeseries!$A:$A,HourlyTimeseries!$M:$M),"")</f>
        <v>9</v>
      </c>
      <c r="DW67" s="73">
        <f>IFERROR(LOOKUP(DW$15,HourlyTimeseries!$A:$A,HourlyTimeseries!$M:$M),"")</f>
        <v>9</v>
      </c>
      <c r="DX67" s="80">
        <f>IFERROR(LOOKUP(DX$15,HourlyTimeseries!$A:$A,HourlyTimeseries!$M:$M),"")</f>
        <v>9</v>
      </c>
      <c r="DY67" s="64">
        <f>IFERROR(LOOKUP(DY$15,HourlyTimeseries!$A:$A,HourlyTimeseries!$M:$M),"")</f>
        <v>9</v>
      </c>
      <c r="DZ67" s="64">
        <f>IFERROR(LOOKUP(DZ$15,HourlyTimeseries!$A:$A,HourlyTimeseries!$M:$M),"")</f>
        <v>9</v>
      </c>
      <c r="EA67" s="64">
        <f>IFERROR(LOOKUP(EA$15,HourlyTimeseries!$A:$A,HourlyTimeseries!$M:$M),"")</f>
        <v>9</v>
      </c>
      <c r="EB67" s="64">
        <f>IFERROR(LOOKUP(EB$15,HourlyTimeseries!$A:$A,HourlyTimeseries!$M:$M),"")</f>
        <v>9</v>
      </c>
      <c r="EC67" s="64">
        <f>IFERROR(LOOKUP(EC$15,HourlyTimeseries!$A:$A,HourlyTimeseries!$M:$M),"")</f>
        <v>9</v>
      </c>
      <c r="ED67" s="64">
        <f>IFERROR(LOOKUP(ED$15,HourlyTimeseries!$A:$A,HourlyTimeseries!$M:$M),"")</f>
        <v>9</v>
      </c>
      <c r="EE67" s="64">
        <f>IFERROR(LOOKUP(EE$15,HourlyTimeseries!$A:$A,HourlyTimeseries!$M:$M),"")</f>
        <v>9</v>
      </c>
      <c r="EF67" s="64">
        <f>IFERROR(LOOKUP(EF$15,HourlyTimeseries!$A:$A,HourlyTimeseries!$M:$M),"")</f>
        <v>9</v>
      </c>
      <c r="EG67" s="64">
        <f>IFERROR(LOOKUP(EG$15,HourlyTimeseries!$A:$A,HourlyTimeseries!$M:$M),"")</f>
        <v>9</v>
      </c>
      <c r="EH67" s="64">
        <f>IFERROR(LOOKUP(EH$15,HourlyTimeseries!$A:$A,HourlyTimeseries!$M:$M),"")</f>
        <v>9</v>
      </c>
      <c r="EI67" s="64">
        <f>IFERROR(LOOKUP(EI$15,HourlyTimeseries!$A:$A,HourlyTimeseries!$M:$M),"")</f>
        <v>9</v>
      </c>
      <c r="EJ67" s="64">
        <f>IFERROR(LOOKUP(EJ$15,HourlyTimeseries!$A:$A,HourlyTimeseries!$M:$M),"")</f>
        <v>9</v>
      </c>
      <c r="EK67" s="64">
        <f>IFERROR(LOOKUP(EK$15,HourlyTimeseries!$A:$A,HourlyTimeseries!$M:$M),"")</f>
        <v>9</v>
      </c>
      <c r="EL67" s="64">
        <f>IFERROR(LOOKUP(EL$15,HourlyTimeseries!$A:$A,HourlyTimeseries!$M:$M),"")</f>
        <v>9</v>
      </c>
      <c r="EM67" s="64">
        <f>IFERROR(LOOKUP(EM$15,HourlyTimeseries!$A:$A,HourlyTimeseries!$M:$M),"")</f>
        <v>9</v>
      </c>
      <c r="EN67" s="64">
        <f>IFERROR(LOOKUP(EN$15,HourlyTimeseries!$A:$A,HourlyTimeseries!$M:$M),"")</f>
        <v>9</v>
      </c>
      <c r="EO67" s="64">
        <f>IFERROR(LOOKUP(EO$15,HourlyTimeseries!$A:$A,HourlyTimeseries!$M:$M),"")</f>
        <v>9</v>
      </c>
      <c r="EP67" s="64">
        <f>IFERROR(LOOKUP(EP$15,HourlyTimeseries!$A:$A,HourlyTimeseries!$M:$M),"")</f>
        <v>9</v>
      </c>
      <c r="EQ67" s="64">
        <f>IFERROR(LOOKUP(EQ$15,HourlyTimeseries!$A:$A,HourlyTimeseries!$M:$M),"")</f>
        <v>9</v>
      </c>
      <c r="ER67" s="64">
        <f>IFERROR(LOOKUP(ER$15,HourlyTimeseries!$A:$A,HourlyTimeseries!$M:$M),"")</f>
        <v>9</v>
      </c>
      <c r="ES67" s="64">
        <f>IFERROR(LOOKUP(ES$15,HourlyTimeseries!$A:$A,HourlyTimeseries!$M:$M),"")</f>
        <v>9</v>
      </c>
      <c r="ET67" s="64">
        <f>IFERROR(LOOKUP(ET$15,HourlyTimeseries!$A:$A,HourlyTimeseries!$M:$M),"")</f>
        <v>9</v>
      </c>
      <c r="EU67" s="73">
        <f>IFERROR(LOOKUP(EU$15,HourlyTimeseries!$A:$A,HourlyTimeseries!$M:$M),"")</f>
        <v>9</v>
      </c>
      <c r="EV67" s="80">
        <f>IFERROR(LOOKUP(EV$15,HourlyTimeseries!$A:$A,HourlyTimeseries!$M:$M),"")</f>
        <v>9</v>
      </c>
      <c r="EW67" s="64">
        <f>IFERROR(LOOKUP(EW$15,HourlyTimeseries!$A:$A,HourlyTimeseries!$M:$M),"")</f>
        <v>9</v>
      </c>
      <c r="EX67" s="64">
        <f>IFERROR(LOOKUP(EX$15,HourlyTimeseries!$A:$A,HourlyTimeseries!$M:$M),"")</f>
        <v>9</v>
      </c>
      <c r="EY67" s="64">
        <f>IFERROR(LOOKUP(EY$15,HourlyTimeseries!$A:$A,HourlyTimeseries!$M:$M),"")</f>
        <v>9</v>
      </c>
      <c r="EZ67" s="64">
        <f>IFERROR(LOOKUP(EZ$15,HourlyTimeseries!$A:$A,HourlyTimeseries!$M:$M),"")</f>
        <v>9</v>
      </c>
      <c r="FA67" s="64">
        <f>IFERROR(LOOKUP(FA$15,HourlyTimeseries!$A:$A,HourlyTimeseries!$M:$M),"")</f>
        <v>9</v>
      </c>
      <c r="FB67" s="64">
        <f>IFERROR(LOOKUP(FB$15,HourlyTimeseries!$A:$A,HourlyTimeseries!$M:$M),"")</f>
        <v>9</v>
      </c>
      <c r="FC67" s="64">
        <f>IFERROR(LOOKUP(FC$15,HourlyTimeseries!$A:$A,HourlyTimeseries!$M:$M),"")</f>
        <v>9</v>
      </c>
      <c r="FD67" s="64">
        <f>IFERROR(LOOKUP(FD$15,HourlyTimeseries!$A:$A,HourlyTimeseries!$M:$M),"")</f>
        <v>9</v>
      </c>
      <c r="FE67" s="64">
        <f>IFERROR(LOOKUP(FE$15,HourlyTimeseries!$A:$A,HourlyTimeseries!$M:$M),"")</f>
        <v>9</v>
      </c>
      <c r="FF67" s="64">
        <f>IFERROR(LOOKUP(FF$15,HourlyTimeseries!$A:$A,HourlyTimeseries!$M:$M),"")</f>
        <v>9</v>
      </c>
      <c r="FG67" s="64">
        <f>IFERROR(LOOKUP(FG$15,HourlyTimeseries!$A:$A,HourlyTimeseries!$M:$M),"")</f>
        <v>9</v>
      </c>
      <c r="FH67" s="64">
        <f>IFERROR(LOOKUP(FH$15,HourlyTimeseries!$A:$A,HourlyTimeseries!$M:$M),"")</f>
        <v>9</v>
      </c>
      <c r="FI67" s="64">
        <f>IFERROR(LOOKUP(FI$15,HourlyTimeseries!$A:$A,HourlyTimeseries!$M:$M),"")</f>
        <v>9</v>
      </c>
      <c r="FJ67" s="64">
        <f>IFERROR(LOOKUP(FJ$15,HourlyTimeseries!$A:$A,HourlyTimeseries!$M:$M),"")</f>
        <v>9</v>
      </c>
      <c r="FK67" s="64">
        <f>IFERROR(LOOKUP(FK$15,HourlyTimeseries!$A:$A,HourlyTimeseries!$M:$M),"")</f>
        <v>9</v>
      </c>
      <c r="FL67" s="64">
        <f>IFERROR(LOOKUP(FL$15,HourlyTimeseries!$A:$A,HourlyTimeseries!$M:$M),"")</f>
        <v>9</v>
      </c>
      <c r="FM67" s="64">
        <f>IFERROR(LOOKUP(FM$15,HourlyTimeseries!$A:$A,HourlyTimeseries!$M:$M),"")</f>
        <v>9</v>
      </c>
      <c r="FN67" s="64">
        <f>IFERROR(LOOKUP(FN$15,HourlyTimeseries!$A:$A,HourlyTimeseries!$M:$M),"")</f>
        <v>9</v>
      </c>
      <c r="FO67" s="64">
        <f>IFERROR(LOOKUP(FO$15,HourlyTimeseries!$A:$A,HourlyTimeseries!$M:$M),"")</f>
        <v>9</v>
      </c>
      <c r="FP67" s="64">
        <f>IFERROR(LOOKUP(FP$15,HourlyTimeseries!$A:$A,HourlyTimeseries!$M:$M),"")</f>
        <v>9</v>
      </c>
      <c r="FQ67" s="64">
        <f>IFERROR(LOOKUP(FQ$15,HourlyTimeseries!$A:$A,HourlyTimeseries!$M:$M),"")</f>
        <v>9</v>
      </c>
      <c r="FR67" s="64">
        <f>IFERROR(LOOKUP(FR$15,HourlyTimeseries!$A:$A,HourlyTimeseries!$M:$M),"")</f>
        <v>9</v>
      </c>
      <c r="FS67" s="73">
        <f>IFERROR(LOOKUP(FS$15,HourlyTimeseries!$A:$A,HourlyTimeseries!$M:$M),"")</f>
        <v>9</v>
      </c>
    </row>
    <row r="68" spans="4:175" x14ac:dyDescent="0.2">
      <c r="D68" s="15" t="s">
        <v>36</v>
      </c>
      <c r="E68" s="2" t="s">
        <v>6</v>
      </c>
      <c r="F68" s="8" t="s">
        <v>151</v>
      </c>
      <c r="G68" s="2"/>
      <c r="H68" s="64">
        <f>IFERROR(LOOKUP(H$15,HourlyTimeseries!$A:$A,HourlyTimeseries!$N:$N),"")</f>
        <v>16.100000000000001</v>
      </c>
      <c r="I68" s="64">
        <f>IFERROR(LOOKUP(I$15,HourlyTimeseries!$A:$A,HourlyTimeseries!$N:$N),"")</f>
        <v>16.100000000000001</v>
      </c>
      <c r="J68" s="64">
        <f>IFERROR(LOOKUP(J$15,HourlyTimeseries!$A:$A,HourlyTimeseries!$N:$N),"")</f>
        <v>16.100000000000001</v>
      </c>
      <c r="K68" s="64">
        <f>IFERROR(LOOKUP(K$15,HourlyTimeseries!$A:$A,HourlyTimeseries!$N:$N),"")</f>
        <v>16.100000000000001</v>
      </c>
      <c r="L68" s="64">
        <f>IFERROR(LOOKUP(L$15,HourlyTimeseries!$A:$A,HourlyTimeseries!$N:$N),"")</f>
        <v>16.100000000000001</v>
      </c>
      <c r="M68" s="64">
        <f>IFERROR(LOOKUP(M$15,HourlyTimeseries!$A:$A,HourlyTimeseries!$N:$N),"")</f>
        <v>16.100000000000001</v>
      </c>
      <c r="N68" s="64">
        <f>IFERROR(LOOKUP(N$15,HourlyTimeseries!$A:$A,HourlyTimeseries!$N:$N),"")</f>
        <v>16.100000000000001</v>
      </c>
      <c r="O68" s="64">
        <f>IFERROR(LOOKUP(O$15,HourlyTimeseries!$A:$A,HourlyTimeseries!$N:$N),"")</f>
        <v>16.100000000000001</v>
      </c>
      <c r="P68" s="64">
        <f>IFERROR(LOOKUP(P$15,HourlyTimeseries!$A:$A,HourlyTimeseries!$N:$N),"")</f>
        <v>16.100000000000001</v>
      </c>
      <c r="Q68" s="64">
        <f>IFERROR(LOOKUP(Q$15,HourlyTimeseries!$A:$A,HourlyTimeseries!$N:$N),"")</f>
        <v>16.100000000000001</v>
      </c>
      <c r="R68" s="64">
        <f>IFERROR(LOOKUP(R$15,HourlyTimeseries!$A:$A,HourlyTimeseries!$N:$N),"")</f>
        <v>16.100000000000001</v>
      </c>
      <c r="S68" s="64">
        <f>IFERROR(LOOKUP(S$15,HourlyTimeseries!$A:$A,HourlyTimeseries!$N:$N),"")</f>
        <v>16.100000000000001</v>
      </c>
      <c r="T68" s="64">
        <f>IFERROR(LOOKUP(T$15,HourlyTimeseries!$A:$A,HourlyTimeseries!$N:$N),"")</f>
        <v>16.100000000000001</v>
      </c>
      <c r="U68" s="64">
        <f>IFERROR(LOOKUP(U$15,HourlyTimeseries!$A:$A,HourlyTimeseries!$N:$N),"")</f>
        <v>16.100000000000001</v>
      </c>
      <c r="V68" s="64">
        <f>IFERROR(LOOKUP(V$15,HourlyTimeseries!$A:$A,HourlyTimeseries!$N:$N),"")</f>
        <v>16.100000000000001</v>
      </c>
      <c r="W68" s="64">
        <f>IFERROR(LOOKUP(W$15,HourlyTimeseries!$A:$A,HourlyTimeseries!$N:$N),"")</f>
        <v>16.100000000000001</v>
      </c>
      <c r="X68" s="64">
        <f>IFERROR(LOOKUP(X$15,HourlyTimeseries!$A:$A,HourlyTimeseries!$N:$N),"")</f>
        <v>16.100000000000001</v>
      </c>
      <c r="Y68" s="64">
        <f>IFERROR(LOOKUP(Y$15,HourlyTimeseries!$A:$A,HourlyTimeseries!$N:$N),"")</f>
        <v>16.100000000000001</v>
      </c>
      <c r="Z68" s="64">
        <f>IFERROR(LOOKUP(Z$15,HourlyTimeseries!$A:$A,HourlyTimeseries!$N:$N),"")</f>
        <v>16.100000000000001</v>
      </c>
      <c r="AA68" s="64">
        <f>IFERROR(LOOKUP(AA$15,HourlyTimeseries!$A:$A,HourlyTimeseries!$N:$N),"")</f>
        <v>16.100000000000001</v>
      </c>
      <c r="AB68" s="64">
        <f>IFERROR(LOOKUP(AB$15,HourlyTimeseries!$A:$A,HourlyTimeseries!$N:$N),"")</f>
        <v>16.100000000000001</v>
      </c>
      <c r="AC68" s="64">
        <f>IFERROR(LOOKUP(AC$15,HourlyTimeseries!$A:$A,HourlyTimeseries!$N:$N),"")</f>
        <v>16.100000000000001</v>
      </c>
      <c r="AD68" s="64">
        <f>IFERROR(LOOKUP(AD$15,HourlyTimeseries!$A:$A,HourlyTimeseries!$N:$N),"")</f>
        <v>16.100000000000001</v>
      </c>
      <c r="AE68" s="73">
        <f>IFERROR(LOOKUP(AE$15,HourlyTimeseries!$A:$A,HourlyTimeseries!$N:$N),"")</f>
        <v>16.100000000000001</v>
      </c>
      <c r="AF68" s="80">
        <f>IFERROR(LOOKUP(AF$15,HourlyTimeseries!$A:$A,HourlyTimeseries!$N:$N),"")</f>
        <v>16.100000000000001</v>
      </c>
      <c r="AG68" s="64">
        <f>IFERROR(LOOKUP(AG$15,HourlyTimeseries!$A:$A,HourlyTimeseries!$N:$N),"")</f>
        <v>16.100000000000001</v>
      </c>
      <c r="AH68" s="64">
        <f>IFERROR(LOOKUP(AH$15,HourlyTimeseries!$A:$A,HourlyTimeseries!$N:$N),"")</f>
        <v>16.100000000000001</v>
      </c>
      <c r="AI68" s="64">
        <f>IFERROR(LOOKUP(AI$15,HourlyTimeseries!$A:$A,HourlyTimeseries!$N:$N),"")</f>
        <v>16.100000000000001</v>
      </c>
      <c r="AJ68" s="64">
        <f>IFERROR(LOOKUP(AJ$15,HourlyTimeseries!$A:$A,HourlyTimeseries!$N:$N),"")</f>
        <v>16.100000000000001</v>
      </c>
      <c r="AK68" s="64">
        <f>IFERROR(LOOKUP(AK$15,HourlyTimeseries!$A:$A,HourlyTimeseries!$N:$N),"")</f>
        <v>16.100000000000001</v>
      </c>
      <c r="AL68" s="64">
        <f>IFERROR(LOOKUP(AL$15,HourlyTimeseries!$A:$A,HourlyTimeseries!$N:$N),"")</f>
        <v>16.100000000000001</v>
      </c>
      <c r="AM68" s="64">
        <f>IFERROR(LOOKUP(AM$15,HourlyTimeseries!$A:$A,HourlyTimeseries!$N:$N),"")</f>
        <v>16.100000000000001</v>
      </c>
      <c r="AN68" s="64">
        <f>IFERROR(LOOKUP(AN$15,HourlyTimeseries!$A:$A,HourlyTimeseries!$N:$N),"")</f>
        <v>16.100000000000001</v>
      </c>
      <c r="AO68" s="64">
        <f>IFERROR(LOOKUP(AO$15,HourlyTimeseries!$A:$A,HourlyTimeseries!$N:$N),"")</f>
        <v>16.100000000000001</v>
      </c>
      <c r="AP68" s="64">
        <f>IFERROR(LOOKUP(AP$15,HourlyTimeseries!$A:$A,HourlyTimeseries!$N:$N),"")</f>
        <v>16.100000000000001</v>
      </c>
      <c r="AQ68" s="64">
        <f>IFERROR(LOOKUP(AQ$15,HourlyTimeseries!$A:$A,HourlyTimeseries!$N:$N),"")</f>
        <v>16.100000000000001</v>
      </c>
      <c r="AR68" s="64">
        <f>IFERROR(LOOKUP(AR$15,HourlyTimeseries!$A:$A,HourlyTimeseries!$N:$N),"")</f>
        <v>16.100000000000001</v>
      </c>
      <c r="AS68" s="64">
        <f>IFERROR(LOOKUP(AS$15,HourlyTimeseries!$A:$A,HourlyTimeseries!$N:$N),"")</f>
        <v>16.100000000000001</v>
      </c>
      <c r="AT68" s="64">
        <f>IFERROR(LOOKUP(AT$15,HourlyTimeseries!$A:$A,HourlyTimeseries!$N:$N),"")</f>
        <v>16.100000000000001</v>
      </c>
      <c r="AU68" s="64">
        <f>IFERROR(LOOKUP(AU$15,HourlyTimeseries!$A:$A,HourlyTimeseries!$N:$N),"")</f>
        <v>16.100000000000001</v>
      </c>
      <c r="AV68" s="64">
        <f>IFERROR(LOOKUP(AV$15,HourlyTimeseries!$A:$A,HourlyTimeseries!$N:$N),"")</f>
        <v>16.100000000000001</v>
      </c>
      <c r="AW68" s="64">
        <f>IFERROR(LOOKUP(AW$15,HourlyTimeseries!$A:$A,HourlyTimeseries!$N:$N),"")</f>
        <v>16.100000000000001</v>
      </c>
      <c r="AX68" s="64">
        <f>IFERROR(LOOKUP(AX$15,HourlyTimeseries!$A:$A,HourlyTimeseries!$N:$N),"")</f>
        <v>16.100000000000001</v>
      </c>
      <c r="AY68" s="64">
        <f>IFERROR(LOOKUP(AY$15,HourlyTimeseries!$A:$A,HourlyTimeseries!$N:$N),"")</f>
        <v>16.100000000000001</v>
      </c>
      <c r="AZ68" s="64">
        <f>IFERROR(LOOKUP(AZ$15,HourlyTimeseries!$A:$A,HourlyTimeseries!$N:$N),"")</f>
        <v>16.100000000000001</v>
      </c>
      <c r="BA68" s="64">
        <f>IFERROR(LOOKUP(BA$15,HourlyTimeseries!$A:$A,HourlyTimeseries!$N:$N),"")</f>
        <v>16.100000000000001</v>
      </c>
      <c r="BB68" s="64">
        <f>IFERROR(LOOKUP(BB$15,HourlyTimeseries!$A:$A,HourlyTimeseries!$N:$N),"")</f>
        <v>16.100000000000001</v>
      </c>
      <c r="BC68" s="73">
        <f>IFERROR(LOOKUP(BC$15,HourlyTimeseries!$A:$A,HourlyTimeseries!$N:$N),"")</f>
        <v>16.100000000000001</v>
      </c>
      <c r="BD68" s="80">
        <f>IFERROR(LOOKUP(BD$15,HourlyTimeseries!$A:$A,HourlyTimeseries!$N:$N),"")</f>
        <v>16.100000000000001</v>
      </c>
      <c r="BE68" s="64">
        <f>IFERROR(LOOKUP(BE$15,HourlyTimeseries!$A:$A,HourlyTimeseries!$N:$N),"")</f>
        <v>16.100000000000001</v>
      </c>
      <c r="BF68" s="64">
        <f>IFERROR(LOOKUP(BF$15,HourlyTimeseries!$A:$A,HourlyTimeseries!$N:$N),"")</f>
        <v>16.100000000000001</v>
      </c>
      <c r="BG68" s="64">
        <f>IFERROR(LOOKUP(BG$15,HourlyTimeseries!$A:$A,HourlyTimeseries!$N:$N),"")</f>
        <v>16.100000000000001</v>
      </c>
      <c r="BH68" s="64">
        <f>IFERROR(LOOKUP(BH$15,HourlyTimeseries!$A:$A,HourlyTimeseries!$N:$N),"")</f>
        <v>16.100000000000001</v>
      </c>
      <c r="BI68" s="64">
        <f>IFERROR(LOOKUP(BI$15,HourlyTimeseries!$A:$A,HourlyTimeseries!$N:$N),"")</f>
        <v>16.100000000000001</v>
      </c>
      <c r="BJ68" s="64">
        <f>IFERROR(LOOKUP(BJ$15,HourlyTimeseries!$A:$A,HourlyTimeseries!$N:$N),"")</f>
        <v>16.100000000000001</v>
      </c>
      <c r="BK68" s="64">
        <f>IFERROR(LOOKUP(BK$15,HourlyTimeseries!$A:$A,HourlyTimeseries!$N:$N),"")</f>
        <v>16.100000000000001</v>
      </c>
      <c r="BL68" s="64">
        <f>IFERROR(LOOKUP(BL$15,HourlyTimeseries!$A:$A,HourlyTimeseries!$N:$N),"")</f>
        <v>16.100000000000001</v>
      </c>
      <c r="BM68" s="64">
        <f>IFERROR(LOOKUP(BM$15,HourlyTimeseries!$A:$A,HourlyTimeseries!$N:$N),"")</f>
        <v>16.100000000000001</v>
      </c>
      <c r="BN68" s="64">
        <f>IFERROR(LOOKUP(BN$15,HourlyTimeseries!$A:$A,HourlyTimeseries!$N:$N),"")</f>
        <v>16.100000000000001</v>
      </c>
      <c r="BO68" s="64">
        <f>IFERROR(LOOKUP(BO$15,HourlyTimeseries!$A:$A,HourlyTimeseries!$N:$N),"")</f>
        <v>16.100000000000001</v>
      </c>
      <c r="BP68" s="64">
        <f>IFERROR(LOOKUP(BP$15,HourlyTimeseries!$A:$A,HourlyTimeseries!$N:$N),"")</f>
        <v>16.100000000000001</v>
      </c>
      <c r="BQ68" s="64">
        <f>IFERROR(LOOKUP(BQ$15,HourlyTimeseries!$A:$A,HourlyTimeseries!$N:$N),"")</f>
        <v>16.100000000000001</v>
      </c>
      <c r="BR68" s="64">
        <f>IFERROR(LOOKUP(BR$15,HourlyTimeseries!$A:$A,HourlyTimeseries!$N:$N),"")</f>
        <v>16.100000000000001</v>
      </c>
      <c r="BS68" s="64">
        <f>IFERROR(LOOKUP(BS$15,HourlyTimeseries!$A:$A,HourlyTimeseries!$N:$N),"")</f>
        <v>16.100000000000001</v>
      </c>
      <c r="BT68" s="64">
        <f>IFERROR(LOOKUP(BT$15,HourlyTimeseries!$A:$A,HourlyTimeseries!$N:$N),"")</f>
        <v>16.100000000000001</v>
      </c>
      <c r="BU68" s="64">
        <f>IFERROR(LOOKUP(BU$15,HourlyTimeseries!$A:$A,HourlyTimeseries!$N:$N),"")</f>
        <v>16.100000000000001</v>
      </c>
      <c r="BV68" s="64">
        <f>IFERROR(LOOKUP(BV$15,HourlyTimeseries!$A:$A,HourlyTimeseries!$N:$N),"")</f>
        <v>16.100000000000001</v>
      </c>
      <c r="BW68" s="64">
        <f>IFERROR(LOOKUP(BW$15,HourlyTimeseries!$A:$A,HourlyTimeseries!$N:$N),"")</f>
        <v>16.100000000000001</v>
      </c>
      <c r="BX68" s="64">
        <f>IFERROR(LOOKUP(BX$15,HourlyTimeseries!$A:$A,HourlyTimeseries!$N:$N),"")</f>
        <v>16.100000000000001</v>
      </c>
      <c r="BY68" s="64">
        <f>IFERROR(LOOKUP(BY$15,HourlyTimeseries!$A:$A,HourlyTimeseries!$N:$N),"")</f>
        <v>16.100000000000001</v>
      </c>
      <c r="BZ68" s="64">
        <f>IFERROR(LOOKUP(BZ$15,HourlyTimeseries!$A:$A,HourlyTimeseries!$N:$N),"")</f>
        <v>16.100000000000001</v>
      </c>
      <c r="CA68" s="73">
        <f>IFERROR(LOOKUP(CA$15,HourlyTimeseries!$A:$A,HourlyTimeseries!$N:$N),"")</f>
        <v>16.100000000000001</v>
      </c>
      <c r="CB68" s="80">
        <f>IFERROR(LOOKUP(CB$15,HourlyTimeseries!$A:$A,HourlyTimeseries!$N:$N),"")</f>
        <v>16.100000000000001</v>
      </c>
      <c r="CC68" s="64">
        <f>IFERROR(LOOKUP(CC$15,HourlyTimeseries!$A:$A,HourlyTimeseries!$N:$N),"")</f>
        <v>16.100000000000001</v>
      </c>
      <c r="CD68" s="64">
        <f>IFERROR(LOOKUP(CD$15,HourlyTimeseries!$A:$A,HourlyTimeseries!$N:$N),"")</f>
        <v>16.100000000000001</v>
      </c>
      <c r="CE68" s="64">
        <f>IFERROR(LOOKUP(CE$15,HourlyTimeseries!$A:$A,HourlyTimeseries!$N:$N),"")</f>
        <v>16.100000000000001</v>
      </c>
      <c r="CF68" s="64">
        <f>IFERROR(LOOKUP(CF$15,HourlyTimeseries!$A:$A,HourlyTimeseries!$N:$N),"")</f>
        <v>16.100000000000001</v>
      </c>
      <c r="CG68" s="64">
        <f>IFERROR(LOOKUP(CG$15,HourlyTimeseries!$A:$A,HourlyTimeseries!$N:$N),"")</f>
        <v>16.100000000000001</v>
      </c>
      <c r="CH68" s="64">
        <f>IFERROR(LOOKUP(CH$15,HourlyTimeseries!$A:$A,HourlyTimeseries!$N:$N),"")</f>
        <v>16.100000000000001</v>
      </c>
      <c r="CI68" s="64">
        <f>IFERROR(LOOKUP(CI$15,HourlyTimeseries!$A:$A,HourlyTimeseries!$N:$N),"")</f>
        <v>16.100000000000001</v>
      </c>
      <c r="CJ68" s="64">
        <f>IFERROR(LOOKUP(CJ$15,HourlyTimeseries!$A:$A,HourlyTimeseries!$N:$N),"")</f>
        <v>16.100000000000001</v>
      </c>
      <c r="CK68" s="64">
        <f>IFERROR(LOOKUP(CK$15,HourlyTimeseries!$A:$A,HourlyTimeseries!$N:$N),"")</f>
        <v>16.100000000000001</v>
      </c>
      <c r="CL68" s="64">
        <f>IFERROR(LOOKUP(CL$15,HourlyTimeseries!$A:$A,HourlyTimeseries!$N:$N),"")</f>
        <v>16.100000000000001</v>
      </c>
      <c r="CM68" s="64">
        <f>IFERROR(LOOKUP(CM$15,HourlyTimeseries!$A:$A,HourlyTimeseries!$N:$N),"")</f>
        <v>16.100000000000001</v>
      </c>
      <c r="CN68" s="64">
        <f>IFERROR(LOOKUP(CN$15,HourlyTimeseries!$A:$A,HourlyTimeseries!$N:$N),"")</f>
        <v>16.100000000000001</v>
      </c>
      <c r="CO68" s="64">
        <f>IFERROR(LOOKUP(CO$15,HourlyTimeseries!$A:$A,HourlyTimeseries!$N:$N),"")</f>
        <v>16.100000000000001</v>
      </c>
      <c r="CP68" s="64">
        <f>IFERROR(LOOKUP(CP$15,HourlyTimeseries!$A:$A,HourlyTimeseries!$N:$N),"")</f>
        <v>16.100000000000001</v>
      </c>
      <c r="CQ68" s="64">
        <f>IFERROR(LOOKUP(CQ$15,HourlyTimeseries!$A:$A,HourlyTimeseries!$N:$N),"")</f>
        <v>16.100000000000001</v>
      </c>
      <c r="CR68" s="64">
        <f>IFERROR(LOOKUP(CR$15,HourlyTimeseries!$A:$A,HourlyTimeseries!$N:$N),"")</f>
        <v>16.100000000000001</v>
      </c>
      <c r="CS68" s="64">
        <f>IFERROR(LOOKUP(CS$15,HourlyTimeseries!$A:$A,HourlyTimeseries!$N:$N),"")</f>
        <v>16.100000000000001</v>
      </c>
      <c r="CT68" s="64">
        <f>IFERROR(LOOKUP(CT$15,HourlyTimeseries!$A:$A,HourlyTimeseries!$N:$N),"")</f>
        <v>16.100000000000001</v>
      </c>
      <c r="CU68" s="64">
        <f>IFERROR(LOOKUP(CU$15,HourlyTimeseries!$A:$A,HourlyTimeseries!$N:$N),"")</f>
        <v>16.100000000000001</v>
      </c>
      <c r="CV68" s="64">
        <f>IFERROR(LOOKUP(CV$15,HourlyTimeseries!$A:$A,HourlyTimeseries!$N:$N),"")</f>
        <v>16.100000000000001</v>
      </c>
      <c r="CW68" s="64">
        <f>IFERROR(LOOKUP(CW$15,HourlyTimeseries!$A:$A,HourlyTimeseries!$N:$N),"")</f>
        <v>16.100000000000001</v>
      </c>
      <c r="CX68" s="64">
        <f>IFERROR(LOOKUP(CX$15,HourlyTimeseries!$A:$A,HourlyTimeseries!$N:$N),"")</f>
        <v>16.100000000000001</v>
      </c>
      <c r="CY68" s="73">
        <f>IFERROR(LOOKUP(CY$15,HourlyTimeseries!$A:$A,HourlyTimeseries!$N:$N),"")</f>
        <v>16.100000000000001</v>
      </c>
      <c r="CZ68" s="80">
        <f>IFERROR(LOOKUP(CZ$15,HourlyTimeseries!$A:$A,HourlyTimeseries!$N:$N),"")</f>
        <v>16.100000000000001</v>
      </c>
      <c r="DA68" s="64">
        <f>IFERROR(LOOKUP(DA$15,HourlyTimeseries!$A:$A,HourlyTimeseries!$N:$N),"")</f>
        <v>16.100000000000001</v>
      </c>
      <c r="DB68" s="64">
        <f>IFERROR(LOOKUP(DB$15,HourlyTimeseries!$A:$A,HourlyTimeseries!$N:$N),"")</f>
        <v>16.100000000000001</v>
      </c>
      <c r="DC68" s="64">
        <f>IFERROR(LOOKUP(DC$15,HourlyTimeseries!$A:$A,HourlyTimeseries!$N:$N),"")</f>
        <v>16.100000000000001</v>
      </c>
      <c r="DD68" s="64">
        <f>IFERROR(LOOKUP(DD$15,HourlyTimeseries!$A:$A,HourlyTimeseries!$N:$N),"")</f>
        <v>16.100000000000001</v>
      </c>
      <c r="DE68" s="64">
        <f>IFERROR(LOOKUP(DE$15,HourlyTimeseries!$A:$A,HourlyTimeseries!$N:$N),"")</f>
        <v>16.100000000000001</v>
      </c>
      <c r="DF68" s="64">
        <f>IFERROR(LOOKUP(DF$15,HourlyTimeseries!$A:$A,HourlyTimeseries!$N:$N),"")</f>
        <v>16.100000000000001</v>
      </c>
      <c r="DG68" s="64">
        <f>IFERROR(LOOKUP(DG$15,HourlyTimeseries!$A:$A,HourlyTimeseries!$N:$N),"")</f>
        <v>16.100000000000001</v>
      </c>
      <c r="DH68" s="64">
        <f>IFERROR(LOOKUP(DH$15,HourlyTimeseries!$A:$A,HourlyTimeseries!$N:$N),"")</f>
        <v>16.100000000000001</v>
      </c>
      <c r="DI68" s="64">
        <f>IFERROR(LOOKUP(DI$15,HourlyTimeseries!$A:$A,HourlyTimeseries!$N:$N),"")</f>
        <v>16.100000000000001</v>
      </c>
      <c r="DJ68" s="64">
        <f>IFERROR(LOOKUP(DJ$15,HourlyTimeseries!$A:$A,HourlyTimeseries!$N:$N),"")</f>
        <v>16.100000000000001</v>
      </c>
      <c r="DK68" s="64">
        <f>IFERROR(LOOKUP(DK$15,HourlyTimeseries!$A:$A,HourlyTimeseries!$N:$N),"")</f>
        <v>16.100000000000001</v>
      </c>
      <c r="DL68" s="64">
        <f>IFERROR(LOOKUP(DL$15,HourlyTimeseries!$A:$A,HourlyTimeseries!$N:$N),"")</f>
        <v>16.100000000000001</v>
      </c>
      <c r="DM68" s="64">
        <f>IFERROR(LOOKUP(DM$15,HourlyTimeseries!$A:$A,HourlyTimeseries!$N:$N),"")</f>
        <v>16.100000000000001</v>
      </c>
      <c r="DN68" s="64">
        <f>IFERROR(LOOKUP(DN$15,HourlyTimeseries!$A:$A,HourlyTimeseries!$N:$N),"")</f>
        <v>16.100000000000001</v>
      </c>
      <c r="DO68" s="64">
        <f>IFERROR(LOOKUP(DO$15,HourlyTimeseries!$A:$A,HourlyTimeseries!$N:$N),"")</f>
        <v>16.100000000000001</v>
      </c>
      <c r="DP68" s="64">
        <f>IFERROR(LOOKUP(DP$15,HourlyTimeseries!$A:$A,HourlyTimeseries!$N:$N),"")</f>
        <v>16.100000000000001</v>
      </c>
      <c r="DQ68" s="64">
        <f>IFERROR(LOOKUP(DQ$15,HourlyTimeseries!$A:$A,HourlyTimeseries!$N:$N),"")</f>
        <v>16.100000000000001</v>
      </c>
      <c r="DR68" s="64">
        <f>IFERROR(LOOKUP(DR$15,HourlyTimeseries!$A:$A,HourlyTimeseries!$N:$N),"")</f>
        <v>16.100000000000001</v>
      </c>
      <c r="DS68" s="64">
        <f>IFERROR(LOOKUP(DS$15,HourlyTimeseries!$A:$A,HourlyTimeseries!$N:$N),"")</f>
        <v>16.100000000000001</v>
      </c>
      <c r="DT68" s="64">
        <f>IFERROR(LOOKUP(DT$15,HourlyTimeseries!$A:$A,HourlyTimeseries!$N:$N),"")</f>
        <v>16.100000000000001</v>
      </c>
      <c r="DU68" s="64">
        <f>IFERROR(LOOKUP(DU$15,HourlyTimeseries!$A:$A,HourlyTimeseries!$N:$N),"")</f>
        <v>16.100000000000001</v>
      </c>
      <c r="DV68" s="64">
        <f>IFERROR(LOOKUP(DV$15,HourlyTimeseries!$A:$A,HourlyTimeseries!$N:$N),"")</f>
        <v>16.100000000000001</v>
      </c>
      <c r="DW68" s="73">
        <f>IFERROR(LOOKUP(DW$15,HourlyTimeseries!$A:$A,HourlyTimeseries!$N:$N),"")</f>
        <v>16.100000000000001</v>
      </c>
      <c r="DX68" s="80">
        <f>IFERROR(LOOKUP(DX$15,HourlyTimeseries!$A:$A,HourlyTimeseries!$N:$N),"")</f>
        <v>16.100000000000001</v>
      </c>
      <c r="DY68" s="64">
        <f>IFERROR(LOOKUP(DY$15,HourlyTimeseries!$A:$A,HourlyTimeseries!$N:$N),"")</f>
        <v>16.100000000000001</v>
      </c>
      <c r="DZ68" s="64">
        <f>IFERROR(LOOKUP(DZ$15,HourlyTimeseries!$A:$A,HourlyTimeseries!$N:$N),"")</f>
        <v>16.100000000000001</v>
      </c>
      <c r="EA68" s="64">
        <f>IFERROR(LOOKUP(EA$15,HourlyTimeseries!$A:$A,HourlyTimeseries!$N:$N),"")</f>
        <v>16.100000000000001</v>
      </c>
      <c r="EB68" s="64">
        <f>IFERROR(LOOKUP(EB$15,HourlyTimeseries!$A:$A,HourlyTimeseries!$N:$N),"")</f>
        <v>16.100000000000001</v>
      </c>
      <c r="EC68" s="64">
        <f>IFERROR(LOOKUP(EC$15,HourlyTimeseries!$A:$A,HourlyTimeseries!$N:$N),"")</f>
        <v>16.100000000000001</v>
      </c>
      <c r="ED68" s="64">
        <f>IFERROR(LOOKUP(ED$15,HourlyTimeseries!$A:$A,HourlyTimeseries!$N:$N),"")</f>
        <v>16.100000000000001</v>
      </c>
      <c r="EE68" s="64">
        <f>IFERROR(LOOKUP(EE$15,HourlyTimeseries!$A:$A,HourlyTimeseries!$N:$N),"")</f>
        <v>16.100000000000001</v>
      </c>
      <c r="EF68" s="64">
        <f>IFERROR(LOOKUP(EF$15,HourlyTimeseries!$A:$A,HourlyTimeseries!$N:$N),"")</f>
        <v>16.100000000000001</v>
      </c>
      <c r="EG68" s="64">
        <f>IFERROR(LOOKUP(EG$15,HourlyTimeseries!$A:$A,HourlyTimeseries!$N:$N),"")</f>
        <v>16.100000000000001</v>
      </c>
      <c r="EH68" s="64">
        <f>IFERROR(LOOKUP(EH$15,HourlyTimeseries!$A:$A,HourlyTimeseries!$N:$N),"")</f>
        <v>16.100000000000001</v>
      </c>
      <c r="EI68" s="64">
        <f>IFERROR(LOOKUP(EI$15,HourlyTimeseries!$A:$A,HourlyTimeseries!$N:$N),"")</f>
        <v>16.100000000000001</v>
      </c>
      <c r="EJ68" s="64">
        <f>IFERROR(LOOKUP(EJ$15,HourlyTimeseries!$A:$A,HourlyTimeseries!$N:$N),"")</f>
        <v>16.100000000000001</v>
      </c>
      <c r="EK68" s="64">
        <f>IFERROR(LOOKUP(EK$15,HourlyTimeseries!$A:$A,HourlyTimeseries!$N:$N),"")</f>
        <v>16.100000000000001</v>
      </c>
      <c r="EL68" s="64">
        <f>IFERROR(LOOKUP(EL$15,HourlyTimeseries!$A:$A,HourlyTimeseries!$N:$N),"")</f>
        <v>16.100000000000001</v>
      </c>
      <c r="EM68" s="64">
        <f>IFERROR(LOOKUP(EM$15,HourlyTimeseries!$A:$A,HourlyTimeseries!$N:$N),"")</f>
        <v>16.100000000000001</v>
      </c>
      <c r="EN68" s="64">
        <f>IFERROR(LOOKUP(EN$15,HourlyTimeseries!$A:$A,HourlyTimeseries!$N:$N),"")</f>
        <v>16.100000000000001</v>
      </c>
      <c r="EO68" s="64">
        <f>IFERROR(LOOKUP(EO$15,HourlyTimeseries!$A:$A,HourlyTimeseries!$N:$N),"")</f>
        <v>16.100000000000001</v>
      </c>
      <c r="EP68" s="64">
        <f>IFERROR(LOOKUP(EP$15,HourlyTimeseries!$A:$A,HourlyTimeseries!$N:$N),"")</f>
        <v>16.100000000000001</v>
      </c>
      <c r="EQ68" s="64">
        <f>IFERROR(LOOKUP(EQ$15,HourlyTimeseries!$A:$A,HourlyTimeseries!$N:$N),"")</f>
        <v>16.100000000000001</v>
      </c>
      <c r="ER68" s="64">
        <f>IFERROR(LOOKUP(ER$15,HourlyTimeseries!$A:$A,HourlyTimeseries!$N:$N),"")</f>
        <v>16.100000000000001</v>
      </c>
      <c r="ES68" s="64">
        <f>IFERROR(LOOKUP(ES$15,HourlyTimeseries!$A:$A,HourlyTimeseries!$N:$N),"")</f>
        <v>16.100000000000001</v>
      </c>
      <c r="ET68" s="64">
        <f>IFERROR(LOOKUP(ET$15,HourlyTimeseries!$A:$A,HourlyTimeseries!$N:$N),"")</f>
        <v>16.100000000000001</v>
      </c>
      <c r="EU68" s="73">
        <f>IFERROR(LOOKUP(EU$15,HourlyTimeseries!$A:$A,HourlyTimeseries!$N:$N),"")</f>
        <v>16.100000000000001</v>
      </c>
      <c r="EV68" s="80">
        <f>IFERROR(LOOKUP(EV$15,HourlyTimeseries!$A:$A,HourlyTimeseries!$N:$N),"")</f>
        <v>16.100000000000001</v>
      </c>
      <c r="EW68" s="64">
        <f>IFERROR(LOOKUP(EW$15,HourlyTimeseries!$A:$A,HourlyTimeseries!$N:$N),"")</f>
        <v>16.100000000000001</v>
      </c>
      <c r="EX68" s="64">
        <f>IFERROR(LOOKUP(EX$15,HourlyTimeseries!$A:$A,HourlyTimeseries!$N:$N),"")</f>
        <v>16.100000000000001</v>
      </c>
      <c r="EY68" s="64">
        <f>IFERROR(LOOKUP(EY$15,HourlyTimeseries!$A:$A,HourlyTimeseries!$N:$N),"")</f>
        <v>16.100000000000001</v>
      </c>
      <c r="EZ68" s="64">
        <f>IFERROR(LOOKUP(EZ$15,HourlyTimeseries!$A:$A,HourlyTimeseries!$N:$N),"")</f>
        <v>16.100000000000001</v>
      </c>
      <c r="FA68" s="64">
        <f>IFERROR(LOOKUP(FA$15,HourlyTimeseries!$A:$A,HourlyTimeseries!$N:$N),"")</f>
        <v>16.100000000000001</v>
      </c>
      <c r="FB68" s="64">
        <f>IFERROR(LOOKUP(FB$15,HourlyTimeseries!$A:$A,HourlyTimeseries!$N:$N),"")</f>
        <v>16.100000000000001</v>
      </c>
      <c r="FC68" s="64">
        <f>IFERROR(LOOKUP(FC$15,HourlyTimeseries!$A:$A,HourlyTimeseries!$N:$N),"")</f>
        <v>16.100000000000001</v>
      </c>
      <c r="FD68" s="64">
        <f>IFERROR(LOOKUP(FD$15,HourlyTimeseries!$A:$A,HourlyTimeseries!$N:$N),"")</f>
        <v>16.100000000000001</v>
      </c>
      <c r="FE68" s="64">
        <f>IFERROR(LOOKUP(FE$15,HourlyTimeseries!$A:$A,HourlyTimeseries!$N:$N),"")</f>
        <v>16.100000000000001</v>
      </c>
      <c r="FF68" s="64">
        <f>IFERROR(LOOKUP(FF$15,HourlyTimeseries!$A:$A,HourlyTimeseries!$N:$N),"")</f>
        <v>16.100000000000001</v>
      </c>
      <c r="FG68" s="64">
        <f>IFERROR(LOOKUP(FG$15,HourlyTimeseries!$A:$A,HourlyTimeseries!$N:$N),"")</f>
        <v>16.100000000000001</v>
      </c>
      <c r="FH68" s="64">
        <f>IFERROR(LOOKUP(FH$15,HourlyTimeseries!$A:$A,HourlyTimeseries!$N:$N),"")</f>
        <v>16.100000000000001</v>
      </c>
      <c r="FI68" s="64">
        <f>IFERROR(LOOKUP(FI$15,HourlyTimeseries!$A:$A,HourlyTimeseries!$N:$N),"")</f>
        <v>16.100000000000001</v>
      </c>
      <c r="FJ68" s="64">
        <f>IFERROR(LOOKUP(FJ$15,HourlyTimeseries!$A:$A,HourlyTimeseries!$N:$N),"")</f>
        <v>16.100000000000001</v>
      </c>
      <c r="FK68" s="64">
        <f>IFERROR(LOOKUP(FK$15,HourlyTimeseries!$A:$A,HourlyTimeseries!$N:$N),"")</f>
        <v>16.100000000000001</v>
      </c>
      <c r="FL68" s="64">
        <f>IFERROR(LOOKUP(FL$15,HourlyTimeseries!$A:$A,HourlyTimeseries!$N:$N),"")</f>
        <v>16.100000000000001</v>
      </c>
      <c r="FM68" s="64">
        <f>IFERROR(LOOKUP(FM$15,HourlyTimeseries!$A:$A,HourlyTimeseries!$N:$N),"")</f>
        <v>16.100000000000001</v>
      </c>
      <c r="FN68" s="64">
        <f>IFERROR(LOOKUP(FN$15,HourlyTimeseries!$A:$A,HourlyTimeseries!$N:$N),"")</f>
        <v>16.100000000000001</v>
      </c>
      <c r="FO68" s="64">
        <f>IFERROR(LOOKUP(FO$15,HourlyTimeseries!$A:$A,HourlyTimeseries!$N:$N),"")</f>
        <v>16.100000000000001</v>
      </c>
      <c r="FP68" s="64">
        <f>IFERROR(LOOKUP(FP$15,HourlyTimeseries!$A:$A,HourlyTimeseries!$N:$N),"")</f>
        <v>16.100000000000001</v>
      </c>
      <c r="FQ68" s="64">
        <f>IFERROR(LOOKUP(FQ$15,HourlyTimeseries!$A:$A,HourlyTimeseries!$N:$N),"")</f>
        <v>16.100000000000001</v>
      </c>
      <c r="FR68" s="64">
        <f>IFERROR(LOOKUP(FR$15,HourlyTimeseries!$A:$A,HourlyTimeseries!$N:$N),"")</f>
        <v>16.100000000000001</v>
      </c>
      <c r="FS68" s="73">
        <f>IFERROR(LOOKUP(FS$15,HourlyTimeseries!$A:$A,HourlyTimeseries!$N:$N),"")</f>
        <v>16.100000000000001</v>
      </c>
    </row>
    <row r="69" spans="4:175" ht="15.75" customHeight="1" thickBot="1" x14ac:dyDescent="0.25">
      <c r="D69" s="16" t="s">
        <v>106</v>
      </c>
      <c r="E69" s="2" t="s">
        <v>102</v>
      </c>
      <c r="F69" s="2"/>
      <c r="G69" s="4" t="b">
        <v>0</v>
      </c>
      <c r="H69" s="65" t="str">
        <f>IF(H72=AE72,"","Might cause infeasibility because Temperature delta between Glen Canyon and RM61 at H01 and H24 are not the same")</f>
        <v>Might cause infeasibility because Temperature delta between Glen Canyon and RM61 at H01 and H24 are not the same</v>
      </c>
      <c r="I69" s="65"/>
      <c r="J69" s="65"/>
      <c r="K69" s="65"/>
      <c r="L69" s="65"/>
      <c r="M69" s="65"/>
      <c r="N69" s="65"/>
      <c r="O69" s="65"/>
      <c r="P69" s="65"/>
      <c r="Q69" s="65"/>
      <c r="R69" s="65"/>
      <c r="S69" s="65"/>
      <c r="T69" s="65"/>
      <c r="U69" s="65"/>
      <c r="V69" s="65"/>
      <c r="W69" s="65"/>
      <c r="X69" s="65"/>
      <c r="Y69" s="65"/>
      <c r="Z69" s="65"/>
      <c r="AA69" s="65"/>
      <c r="AB69" s="65"/>
      <c r="AC69" s="65"/>
      <c r="AD69" s="65"/>
      <c r="AE69" s="74"/>
      <c r="AF69" s="81"/>
      <c r="AG69" s="65"/>
      <c r="AH69" s="65"/>
      <c r="AI69" s="65"/>
      <c r="AJ69" s="65"/>
      <c r="AK69" s="65"/>
      <c r="AL69" s="65"/>
      <c r="AM69" s="65"/>
      <c r="AN69" s="65"/>
      <c r="AO69" s="65"/>
      <c r="AP69" s="65"/>
      <c r="AQ69" s="65"/>
      <c r="AR69" s="65"/>
      <c r="AS69" s="65"/>
      <c r="AT69" s="65"/>
      <c r="AU69" s="65"/>
      <c r="AV69" s="65"/>
      <c r="AW69" s="65"/>
      <c r="AX69" s="65"/>
      <c r="AY69" s="65"/>
      <c r="AZ69" s="65"/>
      <c r="BA69" s="65"/>
      <c r="BB69" s="65"/>
      <c r="BC69" s="74"/>
      <c r="BD69" s="81"/>
      <c r="BE69" s="65"/>
      <c r="BF69" s="65"/>
      <c r="BG69" s="65"/>
      <c r="BH69" s="65"/>
      <c r="BI69" s="65"/>
      <c r="BJ69" s="65"/>
      <c r="BK69" s="65"/>
      <c r="BL69" s="65"/>
      <c r="BM69" s="65"/>
      <c r="BN69" s="65"/>
      <c r="BO69" s="65"/>
      <c r="BP69" s="65"/>
      <c r="BQ69" s="65"/>
      <c r="BR69" s="65"/>
      <c r="BS69" s="65"/>
      <c r="BT69" s="65"/>
      <c r="BU69" s="65"/>
      <c r="BV69" s="65"/>
      <c r="BW69" s="65"/>
      <c r="BX69" s="65"/>
      <c r="BY69" s="65"/>
      <c r="BZ69" s="65"/>
      <c r="CA69" s="74"/>
      <c r="CB69" s="81"/>
      <c r="CC69" s="65"/>
      <c r="CD69" s="65"/>
      <c r="CE69" s="65"/>
      <c r="CF69" s="65"/>
      <c r="CG69" s="65"/>
      <c r="CH69" s="65"/>
      <c r="CI69" s="65"/>
      <c r="CJ69" s="65"/>
      <c r="CK69" s="65"/>
      <c r="CL69" s="65"/>
      <c r="CM69" s="65"/>
      <c r="CN69" s="65"/>
      <c r="CO69" s="65"/>
      <c r="CP69" s="65"/>
      <c r="CQ69" s="65"/>
      <c r="CR69" s="65"/>
      <c r="CS69" s="65"/>
      <c r="CT69" s="65"/>
      <c r="CU69" s="65"/>
      <c r="CV69" s="65"/>
      <c r="CW69" s="65"/>
      <c r="CX69" s="65"/>
      <c r="CY69" s="74"/>
      <c r="CZ69" s="81"/>
      <c r="DA69" s="65"/>
      <c r="DB69" s="65"/>
      <c r="DC69" s="65"/>
      <c r="DD69" s="65"/>
      <c r="DE69" s="65"/>
      <c r="DF69" s="65"/>
      <c r="DG69" s="65"/>
      <c r="DH69" s="65"/>
      <c r="DI69" s="65"/>
      <c r="DJ69" s="65"/>
      <c r="DK69" s="65"/>
      <c r="DL69" s="65"/>
      <c r="DM69" s="65"/>
      <c r="DN69" s="65"/>
      <c r="DO69" s="65"/>
      <c r="DP69" s="65"/>
      <c r="DQ69" s="65"/>
      <c r="DR69" s="65"/>
      <c r="DS69" s="65"/>
      <c r="DT69" s="65"/>
      <c r="DU69" s="65"/>
      <c r="DV69" s="65"/>
      <c r="DW69" s="74"/>
      <c r="DX69" s="81"/>
      <c r="DY69" s="65"/>
      <c r="DZ69" s="65"/>
      <c r="EA69" s="65"/>
      <c r="EB69" s="65"/>
      <c r="EC69" s="65"/>
      <c r="ED69" s="65"/>
      <c r="EE69" s="65"/>
      <c r="EF69" s="65"/>
      <c r="EG69" s="65"/>
      <c r="EH69" s="65"/>
      <c r="EI69" s="65"/>
      <c r="EJ69" s="65"/>
      <c r="EK69" s="65"/>
      <c r="EL69" s="65"/>
      <c r="EM69" s="65"/>
      <c r="EN69" s="65"/>
      <c r="EO69" s="65"/>
      <c r="EP69" s="65"/>
      <c r="EQ69" s="65"/>
      <c r="ER69" s="65"/>
      <c r="ES69" s="65"/>
      <c r="ET69" s="65"/>
      <c r="EU69" s="74"/>
      <c r="EV69" s="81"/>
      <c r="EW69" s="65"/>
      <c r="EX69" s="65"/>
      <c r="EY69" s="65"/>
      <c r="EZ69" s="65"/>
      <c r="FA69" s="65"/>
      <c r="FB69" s="65"/>
      <c r="FC69" s="65"/>
      <c r="FD69" s="65"/>
      <c r="FE69" s="65"/>
      <c r="FF69" s="65"/>
      <c r="FG69" s="65"/>
      <c r="FH69" s="65"/>
      <c r="FI69" s="65"/>
      <c r="FJ69" s="65"/>
      <c r="FK69" s="65"/>
      <c r="FL69" s="65"/>
      <c r="FM69" s="65"/>
      <c r="FN69" s="65"/>
      <c r="FO69" s="65"/>
      <c r="FP69" s="65"/>
      <c r="FQ69" s="65"/>
      <c r="FR69" s="65"/>
      <c r="FS69" s="74"/>
    </row>
    <row r="70" spans="4:175" x14ac:dyDescent="0.2">
      <c r="D70" s="15" t="s">
        <v>33</v>
      </c>
      <c r="E70" s="2" t="s">
        <v>185</v>
      </c>
      <c r="F70" s="8" t="s">
        <v>153</v>
      </c>
      <c r="G70" s="2"/>
      <c r="H70" s="64">
        <f>IFERROR(LOOKUP(H$15,HourlyTimeseries!$A:$A,HourlyTimeseries!$P:$P),"")</f>
        <v>19.5</v>
      </c>
      <c r="I70" s="64">
        <f>IFERROR(LOOKUP(I$15,HourlyTimeseries!$A:$A,HourlyTimeseries!$P:$P),"")</f>
        <v>19.5</v>
      </c>
      <c r="J70" s="64">
        <f>IFERROR(LOOKUP(J$15,HourlyTimeseries!$A:$A,HourlyTimeseries!$P:$P),"")</f>
        <v>19.5</v>
      </c>
      <c r="K70" s="64">
        <f>IFERROR(LOOKUP(K$15,HourlyTimeseries!$A:$A,HourlyTimeseries!$P:$P),"")</f>
        <v>19.5</v>
      </c>
      <c r="L70" s="64">
        <f>IFERROR(LOOKUP(L$15,HourlyTimeseries!$A:$A,HourlyTimeseries!$P:$P),"")</f>
        <v>19.5</v>
      </c>
      <c r="M70" s="64">
        <f>IFERROR(LOOKUP(M$15,HourlyTimeseries!$A:$A,HourlyTimeseries!$P:$P),"")</f>
        <v>19.5</v>
      </c>
      <c r="N70" s="64">
        <f>IFERROR(LOOKUP(N$15,HourlyTimeseries!$A:$A,HourlyTimeseries!$P:$P),"")</f>
        <v>19.5</v>
      </c>
      <c r="O70" s="64">
        <f>IFERROR(LOOKUP(O$15,HourlyTimeseries!$A:$A,HourlyTimeseries!$P:$P),"")</f>
        <v>19.5</v>
      </c>
      <c r="P70" s="64">
        <f>IFERROR(LOOKUP(P$15,HourlyTimeseries!$A:$A,HourlyTimeseries!$P:$P),"")</f>
        <v>19.5</v>
      </c>
      <c r="Q70" s="64">
        <f>IFERROR(LOOKUP(Q$15,HourlyTimeseries!$A:$A,HourlyTimeseries!$P:$P),"")</f>
        <v>19.5</v>
      </c>
      <c r="R70" s="64">
        <f>IFERROR(LOOKUP(R$15,HourlyTimeseries!$A:$A,HourlyTimeseries!$P:$P),"")</f>
        <v>19.5</v>
      </c>
      <c r="S70" s="64">
        <f>IFERROR(LOOKUP(S$15,HourlyTimeseries!$A:$A,HourlyTimeseries!$P:$P),"")</f>
        <v>19.5</v>
      </c>
      <c r="T70" s="64">
        <f>IFERROR(LOOKUP(T$15,HourlyTimeseries!$A:$A,HourlyTimeseries!$P:$P),"")</f>
        <v>19.5</v>
      </c>
      <c r="U70" s="64">
        <f>IFERROR(LOOKUP(U$15,HourlyTimeseries!$A:$A,HourlyTimeseries!$P:$P),"")</f>
        <v>19.5</v>
      </c>
      <c r="V70" s="64">
        <f>IFERROR(LOOKUP(V$15,HourlyTimeseries!$A:$A,HourlyTimeseries!$P:$P),"")</f>
        <v>19.5</v>
      </c>
      <c r="W70" s="64">
        <f>IFERROR(LOOKUP(W$15,HourlyTimeseries!$A:$A,HourlyTimeseries!$P:$P),"")</f>
        <v>19.5</v>
      </c>
      <c r="X70" s="64">
        <f>IFERROR(LOOKUP(X$15,HourlyTimeseries!$A:$A,HourlyTimeseries!$P:$P),"")</f>
        <v>19.5</v>
      </c>
      <c r="Y70" s="64">
        <f>IFERROR(LOOKUP(Y$15,HourlyTimeseries!$A:$A,HourlyTimeseries!$P:$P),"")</f>
        <v>19.5</v>
      </c>
      <c r="Z70" s="64">
        <f>IFERROR(LOOKUP(Z$15,HourlyTimeseries!$A:$A,HourlyTimeseries!$P:$P),"")</f>
        <v>19.5</v>
      </c>
      <c r="AA70" s="64">
        <f>IFERROR(LOOKUP(AA$15,HourlyTimeseries!$A:$A,HourlyTimeseries!$P:$P),"")</f>
        <v>19.5</v>
      </c>
      <c r="AB70" s="64">
        <f>IFERROR(LOOKUP(AB$15,HourlyTimeseries!$A:$A,HourlyTimeseries!$P:$P),"")</f>
        <v>19.5</v>
      </c>
      <c r="AC70" s="64">
        <f>IFERROR(LOOKUP(AC$15,HourlyTimeseries!$A:$A,HourlyTimeseries!$P:$P),"")</f>
        <v>19.5</v>
      </c>
      <c r="AD70" s="64">
        <f>IFERROR(LOOKUP(AD$15,HourlyTimeseries!$A:$A,HourlyTimeseries!$P:$P),"")</f>
        <v>19.5</v>
      </c>
      <c r="AE70" s="73">
        <f>IFERROR(LOOKUP(AE$15,HourlyTimeseries!$A:$A,HourlyTimeseries!$P:$P),"")</f>
        <v>19.5</v>
      </c>
      <c r="AF70" s="80">
        <f>IFERROR(LOOKUP(AF$15,HourlyTimeseries!$A:$A,HourlyTimeseries!$P:$P),"")</f>
        <v>19.5</v>
      </c>
      <c r="AG70" s="64">
        <f>IFERROR(LOOKUP(AG$15,HourlyTimeseries!$A:$A,HourlyTimeseries!$P:$P),"")</f>
        <v>19.5</v>
      </c>
      <c r="AH70" s="64">
        <f>IFERROR(LOOKUP(AH$15,HourlyTimeseries!$A:$A,HourlyTimeseries!$P:$P),"")</f>
        <v>19.5</v>
      </c>
      <c r="AI70" s="64">
        <f>IFERROR(LOOKUP(AI$15,HourlyTimeseries!$A:$A,HourlyTimeseries!$P:$P),"")</f>
        <v>19.5</v>
      </c>
      <c r="AJ70" s="64">
        <f>IFERROR(LOOKUP(AJ$15,HourlyTimeseries!$A:$A,HourlyTimeseries!$P:$P),"")</f>
        <v>19.5</v>
      </c>
      <c r="AK70" s="64">
        <f>IFERROR(LOOKUP(AK$15,HourlyTimeseries!$A:$A,HourlyTimeseries!$P:$P),"")</f>
        <v>19.5</v>
      </c>
      <c r="AL70" s="64">
        <f>IFERROR(LOOKUP(AL$15,HourlyTimeseries!$A:$A,HourlyTimeseries!$P:$P),"")</f>
        <v>19.5</v>
      </c>
      <c r="AM70" s="64">
        <f>IFERROR(LOOKUP(AM$15,HourlyTimeseries!$A:$A,HourlyTimeseries!$P:$P),"")</f>
        <v>19.5</v>
      </c>
      <c r="AN70" s="64">
        <f>IFERROR(LOOKUP(AN$15,HourlyTimeseries!$A:$A,HourlyTimeseries!$P:$P),"")</f>
        <v>19.5</v>
      </c>
      <c r="AO70" s="64">
        <f>IFERROR(LOOKUP(AO$15,HourlyTimeseries!$A:$A,HourlyTimeseries!$P:$P),"")</f>
        <v>19.5</v>
      </c>
      <c r="AP70" s="64">
        <f>IFERROR(LOOKUP(AP$15,HourlyTimeseries!$A:$A,HourlyTimeseries!$P:$P),"")</f>
        <v>19.5</v>
      </c>
      <c r="AQ70" s="64">
        <f>IFERROR(LOOKUP(AQ$15,HourlyTimeseries!$A:$A,HourlyTimeseries!$P:$P),"")</f>
        <v>19.5</v>
      </c>
      <c r="AR70" s="64">
        <f>IFERROR(LOOKUP(AR$15,HourlyTimeseries!$A:$A,HourlyTimeseries!$P:$P),"")</f>
        <v>19.5</v>
      </c>
      <c r="AS70" s="64">
        <f>IFERROR(LOOKUP(AS$15,HourlyTimeseries!$A:$A,HourlyTimeseries!$P:$P),"")</f>
        <v>19.5</v>
      </c>
      <c r="AT70" s="64">
        <f>IFERROR(LOOKUP(AT$15,HourlyTimeseries!$A:$A,HourlyTimeseries!$P:$P),"")</f>
        <v>19.5</v>
      </c>
      <c r="AU70" s="64">
        <f>IFERROR(LOOKUP(AU$15,HourlyTimeseries!$A:$A,HourlyTimeseries!$P:$P),"")</f>
        <v>19.5</v>
      </c>
      <c r="AV70" s="64">
        <f>IFERROR(LOOKUP(AV$15,HourlyTimeseries!$A:$A,HourlyTimeseries!$P:$P),"")</f>
        <v>19.5</v>
      </c>
      <c r="AW70" s="64">
        <f>IFERROR(LOOKUP(AW$15,HourlyTimeseries!$A:$A,HourlyTimeseries!$P:$P),"")</f>
        <v>19.5</v>
      </c>
      <c r="AX70" s="64">
        <f>IFERROR(LOOKUP(AX$15,HourlyTimeseries!$A:$A,HourlyTimeseries!$P:$P),"")</f>
        <v>19.5</v>
      </c>
      <c r="AY70" s="64">
        <f>IFERROR(LOOKUP(AY$15,HourlyTimeseries!$A:$A,HourlyTimeseries!$P:$P),"")</f>
        <v>19.5</v>
      </c>
      <c r="AZ70" s="64">
        <f>IFERROR(LOOKUP(AZ$15,HourlyTimeseries!$A:$A,HourlyTimeseries!$P:$P),"")</f>
        <v>19.5</v>
      </c>
      <c r="BA70" s="64">
        <f>IFERROR(LOOKUP(BA$15,HourlyTimeseries!$A:$A,HourlyTimeseries!$P:$P),"")</f>
        <v>19.5</v>
      </c>
      <c r="BB70" s="64">
        <f>IFERROR(LOOKUP(BB$15,HourlyTimeseries!$A:$A,HourlyTimeseries!$P:$P),"")</f>
        <v>19.5</v>
      </c>
      <c r="BC70" s="73">
        <f>IFERROR(LOOKUP(BC$15,HourlyTimeseries!$A:$A,HourlyTimeseries!$P:$P),"")</f>
        <v>19.5</v>
      </c>
      <c r="BD70" s="80">
        <f>IFERROR(LOOKUP(BD$15,HourlyTimeseries!$A:$A,HourlyTimeseries!$P:$P),"")</f>
        <v>19.5</v>
      </c>
      <c r="BE70" s="64">
        <f>IFERROR(LOOKUP(BE$15,HourlyTimeseries!$A:$A,HourlyTimeseries!$P:$P),"")</f>
        <v>19.5</v>
      </c>
      <c r="BF70" s="64">
        <f>IFERROR(LOOKUP(BF$15,HourlyTimeseries!$A:$A,HourlyTimeseries!$P:$P),"")</f>
        <v>19.5</v>
      </c>
      <c r="BG70" s="64">
        <f>IFERROR(LOOKUP(BG$15,HourlyTimeseries!$A:$A,HourlyTimeseries!$P:$P),"")</f>
        <v>19.5</v>
      </c>
      <c r="BH70" s="64">
        <f>IFERROR(LOOKUP(BH$15,HourlyTimeseries!$A:$A,HourlyTimeseries!$P:$P),"")</f>
        <v>19.5</v>
      </c>
      <c r="BI70" s="64">
        <f>IFERROR(LOOKUP(BI$15,HourlyTimeseries!$A:$A,HourlyTimeseries!$P:$P),"")</f>
        <v>19.5</v>
      </c>
      <c r="BJ70" s="64">
        <f>IFERROR(LOOKUP(BJ$15,HourlyTimeseries!$A:$A,HourlyTimeseries!$P:$P),"")</f>
        <v>19.5</v>
      </c>
      <c r="BK70" s="64">
        <f>IFERROR(LOOKUP(BK$15,HourlyTimeseries!$A:$A,HourlyTimeseries!$P:$P),"")</f>
        <v>19.5</v>
      </c>
      <c r="BL70" s="64">
        <f>IFERROR(LOOKUP(BL$15,HourlyTimeseries!$A:$A,HourlyTimeseries!$P:$P),"")</f>
        <v>19.5</v>
      </c>
      <c r="BM70" s="64">
        <f>IFERROR(LOOKUP(BM$15,HourlyTimeseries!$A:$A,HourlyTimeseries!$P:$P),"")</f>
        <v>19.5</v>
      </c>
      <c r="BN70" s="64">
        <f>IFERROR(LOOKUP(BN$15,HourlyTimeseries!$A:$A,HourlyTimeseries!$P:$P),"")</f>
        <v>19.5</v>
      </c>
      <c r="BO70" s="64">
        <f>IFERROR(LOOKUP(BO$15,HourlyTimeseries!$A:$A,HourlyTimeseries!$P:$P),"")</f>
        <v>19.5</v>
      </c>
      <c r="BP70" s="64">
        <f>IFERROR(LOOKUP(BP$15,HourlyTimeseries!$A:$A,HourlyTimeseries!$P:$P),"")</f>
        <v>19.5</v>
      </c>
      <c r="BQ70" s="64">
        <f>IFERROR(LOOKUP(BQ$15,HourlyTimeseries!$A:$A,HourlyTimeseries!$P:$P),"")</f>
        <v>19.5</v>
      </c>
      <c r="BR70" s="64">
        <f>IFERROR(LOOKUP(BR$15,HourlyTimeseries!$A:$A,HourlyTimeseries!$P:$P),"")</f>
        <v>19.5</v>
      </c>
      <c r="BS70" s="64">
        <f>IFERROR(LOOKUP(BS$15,HourlyTimeseries!$A:$A,HourlyTimeseries!$P:$P),"")</f>
        <v>19.5</v>
      </c>
      <c r="BT70" s="64">
        <f>IFERROR(LOOKUP(BT$15,HourlyTimeseries!$A:$A,HourlyTimeseries!$P:$P),"")</f>
        <v>19.5</v>
      </c>
      <c r="BU70" s="64">
        <f>IFERROR(LOOKUP(BU$15,HourlyTimeseries!$A:$A,HourlyTimeseries!$P:$P),"")</f>
        <v>19.5</v>
      </c>
      <c r="BV70" s="64">
        <f>IFERROR(LOOKUP(BV$15,HourlyTimeseries!$A:$A,HourlyTimeseries!$P:$P),"")</f>
        <v>19.5</v>
      </c>
      <c r="BW70" s="64">
        <f>IFERROR(LOOKUP(BW$15,HourlyTimeseries!$A:$A,HourlyTimeseries!$P:$P),"")</f>
        <v>19.5</v>
      </c>
      <c r="BX70" s="64">
        <f>IFERROR(LOOKUP(BX$15,HourlyTimeseries!$A:$A,HourlyTimeseries!$P:$P),"")</f>
        <v>19.5</v>
      </c>
      <c r="BY70" s="64">
        <f>IFERROR(LOOKUP(BY$15,HourlyTimeseries!$A:$A,HourlyTimeseries!$P:$P),"")</f>
        <v>19.5</v>
      </c>
      <c r="BZ70" s="64">
        <f>IFERROR(LOOKUP(BZ$15,HourlyTimeseries!$A:$A,HourlyTimeseries!$P:$P),"")</f>
        <v>19.5</v>
      </c>
      <c r="CA70" s="73">
        <f>IFERROR(LOOKUP(CA$15,HourlyTimeseries!$A:$A,HourlyTimeseries!$P:$P),"")</f>
        <v>19.5</v>
      </c>
      <c r="CB70" s="80">
        <f>IFERROR(LOOKUP(CB$15,HourlyTimeseries!$A:$A,HourlyTimeseries!$P:$P),"")</f>
        <v>19.5</v>
      </c>
      <c r="CC70" s="64">
        <f>IFERROR(LOOKUP(CC$15,HourlyTimeseries!$A:$A,HourlyTimeseries!$P:$P),"")</f>
        <v>19.5</v>
      </c>
      <c r="CD70" s="64">
        <f>IFERROR(LOOKUP(CD$15,HourlyTimeseries!$A:$A,HourlyTimeseries!$P:$P),"")</f>
        <v>19.5</v>
      </c>
      <c r="CE70" s="64">
        <f>IFERROR(LOOKUP(CE$15,HourlyTimeseries!$A:$A,HourlyTimeseries!$P:$P),"")</f>
        <v>19.5</v>
      </c>
      <c r="CF70" s="64">
        <f>IFERROR(LOOKUP(CF$15,HourlyTimeseries!$A:$A,HourlyTimeseries!$P:$P),"")</f>
        <v>19.5</v>
      </c>
      <c r="CG70" s="64">
        <f>IFERROR(LOOKUP(CG$15,HourlyTimeseries!$A:$A,HourlyTimeseries!$P:$P),"")</f>
        <v>19.5</v>
      </c>
      <c r="CH70" s="64">
        <f>IFERROR(LOOKUP(CH$15,HourlyTimeseries!$A:$A,HourlyTimeseries!$P:$P),"")</f>
        <v>19.5</v>
      </c>
      <c r="CI70" s="64">
        <f>IFERROR(LOOKUP(CI$15,HourlyTimeseries!$A:$A,HourlyTimeseries!$P:$P),"")</f>
        <v>19.5</v>
      </c>
      <c r="CJ70" s="64">
        <f>IFERROR(LOOKUP(CJ$15,HourlyTimeseries!$A:$A,HourlyTimeseries!$P:$P),"")</f>
        <v>19.5</v>
      </c>
      <c r="CK70" s="64">
        <f>IFERROR(LOOKUP(CK$15,HourlyTimeseries!$A:$A,HourlyTimeseries!$P:$P),"")</f>
        <v>19.5</v>
      </c>
      <c r="CL70" s="64">
        <f>IFERROR(LOOKUP(CL$15,HourlyTimeseries!$A:$A,HourlyTimeseries!$P:$P),"")</f>
        <v>19.5</v>
      </c>
      <c r="CM70" s="64">
        <f>IFERROR(LOOKUP(CM$15,HourlyTimeseries!$A:$A,HourlyTimeseries!$P:$P),"")</f>
        <v>19.5</v>
      </c>
      <c r="CN70" s="64">
        <f>IFERROR(LOOKUP(CN$15,HourlyTimeseries!$A:$A,HourlyTimeseries!$P:$P),"")</f>
        <v>19.5</v>
      </c>
      <c r="CO70" s="64">
        <f>IFERROR(LOOKUP(CO$15,HourlyTimeseries!$A:$A,HourlyTimeseries!$P:$P),"")</f>
        <v>19.5</v>
      </c>
      <c r="CP70" s="64">
        <f>IFERROR(LOOKUP(CP$15,HourlyTimeseries!$A:$A,HourlyTimeseries!$P:$P),"")</f>
        <v>19.5</v>
      </c>
      <c r="CQ70" s="64">
        <f>IFERROR(LOOKUP(CQ$15,HourlyTimeseries!$A:$A,HourlyTimeseries!$P:$P),"")</f>
        <v>19.5</v>
      </c>
      <c r="CR70" s="64">
        <f>IFERROR(LOOKUP(CR$15,HourlyTimeseries!$A:$A,HourlyTimeseries!$P:$P),"")</f>
        <v>19.5</v>
      </c>
      <c r="CS70" s="64">
        <f>IFERROR(LOOKUP(CS$15,HourlyTimeseries!$A:$A,HourlyTimeseries!$P:$P),"")</f>
        <v>19.5</v>
      </c>
      <c r="CT70" s="64">
        <f>IFERROR(LOOKUP(CT$15,HourlyTimeseries!$A:$A,HourlyTimeseries!$P:$P),"")</f>
        <v>19.5</v>
      </c>
      <c r="CU70" s="64">
        <f>IFERROR(LOOKUP(CU$15,HourlyTimeseries!$A:$A,HourlyTimeseries!$P:$P),"")</f>
        <v>19.5</v>
      </c>
      <c r="CV70" s="64">
        <f>IFERROR(LOOKUP(CV$15,HourlyTimeseries!$A:$A,HourlyTimeseries!$P:$P),"")</f>
        <v>19.5</v>
      </c>
      <c r="CW70" s="64">
        <f>IFERROR(LOOKUP(CW$15,HourlyTimeseries!$A:$A,HourlyTimeseries!$P:$P),"")</f>
        <v>19.5</v>
      </c>
      <c r="CX70" s="64">
        <f>IFERROR(LOOKUP(CX$15,HourlyTimeseries!$A:$A,HourlyTimeseries!$P:$P),"")</f>
        <v>19.5</v>
      </c>
      <c r="CY70" s="73">
        <f>IFERROR(LOOKUP(CY$15,HourlyTimeseries!$A:$A,HourlyTimeseries!$P:$P),"")</f>
        <v>19.5</v>
      </c>
      <c r="CZ70" s="80">
        <f>IFERROR(LOOKUP(CZ$15,HourlyTimeseries!$A:$A,HourlyTimeseries!$P:$P),"")</f>
        <v>19.5</v>
      </c>
      <c r="DA70" s="64">
        <f>IFERROR(LOOKUP(DA$15,HourlyTimeseries!$A:$A,HourlyTimeseries!$P:$P),"")</f>
        <v>19.5</v>
      </c>
      <c r="DB70" s="64">
        <f>IFERROR(LOOKUP(DB$15,HourlyTimeseries!$A:$A,HourlyTimeseries!$P:$P),"")</f>
        <v>19.5</v>
      </c>
      <c r="DC70" s="64">
        <f>IFERROR(LOOKUP(DC$15,HourlyTimeseries!$A:$A,HourlyTimeseries!$P:$P),"")</f>
        <v>19.5</v>
      </c>
      <c r="DD70" s="64">
        <f>IFERROR(LOOKUP(DD$15,HourlyTimeseries!$A:$A,HourlyTimeseries!$P:$P),"")</f>
        <v>19.5</v>
      </c>
      <c r="DE70" s="64">
        <f>IFERROR(LOOKUP(DE$15,HourlyTimeseries!$A:$A,HourlyTimeseries!$P:$P),"")</f>
        <v>19.5</v>
      </c>
      <c r="DF70" s="64">
        <f>IFERROR(LOOKUP(DF$15,HourlyTimeseries!$A:$A,HourlyTimeseries!$P:$P),"")</f>
        <v>19.5</v>
      </c>
      <c r="DG70" s="64">
        <f>IFERROR(LOOKUP(DG$15,HourlyTimeseries!$A:$A,HourlyTimeseries!$P:$P),"")</f>
        <v>19.5</v>
      </c>
      <c r="DH70" s="64">
        <f>IFERROR(LOOKUP(DH$15,HourlyTimeseries!$A:$A,HourlyTimeseries!$P:$P),"")</f>
        <v>19.5</v>
      </c>
      <c r="DI70" s="64">
        <f>IFERROR(LOOKUP(DI$15,HourlyTimeseries!$A:$A,HourlyTimeseries!$P:$P),"")</f>
        <v>19.5</v>
      </c>
      <c r="DJ70" s="64">
        <f>IFERROR(LOOKUP(DJ$15,HourlyTimeseries!$A:$A,HourlyTimeseries!$P:$P),"")</f>
        <v>19.5</v>
      </c>
      <c r="DK70" s="64">
        <f>IFERROR(LOOKUP(DK$15,HourlyTimeseries!$A:$A,HourlyTimeseries!$P:$P),"")</f>
        <v>19.5</v>
      </c>
      <c r="DL70" s="64">
        <f>IFERROR(LOOKUP(DL$15,HourlyTimeseries!$A:$A,HourlyTimeseries!$P:$P),"")</f>
        <v>19.5</v>
      </c>
      <c r="DM70" s="64">
        <f>IFERROR(LOOKUP(DM$15,HourlyTimeseries!$A:$A,HourlyTimeseries!$P:$P),"")</f>
        <v>19.5</v>
      </c>
      <c r="DN70" s="64">
        <f>IFERROR(LOOKUP(DN$15,HourlyTimeseries!$A:$A,HourlyTimeseries!$P:$P),"")</f>
        <v>19.5</v>
      </c>
      <c r="DO70" s="64">
        <f>IFERROR(LOOKUP(DO$15,HourlyTimeseries!$A:$A,HourlyTimeseries!$P:$P),"")</f>
        <v>19.5</v>
      </c>
      <c r="DP70" s="64">
        <f>IFERROR(LOOKUP(DP$15,HourlyTimeseries!$A:$A,HourlyTimeseries!$P:$P),"")</f>
        <v>19.5</v>
      </c>
      <c r="DQ70" s="64">
        <f>IFERROR(LOOKUP(DQ$15,HourlyTimeseries!$A:$A,HourlyTimeseries!$P:$P),"")</f>
        <v>19.5</v>
      </c>
      <c r="DR70" s="64">
        <f>IFERROR(LOOKUP(DR$15,HourlyTimeseries!$A:$A,HourlyTimeseries!$P:$P),"")</f>
        <v>19.5</v>
      </c>
      <c r="DS70" s="64">
        <f>IFERROR(LOOKUP(DS$15,HourlyTimeseries!$A:$A,HourlyTimeseries!$P:$P),"")</f>
        <v>19.5</v>
      </c>
      <c r="DT70" s="64">
        <f>IFERROR(LOOKUP(DT$15,HourlyTimeseries!$A:$A,HourlyTimeseries!$P:$P),"")</f>
        <v>19.5</v>
      </c>
      <c r="DU70" s="64">
        <f>IFERROR(LOOKUP(DU$15,HourlyTimeseries!$A:$A,HourlyTimeseries!$P:$P),"")</f>
        <v>19.5</v>
      </c>
      <c r="DV70" s="64">
        <f>IFERROR(LOOKUP(DV$15,HourlyTimeseries!$A:$A,HourlyTimeseries!$P:$P),"")</f>
        <v>19.5</v>
      </c>
      <c r="DW70" s="73">
        <f>IFERROR(LOOKUP(DW$15,HourlyTimeseries!$A:$A,HourlyTimeseries!$P:$P),"")</f>
        <v>19.5</v>
      </c>
      <c r="DX70" s="80">
        <f>IFERROR(LOOKUP(DX$15,HourlyTimeseries!$A:$A,HourlyTimeseries!$P:$P),"")</f>
        <v>19.5</v>
      </c>
      <c r="DY70" s="64">
        <f>IFERROR(LOOKUP(DY$15,HourlyTimeseries!$A:$A,HourlyTimeseries!$P:$P),"")</f>
        <v>19.5</v>
      </c>
      <c r="DZ70" s="64">
        <f>IFERROR(LOOKUP(DZ$15,HourlyTimeseries!$A:$A,HourlyTimeseries!$P:$P),"")</f>
        <v>19.5</v>
      </c>
      <c r="EA70" s="64">
        <f>IFERROR(LOOKUP(EA$15,HourlyTimeseries!$A:$A,HourlyTimeseries!$P:$P),"")</f>
        <v>19.5</v>
      </c>
      <c r="EB70" s="64">
        <f>IFERROR(LOOKUP(EB$15,HourlyTimeseries!$A:$A,HourlyTimeseries!$P:$P),"")</f>
        <v>19.5</v>
      </c>
      <c r="EC70" s="64">
        <f>IFERROR(LOOKUP(EC$15,HourlyTimeseries!$A:$A,HourlyTimeseries!$P:$P),"")</f>
        <v>19.5</v>
      </c>
      <c r="ED70" s="64">
        <f>IFERROR(LOOKUP(ED$15,HourlyTimeseries!$A:$A,HourlyTimeseries!$P:$P),"")</f>
        <v>19.5</v>
      </c>
      <c r="EE70" s="64">
        <f>IFERROR(LOOKUP(EE$15,HourlyTimeseries!$A:$A,HourlyTimeseries!$P:$P),"")</f>
        <v>19.5</v>
      </c>
      <c r="EF70" s="64">
        <f>IFERROR(LOOKUP(EF$15,HourlyTimeseries!$A:$A,HourlyTimeseries!$P:$P),"")</f>
        <v>19.5</v>
      </c>
      <c r="EG70" s="64">
        <f>IFERROR(LOOKUP(EG$15,HourlyTimeseries!$A:$A,HourlyTimeseries!$P:$P),"")</f>
        <v>19.5</v>
      </c>
      <c r="EH70" s="64">
        <f>IFERROR(LOOKUP(EH$15,HourlyTimeseries!$A:$A,HourlyTimeseries!$P:$P),"")</f>
        <v>19.5</v>
      </c>
      <c r="EI70" s="64">
        <f>IFERROR(LOOKUP(EI$15,HourlyTimeseries!$A:$A,HourlyTimeseries!$P:$P),"")</f>
        <v>19.5</v>
      </c>
      <c r="EJ70" s="64">
        <f>IFERROR(LOOKUP(EJ$15,HourlyTimeseries!$A:$A,HourlyTimeseries!$P:$P),"")</f>
        <v>19.5</v>
      </c>
      <c r="EK70" s="64">
        <f>IFERROR(LOOKUP(EK$15,HourlyTimeseries!$A:$A,HourlyTimeseries!$P:$P),"")</f>
        <v>19.5</v>
      </c>
      <c r="EL70" s="64">
        <f>IFERROR(LOOKUP(EL$15,HourlyTimeseries!$A:$A,HourlyTimeseries!$P:$P),"")</f>
        <v>19.5</v>
      </c>
      <c r="EM70" s="64">
        <f>IFERROR(LOOKUP(EM$15,HourlyTimeseries!$A:$A,HourlyTimeseries!$P:$P),"")</f>
        <v>19.5</v>
      </c>
      <c r="EN70" s="64">
        <f>IFERROR(LOOKUP(EN$15,HourlyTimeseries!$A:$A,HourlyTimeseries!$P:$P),"")</f>
        <v>19.5</v>
      </c>
      <c r="EO70" s="64">
        <f>IFERROR(LOOKUP(EO$15,HourlyTimeseries!$A:$A,HourlyTimeseries!$P:$P),"")</f>
        <v>19.5</v>
      </c>
      <c r="EP70" s="64">
        <f>IFERROR(LOOKUP(EP$15,HourlyTimeseries!$A:$A,HourlyTimeseries!$P:$P),"")</f>
        <v>19.5</v>
      </c>
      <c r="EQ70" s="64">
        <f>IFERROR(LOOKUP(EQ$15,HourlyTimeseries!$A:$A,HourlyTimeseries!$P:$P),"")</f>
        <v>19.5</v>
      </c>
      <c r="ER70" s="64">
        <f>IFERROR(LOOKUP(ER$15,HourlyTimeseries!$A:$A,HourlyTimeseries!$P:$P),"")</f>
        <v>19.5</v>
      </c>
      <c r="ES70" s="64">
        <f>IFERROR(LOOKUP(ES$15,HourlyTimeseries!$A:$A,HourlyTimeseries!$P:$P),"")</f>
        <v>19.5</v>
      </c>
      <c r="ET70" s="64">
        <f>IFERROR(LOOKUP(ET$15,HourlyTimeseries!$A:$A,HourlyTimeseries!$P:$P),"")</f>
        <v>19.5</v>
      </c>
      <c r="EU70" s="73">
        <f>IFERROR(LOOKUP(EU$15,HourlyTimeseries!$A:$A,HourlyTimeseries!$P:$P),"")</f>
        <v>19.5</v>
      </c>
      <c r="EV70" s="80">
        <f>IFERROR(LOOKUP(EV$15,HourlyTimeseries!$A:$A,HourlyTimeseries!$P:$P),"")</f>
        <v>19.5</v>
      </c>
      <c r="EW70" s="64">
        <f>IFERROR(LOOKUP(EW$15,HourlyTimeseries!$A:$A,HourlyTimeseries!$P:$P),"")</f>
        <v>19.5</v>
      </c>
      <c r="EX70" s="64">
        <f>IFERROR(LOOKUP(EX$15,HourlyTimeseries!$A:$A,HourlyTimeseries!$P:$P),"")</f>
        <v>19.5</v>
      </c>
      <c r="EY70" s="64">
        <f>IFERROR(LOOKUP(EY$15,HourlyTimeseries!$A:$A,HourlyTimeseries!$P:$P),"")</f>
        <v>19.5</v>
      </c>
      <c r="EZ70" s="64">
        <f>IFERROR(LOOKUP(EZ$15,HourlyTimeseries!$A:$A,HourlyTimeseries!$P:$P),"")</f>
        <v>19.5</v>
      </c>
      <c r="FA70" s="64">
        <f>IFERROR(LOOKUP(FA$15,HourlyTimeseries!$A:$A,HourlyTimeseries!$P:$P),"")</f>
        <v>19.5</v>
      </c>
      <c r="FB70" s="64">
        <f>IFERROR(LOOKUP(FB$15,HourlyTimeseries!$A:$A,HourlyTimeseries!$P:$P),"")</f>
        <v>19.5</v>
      </c>
      <c r="FC70" s="64">
        <f>IFERROR(LOOKUP(FC$15,HourlyTimeseries!$A:$A,HourlyTimeseries!$P:$P),"")</f>
        <v>19.5</v>
      </c>
      <c r="FD70" s="64">
        <f>IFERROR(LOOKUP(FD$15,HourlyTimeseries!$A:$A,HourlyTimeseries!$P:$P),"")</f>
        <v>19.5</v>
      </c>
      <c r="FE70" s="64">
        <f>IFERROR(LOOKUP(FE$15,HourlyTimeseries!$A:$A,HourlyTimeseries!$P:$P),"")</f>
        <v>19.5</v>
      </c>
      <c r="FF70" s="64">
        <f>IFERROR(LOOKUP(FF$15,HourlyTimeseries!$A:$A,HourlyTimeseries!$P:$P),"")</f>
        <v>19.5</v>
      </c>
      <c r="FG70" s="64">
        <f>IFERROR(LOOKUP(FG$15,HourlyTimeseries!$A:$A,HourlyTimeseries!$P:$P),"")</f>
        <v>19.5</v>
      </c>
      <c r="FH70" s="64">
        <f>IFERROR(LOOKUP(FH$15,HourlyTimeseries!$A:$A,HourlyTimeseries!$P:$P),"")</f>
        <v>19.5</v>
      </c>
      <c r="FI70" s="64">
        <f>IFERROR(LOOKUP(FI$15,HourlyTimeseries!$A:$A,HourlyTimeseries!$P:$P),"")</f>
        <v>19.5</v>
      </c>
      <c r="FJ70" s="64">
        <f>IFERROR(LOOKUP(FJ$15,HourlyTimeseries!$A:$A,HourlyTimeseries!$P:$P),"")</f>
        <v>19.5</v>
      </c>
      <c r="FK70" s="64">
        <f>IFERROR(LOOKUP(FK$15,HourlyTimeseries!$A:$A,HourlyTimeseries!$P:$P),"")</f>
        <v>19.5</v>
      </c>
      <c r="FL70" s="64">
        <f>IFERROR(LOOKUP(FL$15,HourlyTimeseries!$A:$A,HourlyTimeseries!$P:$P),"")</f>
        <v>19.5</v>
      </c>
      <c r="FM70" s="64">
        <f>IFERROR(LOOKUP(FM$15,HourlyTimeseries!$A:$A,HourlyTimeseries!$P:$P),"")</f>
        <v>19.5</v>
      </c>
      <c r="FN70" s="64">
        <f>IFERROR(LOOKUP(FN$15,HourlyTimeseries!$A:$A,HourlyTimeseries!$P:$P),"")</f>
        <v>19.5</v>
      </c>
      <c r="FO70" s="64">
        <f>IFERROR(LOOKUP(FO$15,HourlyTimeseries!$A:$A,HourlyTimeseries!$P:$P),"")</f>
        <v>19.5</v>
      </c>
      <c r="FP70" s="64">
        <f>IFERROR(LOOKUP(FP$15,HourlyTimeseries!$A:$A,HourlyTimeseries!$P:$P),"")</f>
        <v>19.5</v>
      </c>
      <c r="FQ70" s="64">
        <f>IFERROR(LOOKUP(FQ$15,HourlyTimeseries!$A:$A,HourlyTimeseries!$P:$P),"")</f>
        <v>19.5</v>
      </c>
      <c r="FR70" s="64">
        <f>IFERROR(LOOKUP(FR$15,HourlyTimeseries!$A:$A,HourlyTimeseries!$P:$P),"")</f>
        <v>19.5</v>
      </c>
      <c r="FS70" s="73">
        <f>IFERROR(LOOKUP(FS$15,HourlyTimeseries!$A:$A,HourlyTimeseries!$P:$P),"")</f>
        <v>19.5</v>
      </c>
    </row>
    <row r="71" spans="4:175" x14ac:dyDescent="0.2">
      <c r="D71" s="15" t="s">
        <v>34</v>
      </c>
      <c r="E71" s="2" t="s">
        <v>186</v>
      </c>
      <c r="F71" s="8" t="s">
        <v>153</v>
      </c>
      <c r="G71" s="2"/>
      <c r="H71" s="64">
        <f>IFERROR(LOOKUP(H$15,HourlyTimeseries!$A:$A,HourlyTimeseries!$O:$O),"")</f>
        <v>14</v>
      </c>
      <c r="I71" s="64">
        <f>IFERROR(LOOKUP(I$15,HourlyTimeseries!$A:$A,HourlyTimeseries!$O:$O),"")</f>
        <v>14</v>
      </c>
      <c r="J71" s="64">
        <f>IFERROR(LOOKUP(J$15,HourlyTimeseries!$A:$A,HourlyTimeseries!$O:$O),"")</f>
        <v>14</v>
      </c>
      <c r="K71" s="64">
        <f>IFERROR(LOOKUP(K$15,HourlyTimeseries!$A:$A,HourlyTimeseries!$O:$O),"")</f>
        <v>14</v>
      </c>
      <c r="L71" s="64">
        <f>IFERROR(LOOKUP(L$15,HourlyTimeseries!$A:$A,HourlyTimeseries!$O:$O),"")</f>
        <v>14</v>
      </c>
      <c r="M71" s="64">
        <f>IFERROR(LOOKUP(M$15,HourlyTimeseries!$A:$A,HourlyTimeseries!$O:$O),"")</f>
        <v>14</v>
      </c>
      <c r="N71" s="64">
        <f>IFERROR(LOOKUP(N$15,HourlyTimeseries!$A:$A,HourlyTimeseries!$O:$O),"")</f>
        <v>14</v>
      </c>
      <c r="O71" s="64">
        <f>IFERROR(LOOKUP(O$15,HourlyTimeseries!$A:$A,HourlyTimeseries!$O:$O),"")</f>
        <v>14</v>
      </c>
      <c r="P71" s="64">
        <f>IFERROR(LOOKUP(P$15,HourlyTimeseries!$A:$A,HourlyTimeseries!$O:$O),"")</f>
        <v>14</v>
      </c>
      <c r="Q71" s="64">
        <f>IFERROR(LOOKUP(Q$15,HourlyTimeseries!$A:$A,HourlyTimeseries!$O:$O),"")</f>
        <v>14</v>
      </c>
      <c r="R71" s="64">
        <f>IFERROR(LOOKUP(R$15,HourlyTimeseries!$A:$A,HourlyTimeseries!$O:$O),"")</f>
        <v>14</v>
      </c>
      <c r="S71" s="64">
        <f>IFERROR(LOOKUP(S$15,HourlyTimeseries!$A:$A,HourlyTimeseries!$O:$O),"")</f>
        <v>14</v>
      </c>
      <c r="T71" s="64">
        <f>IFERROR(LOOKUP(T$15,HourlyTimeseries!$A:$A,HourlyTimeseries!$O:$O),"")</f>
        <v>14</v>
      </c>
      <c r="U71" s="64">
        <f>IFERROR(LOOKUP(U$15,HourlyTimeseries!$A:$A,HourlyTimeseries!$O:$O),"")</f>
        <v>14</v>
      </c>
      <c r="V71" s="64">
        <f>IFERROR(LOOKUP(V$15,HourlyTimeseries!$A:$A,HourlyTimeseries!$O:$O),"")</f>
        <v>14</v>
      </c>
      <c r="W71" s="64">
        <f>IFERROR(LOOKUP(W$15,HourlyTimeseries!$A:$A,HourlyTimeseries!$O:$O),"")</f>
        <v>14</v>
      </c>
      <c r="X71" s="64">
        <f>IFERROR(LOOKUP(X$15,HourlyTimeseries!$A:$A,HourlyTimeseries!$O:$O),"")</f>
        <v>14</v>
      </c>
      <c r="Y71" s="64">
        <f>IFERROR(LOOKUP(Y$15,HourlyTimeseries!$A:$A,HourlyTimeseries!$O:$O),"")</f>
        <v>14</v>
      </c>
      <c r="Z71" s="64">
        <f>IFERROR(LOOKUP(Z$15,HourlyTimeseries!$A:$A,HourlyTimeseries!$O:$O),"")</f>
        <v>14</v>
      </c>
      <c r="AA71" s="64">
        <f>IFERROR(LOOKUP(AA$15,HourlyTimeseries!$A:$A,HourlyTimeseries!$O:$O),"")</f>
        <v>14</v>
      </c>
      <c r="AB71" s="64">
        <f>IFERROR(LOOKUP(AB$15,HourlyTimeseries!$A:$A,HourlyTimeseries!$O:$O),"")</f>
        <v>14</v>
      </c>
      <c r="AC71" s="64">
        <f>IFERROR(LOOKUP(AC$15,HourlyTimeseries!$A:$A,HourlyTimeseries!$O:$O),"")</f>
        <v>14</v>
      </c>
      <c r="AD71" s="64">
        <f>IFERROR(LOOKUP(AD$15,HourlyTimeseries!$A:$A,HourlyTimeseries!$O:$O),"")</f>
        <v>14</v>
      </c>
      <c r="AE71" s="73">
        <f>IFERROR(LOOKUP(AE$15,HourlyTimeseries!$A:$A,HourlyTimeseries!$O:$O),"")</f>
        <v>14</v>
      </c>
      <c r="AF71" s="80">
        <f>IFERROR(LOOKUP(AF$15,HourlyTimeseries!$A:$A,HourlyTimeseries!$O:$O),"")</f>
        <v>14</v>
      </c>
      <c r="AG71" s="64">
        <f>IFERROR(LOOKUP(AG$15,HourlyTimeseries!$A:$A,HourlyTimeseries!$O:$O),"")</f>
        <v>14</v>
      </c>
      <c r="AH71" s="64">
        <f>IFERROR(LOOKUP(AH$15,HourlyTimeseries!$A:$A,HourlyTimeseries!$O:$O),"")</f>
        <v>14</v>
      </c>
      <c r="AI71" s="64">
        <f>IFERROR(LOOKUP(AI$15,HourlyTimeseries!$A:$A,HourlyTimeseries!$O:$O),"")</f>
        <v>14</v>
      </c>
      <c r="AJ71" s="64">
        <f>IFERROR(LOOKUP(AJ$15,HourlyTimeseries!$A:$A,HourlyTimeseries!$O:$O),"")</f>
        <v>14</v>
      </c>
      <c r="AK71" s="64">
        <f>IFERROR(LOOKUP(AK$15,HourlyTimeseries!$A:$A,HourlyTimeseries!$O:$O),"")</f>
        <v>14</v>
      </c>
      <c r="AL71" s="64">
        <f>IFERROR(LOOKUP(AL$15,HourlyTimeseries!$A:$A,HourlyTimeseries!$O:$O),"")</f>
        <v>14</v>
      </c>
      <c r="AM71" s="64">
        <f>IFERROR(LOOKUP(AM$15,HourlyTimeseries!$A:$A,HourlyTimeseries!$O:$O),"")</f>
        <v>14</v>
      </c>
      <c r="AN71" s="64">
        <f>IFERROR(LOOKUP(AN$15,HourlyTimeseries!$A:$A,HourlyTimeseries!$O:$O),"")</f>
        <v>14</v>
      </c>
      <c r="AO71" s="64">
        <f>IFERROR(LOOKUP(AO$15,HourlyTimeseries!$A:$A,HourlyTimeseries!$O:$O),"")</f>
        <v>14</v>
      </c>
      <c r="AP71" s="64">
        <f>IFERROR(LOOKUP(AP$15,HourlyTimeseries!$A:$A,HourlyTimeseries!$O:$O),"")</f>
        <v>14</v>
      </c>
      <c r="AQ71" s="64">
        <f>IFERROR(LOOKUP(AQ$15,HourlyTimeseries!$A:$A,HourlyTimeseries!$O:$O),"")</f>
        <v>14</v>
      </c>
      <c r="AR71" s="64">
        <f>IFERROR(LOOKUP(AR$15,HourlyTimeseries!$A:$A,HourlyTimeseries!$O:$O),"")</f>
        <v>14</v>
      </c>
      <c r="AS71" s="64">
        <f>IFERROR(LOOKUP(AS$15,HourlyTimeseries!$A:$A,HourlyTimeseries!$O:$O),"")</f>
        <v>14</v>
      </c>
      <c r="AT71" s="64">
        <f>IFERROR(LOOKUP(AT$15,HourlyTimeseries!$A:$A,HourlyTimeseries!$O:$O),"")</f>
        <v>14</v>
      </c>
      <c r="AU71" s="64">
        <f>IFERROR(LOOKUP(AU$15,HourlyTimeseries!$A:$A,HourlyTimeseries!$O:$O),"")</f>
        <v>14</v>
      </c>
      <c r="AV71" s="64">
        <f>IFERROR(LOOKUP(AV$15,HourlyTimeseries!$A:$A,HourlyTimeseries!$O:$O),"")</f>
        <v>14</v>
      </c>
      <c r="AW71" s="64">
        <f>IFERROR(LOOKUP(AW$15,HourlyTimeseries!$A:$A,HourlyTimeseries!$O:$O),"")</f>
        <v>14</v>
      </c>
      <c r="AX71" s="64">
        <f>IFERROR(LOOKUP(AX$15,HourlyTimeseries!$A:$A,HourlyTimeseries!$O:$O),"")</f>
        <v>14</v>
      </c>
      <c r="AY71" s="64">
        <f>IFERROR(LOOKUP(AY$15,HourlyTimeseries!$A:$A,HourlyTimeseries!$O:$O),"")</f>
        <v>14</v>
      </c>
      <c r="AZ71" s="64">
        <f>IFERROR(LOOKUP(AZ$15,HourlyTimeseries!$A:$A,HourlyTimeseries!$O:$O),"")</f>
        <v>14</v>
      </c>
      <c r="BA71" s="64">
        <f>IFERROR(LOOKUP(BA$15,HourlyTimeseries!$A:$A,HourlyTimeseries!$O:$O),"")</f>
        <v>14</v>
      </c>
      <c r="BB71" s="64">
        <f>IFERROR(LOOKUP(BB$15,HourlyTimeseries!$A:$A,HourlyTimeseries!$O:$O),"")</f>
        <v>14</v>
      </c>
      <c r="BC71" s="73">
        <f>IFERROR(LOOKUP(BC$15,HourlyTimeseries!$A:$A,HourlyTimeseries!$O:$O),"")</f>
        <v>14</v>
      </c>
      <c r="BD71" s="80">
        <f>IFERROR(LOOKUP(BD$15,HourlyTimeseries!$A:$A,HourlyTimeseries!$O:$O),"")</f>
        <v>14</v>
      </c>
      <c r="BE71" s="64">
        <f>IFERROR(LOOKUP(BE$15,HourlyTimeseries!$A:$A,HourlyTimeseries!$O:$O),"")</f>
        <v>14</v>
      </c>
      <c r="BF71" s="64">
        <f>IFERROR(LOOKUP(BF$15,HourlyTimeseries!$A:$A,HourlyTimeseries!$O:$O),"")</f>
        <v>14</v>
      </c>
      <c r="BG71" s="64">
        <f>IFERROR(LOOKUP(BG$15,HourlyTimeseries!$A:$A,HourlyTimeseries!$O:$O),"")</f>
        <v>14</v>
      </c>
      <c r="BH71" s="64">
        <f>IFERROR(LOOKUP(BH$15,HourlyTimeseries!$A:$A,HourlyTimeseries!$O:$O),"")</f>
        <v>14</v>
      </c>
      <c r="BI71" s="64">
        <f>IFERROR(LOOKUP(BI$15,HourlyTimeseries!$A:$A,HourlyTimeseries!$O:$O),"")</f>
        <v>14</v>
      </c>
      <c r="BJ71" s="64">
        <f>IFERROR(LOOKUP(BJ$15,HourlyTimeseries!$A:$A,HourlyTimeseries!$O:$O),"")</f>
        <v>14</v>
      </c>
      <c r="BK71" s="64">
        <f>IFERROR(LOOKUP(BK$15,HourlyTimeseries!$A:$A,HourlyTimeseries!$O:$O),"")</f>
        <v>14</v>
      </c>
      <c r="BL71" s="64">
        <f>IFERROR(LOOKUP(BL$15,HourlyTimeseries!$A:$A,HourlyTimeseries!$O:$O),"")</f>
        <v>14</v>
      </c>
      <c r="BM71" s="64">
        <f>IFERROR(LOOKUP(BM$15,HourlyTimeseries!$A:$A,HourlyTimeseries!$O:$O),"")</f>
        <v>14</v>
      </c>
      <c r="BN71" s="64">
        <f>IFERROR(LOOKUP(BN$15,HourlyTimeseries!$A:$A,HourlyTimeseries!$O:$O),"")</f>
        <v>14</v>
      </c>
      <c r="BO71" s="64">
        <f>IFERROR(LOOKUP(BO$15,HourlyTimeseries!$A:$A,HourlyTimeseries!$O:$O),"")</f>
        <v>14</v>
      </c>
      <c r="BP71" s="64">
        <f>IFERROR(LOOKUP(BP$15,HourlyTimeseries!$A:$A,HourlyTimeseries!$O:$O),"")</f>
        <v>14</v>
      </c>
      <c r="BQ71" s="64">
        <f>IFERROR(LOOKUP(BQ$15,HourlyTimeseries!$A:$A,HourlyTimeseries!$O:$O),"")</f>
        <v>14</v>
      </c>
      <c r="BR71" s="64">
        <f>IFERROR(LOOKUP(BR$15,HourlyTimeseries!$A:$A,HourlyTimeseries!$O:$O),"")</f>
        <v>14</v>
      </c>
      <c r="BS71" s="64">
        <f>IFERROR(LOOKUP(BS$15,HourlyTimeseries!$A:$A,HourlyTimeseries!$O:$O),"")</f>
        <v>14</v>
      </c>
      <c r="BT71" s="64">
        <f>IFERROR(LOOKUP(BT$15,HourlyTimeseries!$A:$A,HourlyTimeseries!$O:$O),"")</f>
        <v>14</v>
      </c>
      <c r="BU71" s="64">
        <f>IFERROR(LOOKUP(BU$15,HourlyTimeseries!$A:$A,HourlyTimeseries!$O:$O),"")</f>
        <v>14</v>
      </c>
      <c r="BV71" s="64">
        <f>IFERROR(LOOKUP(BV$15,HourlyTimeseries!$A:$A,HourlyTimeseries!$O:$O),"")</f>
        <v>14</v>
      </c>
      <c r="BW71" s="64">
        <f>IFERROR(LOOKUP(BW$15,HourlyTimeseries!$A:$A,HourlyTimeseries!$O:$O),"")</f>
        <v>14</v>
      </c>
      <c r="BX71" s="64">
        <f>IFERROR(LOOKUP(BX$15,HourlyTimeseries!$A:$A,HourlyTimeseries!$O:$O),"")</f>
        <v>14</v>
      </c>
      <c r="BY71" s="64">
        <f>IFERROR(LOOKUP(BY$15,HourlyTimeseries!$A:$A,HourlyTimeseries!$O:$O),"")</f>
        <v>14</v>
      </c>
      <c r="BZ71" s="64">
        <f>IFERROR(LOOKUP(BZ$15,HourlyTimeseries!$A:$A,HourlyTimeseries!$O:$O),"")</f>
        <v>14</v>
      </c>
      <c r="CA71" s="73">
        <f>IFERROR(LOOKUP(CA$15,HourlyTimeseries!$A:$A,HourlyTimeseries!$O:$O),"")</f>
        <v>14</v>
      </c>
      <c r="CB71" s="80">
        <f>IFERROR(LOOKUP(CB$15,HourlyTimeseries!$A:$A,HourlyTimeseries!$O:$O),"")</f>
        <v>14</v>
      </c>
      <c r="CC71" s="64">
        <f>IFERROR(LOOKUP(CC$15,HourlyTimeseries!$A:$A,HourlyTimeseries!$O:$O),"")</f>
        <v>14</v>
      </c>
      <c r="CD71" s="64">
        <f>IFERROR(LOOKUP(CD$15,HourlyTimeseries!$A:$A,HourlyTimeseries!$O:$O),"")</f>
        <v>14</v>
      </c>
      <c r="CE71" s="64">
        <f>IFERROR(LOOKUP(CE$15,HourlyTimeseries!$A:$A,HourlyTimeseries!$O:$O),"")</f>
        <v>14</v>
      </c>
      <c r="CF71" s="64">
        <f>IFERROR(LOOKUP(CF$15,HourlyTimeseries!$A:$A,HourlyTimeseries!$O:$O),"")</f>
        <v>14</v>
      </c>
      <c r="CG71" s="64">
        <f>IFERROR(LOOKUP(CG$15,HourlyTimeseries!$A:$A,HourlyTimeseries!$O:$O),"")</f>
        <v>14</v>
      </c>
      <c r="CH71" s="64">
        <f>IFERROR(LOOKUP(CH$15,HourlyTimeseries!$A:$A,HourlyTimeseries!$O:$O),"")</f>
        <v>14</v>
      </c>
      <c r="CI71" s="64">
        <f>IFERROR(LOOKUP(CI$15,HourlyTimeseries!$A:$A,HourlyTimeseries!$O:$O),"")</f>
        <v>14</v>
      </c>
      <c r="CJ71" s="64">
        <f>IFERROR(LOOKUP(CJ$15,HourlyTimeseries!$A:$A,HourlyTimeseries!$O:$O),"")</f>
        <v>14</v>
      </c>
      <c r="CK71" s="64">
        <f>IFERROR(LOOKUP(CK$15,HourlyTimeseries!$A:$A,HourlyTimeseries!$O:$O),"")</f>
        <v>14</v>
      </c>
      <c r="CL71" s="64">
        <f>IFERROR(LOOKUP(CL$15,HourlyTimeseries!$A:$A,HourlyTimeseries!$O:$O),"")</f>
        <v>14</v>
      </c>
      <c r="CM71" s="64">
        <f>IFERROR(LOOKUP(CM$15,HourlyTimeseries!$A:$A,HourlyTimeseries!$O:$O),"")</f>
        <v>14</v>
      </c>
      <c r="CN71" s="64">
        <f>IFERROR(LOOKUP(CN$15,HourlyTimeseries!$A:$A,HourlyTimeseries!$O:$O),"")</f>
        <v>14</v>
      </c>
      <c r="CO71" s="64">
        <f>IFERROR(LOOKUP(CO$15,HourlyTimeseries!$A:$A,HourlyTimeseries!$O:$O),"")</f>
        <v>14</v>
      </c>
      <c r="CP71" s="64">
        <f>IFERROR(LOOKUP(CP$15,HourlyTimeseries!$A:$A,HourlyTimeseries!$O:$O),"")</f>
        <v>14</v>
      </c>
      <c r="CQ71" s="64">
        <f>IFERROR(LOOKUP(CQ$15,HourlyTimeseries!$A:$A,HourlyTimeseries!$O:$O),"")</f>
        <v>14</v>
      </c>
      <c r="CR71" s="64">
        <f>IFERROR(LOOKUP(CR$15,HourlyTimeseries!$A:$A,HourlyTimeseries!$O:$O),"")</f>
        <v>14</v>
      </c>
      <c r="CS71" s="64">
        <f>IFERROR(LOOKUP(CS$15,HourlyTimeseries!$A:$A,HourlyTimeseries!$O:$O),"")</f>
        <v>14</v>
      </c>
      <c r="CT71" s="64">
        <f>IFERROR(LOOKUP(CT$15,HourlyTimeseries!$A:$A,HourlyTimeseries!$O:$O),"")</f>
        <v>14</v>
      </c>
      <c r="CU71" s="64">
        <f>IFERROR(LOOKUP(CU$15,HourlyTimeseries!$A:$A,HourlyTimeseries!$O:$O),"")</f>
        <v>14</v>
      </c>
      <c r="CV71" s="64">
        <f>IFERROR(LOOKUP(CV$15,HourlyTimeseries!$A:$A,HourlyTimeseries!$O:$O),"")</f>
        <v>14</v>
      </c>
      <c r="CW71" s="64">
        <f>IFERROR(LOOKUP(CW$15,HourlyTimeseries!$A:$A,HourlyTimeseries!$O:$O),"")</f>
        <v>14</v>
      </c>
      <c r="CX71" s="64">
        <f>IFERROR(LOOKUP(CX$15,HourlyTimeseries!$A:$A,HourlyTimeseries!$O:$O),"")</f>
        <v>14</v>
      </c>
      <c r="CY71" s="73">
        <f>IFERROR(LOOKUP(CY$15,HourlyTimeseries!$A:$A,HourlyTimeseries!$O:$O),"")</f>
        <v>14</v>
      </c>
      <c r="CZ71" s="80">
        <f>IFERROR(LOOKUP(CZ$15,HourlyTimeseries!$A:$A,HourlyTimeseries!$O:$O),"")</f>
        <v>14</v>
      </c>
      <c r="DA71" s="64">
        <f>IFERROR(LOOKUP(DA$15,HourlyTimeseries!$A:$A,HourlyTimeseries!$O:$O),"")</f>
        <v>14</v>
      </c>
      <c r="DB71" s="64">
        <f>IFERROR(LOOKUP(DB$15,HourlyTimeseries!$A:$A,HourlyTimeseries!$O:$O),"")</f>
        <v>14</v>
      </c>
      <c r="DC71" s="64">
        <f>IFERROR(LOOKUP(DC$15,HourlyTimeseries!$A:$A,HourlyTimeseries!$O:$O),"")</f>
        <v>14</v>
      </c>
      <c r="DD71" s="64">
        <f>IFERROR(LOOKUP(DD$15,HourlyTimeseries!$A:$A,HourlyTimeseries!$O:$O),"")</f>
        <v>14</v>
      </c>
      <c r="DE71" s="64">
        <f>IFERROR(LOOKUP(DE$15,HourlyTimeseries!$A:$A,HourlyTimeseries!$O:$O),"")</f>
        <v>14</v>
      </c>
      <c r="DF71" s="64">
        <f>IFERROR(LOOKUP(DF$15,HourlyTimeseries!$A:$A,HourlyTimeseries!$O:$O),"")</f>
        <v>14</v>
      </c>
      <c r="DG71" s="64">
        <f>IFERROR(LOOKUP(DG$15,HourlyTimeseries!$A:$A,HourlyTimeseries!$O:$O),"")</f>
        <v>14</v>
      </c>
      <c r="DH71" s="64">
        <f>IFERROR(LOOKUP(DH$15,HourlyTimeseries!$A:$A,HourlyTimeseries!$O:$O),"")</f>
        <v>14</v>
      </c>
      <c r="DI71" s="64">
        <f>IFERROR(LOOKUP(DI$15,HourlyTimeseries!$A:$A,HourlyTimeseries!$O:$O),"")</f>
        <v>14</v>
      </c>
      <c r="DJ71" s="64">
        <f>IFERROR(LOOKUP(DJ$15,HourlyTimeseries!$A:$A,HourlyTimeseries!$O:$O),"")</f>
        <v>14</v>
      </c>
      <c r="DK71" s="64">
        <f>IFERROR(LOOKUP(DK$15,HourlyTimeseries!$A:$A,HourlyTimeseries!$O:$O),"")</f>
        <v>14</v>
      </c>
      <c r="DL71" s="64">
        <f>IFERROR(LOOKUP(DL$15,HourlyTimeseries!$A:$A,HourlyTimeseries!$O:$O),"")</f>
        <v>14</v>
      </c>
      <c r="DM71" s="64">
        <f>IFERROR(LOOKUP(DM$15,HourlyTimeseries!$A:$A,HourlyTimeseries!$O:$O),"")</f>
        <v>14</v>
      </c>
      <c r="DN71" s="64">
        <f>IFERROR(LOOKUP(DN$15,HourlyTimeseries!$A:$A,HourlyTimeseries!$O:$O),"")</f>
        <v>14</v>
      </c>
      <c r="DO71" s="64">
        <f>IFERROR(LOOKUP(DO$15,HourlyTimeseries!$A:$A,HourlyTimeseries!$O:$O),"")</f>
        <v>14</v>
      </c>
      <c r="DP71" s="64">
        <f>IFERROR(LOOKUP(DP$15,HourlyTimeseries!$A:$A,HourlyTimeseries!$O:$O),"")</f>
        <v>14</v>
      </c>
      <c r="DQ71" s="64">
        <f>IFERROR(LOOKUP(DQ$15,HourlyTimeseries!$A:$A,HourlyTimeseries!$O:$O),"")</f>
        <v>14</v>
      </c>
      <c r="DR71" s="64">
        <f>IFERROR(LOOKUP(DR$15,HourlyTimeseries!$A:$A,HourlyTimeseries!$O:$O),"")</f>
        <v>14</v>
      </c>
      <c r="DS71" s="64">
        <f>IFERROR(LOOKUP(DS$15,HourlyTimeseries!$A:$A,HourlyTimeseries!$O:$O),"")</f>
        <v>14</v>
      </c>
      <c r="DT71" s="64">
        <f>IFERROR(LOOKUP(DT$15,HourlyTimeseries!$A:$A,HourlyTimeseries!$O:$O),"")</f>
        <v>14</v>
      </c>
      <c r="DU71" s="64">
        <f>IFERROR(LOOKUP(DU$15,HourlyTimeseries!$A:$A,HourlyTimeseries!$O:$O),"")</f>
        <v>14</v>
      </c>
      <c r="DV71" s="64">
        <f>IFERROR(LOOKUP(DV$15,HourlyTimeseries!$A:$A,HourlyTimeseries!$O:$O),"")</f>
        <v>14</v>
      </c>
      <c r="DW71" s="73">
        <f>IFERROR(LOOKUP(DW$15,HourlyTimeseries!$A:$A,HourlyTimeseries!$O:$O),"")</f>
        <v>14</v>
      </c>
      <c r="DX71" s="80">
        <f>IFERROR(LOOKUP(DX$15,HourlyTimeseries!$A:$A,HourlyTimeseries!$O:$O),"")</f>
        <v>14</v>
      </c>
      <c r="DY71" s="64">
        <f>IFERROR(LOOKUP(DY$15,HourlyTimeseries!$A:$A,HourlyTimeseries!$O:$O),"")</f>
        <v>14</v>
      </c>
      <c r="DZ71" s="64">
        <f>IFERROR(LOOKUP(DZ$15,HourlyTimeseries!$A:$A,HourlyTimeseries!$O:$O),"")</f>
        <v>14</v>
      </c>
      <c r="EA71" s="64">
        <f>IFERROR(LOOKUP(EA$15,HourlyTimeseries!$A:$A,HourlyTimeseries!$O:$O),"")</f>
        <v>14</v>
      </c>
      <c r="EB71" s="64">
        <f>IFERROR(LOOKUP(EB$15,HourlyTimeseries!$A:$A,HourlyTimeseries!$O:$O),"")</f>
        <v>14</v>
      </c>
      <c r="EC71" s="64">
        <f>IFERROR(LOOKUP(EC$15,HourlyTimeseries!$A:$A,HourlyTimeseries!$O:$O),"")</f>
        <v>14</v>
      </c>
      <c r="ED71" s="64">
        <f>IFERROR(LOOKUP(ED$15,HourlyTimeseries!$A:$A,HourlyTimeseries!$O:$O),"")</f>
        <v>14</v>
      </c>
      <c r="EE71" s="64">
        <f>IFERROR(LOOKUP(EE$15,HourlyTimeseries!$A:$A,HourlyTimeseries!$O:$O),"")</f>
        <v>14</v>
      </c>
      <c r="EF71" s="64">
        <f>IFERROR(LOOKUP(EF$15,HourlyTimeseries!$A:$A,HourlyTimeseries!$O:$O),"")</f>
        <v>14</v>
      </c>
      <c r="EG71" s="64">
        <f>IFERROR(LOOKUP(EG$15,HourlyTimeseries!$A:$A,HourlyTimeseries!$O:$O),"")</f>
        <v>14</v>
      </c>
      <c r="EH71" s="64">
        <f>IFERROR(LOOKUP(EH$15,HourlyTimeseries!$A:$A,HourlyTimeseries!$O:$O),"")</f>
        <v>14</v>
      </c>
      <c r="EI71" s="64">
        <f>IFERROR(LOOKUP(EI$15,HourlyTimeseries!$A:$A,HourlyTimeseries!$O:$O),"")</f>
        <v>14</v>
      </c>
      <c r="EJ71" s="64">
        <f>IFERROR(LOOKUP(EJ$15,HourlyTimeseries!$A:$A,HourlyTimeseries!$O:$O),"")</f>
        <v>14</v>
      </c>
      <c r="EK71" s="64">
        <f>IFERROR(LOOKUP(EK$15,HourlyTimeseries!$A:$A,HourlyTimeseries!$O:$O),"")</f>
        <v>14</v>
      </c>
      <c r="EL71" s="64">
        <f>IFERROR(LOOKUP(EL$15,HourlyTimeseries!$A:$A,HourlyTimeseries!$O:$O),"")</f>
        <v>14</v>
      </c>
      <c r="EM71" s="64">
        <f>IFERROR(LOOKUP(EM$15,HourlyTimeseries!$A:$A,HourlyTimeseries!$O:$O),"")</f>
        <v>14</v>
      </c>
      <c r="EN71" s="64">
        <f>IFERROR(LOOKUP(EN$15,HourlyTimeseries!$A:$A,HourlyTimeseries!$O:$O),"")</f>
        <v>14</v>
      </c>
      <c r="EO71" s="64">
        <f>IFERROR(LOOKUP(EO$15,HourlyTimeseries!$A:$A,HourlyTimeseries!$O:$O),"")</f>
        <v>14</v>
      </c>
      <c r="EP71" s="64">
        <f>IFERROR(LOOKUP(EP$15,HourlyTimeseries!$A:$A,HourlyTimeseries!$O:$O),"")</f>
        <v>14</v>
      </c>
      <c r="EQ71" s="64">
        <f>IFERROR(LOOKUP(EQ$15,HourlyTimeseries!$A:$A,HourlyTimeseries!$O:$O),"")</f>
        <v>14</v>
      </c>
      <c r="ER71" s="64">
        <f>IFERROR(LOOKUP(ER$15,HourlyTimeseries!$A:$A,HourlyTimeseries!$O:$O),"")</f>
        <v>14</v>
      </c>
      <c r="ES71" s="64">
        <f>IFERROR(LOOKUP(ES$15,HourlyTimeseries!$A:$A,HourlyTimeseries!$O:$O),"")</f>
        <v>14</v>
      </c>
      <c r="ET71" s="64">
        <f>IFERROR(LOOKUP(ET$15,HourlyTimeseries!$A:$A,HourlyTimeseries!$O:$O),"")</f>
        <v>14</v>
      </c>
      <c r="EU71" s="73">
        <f>IFERROR(LOOKUP(EU$15,HourlyTimeseries!$A:$A,HourlyTimeseries!$O:$O),"")</f>
        <v>14</v>
      </c>
      <c r="EV71" s="80">
        <f>IFERROR(LOOKUP(EV$15,HourlyTimeseries!$A:$A,HourlyTimeseries!$O:$O),"")</f>
        <v>14</v>
      </c>
      <c r="EW71" s="64">
        <f>IFERROR(LOOKUP(EW$15,HourlyTimeseries!$A:$A,HourlyTimeseries!$O:$O),"")</f>
        <v>14</v>
      </c>
      <c r="EX71" s="64">
        <f>IFERROR(LOOKUP(EX$15,HourlyTimeseries!$A:$A,HourlyTimeseries!$O:$O),"")</f>
        <v>14</v>
      </c>
      <c r="EY71" s="64">
        <f>IFERROR(LOOKUP(EY$15,HourlyTimeseries!$A:$A,HourlyTimeseries!$O:$O),"")</f>
        <v>14</v>
      </c>
      <c r="EZ71" s="64">
        <f>IFERROR(LOOKUP(EZ$15,HourlyTimeseries!$A:$A,HourlyTimeseries!$O:$O),"")</f>
        <v>14</v>
      </c>
      <c r="FA71" s="64">
        <f>IFERROR(LOOKUP(FA$15,HourlyTimeseries!$A:$A,HourlyTimeseries!$O:$O),"")</f>
        <v>14</v>
      </c>
      <c r="FB71" s="64">
        <f>IFERROR(LOOKUP(FB$15,HourlyTimeseries!$A:$A,HourlyTimeseries!$O:$O),"")</f>
        <v>14</v>
      </c>
      <c r="FC71" s="64">
        <f>IFERROR(LOOKUP(FC$15,HourlyTimeseries!$A:$A,HourlyTimeseries!$O:$O),"")</f>
        <v>14</v>
      </c>
      <c r="FD71" s="64">
        <f>IFERROR(LOOKUP(FD$15,HourlyTimeseries!$A:$A,HourlyTimeseries!$O:$O),"")</f>
        <v>14</v>
      </c>
      <c r="FE71" s="64">
        <f>IFERROR(LOOKUP(FE$15,HourlyTimeseries!$A:$A,HourlyTimeseries!$O:$O),"")</f>
        <v>14</v>
      </c>
      <c r="FF71" s="64">
        <f>IFERROR(LOOKUP(FF$15,HourlyTimeseries!$A:$A,HourlyTimeseries!$O:$O),"")</f>
        <v>14</v>
      </c>
      <c r="FG71" s="64">
        <f>IFERROR(LOOKUP(FG$15,HourlyTimeseries!$A:$A,HourlyTimeseries!$O:$O),"")</f>
        <v>14</v>
      </c>
      <c r="FH71" s="64">
        <f>IFERROR(LOOKUP(FH$15,HourlyTimeseries!$A:$A,HourlyTimeseries!$O:$O),"")</f>
        <v>14</v>
      </c>
      <c r="FI71" s="64">
        <f>IFERROR(LOOKUP(FI$15,HourlyTimeseries!$A:$A,HourlyTimeseries!$O:$O),"")</f>
        <v>14</v>
      </c>
      <c r="FJ71" s="64">
        <f>IFERROR(LOOKUP(FJ$15,HourlyTimeseries!$A:$A,HourlyTimeseries!$O:$O),"")</f>
        <v>14</v>
      </c>
      <c r="FK71" s="64">
        <f>IFERROR(LOOKUP(FK$15,HourlyTimeseries!$A:$A,HourlyTimeseries!$O:$O),"")</f>
        <v>14</v>
      </c>
      <c r="FL71" s="64">
        <f>IFERROR(LOOKUP(FL$15,HourlyTimeseries!$A:$A,HourlyTimeseries!$O:$O),"")</f>
        <v>14</v>
      </c>
      <c r="FM71" s="64">
        <f>IFERROR(LOOKUP(FM$15,HourlyTimeseries!$A:$A,HourlyTimeseries!$O:$O),"")</f>
        <v>14</v>
      </c>
      <c r="FN71" s="64">
        <f>IFERROR(LOOKUP(FN$15,HourlyTimeseries!$A:$A,HourlyTimeseries!$O:$O),"")</f>
        <v>14</v>
      </c>
      <c r="FO71" s="64">
        <f>IFERROR(LOOKUP(FO$15,HourlyTimeseries!$A:$A,HourlyTimeseries!$O:$O),"")</f>
        <v>14</v>
      </c>
      <c r="FP71" s="64">
        <f>IFERROR(LOOKUP(FP$15,HourlyTimeseries!$A:$A,HourlyTimeseries!$O:$O),"")</f>
        <v>14</v>
      </c>
      <c r="FQ71" s="64">
        <f>IFERROR(LOOKUP(FQ$15,HourlyTimeseries!$A:$A,HourlyTimeseries!$O:$O),"")</f>
        <v>14</v>
      </c>
      <c r="FR71" s="64">
        <f>IFERROR(LOOKUP(FR$15,HourlyTimeseries!$A:$A,HourlyTimeseries!$O:$O),"")</f>
        <v>14</v>
      </c>
      <c r="FS71" s="73">
        <f>IFERROR(LOOKUP(FS$15,HourlyTimeseries!$A:$A,HourlyTimeseries!$O:$O),"")</f>
        <v>14</v>
      </c>
    </row>
    <row r="72" spans="4:175" x14ac:dyDescent="0.2">
      <c r="D72" s="15" t="s">
        <v>37</v>
      </c>
      <c r="E72" s="2" t="s">
        <v>3</v>
      </c>
      <c r="F72" s="54" t="s">
        <v>154</v>
      </c>
      <c r="G72" s="2"/>
      <c r="H72" s="64">
        <f>IFERROR(LOOKUP(H$15,HourlyTimeseries!$A:$A,HourlyTimeseries!$Q:$Q),"")</f>
        <v>2.8643165000000002</v>
      </c>
      <c r="I72" s="64">
        <f>IFERROR(LOOKUP(I$15,HourlyTimeseries!$A:$A,HourlyTimeseries!$Q:$Q),"")</f>
        <v>2.8924701000000002</v>
      </c>
      <c r="J72" s="64">
        <f>IFERROR(LOOKUP(J$15,HourlyTimeseries!$A:$A,HourlyTimeseries!$Q:$Q),"")</f>
        <v>2.955308</v>
      </c>
      <c r="K72" s="64">
        <f>IFERROR(LOOKUP(K$15,HourlyTimeseries!$A:$A,HourlyTimeseries!$Q:$Q),"")</f>
        <v>3.0358679</v>
      </c>
      <c r="L72" s="64">
        <f>IFERROR(LOOKUP(L$15,HourlyTimeseries!$A:$A,HourlyTimeseries!$Q:$Q),"")</f>
        <v>3.0781846000000002</v>
      </c>
      <c r="M72" s="64">
        <f>IFERROR(LOOKUP(M$15,HourlyTimeseries!$A:$A,HourlyTimeseries!$Q:$Q),"")</f>
        <v>3.1533878</v>
      </c>
      <c r="N72" s="64">
        <f>IFERROR(LOOKUP(N$15,HourlyTimeseries!$A:$A,HourlyTimeseries!$Q:$Q),"")</f>
        <v>3.249409</v>
      </c>
      <c r="O72" s="64">
        <f>IFERROR(LOOKUP(O$15,HourlyTimeseries!$A:$A,HourlyTimeseries!$Q:$Q),"")</f>
        <v>3.2506149</v>
      </c>
      <c r="P72" s="64">
        <f>IFERROR(LOOKUP(P$15,HourlyTimeseries!$A:$A,HourlyTimeseries!$Q:$Q),"")</f>
        <v>3.3355350000000001</v>
      </c>
      <c r="Q72" s="64">
        <f>IFERROR(LOOKUP(Q$15,HourlyTimeseries!$A:$A,HourlyTimeseries!$Q:$Q),"")</f>
        <v>3.4513265999999998</v>
      </c>
      <c r="R72" s="64">
        <f>IFERROR(LOOKUP(R$15,HourlyTimeseries!$A:$A,HourlyTimeseries!$Q:$Q),"")</f>
        <v>3.4450078</v>
      </c>
      <c r="S72" s="64">
        <f>IFERROR(LOOKUP(S$15,HourlyTimeseries!$A:$A,HourlyTimeseries!$Q:$Q),"")</f>
        <v>3.2603295000000001</v>
      </c>
      <c r="T72" s="64">
        <f>IFERROR(LOOKUP(T$15,HourlyTimeseries!$A:$A,HourlyTimeseries!$Q:$Q),"")</f>
        <v>3.0558071</v>
      </c>
      <c r="U72" s="64">
        <f>IFERROR(LOOKUP(U$15,HourlyTimeseries!$A:$A,HourlyTimeseries!$Q:$Q),"")</f>
        <v>2.9222016000000002</v>
      </c>
      <c r="V72" s="64">
        <f>IFERROR(LOOKUP(V$15,HourlyTimeseries!$A:$A,HourlyTimeseries!$Q:$Q),"")</f>
        <v>2.9752865000000002</v>
      </c>
      <c r="W72" s="64">
        <f>IFERROR(LOOKUP(W$15,HourlyTimeseries!$A:$A,HourlyTimeseries!$Q:$Q),"")</f>
        <v>3.3345006000000001</v>
      </c>
      <c r="X72" s="64">
        <f>IFERROR(LOOKUP(X$15,HourlyTimeseries!$A:$A,HourlyTimeseries!$Q:$Q),"")</f>
        <v>3.2613257999999998</v>
      </c>
      <c r="Y72" s="64">
        <f>IFERROR(LOOKUP(Y$15,HourlyTimeseries!$A:$A,HourlyTimeseries!$Q:$Q),"")</f>
        <v>3.1467706999999998</v>
      </c>
      <c r="Z72" s="64">
        <f>IFERROR(LOOKUP(Z$15,HourlyTimeseries!$A:$A,HourlyTimeseries!$Q:$Q),"")</f>
        <v>3.1188471</v>
      </c>
      <c r="AA72" s="64">
        <f>IFERROR(LOOKUP(AA$15,HourlyTimeseries!$A:$A,HourlyTimeseries!$Q:$Q),"")</f>
        <v>3.1332140000000002</v>
      </c>
      <c r="AB72" s="64">
        <f>IFERROR(LOOKUP(AB$15,HourlyTimeseries!$A:$A,HourlyTimeseries!$Q:$Q),"")</f>
        <v>3.1204236000000001</v>
      </c>
      <c r="AC72" s="64">
        <f>IFERROR(LOOKUP(AC$15,HourlyTimeseries!$A:$A,HourlyTimeseries!$Q:$Q),"")</f>
        <v>3.0405536</v>
      </c>
      <c r="AD72" s="64">
        <f>IFERROR(LOOKUP(AD$15,HourlyTimeseries!$A:$A,HourlyTimeseries!$Q:$Q),"")</f>
        <v>2.9656753999999999</v>
      </c>
      <c r="AE72" s="73">
        <f>IFERROR(LOOKUP(AE$15,HourlyTimeseries!$A:$A,HourlyTimeseries!$Q:$Q),"")</f>
        <v>2.9095225</v>
      </c>
      <c r="AF72" s="80">
        <f>IFERROR(LOOKUP(AF$15,HourlyTimeseries!$A:$A,HourlyTimeseries!$Q:$Q),"")</f>
        <v>2.9282588999999999</v>
      </c>
      <c r="AG72" s="64">
        <f>IFERROR(LOOKUP(AG$15,HourlyTimeseries!$A:$A,HourlyTimeseries!$Q:$Q),"")</f>
        <v>2.9735668</v>
      </c>
      <c r="AH72" s="64">
        <f>IFERROR(LOOKUP(AH$15,HourlyTimeseries!$A:$A,HourlyTimeseries!$Q:$Q),"")</f>
        <v>3.0231271</v>
      </c>
      <c r="AI72" s="64">
        <f>IFERROR(LOOKUP(AI$15,HourlyTimeseries!$A:$A,HourlyTimeseries!$Q:$Q),"")</f>
        <v>3.0643875999999999</v>
      </c>
      <c r="AJ72" s="64">
        <f>IFERROR(LOOKUP(AJ$15,HourlyTimeseries!$A:$A,HourlyTimeseries!$Q:$Q),"")</f>
        <v>3.0913295999999999</v>
      </c>
      <c r="AK72" s="64">
        <f>IFERROR(LOOKUP(AK$15,HourlyTimeseries!$A:$A,HourlyTimeseries!$Q:$Q),"")</f>
        <v>3.1555688000000002</v>
      </c>
      <c r="AL72" s="64">
        <f>IFERROR(LOOKUP(AL$15,HourlyTimeseries!$A:$A,HourlyTimeseries!$Q:$Q),"")</f>
        <v>3.2238642999999998</v>
      </c>
      <c r="AM72" s="64">
        <f>IFERROR(LOOKUP(AM$15,HourlyTimeseries!$A:$A,HourlyTimeseries!$Q:$Q),"")</f>
        <v>3.2334928999999999</v>
      </c>
      <c r="AN72" s="64">
        <f>IFERROR(LOOKUP(AN$15,HourlyTimeseries!$A:$A,HourlyTimeseries!$Q:$Q),"")</f>
        <v>3.2846641999999999</v>
      </c>
      <c r="AO72" s="64">
        <f>IFERROR(LOOKUP(AO$15,HourlyTimeseries!$A:$A,HourlyTimeseries!$Q:$Q),"")</f>
        <v>3.3645716000000001</v>
      </c>
      <c r="AP72" s="64">
        <f>IFERROR(LOOKUP(AP$15,HourlyTimeseries!$A:$A,HourlyTimeseries!$Q:$Q),"")</f>
        <v>3.377564</v>
      </c>
      <c r="AQ72" s="64">
        <f>IFERROR(LOOKUP(AQ$15,HourlyTimeseries!$A:$A,HourlyTimeseries!$Q:$Q),"")</f>
        <v>3.2318737999999998</v>
      </c>
      <c r="AR72" s="64">
        <f>IFERROR(LOOKUP(AR$15,HourlyTimeseries!$A:$A,HourlyTimeseries!$Q:$Q),"")</f>
        <v>3.0485338999999998</v>
      </c>
      <c r="AS72" s="64">
        <f>IFERROR(LOOKUP(AS$15,HourlyTimeseries!$A:$A,HourlyTimeseries!$Q:$Q),"")</f>
        <v>2.8661113</v>
      </c>
      <c r="AT72" s="64">
        <f>IFERROR(LOOKUP(AT$15,HourlyTimeseries!$A:$A,HourlyTimeseries!$Q:$Q),"")</f>
        <v>2.9089700999999999</v>
      </c>
      <c r="AU72" s="64">
        <f>IFERROR(LOOKUP(AU$15,HourlyTimeseries!$A:$A,HourlyTimeseries!$Q:$Q),"")</f>
        <v>3.2169219999999998</v>
      </c>
      <c r="AV72" s="64">
        <f>IFERROR(LOOKUP(AV$15,HourlyTimeseries!$A:$A,HourlyTimeseries!$Q:$Q),"")</f>
        <v>3.0791873999999999</v>
      </c>
      <c r="AW72" s="64">
        <f>IFERROR(LOOKUP(AW$15,HourlyTimeseries!$A:$A,HourlyTimeseries!$Q:$Q),"")</f>
        <v>3.0040752999999998</v>
      </c>
      <c r="AX72" s="64">
        <f>IFERROR(LOOKUP(AX$15,HourlyTimeseries!$A:$A,HourlyTimeseries!$Q:$Q),"")</f>
        <v>2.9862986</v>
      </c>
      <c r="AY72" s="64">
        <f>IFERROR(LOOKUP(AY$15,HourlyTimeseries!$A:$A,HourlyTimeseries!$Q:$Q),"")</f>
        <v>2.9415716999999999</v>
      </c>
      <c r="AZ72" s="64">
        <f>IFERROR(LOOKUP(AZ$15,HourlyTimeseries!$A:$A,HourlyTimeseries!$Q:$Q),"")</f>
        <v>2.9021363</v>
      </c>
      <c r="BA72" s="64">
        <f>IFERROR(LOOKUP(BA$15,HourlyTimeseries!$A:$A,HourlyTimeseries!$Q:$Q),"")</f>
        <v>2.8622622</v>
      </c>
      <c r="BB72" s="64">
        <f>IFERROR(LOOKUP(BB$15,HourlyTimeseries!$A:$A,HourlyTimeseries!$Q:$Q),"")</f>
        <v>2.8155912999999999</v>
      </c>
      <c r="BC72" s="73">
        <f>IFERROR(LOOKUP(BC$15,HourlyTimeseries!$A:$A,HourlyTimeseries!$Q:$Q),"")</f>
        <v>2.7097294000000001</v>
      </c>
      <c r="BD72" s="80">
        <f>IFERROR(LOOKUP(BD$15,HourlyTimeseries!$A:$A,HourlyTimeseries!$Q:$Q),"")</f>
        <v>2.6478817000000001</v>
      </c>
      <c r="BE72" s="64">
        <f>IFERROR(LOOKUP(BE$15,HourlyTimeseries!$A:$A,HourlyTimeseries!$Q:$Q),"")</f>
        <v>2.6271624999999998</v>
      </c>
      <c r="BF72" s="64">
        <f>IFERROR(LOOKUP(BF$15,HourlyTimeseries!$A:$A,HourlyTimeseries!$Q:$Q),"")</f>
        <v>2.6882806000000001</v>
      </c>
      <c r="BG72" s="64">
        <f>IFERROR(LOOKUP(BG$15,HourlyTimeseries!$A:$A,HourlyTimeseries!$Q:$Q),"")</f>
        <v>2.736243</v>
      </c>
      <c r="BH72" s="64">
        <f>IFERROR(LOOKUP(BH$15,HourlyTimeseries!$A:$A,HourlyTimeseries!$Q:$Q),"")</f>
        <v>2.7699392</v>
      </c>
      <c r="BI72" s="64">
        <f>IFERROR(LOOKUP(BI$15,HourlyTimeseries!$A:$A,HourlyTimeseries!$Q:$Q),"")</f>
        <v>2.8546931999999998</v>
      </c>
      <c r="BJ72" s="64">
        <f>IFERROR(LOOKUP(BJ$15,HourlyTimeseries!$A:$A,HourlyTimeseries!$Q:$Q),"")</f>
        <v>2.9852995999999998</v>
      </c>
      <c r="BK72" s="64">
        <f>IFERROR(LOOKUP(BK$15,HourlyTimeseries!$A:$A,HourlyTimeseries!$Q:$Q),"")</f>
        <v>3.1313431</v>
      </c>
      <c r="BL72" s="64">
        <f>IFERROR(LOOKUP(BL$15,HourlyTimeseries!$A:$A,HourlyTimeseries!$Q:$Q),"")</f>
        <v>3.1928477000000002</v>
      </c>
      <c r="BM72" s="64">
        <f>IFERROR(LOOKUP(BM$15,HourlyTimeseries!$A:$A,HourlyTimeseries!$Q:$Q),"")</f>
        <v>3.2407048000000001</v>
      </c>
      <c r="BN72" s="64">
        <f>IFERROR(LOOKUP(BN$15,HourlyTimeseries!$A:$A,HourlyTimeseries!$Q:$Q),"")</f>
        <v>3.3089184999999999</v>
      </c>
      <c r="BO72" s="64">
        <f>IFERROR(LOOKUP(BO$15,HourlyTimeseries!$A:$A,HourlyTimeseries!$Q:$Q),"")</f>
        <v>3.2608134999999998</v>
      </c>
      <c r="BP72" s="64">
        <f>IFERROR(LOOKUP(BP$15,HourlyTimeseries!$A:$A,HourlyTimeseries!$Q:$Q),"")</f>
        <v>3.1289069999999999</v>
      </c>
      <c r="BQ72" s="64">
        <f>IFERROR(LOOKUP(BQ$15,HourlyTimeseries!$A:$A,HourlyTimeseries!$Q:$Q),"")</f>
        <v>2.95085</v>
      </c>
      <c r="BR72" s="64">
        <f>IFERROR(LOOKUP(BR$15,HourlyTimeseries!$A:$A,HourlyTimeseries!$Q:$Q),"")</f>
        <v>2.8886243999999999</v>
      </c>
      <c r="BS72" s="64">
        <f>IFERROR(LOOKUP(BS$15,HourlyTimeseries!$A:$A,HourlyTimeseries!$Q:$Q),"")</f>
        <v>3.1779613000000002</v>
      </c>
      <c r="BT72" s="64">
        <f>IFERROR(LOOKUP(BT$15,HourlyTimeseries!$A:$A,HourlyTimeseries!$Q:$Q),"")</f>
        <v>3.0961227</v>
      </c>
      <c r="BU72" s="64">
        <f>IFERROR(LOOKUP(BU$15,HourlyTimeseries!$A:$A,HourlyTimeseries!$Q:$Q),"")</f>
        <v>3.0073378000000002</v>
      </c>
      <c r="BV72" s="64">
        <f>IFERROR(LOOKUP(BV$15,HourlyTimeseries!$A:$A,HourlyTimeseries!$Q:$Q),"")</f>
        <v>2.9814544000000001</v>
      </c>
      <c r="BW72" s="64">
        <f>IFERROR(LOOKUP(BW$15,HourlyTimeseries!$A:$A,HourlyTimeseries!$Q:$Q),"")</f>
        <v>2.9464549999999998</v>
      </c>
      <c r="BX72" s="64">
        <f>IFERROR(LOOKUP(BX$15,HourlyTimeseries!$A:$A,HourlyTimeseries!$Q:$Q),"")</f>
        <v>2.9102185</v>
      </c>
      <c r="BY72" s="64">
        <f>IFERROR(LOOKUP(BY$15,HourlyTimeseries!$A:$A,HourlyTimeseries!$Q:$Q),"")</f>
        <v>2.8822842</v>
      </c>
      <c r="BZ72" s="64">
        <f>IFERROR(LOOKUP(BZ$15,HourlyTimeseries!$A:$A,HourlyTimeseries!$Q:$Q),"")</f>
        <v>2.8557990000000002</v>
      </c>
      <c r="CA72" s="73">
        <f>IFERROR(LOOKUP(CA$15,HourlyTimeseries!$A:$A,HourlyTimeseries!$Q:$Q),"")</f>
        <v>2.7654953</v>
      </c>
      <c r="CB72" s="80">
        <f>IFERROR(LOOKUP(CB$15,HourlyTimeseries!$A:$A,HourlyTimeseries!$Q:$Q),"")</f>
        <v>2.6782086000000001</v>
      </c>
      <c r="CC72" s="64">
        <f>IFERROR(LOOKUP(CC$15,HourlyTimeseries!$A:$A,HourlyTimeseries!$Q:$Q),"")</f>
        <v>2.6112449</v>
      </c>
      <c r="CD72" s="64">
        <f>IFERROR(LOOKUP(CD$15,HourlyTimeseries!$A:$A,HourlyTimeseries!$Q:$Q),"")</f>
        <v>2.7065324999999998</v>
      </c>
      <c r="CE72" s="64">
        <f>IFERROR(LOOKUP(CE$15,HourlyTimeseries!$A:$A,HourlyTimeseries!$Q:$Q),"")</f>
        <v>2.7837849000000001</v>
      </c>
      <c r="CF72" s="64">
        <f>IFERROR(LOOKUP(CF$15,HourlyTimeseries!$A:$A,HourlyTimeseries!$Q:$Q),"")</f>
        <v>2.8246565000000001</v>
      </c>
      <c r="CG72" s="64">
        <f>IFERROR(LOOKUP(CG$15,HourlyTimeseries!$A:$A,HourlyTimeseries!$Q:$Q),"")</f>
        <v>2.9119837</v>
      </c>
      <c r="CH72" s="64">
        <f>IFERROR(LOOKUP(CH$15,HourlyTimeseries!$A:$A,HourlyTimeseries!$Q:$Q),"")</f>
        <v>3.0456333</v>
      </c>
      <c r="CI72" s="64">
        <f>IFERROR(LOOKUP(CI$15,HourlyTimeseries!$A:$A,HourlyTimeseries!$Q:$Q),"")</f>
        <v>3.1962609</v>
      </c>
      <c r="CJ72" s="64">
        <f>IFERROR(LOOKUP(CJ$15,HourlyTimeseries!$A:$A,HourlyTimeseries!$Q:$Q),"")</f>
        <v>3.2649168999999998</v>
      </c>
      <c r="CK72" s="64">
        <f>IFERROR(LOOKUP(CK$15,HourlyTimeseries!$A:$A,HourlyTimeseries!$Q:$Q),"")</f>
        <v>3.3073359</v>
      </c>
      <c r="CL72" s="64">
        <f>IFERROR(LOOKUP(CL$15,HourlyTimeseries!$A:$A,HourlyTimeseries!$Q:$Q),"")</f>
        <v>3.3827093000000001</v>
      </c>
      <c r="CM72" s="64">
        <f>IFERROR(LOOKUP(CM$15,HourlyTimeseries!$A:$A,HourlyTimeseries!$Q:$Q),"")</f>
        <v>3.3338575000000001</v>
      </c>
      <c r="CN72" s="64">
        <f>IFERROR(LOOKUP(CN$15,HourlyTimeseries!$A:$A,HourlyTimeseries!$Q:$Q),"")</f>
        <v>3.2054119000000001</v>
      </c>
      <c r="CO72" s="64">
        <f>IFERROR(LOOKUP(CO$15,HourlyTimeseries!$A:$A,HourlyTimeseries!$Q:$Q),"")</f>
        <v>3.0184039999999999</v>
      </c>
      <c r="CP72" s="64">
        <f>IFERROR(LOOKUP(CP$15,HourlyTimeseries!$A:$A,HourlyTimeseries!$Q:$Q),"")</f>
        <v>2.9870279000000002</v>
      </c>
      <c r="CQ72" s="64">
        <f>IFERROR(LOOKUP(CQ$15,HourlyTimeseries!$A:$A,HourlyTimeseries!$Q:$Q),"")</f>
        <v>3.3114333</v>
      </c>
      <c r="CR72" s="64">
        <f>IFERROR(LOOKUP(CR$15,HourlyTimeseries!$A:$A,HourlyTimeseries!$Q:$Q),"")</f>
        <v>3.1992010999999998</v>
      </c>
      <c r="CS72" s="64">
        <f>IFERROR(LOOKUP(CS$15,HourlyTimeseries!$A:$A,HourlyTimeseries!$Q:$Q),"")</f>
        <v>3.1127064</v>
      </c>
      <c r="CT72" s="64">
        <f>IFERROR(LOOKUP(CT$15,HourlyTimeseries!$A:$A,HourlyTimeseries!$Q:$Q),"")</f>
        <v>3.0936666000000002</v>
      </c>
      <c r="CU72" s="64">
        <f>IFERROR(LOOKUP(CU$15,HourlyTimeseries!$A:$A,HourlyTimeseries!$Q:$Q),"")</f>
        <v>3.0556473999999998</v>
      </c>
      <c r="CV72" s="64">
        <f>IFERROR(LOOKUP(CV$15,HourlyTimeseries!$A:$A,HourlyTimeseries!$Q:$Q),"")</f>
        <v>3.0189952999999998</v>
      </c>
      <c r="CW72" s="64">
        <f>IFERROR(LOOKUP(CW$15,HourlyTimeseries!$A:$A,HourlyTimeseries!$Q:$Q),"")</f>
        <v>2.9855119999999999</v>
      </c>
      <c r="CX72" s="64">
        <f>IFERROR(LOOKUP(CX$15,HourlyTimeseries!$A:$A,HourlyTimeseries!$Q:$Q),"")</f>
        <v>2.9519297999999998</v>
      </c>
      <c r="CY72" s="73">
        <f>IFERROR(LOOKUP(CY$15,HourlyTimeseries!$A:$A,HourlyTimeseries!$Q:$Q),"")</f>
        <v>2.8495512000000001</v>
      </c>
      <c r="CZ72" s="80">
        <f>IFERROR(LOOKUP(CZ$15,HourlyTimeseries!$A:$A,HourlyTimeseries!$Q:$Q),"")</f>
        <v>2.7738941000000001</v>
      </c>
      <c r="DA72" s="64">
        <f>IFERROR(LOOKUP(DA$15,HourlyTimeseries!$A:$A,HourlyTimeseries!$Q:$Q),"")</f>
        <v>2.7284918</v>
      </c>
      <c r="DB72" s="64">
        <f>IFERROR(LOOKUP(DB$15,HourlyTimeseries!$A:$A,HourlyTimeseries!$Q:$Q),"")</f>
        <v>2.8093944</v>
      </c>
      <c r="DC72" s="64">
        <f>IFERROR(LOOKUP(DC$15,HourlyTimeseries!$A:$A,HourlyTimeseries!$Q:$Q),"")</f>
        <v>2.8659735</v>
      </c>
      <c r="DD72" s="64">
        <f>IFERROR(LOOKUP(DD$15,HourlyTimeseries!$A:$A,HourlyTimeseries!$Q:$Q),"")</f>
        <v>2.8984714</v>
      </c>
      <c r="DE72" s="64">
        <f>IFERROR(LOOKUP(DE$15,HourlyTimeseries!$A:$A,HourlyTimeseries!$Q:$Q),"")</f>
        <v>2.9780566999999998</v>
      </c>
      <c r="DF72" s="64">
        <f>IFERROR(LOOKUP(DF$15,HourlyTimeseries!$A:$A,HourlyTimeseries!$Q:$Q),"")</f>
        <v>3.0996250999999999</v>
      </c>
      <c r="DG72" s="64">
        <f>IFERROR(LOOKUP(DG$15,HourlyTimeseries!$A:$A,HourlyTimeseries!$Q:$Q),"")</f>
        <v>3.2352257</v>
      </c>
      <c r="DH72" s="64">
        <f>IFERROR(LOOKUP(DH$15,HourlyTimeseries!$A:$A,HourlyTimeseries!$Q:$Q),"")</f>
        <v>3.3067875</v>
      </c>
      <c r="DI72" s="64">
        <f>IFERROR(LOOKUP(DI$15,HourlyTimeseries!$A:$A,HourlyTimeseries!$Q:$Q),"")</f>
        <v>3.3325128999999998</v>
      </c>
      <c r="DJ72" s="64">
        <f>IFERROR(LOOKUP(DJ$15,HourlyTimeseries!$A:$A,HourlyTimeseries!$Q:$Q),"")</f>
        <v>3.3907573000000002</v>
      </c>
      <c r="DK72" s="64">
        <f>IFERROR(LOOKUP(DK$15,HourlyTimeseries!$A:$A,HourlyTimeseries!$Q:$Q),"")</f>
        <v>3.3392776999999998</v>
      </c>
      <c r="DL72" s="64">
        <f>IFERROR(LOOKUP(DL$15,HourlyTimeseries!$A:$A,HourlyTimeseries!$Q:$Q),"")</f>
        <v>3.2109475000000001</v>
      </c>
      <c r="DM72" s="64">
        <f>IFERROR(LOOKUP(DM$15,HourlyTimeseries!$A:$A,HourlyTimeseries!$Q:$Q),"")</f>
        <v>3.0370046999999998</v>
      </c>
      <c r="DN72" s="64">
        <f>IFERROR(LOOKUP(DN$15,HourlyTimeseries!$A:$A,HourlyTimeseries!$Q:$Q),"")</f>
        <v>2.9776163000000002</v>
      </c>
      <c r="DO72" s="64">
        <f>IFERROR(LOOKUP(DO$15,HourlyTimeseries!$A:$A,HourlyTimeseries!$Q:$Q),"")</f>
        <v>3.2706523000000001</v>
      </c>
      <c r="DP72" s="64">
        <f>IFERROR(LOOKUP(DP$15,HourlyTimeseries!$A:$A,HourlyTimeseries!$Q:$Q),"")</f>
        <v>3.1909177</v>
      </c>
      <c r="DQ72" s="64">
        <f>IFERROR(LOOKUP(DQ$15,HourlyTimeseries!$A:$A,HourlyTimeseries!$Q:$Q),"")</f>
        <v>3.1023567000000001</v>
      </c>
      <c r="DR72" s="64">
        <f>IFERROR(LOOKUP(DR$15,HourlyTimeseries!$A:$A,HourlyTimeseries!$Q:$Q),"")</f>
        <v>3.0752313</v>
      </c>
      <c r="DS72" s="64">
        <f>IFERROR(LOOKUP(DS$15,HourlyTimeseries!$A:$A,HourlyTimeseries!$Q:$Q),"")</f>
        <v>3.0378926000000002</v>
      </c>
      <c r="DT72" s="64">
        <f>IFERROR(LOOKUP(DT$15,HourlyTimeseries!$A:$A,HourlyTimeseries!$Q:$Q),"")</f>
        <v>2.9987271</v>
      </c>
      <c r="DU72" s="64">
        <f>IFERROR(LOOKUP(DU$15,HourlyTimeseries!$A:$A,HourlyTimeseries!$Q:$Q),"")</f>
        <v>2.9675555</v>
      </c>
      <c r="DV72" s="64">
        <f>IFERROR(LOOKUP(DV$15,HourlyTimeseries!$A:$A,HourlyTimeseries!$Q:$Q),"")</f>
        <v>2.9375157000000001</v>
      </c>
      <c r="DW72" s="73">
        <f>IFERROR(LOOKUP(DW$15,HourlyTimeseries!$A:$A,HourlyTimeseries!$Q:$Q),"")</f>
        <v>2.8434271999999998</v>
      </c>
      <c r="DX72" s="80">
        <f>IFERROR(LOOKUP(DX$15,HourlyTimeseries!$A:$A,HourlyTimeseries!$Q:$Q),"")</f>
        <v>2.7516291000000002</v>
      </c>
      <c r="DY72" s="64">
        <f>IFERROR(LOOKUP(DY$15,HourlyTimeseries!$A:$A,HourlyTimeseries!$Q:$Q),"")</f>
        <v>2.6794856</v>
      </c>
      <c r="DZ72" s="64">
        <f>IFERROR(LOOKUP(DZ$15,HourlyTimeseries!$A:$A,HourlyTimeseries!$Q:$Q),"")</f>
        <v>2.7662244</v>
      </c>
      <c r="EA72" s="64">
        <f>IFERROR(LOOKUP(EA$15,HourlyTimeseries!$A:$A,HourlyTimeseries!$Q:$Q),"")</f>
        <v>2.8359562999999999</v>
      </c>
      <c r="EB72" s="64">
        <f>IFERROR(LOOKUP(EB$15,HourlyTimeseries!$A:$A,HourlyTimeseries!$Q:$Q),"")</f>
        <v>2.8705478000000002</v>
      </c>
      <c r="EC72" s="64">
        <f>IFERROR(LOOKUP(EC$15,HourlyTimeseries!$A:$A,HourlyTimeseries!$Q:$Q),"")</f>
        <v>2.9514463000000002</v>
      </c>
      <c r="ED72" s="64">
        <f>IFERROR(LOOKUP(ED$15,HourlyTimeseries!$A:$A,HourlyTimeseries!$Q:$Q),"")</f>
        <v>3.0794852000000001</v>
      </c>
      <c r="EE72" s="64">
        <f>IFERROR(LOOKUP(EE$15,HourlyTimeseries!$A:$A,HourlyTimeseries!$Q:$Q),"")</f>
        <v>3.2254269</v>
      </c>
      <c r="EF72" s="64">
        <f>IFERROR(LOOKUP(EF$15,HourlyTimeseries!$A:$A,HourlyTimeseries!$Q:$Q),"")</f>
        <v>3.2895110000000001</v>
      </c>
      <c r="EG72" s="64">
        <f>IFERROR(LOOKUP(EG$15,HourlyTimeseries!$A:$A,HourlyTimeseries!$Q:$Q),"")</f>
        <v>3.3267321999999999</v>
      </c>
      <c r="EH72" s="64">
        <f>IFERROR(LOOKUP(EH$15,HourlyTimeseries!$A:$A,HourlyTimeseries!$Q:$Q),"")</f>
        <v>3.3964669999999999</v>
      </c>
      <c r="EI72" s="64">
        <f>IFERROR(LOOKUP(EI$15,HourlyTimeseries!$A:$A,HourlyTimeseries!$Q:$Q),"")</f>
        <v>3.3461916</v>
      </c>
      <c r="EJ72" s="64">
        <f>IFERROR(LOOKUP(EJ$15,HourlyTimeseries!$A:$A,HourlyTimeseries!$Q:$Q),"")</f>
        <v>3.2189212</v>
      </c>
      <c r="EK72" s="64">
        <f>IFERROR(LOOKUP(EK$15,HourlyTimeseries!$A:$A,HourlyTimeseries!$Q:$Q),"")</f>
        <v>3.0349246999999999</v>
      </c>
      <c r="EL72" s="64">
        <f>IFERROR(LOOKUP(EL$15,HourlyTimeseries!$A:$A,HourlyTimeseries!$Q:$Q),"")</f>
        <v>3.0114291</v>
      </c>
      <c r="EM72" s="64">
        <f>IFERROR(LOOKUP(EM$15,HourlyTimeseries!$A:$A,HourlyTimeseries!$Q:$Q),"")</f>
        <v>3.3230886000000002</v>
      </c>
      <c r="EN72" s="64">
        <f>IFERROR(LOOKUP(EN$15,HourlyTimeseries!$A:$A,HourlyTimeseries!$Q:$Q),"")</f>
        <v>3.2168329</v>
      </c>
      <c r="EO72" s="64">
        <f>IFERROR(LOOKUP(EO$15,HourlyTimeseries!$A:$A,HourlyTimeseries!$Q:$Q),"")</f>
        <v>3.1348509999999998</v>
      </c>
      <c r="EP72" s="64">
        <f>IFERROR(LOOKUP(EP$15,HourlyTimeseries!$A:$A,HourlyTimeseries!$Q:$Q),"")</f>
        <v>3.1115615000000001</v>
      </c>
      <c r="EQ72" s="64">
        <f>IFERROR(LOOKUP(EQ$15,HourlyTimeseries!$A:$A,HourlyTimeseries!$Q:$Q),"")</f>
        <v>3.0701896999999998</v>
      </c>
      <c r="ER72" s="64">
        <f>IFERROR(LOOKUP(ER$15,HourlyTimeseries!$A:$A,HourlyTimeseries!$Q:$Q),"")</f>
        <v>3.0306313</v>
      </c>
      <c r="ES72" s="64">
        <f>IFERROR(LOOKUP(ES$15,HourlyTimeseries!$A:$A,HourlyTimeseries!$Q:$Q),"")</f>
        <v>2.9950855000000001</v>
      </c>
      <c r="ET72" s="64">
        <f>IFERROR(LOOKUP(ET$15,HourlyTimeseries!$A:$A,HourlyTimeseries!$Q:$Q),"")</f>
        <v>2.9554318999999998</v>
      </c>
      <c r="EU72" s="73">
        <f>IFERROR(LOOKUP(EU$15,HourlyTimeseries!$A:$A,HourlyTimeseries!$Q:$Q),"")</f>
        <v>2.8544234999999998</v>
      </c>
      <c r="EV72" s="80">
        <f>IFERROR(LOOKUP(EV$15,HourlyTimeseries!$A:$A,HourlyTimeseries!$Q:$Q),"")</f>
        <v>2.7743682999999999</v>
      </c>
      <c r="EW72" s="64">
        <f>IFERROR(LOOKUP(EW$15,HourlyTimeseries!$A:$A,HourlyTimeseries!$Q:$Q),"")</f>
        <v>2.7243881000000001</v>
      </c>
      <c r="EX72" s="64">
        <f>IFERROR(LOOKUP(EX$15,HourlyTimeseries!$A:$A,HourlyTimeseries!$Q:$Q),"")</f>
        <v>2.7982368000000002</v>
      </c>
      <c r="EY72" s="64">
        <f>IFERROR(LOOKUP(EY$15,HourlyTimeseries!$A:$A,HourlyTimeseries!$Q:$Q),"")</f>
        <v>2.8541786999999998</v>
      </c>
      <c r="EZ72" s="64">
        <f>IFERROR(LOOKUP(EZ$15,HourlyTimeseries!$A:$A,HourlyTimeseries!$Q:$Q),"")</f>
        <v>2.8852183999999998</v>
      </c>
      <c r="FA72" s="64">
        <f>IFERROR(LOOKUP(FA$15,HourlyTimeseries!$A:$A,HourlyTimeseries!$Q:$Q),"")</f>
        <v>2.9639698999999999</v>
      </c>
      <c r="FB72" s="64">
        <f>IFERROR(LOOKUP(FB$15,HourlyTimeseries!$A:$A,HourlyTimeseries!$Q:$Q),"")</f>
        <v>3.0895195000000002</v>
      </c>
      <c r="FC72" s="64">
        <f>IFERROR(LOOKUP(FC$15,HourlyTimeseries!$A:$A,HourlyTimeseries!$Q:$Q),"")</f>
        <v>3.2322595000000001</v>
      </c>
      <c r="FD72" s="64">
        <f>IFERROR(LOOKUP(FD$15,HourlyTimeseries!$A:$A,HourlyTimeseries!$Q:$Q),"")</f>
        <v>3.2918707999999999</v>
      </c>
      <c r="FE72" s="64">
        <f>IFERROR(LOOKUP(FE$15,HourlyTimeseries!$A:$A,HourlyTimeseries!$Q:$Q),"")</f>
        <v>3.3311231000000001</v>
      </c>
      <c r="FF72" s="64">
        <f>IFERROR(LOOKUP(FF$15,HourlyTimeseries!$A:$A,HourlyTimeseries!$Q:$Q),"")</f>
        <v>3.3978062000000002</v>
      </c>
      <c r="FG72" s="64">
        <f>IFERROR(LOOKUP(FG$15,HourlyTimeseries!$A:$A,HourlyTimeseries!$Q:$Q),"")</f>
        <v>3.3477643000000001</v>
      </c>
      <c r="FH72" s="64">
        <f>IFERROR(LOOKUP(FH$15,HourlyTimeseries!$A:$A,HourlyTimeseries!$Q:$Q),"")</f>
        <v>3.2187998000000002</v>
      </c>
      <c r="FI72" s="64">
        <f>IFERROR(LOOKUP(FI$15,HourlyTimeseries!$A:$A,HourlyTimeseries!$Q:$Q),"")</f>
        <v>3.0315371</v>
      </c>
      <c r="FJ72" s="64">
        <f>IFERROR(LOOKUP(FJ$15,HourlyTimeseries!$A:$A,HourlyTimeseries!$Q:$Q),"")</f>
        <v>2.9215453</v>
      </c>
      <c r="FK72" s="64">
        <f>IFERROR(LOOKUP(FK$15,HourlyTimeseries!$A:$A,HourlyTimeseries!$Q:$Q),"")</f>
        <v>3.0448556</v>
      </c>
      <c r="FL72" s="64">
        <f>IFERROR(LOOKUP(FL$15,HourlyTimeseries!$A:$A,HourlyTimeseries!$Q:$Q),"")</f>
        <v>3.3181381000000001</v>
      </c>
      <c r="FM72" s="64">
        <f>IFERROR(LOOKUP(FM$15,HourlyTimeseries!$A:$A,HourlyTimeseries!$Q:$Q),"")</f>
        <v>3.2049278999999999</v>
      </c>
      <c r="FN72" s="64">
        <f>IFERROR(LOOKUP(FN$15,HourlyTimeseries!$A:$A,HourlyTimeseries!$Q:$Q),"")</f>
        <v>3.1469518999999999</v>
      </c>
      <c r="FO72" s="64">
        <f>IFERROR(LOOKUP(FO$15,HourlyTimeseries!$A:$A,HourlyTimeseries!$Q:$Q),"")</f>
        <v>3.1699370999999998</v>
      </c>
      <c r="FP72" s="64">
        <f>IFERROR(LOOKUP(FP$15,HourlyTimeseries!$A:$A,HourlyTimeseries!$Q:$Q),"")</f>
        <v>3.1801414000000001</v>
      </c>
      <c r="FQ72" s="64">
        <f>IFERROR(LOOKUP(FQ$15,HourlyTimeseries!$A:$A,HourlyTimeseries!$Q:$Q),"")</f>
        <v>3.1592965</v>
      </c>
      <c r="FR72" s="64">
        <f>IFERROR(LOOKUP(FR$15,HourlyTimeseries!$A:$A,HourlyTimeseries!$Q:$Q),"")</f>
        <v>3.1159954000000001</v>
      </c>
      <c r="FS72" s="73">
        <f>IFERROR(LOOKUP(FS$15,HourlyTimeseries!$A:$A,HourlyTimeseries!$Q:$Q),"")</f>
        <v>3.0428242999999999</v>
      </c>
    </row>
    <row r="73" spans="4:175" ht="19" thickBot="1" x14ac:dyDescent="0.3">
      <c r="D73" s="15"/>
      <c r="E73" s="3"/>
      <c r="F73" s="3"/>
      <c r="G73" s="3"/>
      <c r="H73" s="3" t="s">
        <v>422</v>
      </c>
      <c r="I73" s="3" t="s">
        <v>423</v>
      </c>
      <c r="J73" s="3" t="s">
        <v>424</v>
      </c>
      <c r="K73" s="3" t="s">
        <v>425</v>
      </c>
      <c r="L73" s="3" t="s">
        <v>426</v>
      </c>
      <c r="M73" s="3" t="s">
        <v>427</v>
      </c>
      <c r="N73" s="3" t="s">
        <v>428</v>
      </c>
      <c r="O73" s="56"/>
      <c r="P73" s="56"/>
      <c r="Q73" s="56"/>
      <c r="R73" s="56"/>
      <c r="S73" s="56"/>
      <c r="T73" s="56"/>
      <c r="U73" s="56"/>
      <c r="V73" s="56"/>
      <c r="W73" s="56"/>
      <c r="X73" s="56"/>
      <c r="Y73" s="56"/>
      <c r="Z73" s="56"/>
      <c r="AA73" s="56"/>
      <c r="AB73" s="56"/>
      <c r="AC73" s="56"/>
      <c r="AD73" s="56"/>
      <c r="AE73" s="56"/>
      <c r="AF73" s="82"/>
      <c r="AG73" s="56"/>
      <c r="AH73" s="56"/>
      <c r="AI73" s="56"/>
      <c r="AJ73" s="56"/>
      <c r="AK73" s="56"/>
      <c r="AL73" s="56"/>
      <c r="AM73" s="56"/>
      <c r="AN73" s="56"/>
      <c r="AO73" s="56"/>
      <c r="AP73" s="56"/>
      <c r="AQ73" s="56"/>
      <c r="AR73" s="56"/>
      <c r="AS73" s="56"/>
      <c r="AT73" s="56"/>
      <c r="AU73" s="56"/>
      <c r="AV73" s="56"/>
      <c r="AW73" s="56"/>
      <c r="AX73" s="56"/>
      <c r="AY73" s="56"/>
      <c r="AZ73" s="56"/>
      <c r="BA73" s="56"/>
      <c r="BB73" s="56"/>
      <c r="BC73" s="56"/>
      <c r="BD73" s="82"/>
      <c r="BE73" s="56"/>
      <c r="BF73" s="56"/>
      <c r="BG73" s="56"/>
      <c r="BH73" s="56"/>
      <c r="BI73" s="56"/>
      <c r="BJ73" s="56"/>
      <c r="BK73" s="56"/>
      <c r="BL73" s="56"/>
      <c r="BM73" s="56"/>
      <c r="BN73" s="56"/>
      <c r="BO73" s="56"/>
      <c r="BP73" s="56"/>
      <c r="BQ73" s="56"/>
      <c r="BR73" s="56"/>
      <c r="BS73" s="56"/>
      <c r="BT73" s="56"/>
      <c r="BU73" s="56"/>
      <c r="BV73" s="56"/>
      <c r="BW73" s="56"/>
      <c r="BX73" s="56"/>
      <c r="BY73" s="56"/>
      <c r="BZ73" s="56"/>
      <c r="CA73" s="56"/>
      <c r="CB73" s="82"/>
      <c r="CC73" s="56"/>
      <c r="CD73" s="56"/>
      <c r="CE73" s="56"/>
      <c r="CF73" s="56"/>
      <c r="CG73" s="56"/>
      <c r="CH73" s="56"/>
      <c r="CI73" s="56"/>
      <c r="CJ73" s="56"/>
      <c r="CK73" s="56"/>
      <c r="CL73" s="56"/>
      <c r="CM73" s="56"/>
      <c r="CN73" s="56"/>
      <c r="CO73" s="56"/>
      <c r="CP73" s="56"/>
      <c r="CQ73" s="56"/>
      <c r="CR73" s="56"/>
      <c r="CS73" s="56"/>
      <c r="CT73" s="56"/>
      <c r="CU73" s="56"/>
      <c r="CV73" s="56"/>
      <c r="CW73" s="56"/>
      <c r="CX73" s="56"/>
      <c r="CY73" s="56"/>
      <c r="CZ73" s="82"/>
      <c r="DA73" s="56"/>
      <c r="DB73" s="56"/>
      <c r="DC73" s="56"/>
      <c r="DD73" s="56"/>
      <c r="DE73" s="56"/>
      <c r="DF73" s="56"/>
      <c r="DG73" s="56"/>
      <c r="DH73" s="56"/>
      <c r="DI73" s="56"/>
      <c r="DJ73" s="56"/>
      <c r="DK73" s="56"/>
      <c r="DL73" s="56"/>
      <c r="DM73" s="56"/>
      <c r="DN73" s="56"/>
      <c r="DO73" s="56"/>
      <c r="DP73" s="56"/>
      <c r="DQ73" s="56"/>
      <c r="DR73" s="56"/>
      <c r="DS73" s="56"/>
      <c r="DT73" s="56"/>
      <c r="DU73" s="56"/>
      <c r="DV73" s="56"/>
      <c r="DW73" s="56"/>
      <c r="DX73" s="82"/>
      <c r="DY73" s="56"/>
      <c r="DZ73" s="56"/>
      <c r="EA73" s="56"/>
      <c r="EB73" s="56"/>
      <c r="EC73" s="56"/>
      <c r="ED73" s="56"/>
      <c r="EE73" s="56"/>
      <c r="EF73" s="56"/>
      <c r="EG73" s="56"/>
      <c r="EH73" s="56"/>
      <c r="EI73" s="56"/>
      <c r="EJ73" s="56"/>
      <c r="EK73" s="56"/>
      <c r="EL73" s="56"/>
      <c r="EM73" s="56"/>
      <c r="EN73" s="56"/>
      <c r="EO73" s="56"/>
      <c r="EP73" s="56"/>
      <c r="EQ73" s="56"/>
      <c r="ER73" s="56"/>
      <c r="ES73" s="56"/>
      <c r="ET73" s="56"/>
      <c r="EU73" s="56"/>
      <c r="EV73" s="82"/>
      <c r="EW73" s="56"/>
      <c r="EX73" s="56"/>
      <c r="EY73" s="56"/>
      <c r="EZ73" s="56"/>
      <c r="FA73" s="56"/>
      <c r="FB73" s="56"/>
      <c r="FC73" s="56"/>
      <c r="FD73" s="56"/>
      <c r="FE73" s="56"/>
      <c r="FF73" s="56"/>
      <c r="FG73" s="56"/>
      <c r="FH73" s="56"/>
      <c r="FI73" s="56"/>
      <c r="FJ73" s="56"/>
      <c r="FK73" s="56"/>
      <c r="FL73" s="56"/>
      <c r="FM73" s="56"/>
      <c r="FN73" s="56"/>
      <c r="FO73" s="56"/>
      <c r="FP73" s="56"/>
      <c r="FQ73" s="56"/>
      <c r="FR73" s="56"/>
      <c r="FS73" s="56"/>
    </row>
    <row r="74" spans="4:175" ht="16" thickTop="1" x14ac:dyDescent="0.2">
      <c r="D74" s="15" t="s">
        <v>38</v>
      </c>
      <c r="E74" s="2" t="s">
        <v>187</v>
      </c>
      <c r="F74" s="55" t="s">
        <v>153</v>
      </c>
      <c r="G74" s="67"/>
      <c r="H74" s="64">
        <f>IFERROR(LOOKUP(H$17,DailyTimeseries!$A:$A,DailyTimeseries!$D:$D),"")</f>
        <v>15.5</v>
      </c>
      <c r="I74" s="64">
        <f>IFERROR(LOOKUP(I$17,DailyTimeseries!$A:$A,DailyTimeseries!$D:$D),"")</f>
        <v>15.5</v>
      </c>
      <c r="J74" s="64">
        <f>IFERROR(LOOKUP(J$17,DailyTimeseries!$A:$A,DailyTimeseries!$D:$D),"")</f>
        <v>15.5</v>
      </c>
      <c r="K74" s="64">
        <f>IFERROR(LOOKUP(K$17,DailyTimeseries!$A:$A,DailyTimeseries!$D:$D),"")</f>
        <v>15.5</v>
      </c>
      <c r="L74" s="64">
        <f>IFERROR(LOOKUP(L$17,DailyTimeseries!$A:$A,DailyTimeseries!$D:$D),"")</f>
        <v>15.5</v>
      </c>
      <c r="M74" s="64">
        <f>IFERROR(LOOKUP(M$17,DailyTimeseries!$A:$A,DailyTimeseries!$D:$D),"")</f>
        <v>15.5</v>
      </c>
      <c r="N74" s="64">
        <f>IFERROR(LOOKUP(N$17,DailyTimeseries!$A:$A,DailyTimeseries!$D:$D),"")</f>
        <v>15.5</v>
      </c>
    </row>
    <row r="75" spans="4:175" x14ac:dyDescent="0.2">
      <c r="D75" s="15" t="s">
        <v>39</v>
      </c>
      <c r="E75" s="2" t="s">
        <v>4</v>
      </c>
      <c r="F75" s="8" t="s">
        <v>154</v>
      </c>
      <c r="G75" s="68"/>
      <c r="H75" s="66">
        <f t="shared" ref="H75:N75" si="8">SUMIFS($H$72:$FS$72,$H$16:$FS$16,H18)/24</f>
        <v>3.1231619249999998</v>
      </c>
      <c r="I75" s="66">
        <f t="shared" si="8"/>
        <v>3.0539024625</v>
      </c>
      <c r="J75" s="66">
        <f t="shared" si="8"/>
        <v>2.9598182083333331</v>
      </c>
      <c r="K75" s="66">
        <f t="shared" si="8"/>
        <v>3.0348588249999993</v>
      </c>
      <c r="L75" s="66">
        <f t="shared" si="8"/>
        <v>3.0586796958333333</v>
      </c>
      <c r="M75" s="66">
        <f t="shared" si="8"/>
        <v>3.0615197624999992</v>
      </c>
      <c r="N75" s="66">
        <f t="shared" si="8"/>
        <v>3.0935689166666669</v>
      </c>
    </row>
    <row r="77" spans="4:175" ht="21" thickBot="1" x14ac:dyDescent="0.3">
      <c r="D77" s="1" t="s">
        <v>86</v>
      </c>
      <c r="E77" s="7" t="s">
        <v>32</v>
      </c>
      <c r="F77" s="3" t="s">
        <v>150</v>
      </c>
      <c r="G77" s="7"/>
      <c r="H77" s="3" t="s">
        <v>7</v>
      </c>
      <c r="I77" s="3" t="s">
        <v>8</v>
      </c>
      <c r="J77" s="3" t="s">
        <v>9</v>
      </c>
      <c r="K77" s="3" t="s">
        <v>10</v>
      </c>
      <c r="L77" s="3" t="s">
        <v>11</v>
      </c>
      <c r="M77" s="3" t="s">
        <v>12</v>
      </c>
      <c r="N77" s="3" t="s">
        <v>13</v>
      </c>
      <c r="O77" s="3" t="s">
        <v>14</v>
      </c>
      <c r="P77" s="3" t="s">
        <v>15</v>
      </c>
      <c r="Q77" s="3" t="s">
        <v>16</v>
      </c>
      <c r="R77" s="3" t="s">
        <v>17</v>
      </c>
      <c r="S77" s="3" t="s">
        <v>18</v>
      </c>
      <c r="T77" s="3" t="s">
        <v>19</v>
      </c>
      <c r="U77" s="3" t="s">
        <v>20</v>
      </c>
      <c r="V77" s="3" t="s">
        <v>21</v>
      </c>
      <c r="W77" s="3" t="s">
        <v>22</v>
      </c>
      <c r="X77" s="3" t="s">
        <v>23</v>
      </c>
      <c r="Y77" s="3" t="s">
        <v>24</v>
      </c>
      <c r="Z77" s="3" t="s">
        <v>25</v>
      </c>
      <c r="AA77" s="3" t="s">
        <v>26</v>
      </c>
      <c r="AB77" s="3" t="s">
        <v>27</v>
      </c>
      <c r="AC77" s="3" t="s">
        <v>28</v>
      </c>
      <c r="AD77" s="3" t="s">
        <v>29</v>
      </c>
      <c r="AE77" s="3" t="s">
        <v>30</v>
      </c>
      <c r="AF77" s="78" t="s">
        <v>278</v>
      </c>
      <c r="AG77" s="3" t="s">
        <v>279</v>
      </c>
      <c r="AH77" s="3" t="s">
        <v>280</v>
      </c>
      <c r="AI77" s="3" t="s">
        <v>281</v>
      </c>
      <c r="AJ77" s="3" t="s">
        <v>282</v>
      </c>
      <c r="AK77" s="3" t="s">
        <v>283</v>
      </c>
      <c r="AL77" s="3" t="s">
        <v>284</v>
      </c>
      <c r="AM77" s="3" t="s">
        <v>285</v>
      </c>
      <c r="AN77" s="3" t="s">
        <v>286</v>
      </c>
      <c r="AO77" s="3" t="s">
        <v>287</v>
      </c>
      <c r="AP77" s="3" t="s">
        <v>288</v>
      </c>
      <c r="AQ77" s="3" t="s">
        <v>289</v>
      </c>
      <c r="AR77" s="3" t="s">
        <v>290</v>
      </c>
      <c r="AS77" s="3" t="s">
        <v>291</v>
      </c>
      <c r="AT77" s="3" t="s">
        <v>292</v>
      </c>
      <c r="AU77" s="3" t="s">
        <v>293</v>
      </c>
      <c r="AV77" s="3" t="s">
        <v>294</v>
      </c>
      <c r="AW77" s="3" t="s">
        <v>295</v>
      </c>
      <c r="AX77" s="3" t="s">
        <v>296</v>
      </c>
      <c r="AY77" s="3" t="s">
        <v>297</v>
      </c>
      <c r="AZ77" s="3" t="s">
        <v>298</v>
      </c>
      <c r="BA77" s="3" t="s">
        <v>299</v>
      </c>
      <c r="BB77" s="3" t="s">
        <v>300</v>
      </c>
      <c r="BC77" s="3" t="s">
        <v>301</v>
      </c>
      <c r="BD77" s="78" t="s">
        <v>302</v>
      </c>
      <c r="BE77" s="3" t="s">
        <v>303</v>
      </c>
      <c r="BF77" s="3" t="s">
        <v>304</v>
      </c>
      <c r="BG77" s="3" t="s">
        <v>305</v>
      </c>
      <c r="BH77" s="3" t="s">
        <v>306</v>
      </c>
      <c r="BI77" s="3" t="s">
        <v>307</v>
      </c>
      <c r="BJ77" s="3" t="s">
        <v>308</v>
      </c>
      <c r="BK77" s="3" t="s">
        <v>309</v>
      </c>
      <c r="BL77" s="3" t="s">
        <v>310</v>
      </c>
      <c r="BM77" s="3" t="s">
        <v>311</v>
      </c>
      <c r="BN77" s="3" t="s">
        <v>312</v>
      </c>
      <c r="BO77" s="3" t="s">
        <v>313</v>
      </c>
      <c r="BP77" s="3" t="s">
        <v>314</v>
      </c>
      <c r="BQ77" s="3" t="s">
        <v>315</v>
      </c>
      <c r="BR77" s="3" t="s">
        <v>316</v>
      </c>
      <c r="BS77" s="3" t="s">
        <v>317</v>
      </c>
      <c r="BT77" s="3" t="s">
        <v>318</v>
      </c>
      <c r="BU77" s="3" t="s">
        <v>319</v>
      </c>
      <c r="BV77" s="3" t="s">
        <v>320</v>
      </c>
      <c r="BW77" s="3" t="s">
        <v>321</v>
      </c>
      <c r="BX77" s="3" t="s">
        <v>322</v>
      </c>
      <c r="BY77" s="3" t="s">
        <v>323</v>
      </c>
      <c r="BZ77" s="3" t="s">
        <v>324</v>
      </c>
      <c r="CA77" s="3" t="s">
        <v>325</v>
      </c>
      <c r="CB77" s="78" t="s">
        <v>326</v>
      </c>
      <c r="CC77" s="3" t="s">
        <v>327</v>
      </c>
      <c r="CD77" s="3" t="s">
        <v>328</v>
      </c>
      <c r="CE77" s="3" t="s">
        <v>329</v>
      </c>
      <c r="CF77" s="3" t="s">
        <v>330</v>
      </c>
      <c r="CG77" s="3" t="s">
        <v>331</v>
      </c>
      <c r="CH77" s="3" t="s">
        <v>332</v>
      </c>
      <c r="CI77" s="3" t="s">
        <v>333</v>
      </c>
      <c r="CJ77" s="3" t="s">
        <v>334</v>
      </c>
      <c r="CK77" s="3" t="s">
        <v>335</v>
      </c>
      <c r="CL77" s="3" t="s">
        <v>336</v>
      </c>
      <c r="CM77" s="3" t="s">
        <v>337</v>
      </c>
      <c r="CN77" s="3" t="s">
        <v>338</v>
      </c>
      <c r="CO77" s="3" t="s">
        <v>339</v>
      </c>
      <c r="CP77" s="3" t="s">
        <v>340</v>
      </c>
      <c r="CQ77" s="3" t="s">
        <v>341</v>
      </c>
      <c r="CR77" s="3" t="s">
        <v>342</v>
      </c>
      <c r="CS77" s="3" t="s">
        <v>343</v>
      </c>
      <c r="CT77" s="3" t="s">
        <v>344</v>
      </c>
      <c r="CU77" s="3" t="s">
        <v>345</v>
      </c>
      <c r="CV77" s="3" t="s">
        <v>346</v>
      </c>
      <c r="CW77" s="3" t="s">
        <v>347</v>
      </c>
      <c r="CX77" s="3" t="s">
        <v>348</v>
      </c>
      <c r="CY77" s="3" t="s">
        <v>349</v>
      </c>
      <c r="CZ77" s="78" t="s">
        <v>350</v>
      </c>
      <c r="DA77" s="3" t="s">
        <v>351</v>
      </c>
      <c r="DB77" s="3" t="s">
        <v>352</v>
      </c>
      <c r="DC77" s="3" t="s">
        <v>353</v>
      </c>
      <c r="DD77" s="3" t="s">
        <v>354</v>
      </c>
      <c r="DE77" s="3" t="s">
        <v>355</v>
      </c>
      <c r="DF77" s="3" t="s">
        <v>356</v>
      </c>
      <c r="DG77" s="3" t="s">
        <v>357</v>
      </c>
      <c r="DH77" s="3" t="s">
        <v>358</v>
      </c>
      <c r="DI77" s="3" t="s">
        <v>359</v>
      </c>
      <c r="DJ77" s="3" t="s">
        <v>360</v>
      </c>
      <c r="DK77" s="3" t="s">
        <v>361</v>
      </c>
      <c r="DL77" s="3" t="s">
        <v>362</v>
      </c>
      <c r="DM77" s="3" t="s">
        <v>363</v>
      </c>
      <c r="DN77" s="3" t="s">
        <v>364</v>
      </c>
      <c r="DO77" s="3" t="s">
        <v>365</v>
      </c>
      <c r="DP77" s="3" t="s">
        <v>366</v>
      </c>
      <c r="DQ77" s="3" t="s">
        <v>367</v>
      </c>
      <c r="DR77" s="3" t="s">
        <v>368</v>
      </c>
      <c r="DS77" s="3" t="s">
        <v>369</v>
      </c>
      <c r="DT77" s="3" t="s">
        <v>370</v>
      </c>
      <c r="DU77" s="3" t="s">
        <v>371</v>
      </c>
      <c r="DV77" s="3" t="s">
        <v>372</v>
      </c>
      <c r="DW77" s="3" t="s">
        <v>373</v>
      </c>
      <c r="DX77" s="78" t="s">
        <v>374</v>
      </c>
      <c r="DY77" s="3" t="s">
        <v>375</v>
      </c>
      <c r="DZ77" s="3" t="s">
        <v>376</v>
      </c>
      <c r="EA77" s="3" t="s">
        <v>377</v>
      </c>
      <c r="EB77" s="3" t="s">
        <v>378</v>
      </c>
      <c r="EC77" s="3" t="s">
        <v>379</v>
      </c>
      <c r="ED77" s="3" t="s">
        <v>380</v>
      </c>
      <c r="EE77" s="3" t="s">
        <v>381</v>
      </c>
      <c r="EF77" s="3" t="s">
        <v>382</v>
      </c>
      <c r="EG77" s="3" t="s">
        <v>383</v>
      </c>
      <c r="EH77" s="3" t="s">
        <v>384</v>
      </c>
      <c r="EI77" s="3" t="s">
        <v>385</v>
      </c>
      <c r="EJ77" s="3" t="s">
        <v>386</v>
      </c>
      <c r="EK77" s="3" t="s">
        <v>387</v>
      </c>
      <c r="EL77" s="3" t="s">
        <v>388</v>
      </c>
      <c r="EM77" s="3" t="s">
        <v>389</v>
      </c>
      <c r="EN77" s="3" t="s">
        <v>390</v>
      </c>
      <c r="EO77" s="3" t="s">
        <v>391</v>
      </c>
      <c r="EP77" s="3" t="s">
        <v>392</v>
      </c>
      <c r="EQ77" s="3" t="s">
        <v>393</v>
      </c>
      <c r="ER77" s="3" t="s">
        <v>394</v>
      </c>
      <c r="ES77" s="3" t="s">
        <v>395</v>
      </c>
      <c r="ET77" s="3" t="s">
        <v>396</v>
      </c>
      <c r="EU77" s="3" t="s">
        <v>397</v>
      </c>
      <c r="EV77" s="78" t="s">
        <v>398</v>
      </c>
      <c r="EW77" s="3" t="s">
        <v>399</v>
      </c>
      <c r="EX77" s="3" t="s">
        <v>400</v>
      </c>
      <c r="EY77" s="3" t="s">
        <v>401</v>
      </c>
      <c r="EZ77" s="3" t="s">
        <v>402</v>
      </c>
      <c r="FA77" s="3" t="s">
        <v>403</v>
      </c>
      <c r="FB77" s="3" t="s">
        <v>404</v>
      </c>
      <c r="FC77" s="3" t="s">
        <v>405</v>
      </c>
      <c r="FD77" s="3" t="s">
        <v>406</v>
      </c>
      <c r="FE77" s="3" t="s">
        <v>407</v>
      </c>
      <c r="FF77" s="3" t="s">
        <v>408</v>
      </c>
      <c r="FG77" s="3" t="s">
        <v>409</v>
      </c>
      <c r="FH77" s="3" t="s">
        <v>410</v>
      </c>
      <c r="FI77" s="3" t="s">
        <v>411</v>
      </c>
      <c r="FJ77" s="3" t="s">
        <v>412</v>
      </c>
      <c r="FK77" s="3" t="s">
        <v>413</v>
      </c>
      <c r="FL77" s="3" t="s">
        <v>414</v>
      </c>
      <c r="FM77" s="3" t="s">
        <v>415</v>
      </c>
      <c r="FN77" s="3" t="s">
        <v>416</v>
      </c>
      <c r="FO77" s="3" t="s">
        <v>417</v>
      </c>
      <c r="FP77" s="3" t="s">
        <v>418</v>
      </c>
      <c r="FQ77" s="3" t="s">
        <v>419</v>
      </c>
      <c r="FR77" s="3" t="s">
        <v>420</v>
      </c>
      <c r="FS77" s="3" t="s">
        <v>421</v>
      </c>
    </row>
    <row r="78" spans="4:175" ht="16" thickTop="1" x14ac:dyDescent="0.2">
      <c r="D78" t="s">
        <v>87</v>
      </c>
      <c r="E78" s="2" t="s">
        <v>89</v>
      </c>
      <c r="F78" s="8" t="s">
        <v>151</v>
      </c>
      <c r="G78" s="57"/>
      <c r="H78" s="64">
        <f>IFERROR(LOOKUP(H$15,HourlyTimeseries!$A:$A,HourlyTimeseries!$R:$R),"")</f>
        <v>10</v>
      </c>
      <c r="I78" s="64">
        <f>IFERROR(LOOKUP(I$15,HourlyTimeseries!$A:$A,HourlyTimeseries!$R:$R),"")</f>
        <v>10</v>
      </c>
      <c r="J78" s="64">
        <f>IFERROR(LOOKUP(J$15,HourlyTimeseries!$A:$A,HourlyTimeseries!$R:$R),"")</f>
        <v>10</v>
      </c>
      <c r="K78" s="64">
        <f>IFERROR(LOOKUP(K$15,HourlyTimeseries!$A:$A,HourlyTimeseries!$R:$R),"")</f>
        <v>10</v>
      </c>
      <c r="L78" s="64">
        <f>IFERROR(LOOKUP(L$15,HourlyTimeseries!$A:$A,HourlyTimeseries!$R:$R),"")</f>
        <v>10</v>
      </c>
      <c r="M78" s="64">
        <f>IFERROR(LOOKUP(M$15,HourlyTimeseries!$A:$A,HourlyTimeseries!$R:$R),"")</f>
        <v>10</v>
      </c>
      <c r="N78" s="64">
        <f>IFERROR(LOOKUP(N$15,HourlyTimeseries!$A:$A,HourlyTimeseries!$R:$R),"")</f>
        <v>10</v>
      </c>
      <c r="O78" s="64">
        <f>IFERROR(LOOKUP(O$15,HourlyTimeseries!$A:$A,HourlyTimeseries!$R:$R),"")</f>
        <v>10</v>
      </c>
      <c r="P78" s="64">
        <f>IFERROR(LOOKUP(P$15,HourlyTimeseries!$A:$A,HourlyTimeseries!$R:$R),"")</f>
        <v>10</v>
      </c>
      <c r="Q78" s="64">
        <f>IFERROR(LOOKUP(Q$15,HourlyTimeseries!$A:$A,HourlyTimeseries!$R:$R),"")</f>
        <v>10</v>
      </c>
      <c r="R78" s="64">
        <f>IFERROR(LOOKUP(R$15,HourlyTimeseries!$A:$A,HourlyTimeseries!$R:$R),"")</f>
        <v>10</v>
      </c>
      <c r="S78" s="64">
        <f>IFERROR(LOOKUP(S$15,HourlyTimeseries!$A:$A,HourlyTimeseries!$R:$R),"")</f>
        <v>10</v>
      </c>
      <c r="T78" s="64">
        <f>IFERROR(LOOKUP(T$15,HourlyTimeseries!$A:$A,HourlyTimeseries!$R:$R),"")</f>
        <v>10</v>
      </c>
      <c r="U78" s="64">
        <f>IFERROR(LOOKUP(U$15,HourlyTimeseries!$A:$A,HourlyTimeseries!$R:$R),"")</f>
        <v>10</v>
      </c>
      <c r="V78" s="64">
        <f>IFERROR(LOOKUP(V$15,HourlyTimeseries!$A:$A,HourlyTimeseries!$R:$R),"")</f>
        <v>10</v>
      </c>
      <c r="W78" s="64">
        <f>IFERROR(LOOKUP(W$15,HourlyTimeseries!$A:$A,HourlyTimeseries!$R:$R),"")</f>
        <v>10</v>
      </c>
      <c r="X78" s="64">
        <f>IFERROR(LOOKUP(X$15,HourlyTimeseries!$A:$A,HourlyTimeseries!$R:$R),"")</f>
        <v>10</v>
      </c>
      <c r="Y78" s="64">
        <f>IFERROR(LOOKUP(Y$15,HourlyTimeseries!$A:$A,HourlyTimeseries!$R:$R),"")</f>
        <v>10</v>
      </c>
      <c r="Z78" s="64">
        <f>IFERROR(LOOKUP(Z$15,HourlyTimeseries!$A:$A,HourlyTimeseries!$R:$R),"")</f>
        <v>10</v>
      </c>
      <c r="AA78" s="64">
        <f>IFERROR(LOOKUP(AA$15,HourlyTimeseries!$A:$A,HourlyTimeseries!$R:$R),"")</f>
        <v>10</v>
      </c>
      <c r="AB78" s="64">
        <f>IFERROR(LOOKUP(AB$15,HourlyTimeseries!$A:$A,HourlyTimeseries!$R:$R),"")</f>
        <v>10</v>
      </c>
      <c r="AC78" s="64">
        <f>IFERROR(LOOKUP(AC$15,HourlyTimeseries!$A:$A,HourlyTimeseries!$R:$R),"")</f>
        <v>10</v>
      </c>
      <c r="AD78" s="64">
        <f>IFERROR(LOOKUP(AD$15,HourlyTimeseries!$A:$A,HourlyTimeseries!$R:$R),"")</f>
        <v>10</v>
      </c>
      <c r="AE78" s="64">
        <f>IFERROR(LOOKUP(AE$15,HourlyTimeseries!$A:$A,HourlyTimeseries!$R:$R),"")</f>
        <v>10</v>
      </c>
      <c r="AF78" s="64">
        <f>IFERROR(LOOKUP(AF$15,HourlyTimeseries!$A:$A,HourlyTimeseries!$R:$R),"")</f>
        <v>10</v>
      </c>
      <c r="AG78" s="64">
        <f>IFERROR(LOOKUP(AG$15,HourlyTimeseries!$A:$A,HourlyTimeseries!$R:$R),"")</f>
        <v>10</v>
      </c>
      <c r="AH78" s="64">
        <f>IFERROR(LOOKUP(AH$15,HourlyTimeseries!$A:$A,HourlyTimeseries!$R:$R),"")</f>
        <v>10</v>
      </c>
      <c r="AI78" s="64">
        <f>IFERROR(LOOKUP(AI$15,HourlyTimeseries!$A:$A,HourlyTimeseries!$R:$R),"")</f>
        <v>10</v>
      </c>
      <c r="AJ78" s="64">
        <f>IFERROR(LOOKUP(AJ$15,HourlyTimeseries!$A:$A,HourlyTimeseries!$R:$R),"")</f>
        <v>10</v>
      </c>
      <c r="AK78" s="64">
        <f>IFERROR(LOOKUP(AK$15,HourlyTimeseries!$A:$A,HourlyTimeseries!$R:$R),"")</f>
        <v>10</v>
      </c>
      <c r="AL78" s="64">
        <f>IFERROR(LOOKUP(AL$15,HourlyTimeseries!$A:$A,HourlyTimeseries!$R:$R),"")</f>
        <v>10</v>
      </c>
      <c r="AM78" s="64">
        <f>IFERROR(LOOKUP(AM$15,HourlyTimeseries!$A:$A,HourlyTimeseries!$R:$R),"")</f>
        <v>10</v>
      </c>
      <c r="AN78" s="64">
        <f>IFERROR(LOOKUP(AN$15,HourlyTimeseries!$A:$A,HourlyTimeseries!$R:$R),"")</f>
        <v>10</v>
      </c>
      <c r="AO78" s="64">
        <f>IFERROR(LOOKUP(AO$15,HourlyTimeseries!$A:$A,HourlyTimeseries!$R:$R),"")</f>
        <v>10</v>
      </c>
      <c r="AP78" s="64">
        <f>IFERROR(LOOKUP(AP$15,HourlyTimeseries!$A:$A,HourlyTimeseries!$R:$R),"")</f>
        <v>10</v>
      </c>
      <c r="AQ78" s="64">
        <f>IFERROR(LOOKUP(AQ$15,HourlyTimeseries!$A:$A,HourlyTimeseries!$R:$R),"")</f>
        <v>10</v>
      </c>
      <c r="AR78" s="64">
        <f>IFERROR(LOOKUP(AR$15,HourlyTimeseries!$A:$A,HourlyTimeseries!$R:$R),"")</f>
        <v>10</v>
      </c>
      <c r="AS78" s="64">
        <f>IFERROR(LOOKUP(AS$15,HourlyTimeseries!$A:$A,HourlyTimeseries!$R:$R),"")</f>
        <v>10</v>
      </c>
      <c r="AT78" s="64">
        <f>IFERROR(LOOKUP(AT$15,HourlyTimeseries!$A:$A,HourlyTimeseries!$R:$R),"")</f>
        <v>10</v>
      </c>
      <c r="AU78" s="64">
        <f>IFERROR(LOOKUP(AU$15,HourlyTimeseries!$A:$A,HourlyTimeseries!$R:$R),"")</f>
        <v>10</v>
      </c>
      <c r="AV78" s="64">
        <f>IFERROR(LOOKUP(AV$15,HourlyTimeseries!$A:$A,HourlyTimeseries!$R:$R),"")</f>
        <v>10</v>
      </c>
      <c r="AW78" s="64">
        <f>IFERROR(LOOKUP(AW$15,HourlyTimeseries!$A:$A,HourlyTimeseries!$R:$R),"")</f>
        <v>10</v>
      </c>
      <c r="AX78" s="64">
        <f>IFERROR(LOOKUP(AX$15,HourlyTimeseries!$A:$A,HourlyTimeseries!$R:$R),"")</f>
        <v>10</v>
      </c>
      <c r="AY78" s="64">
        <f>IFERROR(LOOKUP(AY$15,HourlyTimeseries!$A:$A,HourlyTimeseries!$R:$R),"")</f>
        <v>10</v>
      </c>
      <c r="AZ78" s="64">
        <f>IFERROR(LOOKUP(AZ$15,HourlyTimeseries!$A:$A,HourlyTimeseries!$R:$R),"")</f>
        <v>10</v>
      </c>
      <c r="BA78" s="64">
        <f>IFERROR(LOOKUP(BA$15,HourlyTimeseries!$A:$A,HourlyTimeseries!$R:$R),"")</f>
        <v>10</v>
      </c>
      <c r="BB78" s="64">
        <f>IFERROR(LOOKUP(BB$15,HourlyTimeseries!$A:$A,HourlyTimeseries!$R:$R),"")</f>
        <v>10</v>
      </c>
      <c r="BC78" s="64">
        <f>IFERROR(LOOKUP(BC$15,HourlyTimeseries!$A:$A,HourlyTimeseries!$R:$R),"")</f>
        <v>10</v>
      </c>
      <c r="BD78" s="64">
        <f>IFERROR(LOOKUP(BD$15,HourlyTimeseries!$A:$A,HourlyTimeseries!$R:$R),"")</f>
        <v>10</v>
      </c>
      <c r="BE78" s="64">
        <f>IFERROR(LOOKUP(BE$15,HourlyTimeseries!$A:$A,HourlyTimeseries!$R:$R),"")</f>
        <v>10</v>
      </c>
      <c r="BF78" s="64">
        <f>IFERROR(LOOKUP(BF$15,HourlyTimeseries!$A:$A,HourlyTimeseries!$R:$R),"")</f>
        <v>10</v>
      </c>
      <c r="BG78" s="64">
        <f>IFERROR(LOOKUP(BG$15,HourlyTimeseries!$A:$A,HourlyTimeseries!$R:$R),"")</f>
        <v>10</v>
      </c>
      <c r="BH78" s="64">
        <f>IFERROR(LOOKUP(BH$15,HourlyTimeseries!$A:$A,HourlyTimeseries!$R:$R),"")</f>
        <v>10</v>
      </c>
      <c r="BI78" s="64">
        <f>IFERROR(LOOKUP(BI$15,HourlyTimeseries!$A:$A,HourlyTimeseries!$R:$R),"")</f>
        <v>10</v>
      </c>
      <c r="BJ78" s="64">
        <f>IFERROR(LOOKUP(BJ$15,HourlyTimeseries!$A:$A,HourlyTimeseries!$R:$R),"")</f>
        <v>10</v>
      </c>
      <c r="BK78" s="64">
        <f>IFERROR(LOOKUP(BK$15,HourlyTimeseries!$A:$A,HourlyTimeseries!$R:$R),"")</f>
        <v>10</v>
      </c>
      <c r="BL78" s="64">
        <f>IFERROR(LOOKUP(BL$15,HourlyTimeseries!$A:$A,HourlyTimeseries!$R:$R),"")</f>
        <v>10</v>
      </c>
      <c r="BM78" s="64">
        <f>IFERROR(LOOKUP(BM$15,HourlyTimeseries!$A:$A,HourlyTimeseries!$R:$R),"")</f>
        <v>10</v>
      </c>
      <c r="BN78" s="64">
        <f>IFERROR(LOOKUP(BN$15,HourlyTimeseries!$A:$A,HourlyTimeseries!$R:$R),"")</f>
        <v>10</v>
      </c>
      <c r="BO78" s="64">
        <f>IFERROR(LOOKUP(BO$15,HourlyTimeseries!$A:$A,HourlyTimeseries!$R:$R),"")</f>
        <v>10</v>
      </c>
      <c r="BP78" s="64">
        <f>IFERROR(LOOKUP(BP$15,HourlyTimeseries!$A:$A,HourlyTimeseries!$R:$R),"")</f>
        <v>10</v>
      </c>
      <c r="BQ78" s="64">
        <f>IFERROR(LOOKUP(BQ$15,HourlyTimeseries!$A:$A,HourlyTimeseries!$R:$R),"")</f>
        <v>10</v>
      </c>
      <c r="BR78" s="64">
        <f>IFERROR(LOOKUP(BR$15,HourlyTimeseries!$A:$A,HourlyTimeseries!$R:$R),"")</f>
        <v>10</v>
      </c>
      <c r="BS78" s="64">
        <f>IFERROR(LOOKUP(BS$15,HourlyTimeseries!$A:$A,HourlyTimeseries!$R:$R),"")</f>
        <v>10</v>
      </c>
      <c r="BT78" s="64">
        <f>IFERROR(LOOKUP(BT$15,HourlyTimeseries!$A:$A,HourlyTimeseries!$R:$R),"")</f>
        <v>10</v>
      </c>
      <c r="BU78" s="64">
        <f>IFERROR(LOOKUP(BU$15,HourlyTimeseries!$A:$A,HourlyTimeseries!$R:$R),"")</f>
        <v>10</v>
      </c>
      <c r="BV78" s="64">
        <f>IFERROR(LOOKUP(BV$15,HourlyTimeseries!$A:$A,HourlyTimeseries!$R:$R),"")</f>
        <v>10</v>
      </c>
      <c r="BW78" s="64">
        <f>IFERROR(LOOKUP(BW$15,HourlyTimeseries!$A:$A,HourlyTimeseries!$R:$R),"")</f>
        <v>10</v>
      </c>
      <c r="BX78" s="64">
        <f>IFERROR(LOOKUP(BX$15,HourlyTimeseries!$A:$A,HourlyTimeseries!$R:$R),"")</f>
        <v>10</v>
      </c>
      <c r="BY78" s="64">
        <f>IFERROR(LOOKUP(BY$15,HourlyTimeseries!$A:$A,HourlyTimeseries!$R:$R),"")</f>
        <v>10</v>
      </c>
      <c r="BZ78" s="64">
        <f>IFERROR(LOOKUP(BZ$15,HourlyTimeseries!$A:$A,HourlyTimeseries!$R:$R),"")</f>
        <v>10</v>
      </c>
      <c r="CA78" s="64">
        <f>IFERROR(LOOKUP(CA$15,HourlyTimeseries!$A:$A,HourlyTimeseries!$R:$R),"")</f>
        <v>10</v>
      </c>
      <c r="CB78" s="64">
        <f>IFERROR(LOOKUP(CB$15,HourlyTimeseries!$A:$A,HourlyTimeseries!$R:$R),"")</f>
        <v>10</v>
      </c>
      <c r="CC78" s="64">
        <f>IFERROR(LOOKUP(CC$15,HourlyTimeseries!$A:$A,HourlyTimeseries!$R:$R),"")</f>
        <v>10</v>
      </c>
      <c r="CD78" s="64">
        <f>IFERROR(LOOKUP(CD$15,HourlyTimeseries!$A:$A,HourlyTimeseries!$R:$R),"")</f>
        <v>10</v>
      </c>
      <c r="CE78" s="64">
        <f>IFERROR(LOOKUP(CE$15,HourlyTimeseries!$A:$A,HourlyTimeseries!$R:$R),"")</f>
        <v>10</v>
      </c>
      <c r="CF78" s="64">
        <f>IFERROR(LOOKUP(CF$15,HourlyTimeseries!$A:$A,HourlyTimeseries!$R:$R),"")</f>
        <v>10</v>
      </c>
      <c r="CG78" s="64">
        <f>IFERROR(LOOKUP(CG$15,HourlyTimeseries!$A:$A,HourlyTimeseries!$R:$R),"")</f>
        <v>10</v>
      </c>
      <c r="CH78" s="64">
        <f>IFERROR(LOOKUP(CH$15,HourlyTimeseries!$A:$A,HourlyTimeseries!$R:$R),"")</f>
        <v>10</v>
      </c>
      <c r="CI78" s="64">
        <f>IFERROR(LOOKUP(CI$15,HourlyTimeseries!$A:$A,HourlyTimeseries!$R:$R),"")</f>
        <v>10</v>
      </c>
      <c r="CJ78" s="64">
        <f>IFERROR(LOOKUP(CJ$15,HourlyTimeseries!$A:$A,HourlyTimeseries!$R:$R),"")</f>
        <v>10</v>
      </c>
      <c r="CK78" s="64">
        <f>IFERROR(LOOKUP(CK$15,HourlyTimeseries!$A:$A,HourlyTimeseries!$R:$R),"")</f>
        <v>10</v>
      </c>
      <c r="CL78" s="64">
        <f>IFERROR(LOOKUP(CL$15,HourlyTimeseries!$A:$A,HourlyTimeseries!$R:$R),"")</f>
        <v>10</v>
      </c>
      <c r="CM78" s="64">
        <f>IFERROR(LOOKUP(CM$15,HourlyTimeseries!$A:$A,HourlyTimeseries!$R:$R),"")</f>
        <v>10</v>
      </c>
      <c r="CN78" s="64">
        <f>IFERROR(LOOKUP(CN$15,HourlyTimeseries!$A:$A,HourlyTimeseries!$R:$R),"")</f>
        <v>10</v>
      </c>
      <c r="CO78" s="64">
        <f>IFERROR(LOOKUP(CO$15,HourlyTimeseries!$A:$A,HourlyTimeseries!$R:$R),"")</f>
        <v>10</v>
      </c>
      <c r="CP78" s="64">
        <f>IFERROR(LOOKUP(CP$15,HourlyTimeseries!$A:$A,HourlyTimeseries!$R:$R),"")</f>
        <v>10</v>
      </c>
      <c r="CQ78" s="64">
        <f>IFERROR(LOOKUP(CQ$15,HourlyTimeseries!$A:$A,HourlyTimeseries!$R:$R),"")</f>
        <v>10</v>
      </c>
      <c r="CR78" s="64">
        <f>IFERROR(LOOKUP(CR$15,HourlyTimeseries!$A:$A,HourlyTimeseries!$R:$R),"")</f>
        <v>10</v>
      </c>
      <c r="CS78" s="64">
        <f>IFERROR(LOOKUP(CS$15,HourlyTimeseries!$A:$A,HourlyTimeseries!$R:$R),"")</f>
        <v>10</v>
      </c>
      <c r="CT78" s="64">
        <f>IFERROR(LOOKUP(CT$15,HourlyTimeseries!$A:$A,HourlyTimeseries!$R:$R),"")</f>
        <v>10</v>
      </c>
      <c r="CU78" s="64">
        <f>IFERROR(LOOKUP(CU$15,HourlyTimeseries!$A:$A,HourlyTimeseries!$R:$R),"")</f>
        <v>10</v>
      </c>
      <c r="CV78" s="64">
        <f>IFERROR(LOOKUP(CV$15,HourlyTimeseries!$A:$A,HourlyTimeseries!$R:$R),"")</f>
        <v>10</v>
      </c>
      <c r="CW78" s="64">
        <f>IFERROR(LOOKUP(CW$15,HourlyTimeseries!$A:$A,HourlyTimeseries!$R:$R),"")</f>
        <v>10</v>
      </c>
      <c r="CX78" s="64">
        <f>IFERROR(LOOKUP(CX$15,HourlyTimeseries!$A:$A,HourlyTimeseries!$R:$R),"")</f>
        <v>10</v>
      </c>
      <c r="CY78" s="64">
        <f>IFERROR(LOOKUP(CY$15,HourlyTimeseries!$A:$A,HourlyTimeseries!$R:$R),"")</f>
        <v>10</v>
      </c>
      <c r="CZ78" s="64">
        <f>IFERROR(LOOKUP(CZ$15,HourlyTimeseries!$A:$A,HourlyTimeseries!$R:$R),"")</f>
        <v>10</v>
      </c>
      <c r="DA78" s="64">
        <f>IFERROR(LOOKUP(DA$15,HourlyTimeseries!$A:$A,HourlyTimeseries!$R:$R),"")</f>
        <v>10</v>
      </c>
      <c r="DB78" s="64">
        <f>IFERROR(LOOKUP(DB$15,HourlyTimeseries!$A:$A,HourlyTimeseries!$R:$R),"")</f>
        <v>10</v>
      </c>
      <c r="DC78" s="64">
        <f>IFERROR(LOOKUP(DC$15,HourlyTimeseries!$A:$A,HourlyTimeseries!$R:$R),"")</f>
        <v>10</v>
      </c>
      <c r="DD78" s="64">
        <f>IFERROR(LOOKUP(DD$15,HourlyTimeseries!$A:$A,HourlyTimeseries!$R:$R),"")</f>
        <v>10</v>
      </c>
      <c r="DE78" s="64">
        <f>IFERROR(LOOKUP(DE$15,HourlyTimeseries!$A:$A,HourlyTimeseries!$R:$R),"")</f>
        <v>10</v>
      </c>
      <c r="DF78" s="64">
        <f>IFERROR(LOOKUP(DF$15,HourlyTimeseries!$A:$A,HourlyTimeseries!$R:$R),"")</f>
        <v>10</v>
      </c>
      <c r="DG78" s="64">
        <f>IFERROR(LOOKUP(DG$15,HourlyTimeseries!$A:$A,HourlyTimeseries!$R:$R),"")</f>
        <v>10</v>
      </c>
      <c r="DH78" s="64">
        <f>IFERROR(LOOKUP(DH$15,HourlyTimeseries!$A:$A,HourlyTimeseries!$R:$R),"")</f>
        <v>10</v>
      </c>
      <c r="DI78" s="64">
        <f>IFERROR(LOOKUP(DI$15,HourlyTimeseries!$A:$A,HourlyTimeseries!$R:$R),"")</f>
        <v>10</v>
      </c>
      <c r="DJ78" s="64">
        <f>IFERROR(LOOKUP(DJ$15,HourlyTimeseries!$A:$A,HourlyTimeseries!$R:$R),"")</f>
        <v>10</v>
      </c>
      <c r="DK78" s="64">
        <f>IFERROR(LOOKUP(DK$15,HourlyTimeseries!$A:$A,HourlyTimeseries!$R:$R),"")</f>
        <v>10</v>
      </c>
      <c r="DL78" s="64">
        <f>IFERROR(LOOKUP(DL$15,HourlyTimeseries!$A:$A,HourlyTimeseries!$R:$R),"")</f>
        <v>10</v>
      </c>
      <c r="DM78" s="64">
        <f>IFERROR(LOOKUP(DM$15,HourlyTimeseries!$A:$A,HourlyTimeseries!$R:$R),"")</f>
        <v>10</v>
      </c>
      <c r="DN78" s="64">
        <f>IFERROR(LOOKUP(DN$15,HourlyTimeseries!$A:$A,HourlyTimeseries!$R:$R),"")</f>
        <v>10</v>
      </c>
      <c r="DO78" s="64">
        <f>IFERROR(LOOKUP(DO$15,HourlyTimeseries!$A:$A,HourlyTimeseries!$R:$R),"")</f>
        <v>10</v>
      </c>
      <c r="DP78" s="64">
        <f>IFERROR(LOOKUP(DP$15,HourlyTimeseries!$A:$A,HourlyTimeseries!$R:$R),"")</f>
        <v>10</v>
      </c>
      <c r="DQ78" s="64">
        <f>IFERROR(LOOKUP(DQ$15,HourlyTimeseries!$A:$A,HourlyTimeseries!$R:$R),"")</f>
        <v>10</v>
      </c>
      <c r="DR78" s="64">
        <f>IFERROR(LOOKUP(DR$15,HourlyTimeseries!$A:$A,HourlyTimeseries!$R:$R),"")</f>
        <v>10</v>
      </c>
      <c r="DS78" s="64">
        <f>IFERROR(LOOKUP(DS$15,HourlyTimeseries!$A:$A,HourlyTimeseries!$R:$R),"")</f>
        <v>10</v>
      </c>
      <c r="DT78" s="64">
        <f>IFERROR(LOOKUP(DT$15,HourlyTimeseries!$A:$A,HourlyTimeseries!$R:$R),"")</f>
        <v>10</v>
      </c>
      <c r="DU78" s="64">
        <f>IFERROR(LOOKUP(DU$15,HourlyTimeseries!$A:$A,HourlyTimeseries!$R:$R),"")</f>
        <v>10</v>
      </c>
      <c r="DV78" s="64">
        <f>IFERROR(LOOKUP(DV$15,HourlyTimeseries!$A:$A,HourlyTimeseries!$R:$R),"")</f>
        <v>10</v>
      </c>
      <c r="DW78" s="64">
        <f>IFERROR(LOOKUP(DW$15,HourlyTimeseries!$A:$A,HourlyTimeseries!$R:$R),"")</f>
        <v>10</v>
      </c>
      <c r="DX78" s="64">
        <f>IFERROR(LOOKUP(DX$15,HourlyTimeseries!$A:$A,HourlyTimeseries!$R:$R),"")</f>
        <v>10</v>
      </c>
      <c r="DY78" s="64">
        <f>IFERROR(LOOKUP(DY$15,HourlyTimeseries!$A:$A,HourlyTimeseries!$R:$R),"")</f>
        <v>10</v>
      </c>
      <c r="DZ78" s="64">
        <f>IFERROR(LOOKUP(DZ$15,HourlyTimeseries!$A:$A,HourlyTimeseries!$R:$R),"")</f>
        <v>10</v>
      </c>
      <c r="EA78" s="64">
        <f>IFERROR(LOOKUP(EA$15,HourlyTimeseries!$A:$A,HourlyTimeseries!$R:$R),"")</f>
        <v>10</v>
      </c>
      <c r="EB78" s="64">
        <f>IFERROR(LOOKUP(EB$15,HourlyTimeseries!$A:$A,HourlyTimeseries!$R:$R),"")</f>
        <v>10</v>
      </c>
      <c r="EC78" s="64">
        <f>IFERROR(LOOKUP(EC$15,HourlyTimeseries!$A:$A,HourlyTimeseries!$R:$R),"")</f>
        <v>10</v>
      </c>
      <c r="ED78" s="64">
        <f>IFERROR(LOOKUP(ED$15,HourlyTimeseries!$A:$A,HourlyTimeseries!$R:$R),"")</f>
        <v>10</v>
      </c>
      <c r="EE78" s="64">
        <f>IFERROR(LOOKUP(EE$15,HourlyTimeseries!$A:$A,HourlyTimeseries!$R:$R),"")</f>
        <v>10</v>
      </c>
      <c r="EF78" s="64">
        <f>IFERROR(LOOKUP(EF$15,HourlyTimeseries!$A:$A,HourlyTimeseries!$R:$R),"")</f>
        <v>10</v>
      </c>
      <c r="EG78" s="64">
        <f>IFERROR(LOOKUP(EG$15,HourlyTimeseries!$A:$A,HourlyTimeseries!$R:$R),"")</f>
        <v>10</v>
      </c>
      <c r="EH78" s="64">
        <f>IFERROR(LOOKUP(EH$15,HourlyTimeseries!$A:$A,HourlyTimeseries!$R:$R),"")</f>
        <v>10</v>
      </c>
      <c r="EI78" s="64">
        <f>IFERROR(LOOKUP(EI$15,HourlyTimeseries!$A:$A,HourlyTimeseries!$R:$R),"")</f>
        <v>10</v>
      </c>
      <c r="EJ78" s="64">
        <f>IFERROR(LOOKUP(EJ$15,HourlyTimeseries!$A:$A,HourlyTimeseries!$R:$R),"")</f>
        <v>10</v>
      </c>
      <c r="EK78" s="64">
        <f>IFERROR(LOOKUP(EK$15,HourlyTimeseries!$A:$A,HourlyTimeseries!$R:$R),"")</f>
        <v>10</v>
      </c>
      <c r="EL78" s="64">
        <f>IFERROR(LOOKUP(EL$15,HourlyTimeseries!$A:$A,HourlyTimeseries!$R:$R),"")</f>
        <v>10</v>
      </c>
      <c r="EM78" s="64">
        <f>IFERROR(LOOKUP(EM$15,HourlyTimeseries!$A:$A,HourlyTimeseries!$R:$R),"")</f>
        <v>10</v>
      </c>
      <c r="EN78" s="64">
        <f>IFERROR(LOOKUP(EN$15,HourlyTimeseries!$A:$A,HourlyTimeseries!$R:$R),"")</f>
        <v>10</v>
      </c>
      <c r="EO78" s="64">
        <f>IFERROR(LOOKUP(EO$15,HourlyTimeseries!$A:$A,HourlyTimeseries!$R:$R),"")</f>
        <v>10</v>
      </c>
      <c r="EP78" s="64">
        <f>IFERROR(LOOKUP(EP$15,HourlyTimeseries!$A:$A,HourlyTimeseries!$R:$R),"")</f>
        <v>10</v>
      </c>
      <c r="EQ78" s="64">
        <f>IFERROR(LOOKUP(EQ$15,HourlyTimeseries!$A:$A,HourlyTimeseries!$R:$R),"")</f>
        <v>10</v>
      </c>
      <c r="ER78" s="64">
        <f>IFERROR(LOOKUP(ER$15,HourlyTimeseries!$A:$A,HourlyTimeseries!$R:$R),"")</f>
        <v>10</v>
      </c>
      <c r="ES78" s="64">
        <f>IFERROR(LOOKUP(ES$15,HourlyTimeseries!$A:$A,HourlyTimeseries!$R:$R),"")</f>
        <v>10</v>
      </c>
      <c r="ET78" s="64">
        <f>IFERROR(LOOKUP(ET$15,HourlyTimeseries!$A:$A,HourlyTimeseries!$R:$R),"")</f>
        <v>10</v>
      </c>
      <c r="EU78" s="64">
        <f>IFERROR(LOOKUP(EU$15,HourlyTimeseries!$A:$A,HourlyTimeseries!$R:$R),"")</f>
        <v>10</v>
      </c>
      <c r="EV78" s="64">
        <f>IFERROR(LOOKUP(EV$15,HourlyTimeseries!$A:$A,HourlyTimeseries!$R:$R),"")</f>
        <v>10</v>
      </c>
      <c r="EW78" s="64">
        <f>IFERROR(LOOKUP(EW$15,HourlyTimeseries!$A:$A,HourlyTimeseries!$R:$R),"")</f>
        <v>10</v>
      </c>
      <c r="EX78" s="64">
        <f>IFERROR(LOOKUP(EX$15,HourlyTimeseries!$A:$A,HourlyTimeseries!$R:$R),"")</f>
        <v>10</v>
      </c>
      <c r="EY78" s="64">
        <f>IFERROR(LOOKUP(EY$15,HourlyTimeseries!$A:$A,HourlyTimeseries!$R:$R),"")</f>
        <v>10</v>
      </c>
      <c r="EZ78" s="64">
        <f>IFERROR(LOOKUP(EZ$15,HourlyTimeseries!$A:$A,HourlyTimeseries!$R:$R),"")</f>
        <v>10</v>
      </c>
      <c r="FA78" s="64">
        <f>IFERROR(LOOKUP(FA$15,HourlyTimeseries!$A:$A,HourlyTimeseries!$R:$R),"")</f>
        <v>10</v>
      </c>
      <c r="FB78" s="64">
        <f>IFERROR(LOOKUP(FB$15,HourlyTimeseries!$A:$A,HourlyTimeseries!$R:$R),"")</f>
        <v>10</v>
      </c>
      <c r="FC78" s="64">
        <f>IFERROR(LOOKUP(FC$15,HourlyTimeseries!$A:$A,HourlyTimeseries!$R:$R),"")</f>
        <v>10</v>
      </c>
      <c r="FD78" s="64">
        <f>IFERROR(LOOKUP(FD$15,HourlyTimeseries!$A:$A,HourlyTimeseries!$R:$R),"")</f>
        <v>10</v>
      </c>
      <c r="FE78" s="64">
        <f>IFERROR(LOOKUP(FE$15,HourlyTimeseries!$A:$A,HourlyTimeseries!$R:$R),"")</f>
        <v>10</v>
      </c>
      <c r="FF78" s="64">
        <f>IFERROR(LOOKUP(FF$15,HourlyTimeseries!$A:$A,HourlyTimeseries!$R:$R),"")</f>
        <v>10</v>
      </c>
      <c r="FG78" s="64">
        <f>IFERROR(LOOKUP(FG$15,HourlyTimeseries!$A:$A,HourlyTimeseries!$R:$R),"")</f>
        <v>10</v>
      </c>
      <c r="FH78" s="64">
        <f>IFERROR(LOOKUP(FH$15,HourlyTimeseries!$A:$A,HourlyTimeseries!$R:$R),"")</f>
        <v>10</v>
      </c>
      <c r="FI78" s="64">
        <f>IFERROR(LOOKUP(FI$15,HourlyTimeseries!$A:$A,HourlyTimeseries!$R:$R),"")</f>
        <v>10</v>
      </c>
      <c r="FJ78" s="64">
        <f>IFERROR(LOOKUP(FJ$15,HourlyTimeseries!$A:$A,HourlyTimeseries!$R:$R),"")</f>
        <v>10</v>
      </c>
      <c r="FK78" s="64">
        <f>IFERROR(LOOKUP(FK$15,HourlyTimeseries!$A:$A,HourlyTimeseries!$R:$R),"")</f>
        <v>10</v>
      </c>
      <c r="FL78" s="64">
        <f>IFERROR(LOOKUP(FL$15,HourlyTimeseries!$A:$A,HourlyTimeseries!$R:$R),"")</f>
        <v>10</v>
      </c>
      <c r="FM78" s="64">
        <f>IFERROR(LOOKUP(FM$15,HourlyTimeseries!$A:$A,HourlyTimeseries!$R:$R),"")</f>
        <v>10</v>
      </c>
      <c r="FN78" s="64">
        <f>IFERROR(LOOKUP(FN$15,HourlyTimeseries!$A:$A,HourlyTimeseries!$R:$R),"")</f>
        <v>10</v>
      </c>
      <c r="FO78" s="64">
        <f>IFERROR(LOOKUP(FO$15,HourlyTimeseries!$A:$A,HourlyTimeseries!$R:$R),"")</f>
        <v>10</v>
      </c>
      <c r="FP78" s="64">
        <f>IFERROR(LOOKUP(FP$15,HourlyTimeseries!$A:$A,HourlyTimeseries!$R:$R),"")</f>
        <v>10</v>
      </c>
      <c r="FQ78" s="64">
        <f>IFERROR(LOOKUP(FQ$15,HourlyTimeseries!$A:$A,HourlyTimeseries!$R:$R),"")</f>
        <v>10</v>
      </c>
      <c r="FR78" s="64">
        <f>IFERROR(LOOKUP(FR$15,HourlyTimeseries!$A:$A,HourlyTimeseries!$R:$R),"")</f>
        <v>10</v>
      </c>
      <c r="FS78" s="64">
        <f>IFERROR(LOOKUP(FS$15,HourlyTimeseries!$A:$A,HourlyTimeseries!$R:$R),"")</f>
        <v>10</v>
      </c>
    </row>
    <row r="79" spans="4:175" x14ac:dyDescent="0.2">
      <c r="D79" t="s">
        <v>88</v>
      </c>
      <c r="E79" s="2" t="s">
        <v>90</v>
      </c>
      <c r="F79" s="54" t="s">
        <v>151</v>
      </c>
      <c r="G79" s="69"/>
      <c r="H79" s="64">
        <f>IFERROR(LOOKUP(H$15,HourlyTimeseries!$A:$A,HourlyTimeseries!$S:$S),"")</f>
        <v>1000</v>
      </c>
      <c r="I79" s="64">
        <f>IFERROR(LOOKUP(I$15,HourlyTimeseries!$A:$A,HourlyTimeseries!$S:$S),"")</f>
        <v>1000</v>
      </c>
      <c r="J79" s="64">
        <f>IFERROR(LOOKUP(J$15,HourlyTimeseries!$A:$A,HourlyTimeseries!$S:$S),"")</f>
        <v>1000</v>
      </c>
      <c r="K79" s="64">
        <f>IFERROR(LOOKUP(K$15,HourlyTimeseries!$A:$A,HourlyTimeseries!$S:$S),"")</f>
        <v>1000</v>
      </c>
      <c r="L79" s="64">
        <f>IFERROR(LOOKUP(L$15,HourlyTimeseries!$A:$A,HourlyTimeseries!$S:$S),"")</f>
        <v>1000</v>
      </c>
      <c r="M79" s="64">
        <f>IFERROR(LOOKUP(M$15,HourlyTimeseries!$A:$A,HourlyTimeseries!$S:$S),"")</f>
        <v>1000</v>
      </c>
      <c r="N79" s="64">
        <f>IFERROR(LOOKUP(N$15,HourlyTimeseries!$A:$A,HourlyTimeseries!$S:$S),"")</f>
        <v>1000</v>
      </c>
      <c r="O79" s="64">
        <f>IFERROR(LOOKUP(O$15,HourlyTimeseries!$A:$A,HourlyTimeseries!$S:$S),"")</f>
        <v>1000</v>
      </c>
      <c r="P79" s="64">
        <f>IFERROR(LOOKUP(P$15,HourlyTimeseries!$A:$A,HourlyTimeseries!$S:$S),"")</f>
        <v>1000</v>
      </c>
      <c r="Q79" s="64">
        <f>IFERROR(LOOKUP(Q$15,HourlyTimeseries!$A:$A,HourlyTimeseries!$S:$S),"")</f>
        <v>1000</v>
      </c>
      <c r="R79" s="64">
        <f>IFERROR(LOOKUP(R$15,HourlyTimeseries!$A:$A,HourlyTimeseries!$S:$S),"")</f>
        <v>1000</v>
      </c>
      <c r="S79" s="64">
        <f>IFERROR(LOOKUP(S$15,HourlyTimeseries!$A:$A,HourlyTimeseries!$S:$S),"")</f>
        <v>1000</v>
      </c>
      <c r="T79" s="64">
        <f>IFERROR(LOOKUP(T$15,HourlyTimeseries!$A:$A,HourlyTimeseries!$S:$S),"")</f>
        <v>1000</v>
      </c>
      <c r="U79" s="64">
        <f>IFERROR(LOOKUP(U$15,HourlyTimeseries!$A:$A,HourlyTimeseries!$S:$S),"")</f>
        <v>1000</v>
      </c>
      <c r="V79" s="64">
        <f>IFERROR(LOOKUP(V$15,HourlyTimeseries!$A:$A,HourlyTimeseries!$S:$S),"")</f>
        <v>1000</v>
      </c>
      <c r="W79" s="64">
        <f>IFERROR(LOOKUP(W$15,HourlyTimeseries!$A:$A,HourlyTimeseries!$S:$S),"")</f>
        <v>1000</v>
      </c>
      <c r="X79" s="64">
        <f>IFERROR(LOOKUP(X$15,HourlyTimeseries!$A:$A,HourlyTimeseries!$S:$S),"")</f>
        <v>1000</v>
      </c>
      <c r="Y79" s="64">
        <f>IFERROR(LOOKUP(Y$15,HourlyTimeseries!$A:$A,HourlyTimeseries!$S:$S),"")</f>
        <v>1000</v>
      </c>
      <c r="Z79" s="64">
        <f>IFERROR(LOOKUP(Z$15,HourlyTimeseries!$A:$A,HourlyTimeseries!$S:$S),"")</f>
        <v>1000</v>
      </c>
      <c r="AA79" s="64">
        <f>IFERROR(LOOKUP(AA$15,HourlyTimeseries!$A:$A,HourlyTimeseries!$S:$S),"")</f>
        <v>1000</v>
      </c>
      <c r="AB79" s="64">
        <f>IFERROR(LOOKUP(AB$15,HourlyTimeseries!$A:$A,HourlyTimeseries!$S:$S),"")</f>
        <v>1000</v>
      </c>
      <c r="AC79" s="64">
        <f>IFERROR(LOOKUP(AC$15,HourlyTimeseries!$A:$A,HourlyTimeseries!$S:$S),"")</f>
        <v>1000</v>
      </c>
      <c r="AD79" s="64">
        <f>IFERROR(LOOKUP(AD$15,HourlyTimeseries!$A:$A,HourlyTimeseries!$S:$S),"")</f>
        <v>1000</v>
      </c>
      <c r="AE79" s="64">
        <f>IFERROR(LOOKUP(AE$15,HourlyTimeseries!$A:$A,HourlyTimeseries!$S:$S),"")</f>
        <v>1000</v>
      </c>
      <c r="AF79" s="64">
        <f>IFERROR(LOOKUP(AF$15,HourlyTimeseries!$A:$A,HourlyTimeseries!$S:$S),"")</f>
        <v>1000</v>
      </c>
      <c r="AG79" s="64">
        <f>IFERROR(LOOKUP(AG$15,HourlyTimeseries!$A:$A,HourlyTimeseries!$S:$S),"")</f>
        <v>1000</v>
      </c>
      <c r="AH79" s="64">
        <f>IFERROR(LOOKUP(AH$15,HourlyTimeseries!$A:$A,HourlyTimeseries!$S:$S),"")</f>
        <v>1000</v>
      </c>
      <c r="AI79" s="64">
        <f>IFERROR(LOOKUP(AI$15,HourlyTimeseries!$A:$A,HourlyTimeseries!$S:$S),"")</f>
        <v>1000</v>
      </c>
      <c r="AJ79" s="64">
        <f>IFERROR(LOOKUP(AJ$15,HourlyTimeseries!$A:$A,HourlyTimeseries!$S:$S),"")</f>
        <v>1000</v>
      </c>
      <c r="AK79" s="64">
        <f>IFERROR(LOOKUP(AK$15,HourlyTimeseries!$A:$A,HourlyTimeseries!$S:$S),"")</f>
        <v>1000</v>
      </c>
      <c r="AL79" s="64">
        <f>IFERROR(LOOKUP(AL$15,HourlyTimeseries!$A:$A,HourlyTimeseries!$S:$S),"")</f>
        <v>1000</v>
      </c>
      <c r="AM79" s="64">
        <f>IFERROR(LOOKUP(AM$15,HourlyTimeseries!$A:$A,HourlyTimeseries!$S:$S),"")</f>
        <v>1000</v>
      </c>
      <c r="AN79" s="64">
        <f>IFERROR(LOOKUP(AN$15,HourlyTimeseries!$A:$A,HourlyTimeseries!$S:$S),"")</f>
        <v>1000</v>
      </c>
      <c r="AO79" s="64">
        <f>IFERROR(LOOKUP(AO$15,HourlyTimeseries!$A:$A,HourlyTimeseries!$S:$S),"")</f>
        <v>1000</v>
      </c>
      <c r="AP79" s="64">
        <f>IFERROR(LOOKUP(AP$15,HourlyTimeseries!$A:$A,HourlyTimeseries!$S:$S),"")</f>
        <v>1000</v>
      </c>
      <c r="AQ79" s="64">
        <f>IFERROR(LOOKUP(AQ$15,HourlyTimeseries!$A:$A,HourlyTimeseries!$S:$S),"")</f>
        <v>1000</v>
      </c>
      <c r="AR79" s="64">
        <f>IFERROR(LOOKUP(AR$15,HourlyTimeseries!$A:$A,HourlyTimeseries!$S:$S),"")</f>
        <v>1000</v>
      </c>
      <c r="AS79" s="64">
        <f>IFERROR(LOOKUP(AS$15,HourlyTimeseries!$A:$A,HourlyTimeseries!$S:$S),"")</f>
        <v>1000</v>
      </c>
      <c r="AT79" s="64">
        <f>IFERROR(LOOKUP(AT$15,HourlyTimeseries!$A:$A,HourlyTimeseries!$S:$S),"")</f>
        <v>1000</v>
      </c>
      <c r="AU79" s="64">
        <f>IFERROR(LOOKUP(AU$15,HourlyTimeseries!$A:$A,HourlyTimeseries!$S:$S),"")</f>
        <v>1000</v>
      </c>
      <c r="AV79" s="64">
        <f>IFERROR(LOOKUP(AV$15,HourlyTimeseries!$A:$A,HourlyTimeseries!$S:$S),"")</f>
        <v>1000</v>
      </c>
      <c r="AW79" s="64">
        <f>IFERROR(LOOKUP(AW$15,HourlyTimeseries!$A:$A,HourlyTimeseries!$S:$S),"")</f>
        <v>1000</v>
      </c>
      <c r="AX79" s="64">
        <f>IFERROR(LOOKUP(AX$15,HourlyTimeseries!$A:$A,HourlyTimeseries!$S:$S),"")</f>
        <v>1000</v>
      </c>
      <c r="AY79" s="64">
        <f>IFERROR(LOOKUP(AY$15,HourlyTimeseries!$A:$A,HourlyTimeseries!$S:$S),"")</f>
        <v>1000</v>
      </c>
      <c r="AZ79" s="64">
        <f>IFERROR(LOOKUP(AZ$15,HourlyTimeseries!$A:$A,HourlyTimeseries!$S:$S),"")</f>
        <v>1000</v>
      </c>
      <c r="BA79" s="64">
        <f>IFERROR(LOOKUP(BA$15,HourlyTimeseries!$A:$A,HourlyTimeseries!$S:$S),"")</f>
        <v>1000</v>
      </c>
      <c r="BB79" s="64">
        <f>IFERROR(LOOKUP(BB$15,HourlyTimeseries!$A:$A,HourlyTimeseries!$S:$S),"")</f>
        <v>1000</v>
      </c>
      <c r="BC79" s="64">
        <f>IFERROR(LOOKUP(BC$15,HourlyTimeseries!$A:$A,HourlyTimeseries!$S:$S),"")</f>
        <v>1000</v>
      </c>
      <c r="BD79" s="64">
        <f>IFERROR(LOOKUP(BD$15,HourlyTimeseries!$A:$A,HourlyTimeseries!$S:$S),"")</f>
        <v>1000</v>
      </c>
      <c r="BE79" s="64">
        <f>IFERROR(LOOKUP(BE$15,HourlyTimeseries!$A:$A,HourlyTimeseries!$S:$S),"")</f>
        <v>1000</v>
      </c>
      <c r="BF79" s="64">
        <f>IFERROR(LOOKUP(BF$15,HourlyTimeseries!$A:$A,HourlyTimeseries!$S:$S),"")</f>
        <v>1000</v>
      </c>
      <c r="BG79" s="64">
        <f>IFERROR(LOOKUP(BG$15,HourlyTimeseries!$A:$A,HourlyTimeseries!$S:$S),"")</f>
        <v>1000</v>
      </c>
      <c r="BH79" s="64">
        <f>IFERROR(LOOKUP(BH$15,HourlyTimeseries!$A:$A,HourlyTimeseries!$S:$S),"")</f>
        <v>1000</v>
      </c>
      <c r="BI79" s="64">
        <f>IFERROR(LOOKUP(BI$15,HourlyTimeseries!$A:$A,HourlyTimeseries!$S:$S),"")</f>
        <v>1000</v>
      </c>
      <c r="BJ79" s="64">
        <f>IFERROR(LOOKUP(BJ$15,HourlyTimeseries!$A:$A,HourlyTimeseries!$S:$S),"")</f>
        <v>1000</v>
      </c>
      <c r="BK79" s="64">
        <f>IFERROR(LOOKUP(BK$15,HourlyTimeseries!$A:$A,HourlyTimeseries!$S:$S),"")</f>
        <v>1000</v>
      </c>
      <c r="BL79" s="64">
        <f>IFERROR(LOOKUP(BL$15,HourlyTimeseries!$A:$A,HourlyTimeseries!$S:$S),"")</f>
        <v>1000</v>
      </c>
      <c r="BM79" s="64">
        <f>IFERROR(LOOKUP(BM$15,HourlyTimeseries!$A:$A,HourlyTimeseries!$S:$S),"")</f>
        <v>1000</v>
      </c>
      <c r="BN79" s="64">
        <f>IFERROR(LOOKUP(BN$15,HourlyTimeseries!$A:$A,HourlyTimeseries!$S:$S),"")</f>
        <v>1000</v>
      </c>
      <c r="BO79" s="64">
        <f>IFERROR(LOOKUP(BO$15,HourlyTimeseries!$A:$A,HourlyTimeseries!$S:$S),"")</f>
        <v>1000</v>
      </c>
      <c r="BP79" s="64">
        <f>IFERROR(LOOKUP(BP$15,HourlyTimeseries!$A:$A,HourlyTimeseries!$S:$S),"")</f>
        <v>1000</v>
      </c>
      <c r="BQ79" s="64">
        <f>IFERROR(LOOKUP(BQ$15,HourlyTimeseries!$A:$A,HourlyTimeseries!$S:$S),"")</f>
        <v>1000</v>
      </c>
      <c r="BR79" s="64">
        <f>IFERROR(LOOKUP(BR$15,HourlyTimeseries!$A:$A,HourlyTimeseries!$S:$S),"")</f>
        <v>1000</v>
      </c>
      <c r="BS79" s="64">
        <f>IFERROR(LOOKUP(BS$15,HourlyTimeseries!$A:$A,HourlyTimeseries!$S:$S),"")</f>
        <v>1000</v>
      </c>
      <c r="BT79" s="64">
        <f>IFERROR(LOOKUP(BT$15,HourlyTimeseries!$A:$A,HourlyTimeseries!$S:$S),"")</f>
        <v>1000</v>
      </c>
      <c r="BU79" s="64">
        <f>IFERROR(LOOKUP(BU$15,HourlyTimeseries!$A:$A,HourlyTimeseries!$S:$S),"")</f>
        <v>1000</v>
      </c>
      <c r="BV79" s="64">
        <f>IFERROR(LOOKUP(BV$15,HourlyTimeseries!$A:$A,HourlyTimeseries!$S:$S),"")</f>
        <v>1000</v>
      </c>
      <c r="BW79" s="64">
        <f>IFERROR(LOOKUP(BW$15,HourlyTimeseries!$A:$A,HourlyTimeseries!$S:$S),"")</f>
        <v>1000</v>
      </c>
      <c r="BX79" s="64">
        <f>IFERROR(LOOKUP(BX$15,HourlyTimeseries!$A:$A,HourlyTimeseries!$S:$S),"")</f>
        <v>1000</v>
      </c>
      <c r="BY79" s="64">
        <f>IFERROR(LOOKUP(BY$15,HourlyTimeseries!$A:$A,HourlyTimeseries!$S:$S),"")</f>
        <v>1000</v>
      </c>
      <c r="BZ79" s="64">
        <f>IFERROR(LOOKUP(BZ$15,HourlyTimeseries!$A:$A,HourlyTimeseries!$S:$S),"")</f>
        <v>1000</v>
      </c>
      <c r="CA79" s="64">
        <f>IFERROR(LOOKUP(CA$15,HourlyTimeseries!$A:$A,HourlyTimeseries!$S:$S),"")</f>
        <v>1000</v>
      </c>
      <c r="CB79" s="64">
        <f>IFERROR(LOOKUP(CB$15,HourlyTimeseries!$A:$A,HourlyTimeseries!$S:$S),"")</f>
        <v>1000</v>
      </c>
      <c r="CC79" s="64">
        <f>IFERROR(LOOKUP(CC$15,HourlyTimeseries!$A:$A,HourlyTimeseries!$S:$S),"")</f>
        <v>1000</v>
      </c>
      <c r="CD79" s="64">
        <f>IFERROR(LOOKUP(CD$15,HourlyTimeseries!$A:$A,HourlyTimeseries!$S:$S),"")</f>
        <v>1000</v>
      </c>
      <c r="CE79" s="64">
        <f>IFERROR(LOOKUP(CE$15,HourlyTimeseries!$A:$A,HourlyTimeseries!$S:$S),"")</f>
        <v>1000</v>
      </c>
      <c r="CF79" s="64">
        <f>IFERROR(LOOKUP(CF$15,HourlyTimeseries!$A:$A,HourlyTimeseries!$S:$S),"")</f>
        <v>1000</v>
      </c>
      <c r="CG79" s="64">
        <f>IFERROR(LOOKUP(CG$15,HourlyTimeseries!$A:$A,HourlyTimeseries!$S:$S),"")</f>
        <v>1000</v>
      </c>
      <c r="CH79" s="64">
        <f>IFERROR(LOOKUP(CH$15,HourlyTimeseries!$A:$A,HourlyTimeseries!$S:$S),"")</f>
        <v>1000</v>
      </c>
      <c r="CI79" s="64">
        <f>IFERROR(LOOKUP(CI$15,HourlyTimeseries!$A:$A,HourlyTimeseries!$S:$S),"")</f>
        <v>1000</v>
      </c>
      <c r="CJ79" s="64">
        <f>IFERROR(LOOKUP(CJ$15,HourlyTimeseries!$A:$A,HourlyTimeseries!$S:$S),"")</f>
        <v>1000</v>
      </c>
      <c r="CK79" s="64">
        <f>IFERROR(LOOKUP(CK$15,HourlyTimeseries!$A:$A,HourlyTimeseries!$S:$S),"")</f>
        <v>1000</v>
      </c>
      <c r="CL79" s="64">
        <f>IFERROR(LOOKUP(CL$15,HourlyTimeseries!$A:$A,HourlyTimeseries!$S:$S),"")</f>
        <v>1000</v>
      </c>
      <c r="CM79" s="64">
        <f>IFERROR(LOOKUP(CM$15,HourlyTimeseries!$A:$A,HourlyTimeseries!$S:$S),"")</f>
        <v>1000</v>
      </c>
      <c r="CN79" s="64">
        <f>IFERROR(LOOKUP(CN$15,HourlyTimeseries!$A:$A,HourlyTimeseries!$S:$S),"")</f>
        <v>1000</v>
      </c>
      <c r="CO79" s="64">
        <f>IFERROR(LOOKUP(CO$15,HourlyTimeseries!$A:$A,HourlyTimeseries!$S:$S),"")</f>
        <v>1000</v>
      </c>
      <c r="CP79" s="64">
        <f>IFERROR(LOOKUP(CP$15,HourlyTimeseries!$A:$A,HourlyTimeseries!$S:$S),"")</f>
        <v>1000</v>
      </c>
      <c r="CQ79" s="64">
        <f>IFERROR(LOOKUP(CQ$15,HourlyTimeseries!$A:$A,HourlyTimeseries!$S:$S),"")</f>
        <v>1000</v>
      </c>
      <c r="CR79" s="64">
        <f>IFERROR(LOOKUP(CR$15,HourlyTimeseries!$A:$A,HourlyTimeseries!$S:$S),"")</f>
        <v>1000</v>
      </c>
      <c r="CS79" s="64">
        <f>IFERROR(LOOKUP(CS$15,HourlyTimeseries!$A:$A,HourlyTimeseries!$S:$S),"")</f>
        <v>1000</v>
      </c>
      <c r="CT79" s="64">
        <f>IFERROR(LOOKUP(CT$15,HourlyTimeseries!$A:$A,HourlyTimeseries!$S:$S),"")</f>
        <v>1000</v>
      </c>
      <c r="CU79" s="64">
        <f>IFERROR(LOOKUP(CU$15,HourlyTimeseries!$A:$A,HourlyTimeseries!$S:$S),"")</f>
        <v>1000</v>
      </c>
      <c r="CV79" s="64">
        <f>IFERROR(LOOKUP(CV$15,HourlyTimeseries!$A:$A,HourlyTimeseries!$S:$S),"")</f>
        <v>1000</v>
      </c>
      <c r="CW79" s="64">
        <f>IFERROR(LOOKUP(CW$15,HourlyTimeseries!$A:$A,HourlyTimeseries!$S:$S),"")</f>
        <v>1000</v>
      </c>
      <c r="CX79" s="64">
        <f>IFERROR(LOOKUP(CX$15,HourlyTimeseries!$A:$A,HourlyTimeseries!$S:$S),"")</f>
        <v>1000</v>
      </c>
      <c r="CY79" s="64">
        <f>IFERROR(LOOKUP(CY$15,HourlyTimeseries!$A:$A,HourlyTimeseries!$S:$S),"")</f>
        <v>1000</v>
      </c>
      <c r="CZ79" s="64">
        <f>IFERROR(LOOKUP(CZ$15,HourlyTimeseries!$A:$A,HourlyTimeseries!$S:$S),"")</f>
        <v>1000</v>
      </c>
      <c r="DA79" s="64">
        <f>IFERROR(LOOKUP(DA$15,HourlyTimeseries!$A:$A,HourlyTimeseries!$S:$S),"")</f>
        <v>1000</v>
      </c>
      <c r="DB79" s="64">
        <f>IFERROR(LOOKUP(DB$15,HourlyTimeseries!$A:$A,HourlyTimeseries!$S:$S),"")</f>
        <v>1000</v>
      </c>
      <c r="DC79" s="64">
        <f>IFERROR(LOOKUP(DC$15,HourlyTimeseries!$A:$A,HourlyTimeseries!$S:$S),"")</f>
        <v>1000</v>
      </c>
      <c r="DD79" s="64">
        <f>IFERROR(LOOKUP(DD$15,HourlyTimeseries!$A:$A,HourlyTimeseries!$S:$S),"")</f>
        <v>1000</v>
      </c>
      <c r="DE79" s="64">
        <f>IFERROR(LOOKUP(DE$15,HourlyTimeseries!$A:$A,HourlyTimeseries!$S:$S),"")</f>
        <v>1000</v>
      </c>
      <c r="DF79" s="64">
        <f>IFERROR(LOOKUP(DF$15,HourlyTimeseries!$A:$A,HourlyTimeseries!$S:$S),"")</f>
        <v>1000</v>
      </c>
      <c r="DG79" s="64">
        <f>IFERROR(LOOKUP(DG$15,HourlyTimeseries!$A:$A,HourlyTimeseries!$S:$S),"")</f>
        <v>1000</v>
      </c>
      <c r="DH79" s="64">
        <f>IFERROR(LOOKUP(DH$15,HourlyTimeseries!$A:$A,HourlyTimeseries!$S:$S),"")</f>
        <v>1000</v>
      </c>
      <c r="DI79" s="64">
        <f>IFERROR(LOOKUP(DI$15,HourlyTimeseries!$A:$A,HourlyTimeseries!$S:$S),"")</f>
        <v>1000</v>
      </c>
      <c r="DJ79" s="64">
        <f>IFERROR(LOOKUP(DJ$15,HourlyTimeseries!$A:$A,HourlyTimeseries!$S:$S),"")</f>
        <v>1000</v>
      </c>
      <c r="DK79" s="64">
        <f>IFERROR(LOOKUP(DK$15,HourlyTimeseries!$A:$A,HourlyTimeseries!$S:$S),"")</f>
        <v>1000</v>
      </c>
      <c r="DL79" s="64">
        <f>IFERROR(LOOKUP(DL$15,HourlyTimeseries!$A:$A,HourlyTimeseries!$S:$S),"")</f>
        <v>1000</v>
      </c>
      <c r="DM79" s="64">
        <f>IFERROR(LOOKUP(DM$15,HourlyTimeseries!$A:$A,HourlyTimeseries!$S:$S),"")</f>
        <v>1000</v>
      </c>
      <c r="DN79" s="64">
        <f>IFERROR(LOOKUP(DN$15,HourlyTimeseries!$A:$A,HourlyTimeseries!$S:$S),"")</f>
        <v>1000</v>
      </c>
      <c r="DO79" s="64">
        <f>IFERROR(LOOKUP(DO$15,HourlyTimeseries!$A:$A,HourlyTimeseries!$S:$S),"")</f>
        <v>1000</v>
      </c>
      <c r="DP79" s="64">
        <f>IFERROR(LOOKUP(DP$15,HourlyTimeseries!$A:$A,HourlyTimeseries!$S:$S),"")</f>
        <v>1000</v>
      </c>
      <c r="DQ79" s="64">
        <f>IFERROR(LOOKUP(DQ$15,HourlyTimeseries!$A:$A,HourlyTimeseries!$S:$S),"")</f>
        <v>1000</v>
      </c>
      <c r="DR79" s="64">
        <f>IFERROR(LOOKUP(DR$15,HourlyTimeseries!$A:$A,HourlyTimeseries!$S:$S),"")</f>
        <v>1000</v>
      </c>
      <c r="DS79" s="64">
        <f>IFERROR(LOOKUP(DS$15,HourlyTimeseries!$A:$A,HourlyTimeseries!$S:$S),"")</f>
        <v>1000</v>
      </c>
      <c r="DT79" s="64">
        <f>IFERROR(LOOKUP(DT$15,HourlyTimeseries!$A:$A,HourlyTimeseries!$S:$S),"")</f>
        <v>1000</v>
      </c>
      <c r="DU79" s="64">
        <f>IFERROR(LOOKUP(DU$15,HourlyTimeseries!$A:$A,HourlyTimeseries!$S:$S),"")</f>
        <v>1000</v>
      </c>
      <c r="DV79" s="64">
        <f>IFERROR(LOOKUP(DV$15,HourlyTimeseries!$A:$A,HourlyTimeseries!$S:$S),"")</f>
        <v>1000</v>
      </c>
      <c r="DW79" s="64">
        <f>IFERROR(LOOKUP(DW$15,HourlyTimeseries!$A:$A,HourlyTimeseries!$S:$S),"")</f>
        <v>1000</v>
      </c>
      <c r="DX79" s="64">
        <f>IFERROR(LOOKUP(DX$15,HourlyTimeseries!$A:$A,HourlyTimeseries!$S:$S),"")</f>
        <v>1000</v>
      </c>
      <c r="DY79" s="64">
        <f>IFERROR(LOOKUP(DY$15,HourlyTimeseries!$A:$A,HourlyTimeseries!$S:$S),"")</f>
        <v>1000</v>
      </c>
      <c r="DZ79" s="64">
        <f>IFERROR(LOOKUP(DZ$15,HourlyTimeseries!$A:$A,HourlyTimeseries!$S:$S),"")</f>
        <v>1000</v>
      </c>
      <c r="EA79" s="64">
        <f>IFERROR(LOOKUP(EA$15,HourlyTimeseries!$A:$A,HourlyTimeseries!$S:$S),"")</f>
        <v>1000</v>
      </c>
      <c r="EB79" s="64">
        <f>IFERROR(LOOKUP(EB$15,HourlyTimeseries!$A:$A,HourlyTimeseries!$S:$S),"")</f>
        <v>1000</v>
      </c>
      <c r="EC79" s="64">
        <f>IFERROR(LOOKUP(EC$15,HourlyTimeseries!$A:$A,HourlyTimeseries!$S:$S),"")</f>
        <v>1000</v>
      </c>
      <c r="ED79" s="64">
        <f>IFERROR(LOOKUP(ED$15,HourlyTimeseries!$A:$A,HourlyTimeseries!$S:$S),"")</f>
        <v>1000</v>
      </c>
      <c r="EE79" s="64">
        <f>IFERROR(LOOKUP(EE$15,HourlyTimeseries!$A:$A,HourlyTimeseries!$S:$S),"")</f>
        <v>1000</v>
      </c>
      <c r="EF79" s="64">
        <f>IFERROR(LOOKUP(EF$15,HourlyTimeseries!$A:$A,HourlyTimeseries!$S:$S),"")</f>
        <v>1000</v>
      </c>
      <c r="EG79" s="64">
        <f>IFERROR(LOOKUP(EG$15,HourlyTimeseries!$A:$A,HourlyTimeseries!$S:$S),"")</f>
        <v>1000</v>
      </c>
      <c r="EH79" s="64">
        <f>IFERROR(LOOKUP(EH$15,HourlyTimeseries!$A:$A,HourlyTimeseries!$S:$S),"")</f>
        <v>1000</v>
      </c>
      <c r="EI79" s="64">
        <f>IFERROR(LOOKUP(EI$15,HourlyTimeseries!$A:$A,HourlyTimeseries!$S:$S),"")</f>
        <v>1000</v>
      </c>
      <c r="EJ79" s="64">
        <f>IFERROR(LOOKUP(EJ$15,HourlyTimeseries!$A:$A,HourlyTimeseries!$S:$S),"")</f>
        <v>1000</v>
      </c>
      <c r="EK79" s="64">
        <f>IFERROR(LOOKUP(EK$15,HourlyTimeseries!$A:$A,HourlyTimeseries!$S:$S),"")</f>
        <v>1000</v>
      </c>
      <c r="EL79" s="64">
        <f>IFERROR(LOOKUP(EL$15,HourlyTimeseries!$A:$A,HourlyTimeseries!$S:$S),"")</f>
        <v>1000</v>
      </c>
      <c r="EM79" s="64">
        <f>IFERROR(LOOKUP(EM$15,HourlyTimeseries!$A:$A,HourlyTimeseries!$S:$S),"")</f>
        <v>1000</v>
      </c>
      <c r="EN79" s="64">
        <f>IFERROR(LOOKUP(EN$15,HourlyTimeseries!$A:$A,HourlyTimeseries!$S:$S),"")</f>
        <v>1000</v>
      </c>
      <c r="EO79" s="64">
        <f>IFERROR(LOOKUP(EO$15,HourlyTimeseries!$A:$A,HourlyTimeseries!$S:$S),"")</f>
        <v>1000</v>
      </c>
      <c r="EP79" s="64">
        <f>IFERROR(LOOKUP(EP$15,HourlyTimeseries!$A:$A,HourlyTimeseries!$S:$S),"")</f>
        <v>1000</v>
      </c>
      <c r="EQ79" s="64">
        <f>IFERROR(LOOKUP(EQ$15,HourlyTimeseries!$A:$A,HourlyTimeseries!$S:$S),"")</f>
        <v>1000</v>
      </c>
      <c r="ER79" s="64">
        <f>IFERROR(LOOKUP(ER$15,HourlyTimeseries!$A:$A,HourlyTimeseries!$S:$S),"")</f>
        <v>1000</v>
      </c>
      <c r="ES79" s="64">
        <f>IFERROR(LOOKUP(ES$15,HourlyTimeseries!$A:$A,HourlyTimeseries!$S:$S),"")</f>
        <v>1000</v>
      </c>
      <c r="ET79" s="64">
        <f>IFERROR(LOOKUP(ET$15,HourlyTimeseries!$A:$A,HourlyTimeseries!$S:$S),"")</f>
        <v>1000</v>
      </c>
      <c r="EU79" s="64">
        <f>IFERROR(LOOKUP(EU$15,HourlyTimeseries!$A:$A,HourlyTimeseries!$S:$S),"")</f>
        <v>1000</v>
      </c>
      <c r="EV79" s="64">
        <f>IFERROR(LOOKUP(EV$15,HourlyTimeseries!$A:$A,HourlyTimeseries!$S:$S),"")</f>
        <v>1000</v>
      </c>
      <c r="EW79" s="64">
        <f>IFERROR(LOOKUP(EW$15,HourlyTimeseries!$A:$A,HourlyTimeseries!$S:$S),"")</f>
        <v>1000</v>
      </c>
      <c r="EX79" s="64">
        <f>IFERROR(LOOKUP(EX$15,HourlyTimeseries!$A:$A,HourlyTimeseries!$S:$S),"")</f>
        <v>1000</v>
      </c>
      <c r="EY79" s="64">
        <f>IFERROR(LOOKUP(EY$15,HourlyTimeseries!$A:$A,HourlyTimeseries!$S:$S),"")</f>
        <v>1000</v>
      </c>
      <c r="EZ79" s="64">
        <f>IFERROR(LOOKUP(EZ$15,HourlyTimeseries!$A:$A,HourlyTimeseries!$S:$S),"")</f>
        <v>1000</v>
      </c>
      <c r="FA79" s="64">
        <f>IFERROR(LOOKUP(FA$15,HourlyTimeseries!$A:$A,HourlyTimeseries!$S:$S),"")</f>
        <v>1000</v>
      </c>
      <c r="FB79" s="64">
        <f>IFERROR(LOOKUP(FB$15,HourlyTimeseries!$A:$A,HourlyTimeseries!$S:$S),"")</f>
        <v>1000</v>
      </c>
      <c r="FC79" s="64">
        <f>IFERROR(LOOKUP(FC$15,HourlyTimeseries!$A:$A,HourlyTimeseries!$S:$S),"")</f>
        <v>1000</v>
      </c>
      <c r="FD79" s="64">
        <f>IFERROR(LOOKUP(FD$15,HourlyTimeseries!$A:$A,HourlyTimeseries!$S:$S),"")</f>
        <v>1000</v>
      </c>
      <c r="FE79" s="64">
        <f>IFERROR(LOOKUP(FE$15,HourlyTimeseries!$A:$A,HourlyTimeseries!$S:$S),"")</f>
        <v>1000</v>
      </c>
      <c r="FF79" s="64">
        <f>IFERROR(LOOKUP(FF$15,HourlyTimeseries!$A:$A,HourlyTimeseries!$S:$S),"")</f>
        <v>1000</v>
      </c>
      <c r="FG79" s="64">
        <f>IFERROR(LOOKUP(FG$15,HourlyTimeseries!$A:$A,HourlyTimeseries!$S:$S),"")</f>
        <v>1000</v>
      </c>
      <c r="FH79" s="64">
        <f>IFERROR(LOOKUP(FH$15,HourlyTimeseries!$A:$A,HourlyTimeseries!$S:$S),"")</f>
        <v>1000</v>
      </c>
      <c r="FI79" s="64">
        <f>IFERROR(LOOKUP(FI$15,HourlyTimeseries!$A:$A,HourlyTimeseries!$S:$S),"")</f>
        <v>1000</v>
      </c>
      <c r="FJ79" s="64">
        <f>IFERROR(LOOKUP(FJ$15,HourlyTimeseries!$A:$A,HourlyTimeseries!$S:$S),"")</f>
        <v>1000</v>
      </c>
      <c r="FK79" s="64">
        <f>IFERROR(LOOKUP(FK$15,HourlyTimeseries!$A:$A,HourlyTimeseries!$S:$S),"")</f>
        <v>1000</v>
      </c>
      <c r="FL79" s="64">
        <f>IFERROR(LOOKUP(FL$15,HourlyTimeseries!$A:$A,HourlyTimeseries!$S:$S),"")</f>
        <v>1000</v>
      </c>
      <c r="FM79" s="64">
        <f>IFERROR(LOOKUP(FM$15,HourlyTimeseries!$A:$A,HourlyTimeseries!$S:$S),"")</f>
        <v>1000</v>
      </c>
      <c r="FN79" s="64">
        <f>IFERROR(LOOKUP(FN$15,HourlyTimeseries!$A:$A,HourlyTimeseries!$S:$S),"")</f>
        <v>1000</v>
      </c>
      <c r="FO79" s="64">
        <f>IFERROR(LOOKUP(FO$15,HourlyTimeseries!$A:$A,HourlyTimeseries!$S:$S),"")</f>
        <v>1000</v>
      </c>
      <c r="FP79" s="64">
        <f>IFERROR(LOOKUP(FP$15,HourlyTimeseries!$A:$A,HourlyTimeseries!$S:$S),"")</f>
        <v>1000</v>
      </c>
      <c r="FQ79" s="64">
        <f>IFERROR(LOOKUP(FQ$15,HourlyTimeseries!$A:$A,HourlyTimeseries!$S:$S),"")</f>
        <v>1000</v>
      </c>
      <c r="FR79" s="64">
        <f>IFERROR(LOOKUP(FR$15,HourlyTimeseries!$A:$A,HourlyTimeseries!$S:$S),"")</f>
        <v>1000</v>
      </c>
      <c r="FS79" s="64">
        <f>IFERROR(LOOKUP(FS$15,HourlyTimeseries!$A:$A,HourlyTimeseries!$S:$S),"")</f>
        <v>1000</v>
      </c>
    </row>
    <row r="80" spans="4:175" ht="19" thickBot="1" x14ac:dyDescent="0.3">
      <c r="E80" s="3"/>
      <c r="F80" s="3"/>
      <c r="G80" s="70"/>
      <c r="H80" s="3" t="s">
        <v>422</v>
      </c>
      <c r="I80" s="3" t="s">
        <v>423</v>
      </c>
      <c r="J80" s="3" t="s">
        <v>424</v>
      </c>
      <c r="K80" s="3" t="s">
        <v>425</v>
      </c>
      <c r="L80" s="3" t="s">
        <v>426</v>
      </c>
      <c r="M80" s="3" t="s">
        <v>427</v>
      </c>
      <c r="N80" s="3" t="s">
        <v>428</v>
      </c>
      <c r="O80" s="58"/>
      <c r="P80" s="58"/>
      <c r="Q80" s="58"/>
      <c r="R80" s="58"/>
      <c r="S80" s="58"/>
      <c r="T80" s="58"/>
      <c r="U80" s="58"/>
      <c r="V80" s="58"/>
      <c r="W80" s="58"/>
      <c r="X80" s="58"/>
      <c r="Y80" s="58"/>
      <c r="Z80" s="58"/>
      <c r="AA80" s="58"/>
      <c r="AB80" s="58"/>
      <c r="AC80" s="58"/>
      <c r="AD80" s="58"/>
      <c r="AE80" s="58"/>
      <c r="AF80" s="83"/>
      <c r="AG80" s="58"/>
      <c r="AH80" s="58"/>
      <c r="AI80" s="58"/>
      <c r="AJ80" s="58"/>
      <c r="AK80" s="58"/>
      <c r="AL80" s="58"/>
      <c r="AM80" s="58"/>
      <c r="AN80" s="58"/>
      <c r="AO80" s="58"/>
      <c r="AP80" s="58"/>
      <c r="AQ80" s="58"/>
      <c r="AR80" s="58"/>
      <c r="AS80" s="58"/>
      <c r="AT80" s="58"/>
      <c r="AU80" s="58"/>
      <c r="AV80" s="58"/>
      <c r="AW80" s="58"/>
      <c r="AX80" s="58"/>
      <c r="AY80" s="58"/>
      <c r="AZ80" s="58"/>
      <c r="BA80" s="58"/>
      <c r="BB80" s="58"/>
      <c r="BC80" s="58"/>
      <c r="BD80" s="83"/>
      <c r="BE80" s="58"/>
      <c r="BF80" s="58"/>
      <c r="BG80" s="58"/>
      <c r="BH80" s="58"/>
      <c r="BI80" s="58"/>
      <c r="BJ80" s="58"/>
      <c r="BK80" s="58"/>
      <c r="BL80" s="58"/>
      <c r="BM80" s="58"/>
      <c r="BN80" s="58"/>
      <c r="BO80" s="58"/>
      <c r="BP80" s="58"/>
      <c r="BQ80" s="58"/>
      <c r="BR80" s="58"/>
      <c r="BS80" s="58"/>
      <c r="BT80" s="58"/>
      <c r="BU80" s="58"/>
      <c r="BV80" s="58"/>
      <c r="BW80" s="58"/>
      <c r="BX80" s="58"/>
      <c r="BY80" s="58"/>
      <c r="BZ80" s="58"/>
      <c r="CA80" s="58"/>
      <c r="CB80" s="83"/>
      <c r="CC80" s="58"/>
      <c r="CD80" s="58"/>
      <c r="CE80" s="58"/>
      <c r="CF80" s="58"/>
      <c r="CG80" s="58"/>
      <c r="CH80" s="58"/>
      <c r="CI80" s="58"/>
      <c r="CJ80" s="58"/>
      <c r="CK80" s="58"/>
      <c r="CL80" s="58"/>
      <c r="CM80" s="58"/>
      <c r="CN80" s="58"/>
      <c r="CO80" s="58"/>
      <c r="CP80" s="58"/>
      <c r="CQ80" s="58"/>
      <c r="CR80" s="58"/>
      <c r="CS80" s="58"/>
      <c r="CT80" s="58"/>
      <c r="CU80" s="58"/>
      <c r="CV80" s="58"/>
      <c r="CW80" s="58"/>
      <c r="CX80" s="58"/>
      <c r="CY80" s="58"/>
      <c r="CZ80" s="83"/>
      <c r="DA80" s="58"/>
      <c r="DB80" s="58"/>
      <c r="DC80" s="58"/>
      <c r="DD80" s="58"/>
      <c r="DE80" s="58"/>
      <c r="DF80" s="58"/>
      <c r="DG80" s="58"/>
      <c r="DH80" s="58"/>
      <c r="DI80" s="58"/>
      <c r="DJ80" s="58"/>
      <c r="DK80" s="58"/>
      <c r="DL80" s="58"/>
      <c r="DM80" s="58"/>
      <c r="DN80" s="58"/>
      <c r="DO80" s="58"/>
      <c r="DP80" s="58"/>
      <c r="DQ80" s="58"/>
      <c r="DR80" s="58"/>
      <c r="DS80" s="58"/>
      <c r="DT80" s="58"/>
      <c r="DU80" s="58"/>
      <c r="DV80" s="58"/>
      <c r="DW80" s="58"/>
      <c r="DX80" s="83"/>
      <c r="DY80" s="58"/>
      <c r="DZ80" s="58"/>
      <c r="EA80" s="58"/>
      <c r="EB80" s="58"/>
      <c r="EC80" s="58"/>
      <c r="ED80" s="58"/>
      <c r="EE80" s="58"/>
      <c r="EF80" s="58"/>
      <c r="EG80" s="58"/>
      <c r="EH80" s="58"/>
      <c r="EI80" s="58"/>
      <c r="EJ80" s="58"/>
      <c r="EK80" s="58"/>
      <c r="EL80" s="58"/>
      <c r="EM80" s="58"/>
      <c r="EN80" s="58"/>
      <c r="EO80" s="58"/>
      <c r="EP80" s="58"/>
      <c r="EQ80" s="58"/>
      <c r="ER80" s="58"/>
      <c r="ES80" s="58"/>
      <c r="ET80" s="58"/>
      <c r="EU80" s="58"/>
      <c r="EV80" s="83"/>
      <c r="EW80" s="58"/>
      <c r="EX80" s="58"/>
      <c r="EY80" s="58"/>
      <c r="EZ80" s="58"/>
      <c r="FA80" s="58"/>
      <c r="FB80" s="58"/>
      <c r="FC80" s="58"/>
      <c r="FD80" s="58"/>
      <c r="FE80" s="58"/>
      <c r="FF80" s="58"/>
      <c r="FG80" s="58"/>
      <c r="FH80" s="58"/>
      <c r="FI80" s="58"/>
      <c r="FJ80" s="58"/>
      <c r="FK80" s="58"/>
      <c r="FL80" s="58"/>
      <c r="FM80" s="58"/>
      <c r="FN80" s="58"/>
      <c r="FO80" s="58"/>
      <c r="FP80" s="58"/>
      <c r="FQ80" s="58"/>
      <c r="FR80" s="58"/>
      <c r="FS80" s="58"/>
    </row>
    <row r="81" spans="4:175" ht="16" thickTop="1" x14ac:dyDescent="0.2">
      <c r="D81" t="s">
        <v>57</v>
      </c>
      <c r="E81" s="2" t="s">
        <v>56</v>
      </c>
      <c r="F81" s="55" t="s">
        <v>151</v>
      </c>
      <c r="G81" s="71"/>
      <c r="H81" s="86">
        <f>IFERROR(LOOKUP(H$17,DailyTimeseries!$A:$A,DailyTimeseries!$E:$E),"")</f>
        <v>3.4573471398217918E-2</v>
      </c>
      <c r="I81" s="86">
        <f>IFERROR(LOOKUP(I$17,DailyTimeseries!$A:$A,DailyTimeseries!$E:$E),"")</f>
        <v>3.4573471398217918E-2</v>
      </c>
      <c r="J81" s="86">
        <f>IFERROR(LOOKUP(J$17,DailyTimeseries!$A:$A,DailyTimeseries!$E:$E),"")</f>
        <v>3.4573471398217918E-2</v>
      </c>
      <c r="K81" s="86">
        <f>IFERROR(LOOKUP(K$17,DailyTimeseries!$A:$A,DailyTimeseries!$E:$E),"")</f>
        <v>3.4573471398217918E-2</v>
      </c>
      <c r="L81" s="86">
        <f>IFERROR(LOOKUP(L$17,DailyTimeseries!$A:$A,DailyTimeseries!$E:$E),"")</f>
        <v>3.4573471398217918E-2</v>
      </c>
      <c r="M81" s="86">
        <f>IFERROR(LOOKUP(M$17,DailyTimeseries!$A:$A,DailyTimeseries!$E:$E),"")</f>
        <v>3.4573471398217918E-2</v>
      </c>
      <c r="N81" s="86">
        <f>IFERROR(LOOKUP(N$17,DailyTimeseries!$A:$A,DailyTimeseries!$E:$E),"")</f>
        <v>3.4573471398217918E-2</v>
      </c>
    </row>
    <row r="83" spans="4:175" ht="21" thickBot="1" x14ac:dyDescent="0.3">
      <c r="D83" s="1" t="s">
        <v>139</v>
      </c>
      <c r="E83" s="7" t="s">
        <v>32</v>
      </c>
      <c r="F83" s="3" t="s">
        <v>150</v>
      </c>
      <c r="G83" s="7"/>
      <c r="H83" s="3" t="s">
        <v>7</v>
      </c>
      <c r="I83" s="3" t="s">
        <v>8</v>
      </c>
      <c r="J83" s="3" t="s">
        <v>9</v>
      </c>
      <c r="K83" s="3" t="s">
        <v>10</v>
      </c>
      <c r="L83" s="3" t="s">
        <v>11</v>
      </c>
      <c r="M83" s="3" t="s">
        <v>12</v>
      </c>
      <c r="N83" s="3" t="s">
        <v>13</v>
      </c>
      <c r="O83" s="3" t="s">
        <v>14</v>
      </c>
      <c r="P83" s="3" t="s">
        <v>15</v>
      </c>
      <c r="Q83" s="3" t="s">
        <v>16</v>
      </c>
      <c r="R83" s="3" t="s">
        <v>17</v>
      </c>
      <c r="S83" s="3" t="s">
        <v>18</v>
      </c>
      <c r="T83" s="3" t="s">
        <v>19</v>
      </c>
      <c r="U83" s="3" t="s">
        <v>20</v>
      </c>
      <c r="V83" s="3" t="s">
        <v>21</v>
      </c>
      <c r="W83" s="3" t="s">
        <v>22</v>
      </c>
      <c r="X83" s="3" t="s">
        <v>23</v>
      </c>
      <c r="Y83" s="3" t="s">
        <v>24</v>
      </c>
      <c r="Z83" s="3" t="s">
        <v>25</v>
      </c>
      <c r="AA83" s="3" t="s">
        <v>26</v>
      </c>
      <c r="AB83" s="3" t="s">
        <v>27</v>
      </c>
      <c r="AC83" s="3" t="s">
        <v>28</v>
      </c>
      <c r="AD83" s="3" t="s">
        <v>29</v>
      </c>
      <c r="AE83" s="3" t="s">
        <v>30</v>
      </c>
      <c r="AF83" s="78" t="s">
        <v>278</v>
      </c>
      <c r="AG83" s="3" t="s">
        <v>279</v>
      </c>
      <c r="AH83" s="3" t="s">
        <v>280</v>
      </c>
      <c r="AI83" s="3" t="s">
        <v>281</v>
      </c>
      <c r="AJ83" s="3" t="s">
        <v>282</v>
      </c>
      <c r="AK83" s="3" t="s">
        <v>283</v>
      </c>
      <c r="AL83" s="3" t="s">
        <v>284</v>
      </c>
      <c r="AM83" s="3" t="s">
        <v>285</v>
      </c>
      <c r="AN83" s="3" t="s">
        <v>286</v>
      </c>
      <c r="AO83" s="3" t="s">
        <v>287</v>
      </c>
      <c r="AP83" s="3" t="s">
        <v>288</v>
      </c>
      <c r="AQ83" s="3" t="s">
        <v>289</v>
      </c>
      <c r="AR83" s="3" t="s">
        <v>290</v>
      </c>
      <c r="AS83" s="3" t="s">
        <v>291</v>
      </c>
      <c r="AT83" s="3" t="s">
        <v>292</v>
      </c>
      <c r="AU83" s="3" t="s">
        <v>293</v>
      </c>
      <c r="AV83" s="3" t="s">
        <v>294</v>
      </c>
      <c r="AW83" s="3" t="s">
        <v>295</v>
      </c>
      <c r="AX83" s="3" t="s">
        <v>296</v>
      </c>
      <c r="AY83" s="3" t="s">
        <v>297</v>
      </c>
      <c r="AZ83" s="3" t="s">
        <v>298</v>
      </c>
      <c r="BA83" s="3" t="s">
        <v>299</v>
      </c>
      <c r="BB83" s="3" t="s">
        <v>300</v>
      </c>
      <c r="BC83" s="3" t="s">
        <v>301</v>
      </c>
      <c r="BD83" s="78" t="s">
        <v>302</v>
      </c>
      <c r="BE83" s="3" t="s">
        <v>303</v>
      </c>
      <c r="BF83" s="3" t="s">
        <v>304</v>
      </c>
      <c r="BG83" s="3" t="s">
        <v>305</v>
      </c>
      <c r="BH83" s="3" t="s">
        <v>306</v>
      </c>
      <c r="BI83" s="3" t="s">
        <v>307</v>
      </c>
      <c r="BJ83" s="3" t="s">
        <v>308</v>
      </c>
      <c r="BK83" s="3" t="s">
        <v>309</v>
      </c>
      <c r="BL83" s="3" t="s">
        <v>310</v>
      </c>
      <c r="BM83" s="3" t="s">
        <v>311</v>
      </c>
      <c r="BN83" s="3" t="s">
        <v>312</v>
      </c>
      <c r="BO83" s="3" t="s">
        <v>313</v>
      </c>
      <c r="BP83" s="3" t="s">
        <v>314</v>
      </c>
      <c r="BQ83" s="3" t="s">
        <v>315</v>
      </c>
      <c r="BR83" s="3" t="s">
        <v>316</v>
      </c>
      <c r="BS83" s="3" t="s">
        <v>317</v>
      </c>
      <c r="BT83" s="3" t="s">
        <v>318</v>
      </c>
      <c r="BU83" s="3" t="s">
        <v>319</v>
      </c>
      <c r="BV83" s="3" t="s">
        <v>320</v>
      </c>
      <c r="BW83" s="3" t="s">
        <v>321</v>
      </c>
      <c r="BX83" s="3" t="s">
        <v>322</v>
      </c>
      <c r="BY83" s="3" t="s">
        <v>323</v>
      </c>
      <c r="BZ83" s="3" t="s">
        <v>324</v>
      </c>
      <c r="CA83" s="3" t="s">
        <v>325</v>
      </c>
      <c r="CB83" s="78" t="s">
        <v>326</v>
      </c>
      <c r="CC83" s="3" t="s">
        <v>327</v>
      </c>
      <c r="CD83" s="3" t="s">
        <v>328</v>
      </c>
      <c r="CE83" s="3" t="s">
        <v>329</v>
      </c>
      <c r="CF83" s="3" t="s">
        <v>330</v>
      </c>
      <c r="CG83" s="3" t="s">
        <v>331</v>
      </c>
      <c r="CH83" s="3" t="s">
        <v>332</v>
      </c>
      <c r="CI83" s="3" t="s">
        <v>333</v>
      </c>
      <c r="CJ83" s="3" t="s">
        <v>334</v>
      </c>
      <c r="CK83" s="3" t="s">
        <v>335</v>
      </c>
      <c r="CL83" s="3" t="s">
        <v>336</v>
      </c>
      <c r="CM83" s="3" t="s">
        <v>337</v>
      </c>
      <c r="CN83" s="3" t="s">
        <v>338</v>
      </c>
      <c r="CO83" s="3" t="s">
        <v>339</v>
      </c>
      <c r="CP83" s="3" t="s">
        <v>340</v>
      </c>
      <c r="CQ83" s="3" t="s">
        <v>341</v>
      </c>
      <c r="CR83" s="3" t="s">
        <v>342</v>
      </c>
      <c r="CS83" s="3" t="s">
        <v>343</v>
      </c>
      <c r="CT83" s="3" t="s">
        <v>344</v>
      </c>
      <c r="CU83" s="3" t="s">
        <v>345</v>
      </c>
      <c r="CV83" s="3" t="s">
        <v>346</v>
      </c>
      <c r="CW83" s="3" t="s">
        <v>347</v>
      </c>
      <c r="CX83" s="3" t="s">
        <v>348</v>
      </c>
      <c r="CY83" s="3" t="s">
        <v>349</v>
      </c>
      <c r="CZ83" s="78" t="s">
        <v>350</v>
      </c>
      <c r="DA83" s="3" t="s">
        <v>351</v>
      </c>
      <c r="DB83" s="3" t="s">
        <v>352</v>
      </c>
      <c r="DC83" s="3" t="s">
        <v>353</v>
      </c>
      <c r="DD83" s="3" t="s">
        <v>354</v>
      </c>
      <c r="DE83" s="3" t="s">
        <v>355</v>
      </c>
      <c r="DF83" s="3" t="s">
        <v>356</v>
      </c>
      <c r="DG83" s="3" t="s">
        <v>357</v>
      </c>
      <c r="DH83" s="3" t="s">
        <v>358</v>
      </c>
      <c r="DI83" s="3" t="s">
        <v>359</v>
      </c>
      <c r="DJ83" s="3" t="s">
        <v>360</v>
      </c>
      <c r="DK83" s="3" t="s">
        <v>361</v>
      </c>
      <c r="DL83" s="3" t="s">
        <v>362</v>
      </c>
      <c r="DM83" s="3" t="s">
        <v>363</v>
      </c>
      <c r="DN83" s="3" t="s">
        <v>364</v>
      </c>
      <c r="DO83" s="3" t="s">
        <v>365</v>
      </c>
      <c r="DP83" s="3" t="s">
        <v>366</v>
      </c>
      <c r="DQ83" s="3" t="s">
        <v>367</v>
      </c>
      <c r="DR83" s="3" t="s">
        <v>368</v>
      </c>
      <c r="DS83" s="3" t="s">
        <v>369</v>
      </c>
      <c r="DT83" s="3" t="s">
        <v>370</v>
      </c>
      <c r="DU83" s="3" t="s">
        <v>371</v>
      </c>
      <c r="DV83" s="3" t="s">
        <v>372</v>
      </c>
      <c r="DW83" s="3" t="s">
        <v>373</v>
      </c>
      <c r="DX83" s="78" t="s">
        <v>374</v>
      </c>
      <c r="DY83" s="3" t="s">
        <v>375</v>
      </c>
      <c r="DZ83" s="3" t="s">
        <v>376</v>
      </c>
      <c r="EA83" s="3" t="s">
        <v>377</v>
      </c>
      <c r="EB83" s="3" t="s">
        <v>378</v>
      </c>
      <c r="EC83" s="3" t="s">
        <v>379</v>
      </c>
      <c r="ED83" s="3" t="s">
        <v>380</v>
      </c>
      <c r="EE83" s="3" t="s">
        <v>381</v>
      </c>
      <c r="EF83" s="3" t="s">
        <v>382</v>
      </c>
      <c r="EG83" s="3" t="s">
        <v>383</v>
      </c>
      <c r="EH83" s="3" t="s">
        <v>384</v>
      </c>
      <c r="EI83" s="3" t="s">
        <v>385</v>
      </c>
      <c r="EJ83" s="3" t="s">
        <v>386</v>
      </c>
      <c r="EK83" s="3" t="s">
        <v>387</v>
      </c>
      <c r="EL83" s="3" t="s">
        <v>388</v>
      </c>
      <c r="EM83" s="3" t="s">
        <v>389</v>
      </c>
      <c r="EN83" s="3" t="s">
        <v>390</v>
      </c>
      <c r="EO83" s="3" t="s">
        <v>391</v>
      </c>
      <c r="EP83" s="3" t="s">
        <v>392</v>
      </c>
      <c r="EQ83" s="3" t="s">
        <v>393</v>
      </c>
      <c r="ER83" s="3" t="s">
        <v>394</v>
      </c>
      <c r="ES83" s="3" t="s">
        <v>395</v>
      </c>
      <c r="ET83" s="3" t="s">
        <v>396</v>
      </c>
      <c r="EU83" s="3" t="s">
        <v>397</v>
      </c>
      <c r="EV83" s="78" t="s">
        <v>398</v>
      </c>
      <c r="EW83" s="3" t="s">
        <v>399</v>
      </c>
      <c r="EX83" s="3" t="s">
        <v>400</v>
      </c>
      <c r="EY83" s="3" t="s">
        <v>401</v>
      </c>
      <c r="EZ83" s="3" t="s">
        <v>402</v>
      </c>
      <c r="FA83" s="3" t="s">
        <v>403</v>
      </c>
      <c r="FB83" s="3" t="s">
        <v>404</v>
      </c>
      <c r="FC83" s="3" t="s">
        <v>405</v>
      </c>
      <c r="FD83" s="3" t="s">
        <v>406</v>
      </c>
      <c r="FE83" s="3" t="s">
        <v>407</v>
      </c>
      <c r="FF83" s="3" t="s">
        <v>408</v>
      </c>
      <c r="FG83" s="3" t="s">
        <v>409</v>
      </c>
      <c r="FH83" s="3" t="s">
        <v>410</v>
      </c>
      <c r="FI83" s="3" t="s">
        <v>411</v>
      </c>
      <c r="FJ83" s="3" t="s">
        <v>412</v>
      </c>
      <c r="FK83" s="3" t="s">
        <v>413</v>
      </c>
      <c r="FL83" s="3" t="s">
        <v>414</v>
      </c>
      <c r="FM83" s="3" t="s">
        <v>415</v>
      </c>
      <c r="FN83" s="3" t="s">
        <v>416</v>
      </c>
      <c r="FO83" s="3" t="s">
        <v>417</v>
      </c>
      <c r="FP83" s="3" t="s">
        <v>418</v>
      </c>
      <c r="FQ83" s="3" t="s">
        <v>419</v>
      </c>
      <c r="FR83" s="3" t="s">
        <v>420</v>
      </c>
      <c r="FS83" s="3" t="s">
        <v>421</v>
      </c>
    </row>
    <row r="84" spans="4:175" ht="16" thickTop="1" x14ac:dyDescent="0.2">
      <c r="D84" t="s">
        <v>55</v>
      </c>
      <c r="E84" s="2" t="s">
        <v>54</v>
      </c>
      <c r="F84" s="8" t="s">
        <v>152</v>
      </c>
      <c r="G84" s="2"/>
      <c r="H84" s="64">
        <f>IFERROR(LOOKUP(H$15,HourlyTimeseries!$A:$A,HourlyTimeseries!$T:$T),"")</f>
        <v>442.69657292841788</v>
      </c>
      <c r="I84" s="64">
        <f>IFERROR(LOOKUP(I$15,HourlyTimeseries!$A:$A,HourlyTimeseries!$T:$T),"")</f>
        <v>362.27094893570683</v>
      </c>
      <c r="J84" s="64">
        <f>IFERROR(LOOKUP(J$15,HourlyTimeseries!$A:$A,HourlyTimeseries!$T:$T),"")</f>
        <v>362.27094893570683</v>
      </c>
      <c r="K84" s="64">
        <f>IFERROR(LOOKUP(K$15,HourlyTimeseries!$A:$A,HourlyTimeseries!$T:$T),"")</f>
        <v>362.27094893570683</v>
      </c>
      <c r="L84" s="64">
        <f>IFERROR(LOOKUP(L$15,HourlyTimeseries!$A:$A,HourlyTimeseries!$T:$T),"")</f>
        <v>426.44032978095498</v>
      </c>
      <c r="M84" s="64">
        <f>IFERROR(LOOKUP(M$15,HourlyTimeseries!$A:$A,HourlyTimeseries!$T:$T),"")</f>
        <v>362.27094893570683</v>
      </c>
      <c r="N84" s="64">
        <f>IFERROR(LOOKUP(N$15,HourlyTimeseries!$A:$A,HourlyTimeseries!$T:$T),"")</f>
        <v>304.3759075508828</v>
      </c>
      <c r="O84" s="64">
        <f>IFERROR(LOOKUP(O$15,HourlyTimeseries!$A:$A,HourlyTimeseries!$T:$T),"")</f>
        <v>280.13414145378908</v>
      </c>
      <c r="P84" s="64">
        <f>IFERROR(LOOKUP(P$15,HourlyTimeseries!$A:$A,HourlyTimeseries!$T:$T),"")</f>
        <v>294.39400386384426</v>
      </c>
      <c r="Q84" s="64">
        <f>IFERROR(LOOKUP(Q$15,HourlyTimeseries!$A:$A,HourlyTimeseries!$T:$T),"")</f>
        <v>317.20978371993255</v>
      </c>
      <c r="R84" s="64">
        <f>IFERROR(LOOKUP(R$15,HourlyTimeseries!$A:$A,HourlyTimeseries!$T:$T),"")</f>
        <v>308.08347177749721</v>
      </c>
      <c r="S84" s="64">
        <f>IFERROR(LOOKUP(S$15,HourlyTimeseries!$A:$A,HourlyTimeseries!$T:$T),"")</f>
        <v>303.80551305448063</v>
      </c>
      <c r="T84" s="64">
        <f>IFERROR(LOOKUP(T$15,HourlyTimeseries!$A:$A,HourlyTimeseries!$T:$T),"")</f>
        <v>303.80551305448063</v>
      </c>
      <c r="U84" s="64">
        <f>IFERROR(LOOKUP(U$15,HourlyTimeseries!$A:$A,HourlyTimeseries!$T:$T),"")</f>
        <v>353.43040463596901</v>
      </c>
      <c r="V84" s="64">
        <f>IFERROR(LOOKUP(V$15,HourlyTimeseries!$A:$A,HourlyTimeseries!$T:$T),"")</f>
        <v>587.29100737188094</v>
      </c>
      <c r="W84" s="64">
        <f>IFERROR(LOOKUP(W$15,HourlyTimeseries!$A:$A,HourlyTimeseries!$T:$T),"")</f>
        <v>604.40284226394715</v>
      </c>
      <c r="X84" s="64">
        <f>IFERROR(LOOKUP(X$15,HourlyTimeseries!$A:$A,HourlyTimeseries!$T:$T),"")</f>
        <v>875.91062255139741</v>
      </c>
      <c r="Y84" s="64">
        <f>IFERROR(LOOKUP(Y$15,HourlyTimeseries!$A:$A,HourlyTimeseries!$T:$T),"")</f>
        <v>1116.9022972813298</v>
      </c>
      <c r="Z84" s="64">
        <f>IFERROR(LOOKUP(Z$15,HourlyTimeseries!$A:$A,HourlyTimeseries!$T:$T),"")</f>
        <v>1156.8299120294841</v>
      </c>
      <c r="AA84" s="64">
        <f>IFERROR(LOOKUP(AA$15,HourlyTimeseries!$A:$A,HourlyTimeseries!$T:$T),"")</f>
        <v>1156.8299120294841</v>
      </c>
      <c r="AB84" s="64">
        <f>IFERROR(LOOKUP(AB$15,HourlyTimeseries!$A:$A,HourlyTimeseries!$T:$T),"")</f>
        <v>1114.0503247993186</v>
      </c>
      <c r="AC84" s="64">
        <f>IFERROR(LOOKUP(AC$15,HourlyTimeseries!$A:$A,HourlyTimeseries!$T:$T),"")</f>
        <v>1034.1950953030096</v>
      </c>
      <c r="AD84" s="64">
        <f>IFERROR(LOOKUP(AD$15,HourlyTimeseries!$A:$A,HourlyTimeseries!$T:$T),"")</f>
        <v>807.46328298313267</v>
      </c>
      <c r="AE84" s="73">
        <f>IFERROR(LOOKUP(AE$15,HourlyTimeseries!$A:$A,HourlyTimeseries!$T:$T),"")</f>
        <v>578.16526582394192</v>
      </c>
      <c r="AF84" s="80">
        <f>IFERROR(LOOKUP(AF$15,HourlyTimeseries!$A:$A,HourlyTimeseries!$T:$T),"")</f>
        <v>328.43039476330199</v>
      </c>
      <c r="AG84" s="64">
        <f>IFERROR(LOOKUP(AG$15,HourlyTimeseries!$A:$A,HourlyTimeseries!$T:$T),"")</f>
        <v>318.44246167114238</v>
      </c>
      <c r="AH84" s="64">
        <f>IFERROR(LOOKUP(AH$15,HourlyTimeseries!$A:$A,HourlyTimeseries!$T:$T),"")</f>
        <v>318.44246167114238</v>
      </c>
      <c r="AI84" s="64">
        <f>IFERROR(LOOKUP(AI$15,HourlyTimeseries!$A:$A,HourlyTimeseries!$T:$T),"")</f>
        <v>396.47318895363924</v>
      </c>
      <c r="AJ84" s="64">
        <f>IFERROR(LOOKUP(AJ$15,HourlyTimeseries!$A:$A,HourlyTimeseries!$T:$T),"")</f>
        <v>466.70084350788647</v>
      </c>
      <c r="AK84" s="64">
        <f>IFERROR(LOOKUP(AK$15,HourlyTimeseries!$A:$A,HourlyTimeseries!$T:$T),"")</f>
        <v>466.70084350788647</v>
      </c>
      <c r="AL84" s="64">
        <f>IFERROR(LOOKUP(AL$15,HourlyTimeseries!$A:$A,HourlyTimeseries!$T:$T),"")</f>
        <v>362.76391476760062</v>
      </c>
      <c r="AM84" s="64">
        <f>IFERROR(LOOKUP(AM$15,HourlyTimeseries!$A:$A,HourlyTimeseries!$T:$T),"")</f>
        <v>369.00637295020039</v>
      </c>
      <c r="AN84" s="64">
        <f>IFERROR(LOOKUP(AN$15,HourlyTimeseries!$A:$A,HourlyTimeseries!$T:$T),"")</f>
        <v>386.17313295234976</v>
      </c>
      <c r="AO84" s="64">
        <f>IFERROR(LOOKUP(AO$15,HourlyTimeseries!$A:$A,HourlyTimeseries!$T:$T),"")</f>
        <v>364.32452931325059</v>
      </c>
      <c r="AP84" s="64">
        <f>IFERROR(LOOKUP(AP$15,HourlyTimeseries!$A:$A,HourlyTimeseries!$T:$T),"")</f>
        <v>343.41229440154143</v>
      </c>
      <c r="AQ84" s="64">
        <f>IFERROR(LOOKUP(AQ$15,HourlyTimeseries!$A:$A,HourlyTimeseries!$T:$T),"")</f>
        <v>340.29106531024155</v>
      </c>
      <c r="AR84" s="64">
        <f>IFERROR(LOOKUP(AR$15,HourlyTimeseries!$A:$A,HourlyTimeseries!$T:$T),"")</f>
        <v>369.94274167759033</v>
      </c>
      <c r="AS84" s="64">
        <f>IFERROR(LOOKUP(AS$15,HourlyTimeseries!$A:$A,HourlyTimeseries!$T:$T),"")</f>
        <v>402.40414847292726</v>
      </c>
      <c r="AT84" s="64">
        <f>IFERROR(LOOKUP(AT$15,HourlyTimeseries!$A:$A,HourlyTimeseries!$T:$T),"")</f>
        <v>655.22245637658079</v>
      </c>
      <c r="AU84" s="64">
        <f>IFERROR(LOOKUP(AU$15,HourlyTimeseries!$A:$A,HourlyTimeseries!$T:$T),"")</f>
        <v>753.54117275252679</v>
      </c>
      <c r="AV84" s="64">
        <f>IFERROR(LOOKUP(AV$15,HourlyTimeseries!$A:$A,HourlyTimeseries!$T:$T),"")</f>
        <v>974.21206950742805</v>
      </c>
      <c r="AW84" s="64">
        <f>IFERROR(LOOKUP(AW$15,HourlyTimeseries!$A:$A,HourlyTimeseries!$T:$T),"")</f>
        <v>1241.0771568135674</v>
      </c>
      <c r="AX84" s="64">
        <f>IFERROR(LOOKUP(AX$15,HourlyTimeseries!$A:$A,HourlyTimeseries!$T:$T),"")</f>
        <v>1284.7743640917656</v>
      </c>
      <c r="AY84" s="64">
        <f>IFERROR(LOOKUP(AY$15,HourlyTimeseries!$A:$A,HourlyTimeseries!$T:$T),"")</f>
        <v>1281.6531350004659</v>
      </c>
      <c r="AZ84" s="64">
        <f>IFERROR(LOOKUP(AZ$15,HourlyTimeseries!$A:$A,HourlyTimeseries!$T:$T),"")</f>
        <v>1237.9559277222675</v>
      </c>
      <c r="BA84" s="64">
        <f>IFERROR(LOOKUP(BA$15,HourlyTimeseries!$A:$A,HourlyTimeseries!$T:$T),"")</f>
        <v>1142.7584404376212</v>
      </c>
      <c r="BB84" s="64">
        <f>IFERROR(LOOKUP(BB$15,HourlyTimeseries!$A:$A,HourlyTimeseries!$T:$T),"")</f>
        <v>918.02994586403031</v>
      </c>
      <c r="BC84" s="73">
        <f>IFERROR(LOOKUP(BC$15,HourlyTimeseries!$A:$A,HourlyTimeseries!$T:$T),"")</f>
        <v>562.52257661079261</v>
      </c>
      <c r="BD84" s="80">
        <f>IFERROR(LOOKUP(BD$15,HourlyTimeseries!$A:$A,HourlyTimeseries!$T:$T),"")</f>
        <v>328.43039476330199</v>
      </c>
      <c r="BE84" s="64">
        <f>IFERROR(LOOKUP(BE$15,HourlyTimeseries!$A:$A,HourlyTimeseries!$T:$T),"")</f>
        <v>318.44246167114238</v>
      </c>
      <c r="BF84" s="64">
        <f>IFERROR(LOOKUP(BF$15,HourlyTimeseries!$A:$A,HourlyTimeseries!$T:$T),"")</f>
        <v>318.44246167114238</v>
      </c>
      <c r="BG84" s="64">
        <f>IFERROR(LOOKUP(BG$15,HourlyTimeseries!$A:$A,HourlyTimeseries!$T:$T),"")</f>
        <v>396.47318895363924</v>
      </c>
      <c r="BH84" s="64">
        <f>IFERROR(LOOKUP(BH$15,HourlyTimeseries!$A:$A,HourlyTimeseries!$T:$T),"")</f>
        <v>466.70084350788647</v>
      </c>
      <c r="BI84" s="64">
        <f>IFERROR(LOOKUP(BI$15,HourlyTimeseries!$A:$A,HourlyTimeseries!$T:$T),"")</f>
        <v>466.70084350788647</v>
      </c>
      <c r="BJ84" s="64">
        <f>IFERROR(LOOKUP(BJ$15,HourlyTimeseries!$A:$A,HourlyTimeseries!$T:$T),"")</f>
        <v>362.76391476760062</v>
      </c>
      <c r="BK84" s="64">
        <f>IFERROR(LOOKUP(BK$15,HourlyTimeseries!$A:$A,HourlyTimeseries!$T:$T),"")</f>
        <v>369.00637295020039</v>
      </c>
      <c r="BL84" s="64">
        <f>IFERROR(LOOKUP(BL$15,HourlyTimeseries!$A:$A,HourlyTimeseries!$T:$T),"")</f>
        <v>386.17313295234976</v>
      </c>
      <c r="BM84" s="64">
        <f>IFERROR(LOOKUP(BM$15,HourlyTimeseries!$A:$A,HourlyTimeseries!$T:$T),"")</f>
        <v>364.32452931325059</v>
      </c>
      <c r="BN84" s="64">
        <f>IFERROR(LOOKUP(BN$15,HourlyTimeseries!$A:$A,HourlyTimeseries!$T:$T),"")</f>
        <v>343.41229440154143</v>
      </c>
      <c r="BO84" s="64">
        <f>IFERROR(LOOKUP(BO$15,HourlyTimeseries!$A:$A,HourlyTimeseries!$T:$T),"")</f>
        <v>340.29106531024155</v>
      </c>
      <c r="BP84" s="64">
        <f>IFERROR(LOOKUP(BP$15,HourlyTimeseries!$A:$A,HourlyTimeseries!$T:$T),"")</f>
        <v>369.94274167759033</v>
      </c>
      <c r="BQ84" s="64">
        <f>IFERROR(LOOKUP(BQ$15,HourlyTimeseries!$A:$A,HourlyTimeseries!$T:$T),"")</f>
        <v>402.40414847292726</v>
      </c>
      <c r="BR84" s="64">
        <f>IFERROR(LOOKUP(BR$15,HourlyTimeseries!$A:$A,HourlyTimeseries!$T:$T),"")</f>
        <v>655.22245637658079</v>
      </c>
      <c r="BS84" s="64">
        <f>IFERROR(LOOKUP(BS$15,HourlyTimeseries!$A:$A,HourlyTimeseries!$T:$T),"")</f>
        <v>753.54117275252679</v>
      </c>
      <c r="BT84" s="64">
        <f>IFERROR(LOOKUP(BT$15,HourlyTimeseries!$A:$A,HourlyTimeseries!$T:$T),"")</f>
        <v>974.21206950742805</v>
      </c>
      <c r="BU84" s="64">
        <f>IFERROR(LOOKUP(BU$15,HourlyTimeseries!$A:$A,HourlyTimeseries!$T:$T),"")</f>
        <v>1241.0771568135674</v>
      </c>
      <c r="BV84" s="64">
        <f>IFERROR(LOOKUP(BV$15,HourlyTimeseries!$A:$A,HourlyTimeseries!$T:$T),"")</f>
        <v>1284.7743640917656</v>
      </c>
      <c r="BW84" s="64">
        <f>IFERROR(LOOKUP(BW$15,HourlyTimeseries!$A:$A,HourlyTimeseries!$T:$T),"")</f>
        <v>1281.6531350004659</v>
      </c>
      <c r="BX84" s="64">
        <f>IFERROR(LOOKUP(BX$15,HourlyTimeseries!$A:$A,HourlyTimeseries!$T:$T),"")</f>
        <v>1237.9559277222675</v>
      </c>
      <c r="BY84" s="64">
        <f>IFERROR(LOOKUP(BY$15,HourlyTimeseries!$A:$A,HourlyTimeseries!$T:$T),"")</f>
        <v>1142.7584404376212</v>
      </c>
      <c r="BZ84" s="64">
        <f>IFERROR(LOOKUP(BZ$15,HourlyTimeseries!$A:$A,HourlyTimeseries!$T:$T),"")</f>
        <v>918.02994586403031</v>
      </c>
      <c r="CA84" s="73">
        <f>IFERROR(LOOKUP(CA$15,HourlyTimeseries!$A:$A,HourlyTimeseries!$T:$T),"")</f>
        <v>562.52257661079261</v>
      </c>
      <c r="CB84" s="80">
        <f>IFERROR(LOOKUP(CB$15,HourlyTimeseries!$A:$A,HourlyTimeseries!$T:$T),"")</f>
        <v>328.43039476330199</v>
      </c>
      <c r="CC84" s="64">
        <f>IFERROR(LOOKUP(CC$15,HourlyTimeseries!$A:$A,HourlyTimeseries!$T:$T),"")</f>
        <v>318.44246167114238</v>
      </c>
      <c r="CD84" s="64">
        <f>IFERROR(LOOKUP(CD$15,HourlyTimeseries!$A:$A,HourlyTimeseries!$T:$T),"")</f>
        <v>318.44246167114238</v>
      </c>
      <c r="CE84" s="64">
        <f>IFERROR(LOOKUP(CE$15,HourlyTimeseries!$A:$A,HourlyTimeseries!$T:$T),"")</f>
        <v>396.47318895363924</v>
      </c>
      <c r="CF84" s="64">
        <f>IFERROR(LOOKUP(CF$15,HourlyTimeseries!$A:$A,HourlyTimeseries!$T:$T),"")</f>
        <v>466.70084350788647</v>
      </c>
      <c r="CG84" s="64">
        <f>IFERROR(LOOKUP(CG$15,HourlyTimeseries!$A:$A,HourlyTimeseries!$T:$T),"")</f>
        <v>466.70084350788647</v>
      </c>
      <c r="CH84" s="64">
        <f>IFERROR(LOOKUP(CH$15,HourlyTimeseries!$A:$A,HourlyTimeseries!$T:$T),"")</f>
        <v>362.76391476760062</v>
      </c>
      <c r="CI84" s="64">
        <f>IFERROR(LOOKUP(CI$15,HourlyTimeseries!$A:$A,HourlyTimeseries!$T:$T),"")</f>
        <v>369.00637295020039</v>
      </c>
      <c r="CJ84" s="64">
        <f>IFERROR(LOOKUP(CJ$15,HourlyTimeseries!$A:$A,HourlyTimeseries!$T:$T),"")</f>
        <v>386.17313295234976</v>
      </c>
      <c r="CK84" s="64">
        <f>IFERROR(LOOKUP(CK$15,HourlyTimeseries!$A:$A,HourlyTimeseries!$T:$T),"")</f>
        <v>364.32452931325059</v>
      </c>
      <c r="CL84" s="64">
        <f>IFERROR(LOOKUP(CL$15,HourlyTimeseries!$A:$A,HourlyTimeseries!$T:$T),"")</f>
        <v>343.41229440154143</v>
      </c>
      <c r="CM84" s="64">
        <f>IFERROR(LOOKUP(CM$15,HourlyTimeseries!$A:$A,HourlyTimeseries!$T:$T),"")</f>
        <v>340.29106531024155</v>
      </c>
      <c r="CN84" s="64">
        <f>IFERROR(LOOKUP(CN$15,HourlyTimeseries!$A:$A,HourlyTimeseries!$T:$T),"")</f>
        <v>369.94274167759033</v>
      </c>
      <c r="CO84" s="64">
        <f>IFERROR(LOOKUP(CO$15,HourlyTimeseries!$A:$A,HourlyTimeseries!$T:$T),"")</f>
        <v>402.40414847292726</v>
      </c>
      <c r="CP84" s="64">
        <f>IFERROR(LOOKUP(CP$15,HourlyTimeseries!$A:$A,HourlyTimeseries!$T:$T),"")</f>
        <v>655.22245637658079</v>
      </c>
      <c r="CQ84" s="64">
        <f>IFERROR(LOOKUP(CQ$15,HourlyTimeseries!$A:$A,HourlyTimeseries!$T:$T),"")</f>
        <v>753.54117275252679</v>
      </c>
      <c r="CR84" s="64">
        <f>IFERROR(LOOKUP(CR$15,HourlyTimeseries!$A:$A,HourlyTimeseries!$T:$T),"")</f>
        <v>974.21206950742805</v>
      </c>
      <c r="CS84" s="64">
        <f>IFERROR(LOOKUP(CS$15,HourlyTimeseries!$A:$A,HourlyTimeseries!$T:$T),"")</f>
        <v>1241.0771568135674</v>
      </c>
      <c r="CT84" s="64">
        <f>IFERROR(LOOKUP(CT$15,HourlyTimeseries!$A:$A,HourlyTimeseries!$T:$T),"")</f>
        <v>1284.7743640917656</v>
      </c>
      <c r="CU84" s="64">
        <f>IFERROR(LOOKUP(CU$15,HourlyTimeseries!$A:$A,HourlyTimeseries!$T:$T),"")</f>
        <v>1281.6531350004659</v>
      </c>
      <c r="CV84" s="64">
        <f>IFERROR(LOOKUP(CV$15,HourlyTimeseries!$A:$A,HourlyTimeseries!$T:$T),"")</f>
        <v>1237.9559277222675</v>
      </c>
      <c r="CW84" s="64">
        <f>IFERROR(LOOKUP(CW$15,HourlyTimeseries!$A:$A,HourlyTimeseries!$T:$T),"")</f>
        <v>1142.7584404376212</v>
      </c>
      <c r="CX84" s="64">
        <f>IFERROR(LOOKUP(CX$15,HourlyTimeseries!$A:$A,HourlyTimeseries!$T:$T),"")</f>
        <v>918.02994586403031</v>
      </c>
      <c r="CY84" s="73">
        <f>IFERROR(LOOKUP(CY$15,HourlyTimeseries!$A:$A,HourlyTimeseries!$T:$T),"")</f>
        <v>562.52257661079261</v>
      </c>
      <c r="CZ84" s="80">
        <f>IFERROR(LOOKUP(CZ$15,HourlyTimeseries!$A:$A,HourlyTimeseries!$T:$T),"")</f>
        <v>328.43039476330199</v>
      </c>
      <c r="DA84" s="64">
        <f>IFERROR(LOOKUP(DA$15,HourlyTimeseries!$A:$A,HourlyTimeseries!$T:$T),"")</f>
        <v>318.44246167114238</v>
      </c>
      <c r="DB84" s="64">
        <f>IFERROR(LOOKUP(DB$15,HourlyTimeseries!$A:$A,HourlyTimeseries!$T:$T),"")</f>
        <v>318.44246167114238</v>
      </c>
      <c r="DC84" s="64">
        <f>IFERROR(LOOKUP(DC$15,HourlyTimeseries!$A:$A,HourlyTimeseries!$T:$T),"")</f>
        <v>396.47318895363924</v>
      </c>
      <c r="DD84" s="64">
        <f>IFERROR(LOOKUP(DD$15,HourlyTimeseries!$A:$A,HourlyTimeseries!$T:$T),"")</f>
        <v>466.70084350788647</v>
      </c>
      <c r="DE84" s="64">
        <f>IFERROR(LOOKUP(DE$15,HourlyTimeseries!$A:$A,HourlyTimeseries!$T:$T),"")</f>
        <v>466.70084350788647</v>
      </c>
      <c r="DF84" s="64">
        <f>IFERROR(LOOKUP(DF$15,HourlyTimeseries!$A:$A,HourlyTimeseries!$T:$T),"")</f>
        <v>362.76391476760062</v>
      </c>
      <c r="DG84" s="64">
        <f>IFERROR(LOOKUP(DG$15,HourlyTimeseries!$A:$A,HourlyTimeseries!$T:$T),"")</f>
        <v>369.00637295020039</v>
      </c>
      <c r="DH84" s="64">
        <f>IFERROR(LOOKUP(DH$15,HourlyTimeseries!$A:$A,HourlyTimeseries!$T:$T),"")</f>
        <v>386.17313295234976</v>
      </c>
      <c r="DI84" s="64">
        <f>IFERROR(LOOKUP(DI$15,HourlyTimeseries!$A:$A,HourlyTimeseries!$T:$T),"")</f>
        <v>364.32452931325059</v>
      </c>
      <c r="DJ84" s="64">
        <f>IFERROR(LOOKUP(DJ$15,HourlyTimeseries!$A:$A,HourlyTimeseries!$T:$T),"")</f>
        <v>343.41229440154143</v>
      </c>
      <c r="DK84" s="64">
        <f>IFERROR(LOOKUP(DK$15,HourlyTimeseries!$A:$A,HourlyTimeseries!$T:$T),"")</f>
        <v>340.29106531024155</v>
      </c>
      <c r="DL84" s="64">
        <f>IFERROR(LOOKUP(DL$15,HourlyTimeseries!$A:$A,HourlyTimeseries!$T:$T),"")</f>
        <v>369.94274167759033</v>
      </c>
      <c r="DM84" s="64">
        <f>IFERROR(LOOKUP(DM$15,HourlyTimeseries!$A:$A,HourlyTimeseries!$T:$T),"")</f>
        <v>402.40414847292726</v>
      </c>
      <c r="DN84" s="64">
        <f>IFERROR(LOOKUP(DN$15,HourlyTimeseries!$A:$A,HourlyTimeseries!$T:$T),"")</f>
        <v>655.22245637658079</v>
      </c>
      <c r="DO84" s="64">
        <f>IFERROR(LOOKUP(DO$15,HourlyTimeseries!$A:$A,HourlyTimeseries!$T:$T),"")</f>
        <v>753.54117275252679</v>
      </c>
      <c r="DP84" s="64">
        <f>IFERROR(LOOKUP(DP$15,HourlyTimeseries!$A:$A,HourlyTimeseries!$T:$T),"")</f>
        <v>974.21206950742805</v>
      </c>
      <c r="DQ84" s="64">
        <f>IFERROR(LOOKUP(DQ$15,HourlyTimeseries!$A:$A,HourlyTimeseries!$T:$T),"")</f>
        <v>1241.0771568135674</v>
      </c>
      <c r="DR84" s="64">
        <f>IFERROR(LOOKUP(DR$15,HourlyTimeseries!$A:$A,HourlyTimeseries!$T:$T),"")</f>
        <v>1284.7743640917656</v>
      </c>
      <c r="DS84" s="64">
        <f>IFERROR(LOOKUP(DS$15,HourlyTimeseries!$A:$A,HourlyTimeseries!$T:$T),"")</f>
        <v>1281.6531350004659</v>
      </c>
      <c r="DT84" s="64">
        <f>IFERROR(LOOKUP(DT$15,HourlyTimeseries!$A:$A,HourlyTimeseries!$T:$T),"")</f>
        <v>1237.9559277222675</v>
      </c>
      <c r="DU84" s="64">
        <f>IFERROR(LOOKUP(DU$15,HourlyTimeseries!$A:$A,HourlyTimeseries!$T:$T),"")</f>
        <v>1142.7584404376212</v>
      </c>
      <c r="DV84" s="64">
        <f>IFERROR(LOOKUP(DV$15,HourlyTimeseries!$A:$A,HourlyTimeseries!$T:$T),"")</f>
        <v>918.02994586403031</v>
      </c>
      <c r="DW84" s="73">
        <f>IFERROR(LOOKUP(DW$15,HourlyTimeseries!$A:$A,HourlyTimeseries!$T:$T),"")</f>
        <v>562.52257661079261</v>
      </c>
      <c r="DX84" s="80">
        <f>IFERROR(LOOKUP(DX$15,HourlyTimeseries!$A:$A,HourlyTimeseries!$T:$T),"")</f>
        <v>328.43039476330199</v>
      </c>
      <c r="DY84" s="64">
        <f>IFERROR(LOOKUP(DY$15,HourlyTimeseries!$A:$A,HourlyTimeseries!$T:$T),"")</f>
        <v>318.44246167114238</v>
      </c>
      <c r="DZ84" s="64">
        <f>IFERROR(LOOKUP(DZ$15,HourlyTimeseries!$A:$A,HourlyTimeseries!$T:$T),"")</f>
        <v>318.44246167114238</v>
      </c>
      <c r="EA84" s="64">
        <f>IFERROR(LOOKUP(EA$15,HourlyTimeseries!$A:$A,HourlyTimeseries!$T:$T),"")</f>
        <v>396.47318895363924</v>
      </c>
      <c r="EB84" s="64">
        <f>IFERROR(LOOKUP(EB$15,HourlyTimeseries!$A:$A,HourlyTimeseries!$T:$T),"")</f>
        <v>466.70084350788647</v>
      </c>
      <c r="EC84" s="64">
        <f>IFERROR(LOOKUP(EC$15,HourlyTimeseries!$A:$A,HourlyTimeseries!$T:$T),"")</f>
        <v>466.70084350788647</v>
      </c>
      <c r="ED84" s="64">
        <f>IFERROR(LOOKUP(ED$15,HourlyTimeseries!$A:$A,HourlyTimeseries!$T:$T),"")</f>
        <v>362.76391476760062</v>
      </c>
      <c r="EE84" s="64">
        <f>IFERROR(LOOKUP(EE$15,HourlyTimeseries!$A:$A,HourlyTimeseries!$T:$T),"")</f>
        <v>369.00637295020039</v>
      </c>
      <c r="EF84" s="64">
        <f>IFERROR(LOOKUP(EF$15,HourlyTimeseries!$A:$A,HourlyTimeseries!$T:$T),"")</f>
        <v>386.17313295234976</v>
      </c>
      <c r="EG84" s="64">
        <f>IFERROR(LOOKUP(EG$15,HourlyTimeseries!$A:$A,HourlyTimeseries!$T:$T),"")</f>
        <v>364.32452931325059</v>
      </c>
      <c r="EH84" s="64">
        <f>IFERROR(LOOKUP(EH$15,HourlyTimeseries!$A:$A,HourlyTimeseries!$T:$T),"")</f>
        <v>343.41229440154143</v>
      </c>
      <c r="EI84" s="64">
        <f>IFERROR(LOOKUP(EI$15,HourlyTimeseries!$A:$A,HourlyTimeseries!$T:$T),"")</f>
        <v>340.29106531024155</v>
      </c>
      <c r="EJ84" s="64">
        <f>IFERROR(LOOKUP(EJ$15,HourlyTimeseries!$A:$A,HourlyTimeseries!$T:$T),"")</f>
        <v>369.94274167759033</v>
      </c>
      <c r="EK84" s="64">
        <f>IFERROR(LOOKUP(EK$15,HourlyTimeseries!$A:$A,HourlyTimeseries!$T:$T),"")</f>
        <v>402.40414847292726</v>
      </c>
      <c r="EL84" s="64">
        <f>IFERROR(LOOKUP(EL$15,HourlyTimeseries!$A:$A,HourlyTimeseries!$T:$T),"")</f>
        <v>655.22245637658079</v>
      </c>
      <c r="EM84" s="64">
        <f>IFERROR(LOOKUP(EM$15,HourlyTimeseries!$A:$A,HourlyTimeseries!$T:$T),"")</f>
        <v>753.54117275252679</v>
      </c>
      <c r="EN84" s="64">
        <f>IFERROR(LOOKUP(EN$15,HourlyTimeseries!$A:$A,HourlyTimeseries!$T:$T),"")</f>
        <v>974.21206950742805</v>
      </c>
      <c r="EO84" s="64">
        <f>IFERROR(LOOKUP(EO$15,HourlyTimeseries!$A:$A,HourlyTimeseries!$T:$T),"")</f>
        <v>1241.0771568135674</v>
      </c>
      <c r="EP84" s="64">
        <f>IFERROR(LOOKUP(EP$15,HourlyTimeseries!$A:$A,HourlyTimeseries!$T:$T),"")</f>
        <v>1284.7743640917656</v>
      </c>
      <c r="EQ84" s="64">
        <f>IFERROR(LOOKUP(EQ$15,HourlyTimeseries!$A:$A,HourlyTimeseries!$T:$T),"")</f>
        <v>1281.6531350004659</v>
      </c>
      <c r="ER84" s="64">
        <f>IFERROR(LOOKUP(ER$15,HourlyTimeseries!$A:$A,HourlyTimeseries!$T:$T),"")</f>
        <v>1237.9559277222675</v>
      </c>
      <c r="ES84" s="64">
        <f>IFERROR(LOOKUP(ES$15,HourlyTimeseries!$A:$A,HourlyTimeseries!$T:$T),"")</f>
        <v>1142.7584404376212</v>
      </c>
      <c r="ET84" s="64">
        <f>IFERROR(LOOKUP(ET$15,HourlyTimeseries!$A:$A,HourlyTimeseries!$T:$T),"")</f>
        <v>918.02994586403031</v>
      </c>
      <c r="EU84" s="73">
        <f>IFERROR(LOOKUP(EU$15,HourlyTimeseries!$A:$A,HourlyTimeseries!$T:$T),"")</f>
        <v>562.52257661079261</v>
      </c>
      <c r="EV84" s="80">
        <f>IFERROR(LOOKUP(EV$15,HourlyTimeseries!$A:$A,HourlyTimeseries!$T:$T),"")</f>
        <v>393.97934309477978</v>
      </c>
      <c r="EW84" s="64">
        <f>IFERROR(LOOKUP(EW$15,HourlyTimeseries!$A:$A,HourlyTimeseries!$T:$T),"")</f>
        <v>384.29812364944195</v>
      </c>
      <c r="EX84" s="64">
        <f>IFERROR(LOOKUP(EX$15,HourlyTimeseries!$A:$A,HourlyTimeseries!$T:$T),"")</f>
        <v>384.29812364944195</v>
      </c>
      <c r="EY84" s="64">
        <f>IFERROR(LOOKUP(EY$15,HourlyTimeseries!$A:$A,HourlyTimeseries!$T:$T),"")</f>
        <v>452.36919787447414</v>
      </c>
      <c r="EZ84" s="64">
        <f>IFERROR(LOOKUP(EZ$15,HourlyTimeseries!$A:$A,HourlyTimeseries!$T:$T),"")</f>
        <v>452.36919787447414</v>
      </c>
      <c r="FA84" s="64">
        <f>IFERROR(LOOKUP(FA$15,HourlyTimeseries!$A:$A,HourlyTimeseries!$T:$T),"")</f>
        <v>452.36919787447414</v>
      </c>
      <c r="FB84" s="64">
        <f>IFERROR(LOOKUP(FB$15,HourlyTimeseries!$A:$A,HourlyTimeseries!$T:$T),"")</f>
        <v>344.06055532975626</v>
      </c>
      <c r="FC84" s="64">
        <f>IFERROR(LOOKUP(FC$15,HourlyTimeseries!$A:$A,HourlyTimeseries!$T:$T),"")</f>
        <v>351.6240080214265</v>
      </c>
      <c r="FD84" s="64">
        <f>IFERROR(LOOKUP(FD$15,HourlyTimeseries!$A:$A,HourlyTimeseries!$T:$T),"")</f>
        <v>366.750913404767</v>
      </c>
      <c r="FE84" s="64">
        <f>IFERROR(LOOKUP(FE$15,HourlyTimeseries!$A:$A,HourlyTimeseries!$T:$T),"")</f>
        <v>345.57324586809034</v>
      </c>
      <c r="FF84" s="64">
        <f>IFERROR(LOOKUP(FF$15,HourlyTimeseries!$A:$A,HourlyTimeseries!$T:$T),"")</f>
        <v>326.81588319274812</v>
      </c>
      <c r="FG84" s="64">
        <f>IFERROR(LOOKUP(FG$15,HourlyTimeseries!$A:$A,HourlyTimeseries!$T:$T),"")</f>
        <v>322.27781157774598</v>
      </c>
      <c r="FH84" s="64">
        <f>IFERROR(LOOKUP(FH$15,HourlyTimeseries!$A:$A,HourlyTimeseries!$T:$T),"")</f>
        <v>322.27781157774598</v>
      </c>
      <c r="FI84" s="64">
        <f>IFERROR(LOOKUP(FI$15,HourlyTimeseries!$A:$A,HourlyTimeseries!$T:$T),"")</f>
        <v>371.89466631131808</v>
      </c>
      <c r="FJ84" s="64">
        <f>IFERROR(LOOKUP(FJ$15,HourlyTimeseries!$A:$A,HourlyTimeseries!$T:$T),"")</f>
        <v>626.02546659900759</v>
      </c>
      <c r="FK84" s="64">
        <f>IFERROR(LOOKUP(FK$15,HourlyTimeseries!$A:$A,HourlyTimeseries!$T:$T),"")</f>
        <v>645.69044359735017</v>
      </c>
      <c r="FL84" s="64">
        <f>IFERROR(LOOKUP(FL$15,HourlyTimeseries!$A:$A,HourlyTimeseries!$T:$T),"")</f>
        <v>929.16865048115073</v>
      </c>
      <c r="FM84" s="64">
        <f>IFERROR(LOOKUP(FM$15,HourlyTimeseries!$A:$A,HourlyTimeseries!$T:$T),"")</f>
        <v>1109.1788245429025</v>
      </c>
      <c r="FN84" s="64">
        <f>IFERROR(LOOKUP(FN$15,HourlyTimeseries!$A:$A,HourlyTimeseries!$T:$T),"")</f>
        <v>1192.3768041512753</v>
      </c>
      <c r="FO84" s="64">
        <f>IFERROR(LOOKUP(FO$15,HourlyTimeseries!$A:$A,HourlyTimeseries!$T:$T),"")</f>
        <v>1227.1686865329582</v>
      </c>
      <c r="FP84" s="64">
        <f>IFERROR(LOOKUP(FP$15,HourlyTimeseries!$A:$A,HourlyTimeseries!$T:$T),"")</f>
        <v>1180.2752798446029</v>
      </c>
      <c r="FQ84" s="64">
        <f>IFERROR(LOOKUP(FQ$15,HourlyTimeseries!$A:$A,HourlyTimeseries!$T:$T),"")</f>
        <v>1098.5899907745643</v>
      </c>
      <c r="FR84" s="64">
        <f>IFERROR(LOOKUP(FR$15,HourlyTimeseries!$A:$A,HourlyTimeseries!$T:$T),"")</f>
        <v>889.83869648446557</v>
      </c>
      <c r="FS84" s="73">
        <f>IFERROR(LOOKUP(FS$15,HourlyTimeseries!$A:$A,HourlyTimeseries!$T:$T),"")</f>
        <v>620.88292384488705</v>
      </c>
    </row>
    <row r="86" spans="4:175" ht="21" thickBot="1" x14ac:dyDescent="0.3">
      <c r="D86" s="1" t="s">
        <v>40</v>
      </c>
      <c r="E86" s="7" t="s">
        <v>32</v>
      </c>
      <c r="F86" s="3" t="s">
        <v>150</v>
      </c>
      <c r="G86" s="7"/>
      <c r="H86" s="3" t="s">
        <v>7</v>
      </c>
      <c r="I86" s="3" t="s">
        <v>8</v>
      </c>
      <c r="J86" s="3" t="s">
        <v>9</v>
      </c>
      <c r="K86" s="3" t="s">
        <v>10</v>
      </c>
      <c r="L86" s="3" t="s">
        <v>11</v>
      </c>
      <c r="M86" s="3" t="s">
        <v>12</v>
      </c>
      <c r="N86" s="3" t="s">
        <v>13</v>
      </c>
      <c r="O86" s="3" t="s">
        <v>14</v>
      </c>
      <c r="P86" s="3" t="s">
        <v>15</v>
      </c>
      <c r="Q86" s="3" t="s">
        <v>16</v>
      </c>
      <c r="R86" s="3" t="s">
        <v>17</v>
      </c>
      <c r="S86" s="3" t="s">
        <v>18</v>
      </c>
      <c r="T86" s="3" t="s">
        <v>19</v>
      </c>
      <c r="U86" s="3" t="s">
        <v>20</v>
      </c>
      <c r="V86" s="3" t="s">
        <v>21</v>
      </c>
      <c r="W86" s="3" t="s">
        <v>22</v>
      </c>
      <c r="X86" s="3" t="s">
        <v>23</v>
      </c>
      <c r="Y86" s="3" t="s">
        <v>24</v>
      </c>
      <c r="Z86" s="3" t="s">
        <v>25</v>
      </c>
      <c r="AA86" s="3" t="s">
        <v>26</v>
      </c>
      <c r="AB86" s="3" t="s">
        <v>27</v>
      </c>
      <c r="AC86" s="3" t="s">
        <v>28</v>
      </c>
      <c r="AD86" s="3" t="s">
        <v>29</v>
      </c>
      <c r="AE86" s="3" t="s">
        <v>30</v>
      </c>
      <c r="AF86" s="78" t="s">
        <v>278</v>
      </c>
      <c r="AG86" s="3" t="s">
        <v>279</v>
      </c>
      <c r="AH86" s="3" t="s">
        <v>280</v>
      </c>
      <c r="AI86" s="3" t="s">
        <v>281</v>
      </c>
      <c r="AJ86" s="3" t="s">
        <v>282</v>
      </c>
      <c r="AK86" s="3" t="s">
        <v>283</v>
      </c>
      <c r="AL86" s="3" t="s">
        <v>284</v>
      </c>
      <c r="AM86" s="3" t="s">
        <v>285</v>
      </c>
      <c r="AN86" s="3" t="s">
        <v>286</v>
      </c>
      <c r="AO86" s="3" t="s">
        <v>287</v>
      </c>
      <c r="AP86" s="3" t="s">
        <v>288</v>
      </c>
      <c r="AQ86" s="3" t="s">
        <v>289</v>
      </c>
      <c r="AR86" s="3" t="s">
        <v>290</v>
      </c>
      <c r="AS86" s="3" t="s">
        <v>291</v>
      </c>
      <c r="AT86" s="3" t="s">
        <v>292</v>
      </c>
      <c r="AU86" s="3" t="s">
        <v>293</v>
      </c>
      <c r="AV86" s="3" t="s">
        <v>294</v>
      </c>
      <c r="AW86" s="3" t="s">
        <v>295</v>
      </c>
      <c r="AX86" s="3" t="s">
        <v>296</v>
      </c>
      <c r="AY86" s="3" t="s">
        <v>297</v>
      </c>
      <c r="AZ86" s="3" t="s">
        <v>298</v>
      </c>
      <c r="BA86" s="3" t="s">
        <v>299</v>
      </c>
      <c r="BB86" s="3" t="s">
        <v>300</v>
      </c>
      <c r="BC86" s="3" t="s">
        <v>301</v>
      </c>
      <c r="BD86" s="78" t="s">
        <v>302</v>
      </c>
      <c r="BE86" s="3" t="s">
        <v>303</v>
      </c>
      <c r="BF86" s="3" t="s">
        <v>304</v>
      </c>
      <c r="BG86" s="3" t="s">
        <v>305</v>
      </c>
      <c r="BH86" s="3" t="s">
        <v>306</v>
      </c>
      <c r="BI86" s="3" t="s">
        <v>307</v>
      </c>
      <c r="BJ86" s="3" t="s">
        <v>308</v>
      </c>
      <c r="BK86" s="3" t="s">
        <v>309</v>
      </c>
      <c r="BL86" s="3" t="s">
        <v>310</v>
      </c>
      <c r="BM86" s="3" t="s">
        <v>311</v>
      </c>
      <c r="BN86" s="3" t="s">
        <v>312</v>
      </c>
      <c r="BO86" s="3" t="s">
        <v>313</v>
      </c>
      <c r="BP86" s="3" t="s">
        <v>314</v>
      </c>
      <c r="BQ86" s="3" t="s">
        <v>315</v>
      </c>
      <c r="BR86" s="3" t="s">
        <v>316</v>
      </c>
      <c r="BS86" s="3" t="s">
        <v>317</v>
      </c>
      <c r="BT86" s="3" t="s">
        <v>318</v>
      </c>
      <c r="BU86" s="3" t="s">
        <v>319</v>
      </c>
      <c r="BV86" s="3" t="s">
        <v>320</v>
      </c>
      <c r="BW86" s="3" t="s">
        <v>321</v>
      </c>
      <c r="BX86" s="3" t="s">
        <v>322</v>
      </c>
      <c r="BY86" s="3" t="s">
        <v>323</v>
      </c>
      <c r="BZ86" s="3" t="s">
        <v>324</v>
      </c>
      <c r="CA86" s="3" t="s">
        <v>325</v>
      </c>
      <c r="CB86" s="78" t="s">
        <v>326</v>
      </c>
      <c r="CC86" s="3" t="s">
        <v>327</v>
      </c>
      <c r="CD86" s="3" t="s">
        <v>328</v>
      </c>
      <c r="CE86" s="3" t="s">
        <v>329</v>
      </c>
      <c r="CF86" s="3" t="s">
        <v>330</v>
      </c>
      <c r="CG86" s="3" t="s">
        <v>331</v>
      </c>
      <c r="CH86" s="3" t="s">
        <v>332</v>
      </c>
      <c r="CI86" s="3" t="s">
        <v>333</v>
      </c>
      <c r="CJ86" s="3" t="s">
        <v>334</v>
      </c>
      <c r="CK86" s="3" t="s">
        <v>335</v>
      </c>
      <c r="CL86" s="3" t="s">
        <v>336</v>
      </c>
      <c r="CM86" s="3" t="s">
        <v>337</v>
      </c>
      <c r="CN86" s="3" t="s">
        <v>338</v>
      </c>
      <c r="CO86" s="3" t="s">
        <v>339</v>
      </c>
      <c r="CP86" s="3" t="s">
        <v>340</v>
      </c>
      <c r="CQ86" s="3" t="s">
        <v>341</v>
      </c>
      <c r="CR86" s="3" t="s">
        <v>342</v>
      </c>
      <c r="CS86" s="3" t="s">
        <v>343</v>
      </c>
      <c r="CT86" s="3" t="s">
        <v>344</v>
      </c>
      <c r="CU86" s="3" t="s">
        <v>345</v>
      </c>
      <c r="CV86" s="3" t="s">
        <v>346</v>
      </c>
      <c r="CW86" s="3" t="s">
        <v>347</v>
      </c>
      <c r="CX86" s="3" t="s">
        <v>348</v>
      </c>
      <c r="CY86" s="3" t="s">
        <v>349</v>
      </c>
      <c r="CZ86" s="78" t="s">
        <v>350</v>
      </c>
      <c r="DA86" s="3" t="s">
        <v>351</v>
      </c>
      <c r="DB86" s="3" t="s">
        <v>352</v>
      </c>
      <c r="DC86" s="3" t="s">
        <v>353</v>
      </c>
      <c r="DD86" s="3" t="s">
        <v>354</v>
      </c>
      <c r="DE86" s="3" t="s">
        <v>355</v>
      </c>
      <c r="DF86" s="3" t="s">
        <v>356</v>
      </c>
      <c r="DG86" s="3" t="s">
        <v>357</v>
      </c>
      <c r="DH86" s="3" t="s">
        <v>358</v>
      </c>
      <c r="DI86" s="3" t="s">
        <v>359</v>
      </c>
      <c r="DJ86" s="3" t="s">
        <v>360</v>
      </c>
      <c r="DK86" s="3" t="s">
        <v>361</v>
      </c>
      <c r="DL86" s="3" t="s">
        <v>362</v>
      </c>
      <c r="DM86" s="3" t="s">
        <v>363</v>
      </c>
      <c r="DN86" s="3" t="s">
        <v>364</v>
      </c>
      <c r="DO86" s="3" t="s">
        <v>365</v>
      </c>
      <c r="DP86" s="3" t="s">
        <v>366</v>
      </c>
      <c r="DQ86" s="3" t="s">
        <v>367</v>
      </c>
      <c r="DR86" s="3" t="s">
        <v>368</v>
      </c>
      <c r="DS86" s="3" t="s">
        <v>369</v>
      </c>
      <c r="DT86" s="3" t="s">
        <v>370</v>
      </c>
      <c r="DU86" s="3" t="s">
        <v>371</v>
      </c>
      <c r="DV86" s="3" t="s">
        <v>372</v>
      </c>
      <c r="DW86" s="3" t="s">
        <v>373</v>
      </c>
      <c r="DX86" s="78" t="s">
        <v>374</v>
      </c>
      <c r="DY86" s="3" t="s">
        <v>375</v>
      </c>
      <c r="DZ86" s="3" t="s">
        <v>376</v>
      </c>
      <c r="EA86" s="3" t="s">
        <v>377</v>
      </c>
      <c r="EB86" s="3" t="s">
        <v>378</v>
      </c>
      <c r="EC86" s="3" t="s">
        <v>379</v>
      </c>
      <c r="ED86" s="3" t="s">
        <v>380</v>
      </c>
      <c r="EE86" s="3" t="s">
        <v>381</v>
      </c>
      <c r="EF86" s="3" t="s">
        <v>382</v>
      </c>
      <c r="EG86" s="3" t="s">
        <v>383</v>
      </c>
      <c r="EH86" s="3" t="s">
        <v>384</v>
      </c>
      <c r="EI86" s="3" t="s">
        <v>385</v>
      </c>
      <c r="EJ86" s="3" t="s">
        <v>386</v>
      </c>
      <c r="EK86" s="3" t="s">
        <v>387</v>
      </c>
      <c r="EL86" s="3" t="s">
        <v>388</v>
      </c>
      <c r="EM86" s="3" t="s">
        <v>389</v>
      </c>
      <c r="EN86" s="3" t="s">
        <v>390</v>
      </c>
      <c r="EO86" s="3" t="s">
        <v>391</v>
      </c>
      <c r="EP86" s="3" t="s">
        <v>392</v>
      </c>
      <c r="EQ86" s="3" t="s">
        <v>393</v>
      </c>
      <c r="ER86" s="3" t="s">
        <v>394</v>
      </c>
      <c r="ES86" s="3" t="s">
        <v>395</v>
      </c>
      <c r="ET86" s="3" t="s">
        <v>396</v>
      </c>
      <c r="EU86" s="3" t="s">
        <v>397</v>
      </c>
      <c r="EV86" s="78" t="s">
        <v>398</v>
      </c>
      <c r="EW86" s="3" t="s">
        <v>399</v>
      </c>
      <c r="EX86" s="3" t="s">
        <v>400</v>
      </c>
      <c r="EY86" s="3" t="s">
        <v>401</v>
      </c>
      <c r="EZ86" s="3" t="s">
        <v>402</v>
      </c>
      <c r="FA86" s="3" t="s">
        <v>403</v>
      </c>
      <c r="FB86" s="3" t="s">
        <v>404</v>
      </c>
      <c r="FC86" s="3" t="s">
        <v>405</v>
      </c>
      <c r="FD86" s="3" t="s">
        <v>406</v>
      </c>
      <c r="FE86" s="3" t="s">
        <v>407</v>
      </c>
      <c r="FF86" s="3" t="s">
        <v>408</v>
      </c>
      <c r="FG86" s="3" t="s">
        <v>409</v>
      </c>
      <c r="FH86" s="3" t="s">
        <v>410</v>
      </c>
      <c r="FI86" s="3" t="s">
        <v>411</v>
      </c>
      <c r="FJ86" s="3" t="s">
        <v>412</v>
      </c>
      <c r="FK86" s="3" t="s">
        <v>413</v>
      </c>
      <c r="FL86" s="3" t="s">
        <v>414</v>
      </c>
      <c r="FM86" s="3" t="s">
        <v>415</v>
      </c>
      <c r="FN86" s="3" t="s">
        <v>416</v>
      </c>
      <c r="FO86" s="3" t="s">
        <v>417</v>
      </c>
      <c r="FP86" s="3" t="s">
        <v>418</v>
      </c>
      <c r="FQ86" s="3" t="s">
        <v>419</v>
      </c>
      <c r="FR86" s="3" t="s">
        <v>420</v>
      </c>
      <c r="FS86" s="3" t="s">
        <v>421</v>
      </c>
    </row>
    <row r="87" spans="4:175" ht="16" thickTop="1" x14ac:dyDescent="0.2">
      <c r="D87" t="s">
        <v>31</v>
      </c>
      <c r="E87" s="2" t="s">
        <v>2</v>
      </c>
      <c r="F87" s="8" t="s">
        <v>152</v>
      </c>
      <c r="G87" s="2"/>
      <c r="H87" s="64">
        <f>IFERROR(LOOKUP(H$15,HourlyTimeseries!$A:$A,HourlyTimeseries!$U:$U),"")</f>
        <v>4.4269657292841789</v>
      </c>
      <c r="I87" s="64">
        <f>IFERROR(LOOKUP(I$15,HourlyTimeseries!$A:$A,HourlyTimeseries!$U:$U),"")</f>
        <v>3.6227094893570682</v>
      </c>
      <c r="J87" s="64">
        <f>IFERROR(LOOKUP(J$15,HourlyTimeseries!$A:$A,HourlyTimeseries!$U:$U),"")</f>
        <v>3.6227094893570682</v>
      </c>
      <c r="K87" s="64">
        <f>IFERROR(LOOKUP(K$15,HourlyTimeseries!$A:$A,HourlyTimeseries!$U:$U),"")</f>
        <v>3.6227094893570682</v>
      </c>
      <c r="L87" s="64">
        <f>IFERROR(LOOKUP(L$15,HourlyTimeseries!$A:$A,HourlyTimeseries!$U:$U),"")</f>
        <v>4.2644032978095501</v>
      </c>
      <c r="M87" s="64">
        <f>IFERROR(LOOKUP(M$15,HourlyTimeseries!$A:$A,HourlyTimeseries!$U:$U),"")</f>
        <v>3.6227094893570682</v>
      </c>
      <c r="N87" s="64">
        <f>IFERROR(LOOKUP(N$15,HourlyTimeseries!$A:$A,HourlyTimeseries!$U:$U),"")</f>
        <v>3.0437590755088282</v>
      </c>
      <c r="O87" s="64">
        <f>IFERROR(LOOKUP(O$15,HourlyTimeseries!$A:$A,HourlyTimeseries!$U:$U),"")</f>
        <v>2.801341414537891</v>
      </c>
      <c r="P87" s="64">
        <f>IFERROR(LOOKUP(P$15,HourlyTimeseries!$A:$A,HourlyTimeseries!$U:$U),"")</f>
        <v>2.9439400386384427</v>
      </c>
      <c r="Q87" s="64">
        <f>IFERROR(LOOKUP(Q$15,HourlyTimeseries!$A:$A,HourlyTimeseries!$U:$U),"")</f>
        <v>3.1720978371993254</v>
      </c>
      <c r="R87" s="64">
        <f>IFERROR(LOOKUP(R$15,HourlyTimeseries!$A:$A,HourlyTimeseries!$U:$U),"")</f>
        <v>3.0808347177749722</v>
      </c>
      <c r="S87" s="64">
        <f>IFERROR(LOOKUP(S$15,HourlyTimeseries!$A:$A,HourlyTimeseries!$U:$U),"")</f>
        <v>3.0380551305448065</v>
      </c>
      <c r="T87" s="64">
        <f>IFERROR(LOOKUP(T$15,HourlyTimeseries!$A:$A,HourlyTimeseries!$U:$U),"")</f>
        <v>3.0380551305448065</v>
      </c>
      <c r="U87" s="64">
        <f>IFERROR(LOOKUP(U$15,HourlyTimeseries!$A:$A,HourlyTimeseries!$U:$U),"")</f>
        <v>3.53430404635969</v>
      </c>
      <c r="V87" s="64">
        <f>IFERROR(LOOKUP(V$15,HourlyTimeseries!$A:$A,HourlyTimeseries!$U:$U),"")</f>
        <v>5.8729100737188098</v>
      </c>
      <c r="W87" s="64">
        <f>IFERROR(LOOKUP(W$15,HourlyTimeseries!$A:$A,HourlyTimeseries!$U:$U),"")</f>
        <v>6.0440284226394718</v>
      </c>
      <c r="X87" s="64">
        <f>IFERROR(LOOKUP(X$15,HourlyTimeseries!$A:$A,HourlyTimeseries!$U:$U),"")</f>
        <v>8.7591062255139747</v>
      </c>
      <c r="Y87" s="64">
        <f>IFERROR(LOOKUP(Y$15,HourlyTimeseries!$A:$A,HourlyTimeseries!$U:$U),"")</f>
        <v>11.169022972813298</v>
      </c>
      <c r="Z87" s="64">
        <f>IFERROR(LOOKUP(Z$15,HourlyTimeseries!$A:$A,HourlyTimeseries!$U:$U),"")</f>
        <v>11.568299120294842</v>
      </c>
      <c r="AA87" s="64">
        <f>IFERROR(LOOKUP(AA$15,HourlyTimeseries!$A:$A,HourlyTimeseries!$U:$U),"")</f>
        <v>11.568299120294842</v>
      </c>
      <c r="AB87" s="64">
        <f>IFERROR(LOOKUP(AB$15,HourlyTimeseries!$A:$A,HourlyTimeseries!$U:$U),"")</f>
        <v>11.140503247993186</v>
      </c>
      <c r="AC87" s="64">
        <f>IFERROR(LOOKUP(AC$15,HourlyTimeseries!$A:$A,HourlyTimeseries!$U:$U),"")</f>
        <v>10.341950953030096</v>
      </c>
      <c r="AD87" s="64">
        <f>IFERROR(LOOKUP(AD$15,HourlyTimeseries!$A:$A,HourlyTimeseries!$U:$U),"")</f>
        <v>8.0746328298313266</v>
      </c>
      <c r="AE87" s="73">
        <f>IFERROR(LOOKUP(AE$15,HourlyTimeseries!$A:$A,HourlyTimeseries!$U:$U),"")</f>
        <v>5.7816526582394197</v>
      </c>
      <c r="AF87" s="80">
        <f>IFERROR(LOOKUP(AF$15,HourlyTimeseries!$A:$A,HourlyTimeseries!$U:$U),"")</f>
        <v>3.28430394763302</v>
      </c>
      <c r="AG87" s="64">
        <f>IFERROR(LOOKUP(AG$15,HourlyTimeseries!$A:$A,HourlyTimeseries!$U:$U),"")</f>
        <v>3.1844246167114236</v>
      </c>
      <c r="AH87" s="64">
        <f>IFERROR(LOOKUP(AH$15,HourlyTimeseries!$A:$A,HourlyTimeseries!$U:$U),"")</f>
        <v>3.1844246167114236</v>
      </c>
      <c r="AI87" s="64">
        <f>IFERROR(LOOKUP(AI$15,HourlyTimeseries!$A:$A,HourlyTimeseries!$U:$U),"")</f>
        <v>3.9647318895363926</v>
      </c>
      <c r="AJ87" s="64">
        <f>IFERROR(LOOKUP(AJ$15,HourlyTimeseries!$A:$A,HourlyTimeseries!$U:$U),"")</f>
        <v>4.6670084350788645</v>
      </c>
      <c r="AK87" s="64">
        <f>IFERROR(LOOKUP(AK$15,HourlyTimeseries!$A:$A,HourlyTimeseries!$U:$U),"")</f>
        <v>4.6670084350788645</v>
      </c>
      <c r="AL87" s="64">
        <f>IFERROR(LOOKUP(AL$15,HourlyTimeseries!$A:$A,HourlyTimeseries!$U:$U),"")</f>
        <v>3.6276391476760064</v>
      </c>
      <c r="AM87" s="64">
        <f>IFERROR(LOOKUP(AM$15,HourlyTimeseries!$A:$A,HourlyTimeseries!$U:$U),"")</f>
        <v>3.690063729502004</v>
      </c>
      <c r="AN87" s="64">
        <f>IFERROR(LOOKUP(AN$15,HourlyTimeseries!$A:$A,HourlyTimeseries!$U:$U),"")</f>
        <v>3.8617313295234976</v>
      </c>
      <c r="AO87" s="64">
        <f>IFERROR(LOOKUP(AO$15,HourlyTimeseries!$A:$A,HourlyTimeseries!$U:$U),"")</f>
        <v>3.6432452931325061</v>
      </c>
      <c r="AP87" s="64">
        <f>IFERROR(LOOKUP(AP$15,HourlyTimeseries!$A:$A,HourlyTimeseries!$U:$U),"")</f>
        <v>3.4341229440154142</v>
      </c>
      <c r="AQ87" s="64">
        <f>IFERROR(LOOKUP(AQ$15,HourlyTimeseries!$A:$A,HourlyTimeseries!$U:$U),"")</f>
        <v>3.4029106531024156</v>
      </c>
      <c r="AR87" s="64">
        <f>IFERROR(LOOKUP(AR$15,HourlyTimeseries!$A:$A,HourlyTimeseries!$U:$U),"")</f>
        <v>3.6994274167759031</v>
      </c>
      <c r="AS87" s="64">
        <f>IFERROR(LOOKUP(AS$15,HourlyTimeseries!$A:$A,HourlyTimeseries!$U:$U),"")</f>
        <v>4.0240414847292723</v>
      </c>
      <c r="AT87" s="64">
        <f>IFERROR(LOOKUP(AT$15,HourlyTimeseries!$A:$A,HourlyTimeseries!$U:$U),"")</f>
        <v>6.5522245637658081</v>
      </c>
      <c r="AU87" s="64">
        <f>IFERROR(LOOKUP(AU$15,HourlyTimeseries!$A:$A,HourlyTimeseries!$U:$U),"")</f>
        <v>7.5354117275252683</v>
      </c>
      <c r="AV87" s="64">
        <f>IFERROR(LOOKUP(AV$15,HourlyTimeseries!$A:$A,HourlyTimeseries!$U:$U),"")</f>
        <v>9.7421206950742807</v>
      </c>
      <c r="AW87" s="64">
        <f>IFERROR(LOOKUP(AW$15,HourlyTimeseries!$A:$A,HourlyTimeseries!$U:$U),"")</f>
        <v>12.410771568135674</v>
      </c>
      <c r="AX87" s="64">
        <f>IFERROR(LOOKUP(AX$15,HourlyTimeseries!$A:$A,HourlyTimeseries!$U:$U),"")</f>
        <v>12.847743640917656</v>
      </c>
      <c r="AY87" s="64">
        <f>IFERROR(LOOKUP(AY$15,HourlyTimeseries!$A:$A,HourlyTimeseries!$U:$U),"")</f>
        <v>12.816531350004659</v>
      </c>
      <c r="AZ87" s="64">
        <f>IFERROR(LOOKUP(AZ$15,HourlyTimeseries!$A:$A,HourlyTimeseries!$U:$U),"")</f>
        <v>12.379559277222675</v>
      </c>
      <c r="BA87" s="64">
        <f>IFERROR(LOOKUP(BA$15,HourlyTimeseries!$A:$A,HourlyTimeseries!$U:$U),"")</f>
        <v>11.427584404376212</v>
      </c>
      <c r="BB87" s="64">
        <f>IFERROR(LOOKUP(BB$15,HourlyTimeseries!$A:$A,HourlyTimeseries!$U:$U),"")</f>
        <v>9.1802994586403024</v>
      </c>
      <c r="BC87" s="73">
        <f>IFERROR(LOOKUP(BC$15,HourlyTimeseries!$A:$A,HourlyTimeseries!$U:$U),"")</f>
        <v>5.6252257661079259</v>
      </c>
      <c r="BD87" s="80">
        <f>IFERROR(LOOKUP(BD$15,HourlyTimeseries!$A:$A,HourlyTimeseries!$U:$U),"")</f>
        <v>3.28430394763302</v>
      </c>
      <c r="BE87" s="64">
        <f>IFERROR(LOOKUP(BE$15,HourlyTimeseries!$A:$A,HourlyTimeseries!$U:$U),"")</f>
        <v>3.1844246167114236</v>
      </c>
      <c r="BF87" s="64">
        <f>IFERROR(LOOKUP(BF$15,HourlyTimeseries!$A:$A,HourlyTimeseries!$U:$U),"")</f>
        <v>3.1844246167114236</v>
      </c>
      <c r="BG87" s="64">
        <f>IFERROR(LOOKUP(BG$15,HourlyTimeseries!$A:$A,HourlyTimeseries!$U:$U),"")</f>
        <v>3.9647318895363926</v>
      </c>
      <c r="BH87" s="64">
        <f>IFERROR(LOOKUP(BH$15,HourlyTimeseries!$A:$A,HourlyTimeseries!$U:$U),"")</f>
        <v>4.6670084350788645</v>
      </c>
      <c r="BI87" s="64">
        <f>IFERROR(LOOKUP(BI$15,HourlyTimeseries!$A:$A,HourlyTimeseries!$U:$U),"")</f>
        <v>4.6670084350788645</v>
      </c>
      <c r="BJ87" s="64">
        <f>IFERROR(LOOKUP(BJ$15,HourlyTimeseries!$A:$A,HourlyTimeseries!$U:$U),"")</f>
        <v>3.6276391476760064</v>
      </c>
      <c r="BK87" s="64">
        <f>IFERROR(LOOKUP(BK$15,HourlyTimeseries!$A:$A,HourlyTimeseries!$U:$U),"")</f>
        <v>3.690063729502004</v>
      </c>
      <c r="BL87" s="64">
        <f>IFERROR(LOOKUP(BL$15,HourlyTimeseries!$A:$A,HourlyTimeseries!$U:$U),"")</f>
        <v>3.8617313295234976</v>
      </c>
      <c r="BM87" s="64">
        <f>IFERROR(LOOKUP(BM$15,HourlyTimeseries!$A:$A,HourlyTimeseries!$U:$U),"")</f>
        <v>3.6432452931325061</v>
      </c>
      <c r="BN87" s="64">
        <f>IFERROR(LOOKUP(BN$15,HourlyTimeseries!$A:$A,HourlyTimeseries!$U:$U),"")</f>
        <v>3.4341229440154142</v>
      </c>
      <c r="BO87" s="64">
        <f>IFERROR(LOOKUP(BO$15,HourlyTimeseries!$A:$A,HourlyTimeseries!$U:$U),"")</f>
        <v>3.4029106531024156</v>
      </c>
      <c r="BP87" s="64">
        <f>IFERROR(LOOKUP(BP$15,HourlyTimeseries!$A:$A,HourlyTimeseries!$U:$U),"")</f>
        <v>3.6994274167759031</v>
      </c>
      <c r="BQ87" s="64">
        <f>IFERROR(LOOKUP(BQ$15,HourlyTimeseries!$A:$A,HourlyTimeseries!$U:$U),"")</f>
        <v>4.0240414847292723</v>
      </c>
      <c r="BR87" s="64">
        <f>IFERROR(LOOKUP(BR$15,HourlyTimeseries!$A:$A,HourlyTimeseries!$U:$U),"")</f>
        <v>6.5522245637658081</v>
      </c>
      <c r="BS87" s="64">
        <f>IFERROR(LOOKUP(BS$15,HourlyTimeseries!$A:$A,HourlyTimeseries!$U:$U),"")</f>
        <v>7.5354117275252683</v>
      </c>
      <c r="BT87" s="64">
        <f>IFERROR(LOOKUP(BT$15,HourlyTimeseries!$A:$A,HourlyTimeseries!$U:$U),"")</f>
        <v>9.7421206950742807</v>
      </c>
      <c r="BU87" s="64">
        <f>IFERROR(LOOKUP(BU$15,HourlyTimeseries!$A:$A,HourlyTimeseries!$U:$U),"")</f>
        <v>12.410771568135674</v>
      </c>
      <c r="BV87" s="64">
        <f>IFERROR(LOOKUP(BV$15,HourlyTimeseries!$A:$A,HourlyTimeseries!$U:$U),"")</f>
        <v>12.847743640917656</v>
      </c>
      <c r="BW87" s="64">
        <f>IFERROR(LOOKUP(BW$15,HourlyTimeseries!$A:$A,HourlyTimeseries!$U:$U),"")</f>
        <v>12.816531350004659</v>
      </c>
      <c r="BX87" s="64">
        <f>IFERROR(LOOKUP(BX$15,HourlyTimeseries!$A:$A,HourlyTimeseries!$U:$U),"")</f>
        <v>12.379559277222675</v>
      </c>
      <c r="BY87" s="64">
        <f>IFERROR(LOOKUP(BY$15,HourlyTimeseries!$A:$A,HourlyTimeseries!$U:$U),"")</f>
        <v>11.427584404376212</v>
      </c>
      <c r="BZ87" s="64">
        <f>IFERROR(LOOKUP(BZ$15,HourlyTimeseries!$A:$A,HourlyTimeseries!$U:$U),"")</f>
        <v>9.1802994586403024</v>
      </c>
      <c r="CA87" s="73">
        <f>IFERROR(LOOKUP(CA$15,HourlyTimeseries!$A:$A,HourlyTimeseries!$U:$U),"")</f>
        <v>5.6252257661079259</v>
      </c>
      <c r="CB87" s="80">
        <f>IFERROR(LOOKUP(CB$15,HourlyTimeseries!$A:$A,HourlyTimeseries!$U:$U),"")</f>
        <v>3.28430394763302</v>
      </c>
      <c r="CC87" s="64">
        <f>IFERROR(LOOKUP(CC$15,HourlyTimeseries!$A:$A,HourlyTimeseries!$U:$U),"")</f>
        <v>3.1844246167114236</v>
      </c>
      <c r="CD87" s="64">
        <f>IFERROR(LOOKUP(CD$15,HourlyTimeseries!$A:$A,HourlyTimeseries!$U:$U),"")</f>
        <v>3.1844246167114236</v>
      </c>
      <c r="CE87" s="64">
        <f>IFERROR(LOOKUP(CE$15,HourlyTimeseries!$A:$A,HourlyTimeseries!$U:$U),"")</f>
        <v>3.9647318895363926</v>
      </c>
      <c r="CF87" s="64">
        <f>IFERROR(LOOKUP(CF$15,HourlyTimeseries!$A:$A,HourlyTimeseries!$U:$U),"")</f>
        <v>4.6670084350788645</v>
      </c>
      <c r="CG87" s="64">
        <f>IFERROR(LOOKUP(CG$15,HourlyTimeseries!$A:$A,HourlyTimeseries!$U:$U),"")</f>
        <v>4.6670084350788645</v>
      </c>
      <c r="CH87" s="64">
        <f>IFERROR(LOOKUP(CH$15,HourlyTimeseries!$A:$A,HourlyTimeseries!$U:$U),"")</f>
        <v>3.6276391476760064</v>
      </c>
      <c r="CI87" s="64">
        <f>IFERROR(LOOKUP(CI$15,HourlyTimeseries!$A:$A,HourlyTimeseries!$U:$U),"")</f>
        <v>3.690063729502004</v>
      </c>
      <c r="CJ87" s="64">
        <f>IFERROR(LOOKUP(CJ$15,HourlyTimeseries!$A:$A,HourlyTimeseries!$U:$U),"")</f>
        <v>3.8617313295234976</v>
      </c>
      <c r="CK87" s="64">
        <f>IFERROR(LOOKUP(CK$15,HourlyTimeseries!$A:$A,HourlyTimeseries!$U:$U),"")</f>
        <v>3.6432452931325061</v>
      </c>
      <c r="CL87" s="64">
        <f>IFERROR(LOOKUP(CL$15,HourlyTimeseries!$A:$A,HourlyTimeseries!$U:$U),"")</f>
        <v>3.4341229440154142</v>
      </c>
      <c r="CM87" s="64">
        <f>IFERROR(LOOKUP(CM$15,HourlyTimeseries!$A:$A,HourlyTimeseries!$U:$U),"")</f>
        <v>3.4029106531024156</v>
      </c>
      <c r="CN87" s="64">
        <f>IFERROR(LOOKUP(CN$15,HourlyTimeseries!$A:$A,HourlyTimeseries!$U:$U),"")</f>
        <v>3.6994274167759031</v>
      </c>
      <c r="CO87" s="64">
        <f>IFERROR(LOOKUP(CO$15,HourlyTimeseries!$A:$A,HourlyTimeseries!$U:$U),"")</f>
        <v>4.0240414847292723</v>
      </c>
      <c r="CP87" s="64">
        <f>IFERROR(LOOKUP(CP$15,HourlyTimeseries!$A:$A,HourlyTimeseries!$U:$U),"")</f>
        <v>6.5522245637658081</v>
      </c>
      <c r="CQ87" s="64">
        <f>IFERROR(LOOKUP(CQ$15,HourlyTimeseries!$A:$A,HourlyTimeseries!$U:$U),"")</f>
        <v>7.5354117275252683</v>
      </c>
      <c r="CR87" s="64">
        <f>IFERROR(LOOKUP(CR$15,HourlyTimeseries!$A:$A,HourlyTimeseries!$U:$U),"")</f>
        <v>9.7421206950742807</v>
      </c>
      <c r="CS87" s="64">
        <f>IFERROR(LOOKUP(CS$15,HourlyTimeseries!$A:$A,HourlyTimeseries!$U:$U),"")</f>
        <v>12.410771568135674</v>
      </c>
      <c r="CT87" s="64">
        <f>IFERROR(LOOKUP(CT$15,HourlyTimeseries!$A:$A,HourlyTimeseries!$U:$U),"")</f>
        <v>12.847743640917656</v>
      </c>
      <c r="CU87" s="64">
        <f>IFERROR(LOOKUP(CU$15,HourlyTimeseries!$A:$A,HourlyTimeseries!$U:$U),"")</f>
        <v>12.816531350004659</v>
      </c>
      <c r="CV87" s="64">
        <f>IFERROR(LOOKUP(CV$15,HourlyTimeseries!$A:$A,HourlyTimeseries!$U:$U),"")</f>
        <v>12.379559277222675</v>
      </c>
      <c r="CW87" s="64">
        <f>IFERROR(LOOKUP(CW$15,HourlyTimeseries!$A:$A,HourlyTimeseries!$U:$U),"")</f>
        <v>11.427584404376212</v>
      </c>
      <c r="CX87" s="64">
        <f>IFERROR(LOOKUP(CX$15,HourlyTimeseries!$A:$A,HourlyTimeseries!$U:$U),"")</f>
        <v>9.1802994586403024</v>
      </c>
      <c r="CY87" s="73">
        <f>IFERROR(LOOKUP(CY$15,HourlyTimeseries!$A:$A,HourlyTimeseries!$U:$U),"")</f>
        <v>5.6252257661079259</v>
      </c>
      <c r="CZ87" s="80">
        <f>IFERROR(LOOKUP(CZ$15,HourlyTimeseries!$A:$A,HourlyTimeseries!$U:$U),"")</f>
        <v>3.28430394763302</v>
      </c>
      <c r="DA87" s="64">
        <f>IFERROR(LOOKUP(DA$15,HourlyTimeseries!$A:$A,HourlyTimeseries!$U:$U),"")</f>
        <v>3.1844246167114236</v>
      </c>
      <c r="DB87" s="64">
        <f>IFERROR(LOOKUP(DB$15,HourlyTimeseries!$A:$A,HourlyTimeseries!$U:$U),"")</f>
        <v>3.1844246167114236</v>
      </c>
      <c r="DC87" s="64">
        <f>IFERROR(LOOKUP(DC$15,HourlyTimeseries!$A:$A,HourlyTimeseries!$U:$U),"")</f>
        <v>3.9647318895363926</v>
      </c>
      <c r="DD87" s="64">
        <f>IFERROR(LOOKUP(DD$15,HourlyTimeseries!$A:$A,HourlyTimeseries!$U:$U),"")</f>
        <v>4.6670084350788645</v>
      </c>
      <c r="DE87" s="64">
        <f>IFERROR(LOOKUP(DE$15,HourlyTimeseries!$A:$A,HourlyTimeseries!$U:$U),"")</f>
        <v>4.6670084350788645</v>
      </c>
      <c r="DF87" s="64">
        <f>IFERROR(LOOKUP(DF$15,HourlyTimeseries!$A:$A,HourlyTimeseries!$U:$U),"")</f>
        <v>3.6276391476760064</v>
      </c>
      <c r="DG87" s="64">
        <f>IFERROR(LOOKUP(DG$15,HourlyTimeseries!$A:$A,HourlyTimeseries!$U:$U),"")</f>
        <v>3.690063729502004</v>
      </c>
      <c r="DH87" s="64">
        <f>IFERROR(LOOKUP(DH$15,HourlyTimeseries!$A:$A,HourlyTimeseries!$U:$U),"")</f>
        <v>3.8617313295234976</v>
      </c>
      <c r="DI87" s="64">
        <f>IFERROR(LOOKUP(DI$15,HourlyTimeseries!$A:$A,HourlyTimeseries!$U:$U),"")</f>
        <v>3.6432452931325061</v>
      </c>
      <c r="DJ87" s="64">
        <f>IFERROR(LOOKUP(DJ$15,HourlyTimeseries!$A:$A,HourlyTimeseries!$U:$U),"")</f>
        <v>3.4341229440154142</v>
      </c>
      <c r="DK87" s="64">
        <f>IFERROR(LOOKUP(DK$15,HourlyTimeseries!$A:$A,HourlyTimeseries!$U:$U),"")</f>
        <v>3.4029106531024156</v>
      </c>
      <c r="DL87" s="64">
        <f>IFERROR(LOOKUP(DL$15,HourlyTimeseries!$A:$A,HourlyTimeseries!$U:$U),"")</f>
        <v>3.6994274167759031</v>
      </c>
      <c r="DM87" s="64">
        <f>IFERROR(LOOKUP(DM$15,HourlyTimeseries!$A:$A,HourlyTimeseries!$U:$U),"")</f>
        <v>4.0240414847292723</v>
      </c>
      <c r="DN87" s="64">
        <f>IFERROR(LOOKUP(DN$15,HourlyTimeseries!$A:$A,HourlyTimeseries!$U:$U),"")</f>
        <v>6.5522245637658081</v>
      </c>
      <c r="DO87" s="64">
        <f>IFERROR(LOOKUP(DO$15,HourlyTimeseries!$A:$A,HourlyTimeseries!$U:$U),"")</f>
        <v>7.5354117275252683</v>
      </c>
      <c r="DP87" s="64">
        <f>IFERROR(LOOKUP(DP$15,HourlyTimeseries!$A:$A,HourlyTimeseries!$U:$U),"")</f>
        <v>9.7421206950742807</v>
      </c>
      <c r="DQ87" s="64">
        <f>IFERROR(LOOKUP(DQ$15,HourlyTimeseries!$A:$A,HourlyTimeseries!$U:$U),"")</f>
        <v>12.410771568135674</v>
      </c>
      <c r="DR87" s="64">
        <f>IFERROR(LOOKUP(DR$15,HourlyTimeseries!$A:$A,HourlyTimeseries!$U:$U),"")</f>
        <v>12.847743640917656</v>
      </c>
      <c r="DS87" s="64">
        <f>IFERROR(LOOKUP(DS$15,HourlyTimeseries!$A:$A,HourlyTimeseries!$U:$U),"")</f>
        <v>12.816531350004659</v>
      </c>
      <c r="DT87" s="64">
        <f>IFERROR(LOOKUP(DT$15,HourlyTimeseries!$A:$A,HourlyTimeseries!$U:$U),"")</f>
        <v>12.379559277222675</v>
      </c>
      <c r="DU87" s="64">
        <f>IFERROR(LOOKUP(DU$15,HourlyTimeseries!$A:$A,HourlyTimeseries!$U:$U),"")</f>
        <v>11.427584404376212</v>
      </c>
      <c r="DV87" s="64">
        <f>IFERROR(LOOKUP(DV$15,HourlyTimeseries!$A:$A,HourlyTimeseries!$U:$U),"")</f>
        <v>9.1802994586403024</v>
      </c>
      <c r="DW87" s="73">
        <f>IFERROR(LOOKUP(DW$15,HourlyTimeseries!$A:$A,HourlyTimeseries!$U:$U),"")</f>
        <v>5.6252257661079259</v>
      </c>
      <c r="DX87" s="80">
        <f>IFERROR(LOOKUP(DX$15,HourlyTimeseries!$A:$A,HourlyTimeseries!$U:$U),"")</f>
        <v>3.28430394763302</v>
      </c>
      <c r="DY87" s="64">
        <f>IFERROR(LOOKUP(DY$15,HourlyTimeseries!$A:$A,HourlyTimeseries!$U:$U),"")</f>
        <v>3.1844246167114236</v>
      </c>
      <c r="DZ87" s="64">
        <f>IFERROR(LOOKUP(DZ$15,HourlyTimeseries!$A:$A,HourlyTimeseries!$U:$U),"")</f>
        <v>3.1844246167114236</v>
      </c>
      <c r="EA87" s="64">
        <f>IFERROR(LOOKUP(EA$15,HourlyTimeseries!$A:$A,HourlyTimeseries!$U:$U),"")</f>
        <v>3.9647318895363926</v>
      </c>
      <c r="EB87" s="64">
        <f>IFERROR(LOOKUP(EB$15,HourlyTimeseries!$A:$A,HourlyTimeseries!$U:$U),"")</f>
        <v>4.6670084350788645</v>
      </c>
      <c r="EC87" s="64">
        <f>IFERROR(LOOKUP(EC$15,HourlyTimeseries!$A:$A,HourlyTimeseries!$U:$U),"")</f>
        <v>4.6670084350788645</v>
      </c>
      <c r="ED87" s="64">
        <f>IFERROR(LOOKUP(ED$15,HourlyTimeseries!$A:$A,HourlyTimeseries!$U:$U),"")</f>
        <v>3.6276391476760064</v>
      </c>
      <c r="EE87" s="64">
        <f>IFERROR(LOOKUP(EE$15,HourlyTimeseries!$A:$A,HourlyTimeseries!$U:$U),"")</f>
        <v>3.690063729502004</v>
      </c>
      <c r="EF87" s="64">
        <f>IFERROR(LOOKUP(EF$15,HourlyTimeseries!$A:$A,HourlyTimeseries!$U:$U),"")</f>
        <v>3.8617313295234976</v>
      </c>
      <c r="EG87" s="64">
        <f>IFERROR(LOOKUP(EG$15,HourlyTimeseries!$A:$A,HourlyTimeseries!$U:$U),"")</f>
        <v>3.6432452931325061</v>
      </c>
      <c r="EH87" s="64">
        <f>IFERROR(LOOKUP(EH$15,HourlyTimeseries!$A:$A,HourlyTimeseries!$U:$U),"")</f>
        <v>3.4341229440154142</v>
      </c>
      <c r="EI87" s="64">
        <f>IFERROR(LOOKUP(EI$15,HourlyTimeseries!$A:$A,HourlyTimeseries!$U:$U),"")</f>
        <v>3.4029106531024156</v>
      </c>
      <c r="EJ87" s="64">
        <f>IFERROR(LOOKUP(EJ$15,HourlyTimeseries!$A:$A,HourlyTimeseries!$U:$U),"")</f>
        <v>3.6994274167759031</v>
      </c>
      <c r="EK87" s="64">
        <f>IFERROR(LOOKUP(EK$15,HourlyTimeseries!$A:$A,HourlyTimeseries!$U:$U),"")</f>
        <v>4.0240414847292723</v>
      </c>
      <c r="EL87" s="64">
        <f>IFERROR(LOOKUP(EL$15,HourlyTimeseries!$A:$A,HourlyTimeseries!$U:$U),"")</f>
        <v>6.5522245637658081</v>
      </c>
      <c r="EM87" s="64">
        <f>IFERROR(LOOKUP(EM$15,HourlyTimeseries!$A:$A,HourlyTimeseries!$U:$U),"")</f>
        <v>7.5354117275252683</v>
      </c>
      <c r="EN87" s="64">
        <f>IFERROR(LOOKUP(EN$15,HourlyTimeseries!$A:$A,HourlyTimeseries!$U:$U),"")</f>
        <v>9.7421206950742807</v>
      </c>
      <c r="EO87" s="64">
        <f>IFERROR(LOOKUP(EO$15,HourlyTimeseries!$A:$A,HourlyTimeseries!$U:$U),"")</f>
        <v>12.410771568135674</v>
      </c>
      <c r="EP87" s="64">
        <f>IFERROR(LOOKUP(EP$15,HourlyTimeseries!$A:$A,HourlyTimeseries!$U:$U),"")</f>
        <v>12.847743640917656</v>
      </c>
      <c r="EQ87" s="64">
        <f>IFERROR(LOOKUP(EQ$15,HourlyTimeseries!$A:$A,HourlyTimeseries!$U:$U),"")</f>
        <v>12.816531350004659</v>
      </c>
      <c r="ER87" s="64">
        <f>IFERROR(LOOKUP(ER$15,HourlyTimeseries!$A:$A,HourlyTimeseries!$U:$U),"")</f>
        <v>12.379559277222675</v>
      </c>
      <c r="ES87" s="64">
        <f>IFERROR(LOOKUP(ES$15,HourlyTimeseries!$A:$A,HourlyTimeseries!$U:$U),"")</f>
        <v>11.427584404376212</v>
      </c>
      <c r="ET87" s="64">
        <f>IFERROR(LOOKUP(ET$15,HourlyTimeseries!$A:$A,HourlyTimeseries!$U:$U),"")</f>
        <v>9.1802994586403024</v>
      </c>
      <c r="EU87" s="73">
        <f>IFERROR(LOOKUP(EU$15,HourlyTimeseries!$A:$A,HourlyTimeseries!$U:$U),"")</f>
        <v>5.6252257661079259</v>
      </c>
      <c r="EV87" s="80">
        <f>IFERROR(LOOKUP(EV$15,HourlyTimeseries!$A:$A,HourlyTimeseries!$U:$U),"")</f>
        <v>3.9397934309477978</v>
      </c>
      <c r="EW87" s="64">
        <f>IFERROR(LOOKUP(EW$15,HourlyTimeseries!$A:$A,HourlyTimeseries!$U:$U),"")</f>
        <v>3.8429812364944196</v>
      </c>
      <c r="EX87" s="64">
        <f>IFERROR(LOOKUP(EX$15,HourlyTimeseries!$A:$A,HourlyTimeseries!$U:$U),"")</f>
        <v>3.8429812364944196</v>
      </c>
      <c r="EY87" s="64">
        <f>IFERROR(LOOKUP(EY$15,HourlyTimeseries!$A:$A,HourlyTimeseries!$U:$U),"")</f>
        <v>4.5236919787447416</v>
      </c>
      <c r="EZ87" s="64">
        <f>IFERROR(LOOKUP(EZ$15,HourlyTimeseries!$A:$A,HourlyTimeseries!$U:$U),"")</f>
        <v>4.5236919787447416</v>
      </c>
      <c r="FA87" s="64">
        <f>IFERROR(LOOKUP(FA$15,HourlyTimeseries!$A:$A,HourlyTimeseries!$U:$U),"")</f>
        <v>4.5236919787447416</v>
      </c>
      <c r="FB87" s="64">
        <f>IFERROR(LOOKUP(FB$15,HourlyTimeseries!$A:$A,HourlyTimeseries!$U:$U),"")</f>
        <v>3.4406055532975626</v>
      </c>
      <c r="FC87" s="64">
        <f>IFERROR(LOOKUP(FC$15,HourlyTimeseries!$A:$A,HourlyTimeseries!$U:$U),"")</f>
        <v>3.5162400802142653</v>
      </c>
      <c r="FD87" s="64">
        <f>IFERROR(LOOKUP(FD$15,HourlyTimeseries!$A:$A,HourlyTimeseries!$U:$U),"")</f>
        <v>3.6675091340476702</v>
      </c>
      <c r="FE87" s="64">
        <f>IFERROR(LOOKUP(FE$15,HourlyTimeseries!$A:$A,HourlyTimeseries!$U:$U),"")</f>
        <v>3.4557324586809033</v>
      </c>
      <c r="FF87" s="64">
        <f>IFERROR(LOOKUP(FF$15,HourlyTimeseries!$A:$A,HourlyTimeseries!$U:$U),"")</f>
        <v>3.2681588319274812</v>
      </c>
      <c r="FG87" s="64">
        <f>IFERROR(LOOKUP(FG$15,HourlyTimeseries!$A:$A,HourlyTimeseries!$U:$U),"")</f>
        <v>3.22277811577746</v>
      </c>
      <c r="FH87" s="64">
        <f>IFERROR(LOOKUP(FH$15,HourlyTimeseries!$A:$A,HourlyTimeseries!$U:$U),"")</f>
        <v>3.22277811577746</v>
      </c>
      <c r="FI87" s="64">
        <f>IFERROR(LOOKUP(FI$15,HourlyTimeseries!$A:$A,HourlyTimeseries!$U:$U),"")</f>
        <v>3.7189466631131807</v>
      </c>
      <c r="FJ87" s="64">
        <f>IFERROR(LOOKUP(FJ$15,HourlyTimeseries!$A:$A,HourlyTimeseries!$U:$U),"")</f>
        <v>6.2602546659900762</v>
      </c>
      <c r="FK87" s="64">
        <f>IFERROR(LOOKUP(FK$15,HourlyTimeseries!$A:$A,HourlyTimeseries!$U:$U),"")</f>
        <v>6.4569044359735015</v>
      </c>
      <c r="FL87" s="64">
        <f>IFERROR(LOOKUP(FL$15,HourlyTimeseries!$A:$A,HourlyTimeseries!$U:$U),"")</f>
        <v>9.2916865048115067</v>
      </c>
      <c r="FM87" s="64">
        <f>IFERROR(LOOKUP(FM$15,HourlyTimeseries!$A:$A,HourlyTimeseries!$U:$U),"")</f>
        <v>11.091788245429024</v>
      </c>
      <c r="FN87" s="64">
        <f>IFERROR(LOOKUP(FN$15,HourlyTimeseries!$A:$A,HourlyTimeseries!$U:$U),"")</f>
        <v>11.923768041512753</v>
      </c>
      <c r="FO87" s="64">
        <f>IFERROR(LOOKUP(FO$15,HourlyTimeseries!$A:$A,HourlyTimeseries!$U:$U),"")</f>
        <v>12.271686865329581</v>
      </c>
      <c r="FP87" s="64">
        <f>IFERROR(LOOKUP(FP$15,HourlyTimeseries!$A:$A,HourlyTimeseries!$U:$U),"")</f>
        <v>11.802752798446029</v>
      </c>
      <c r="FQ87" s="64">
        <f>IFERROR(LOOKUP(FQ$15,HourlyTimeseries!$A:$A,HourlyTimeseries!$U:$U),"")</f>
        <v>10.985899907745642</v>
      </c>
      <c r="FR87" s="64">
        <f>IFERROR(LOOKUP(FR$15,HourlyTimeseries!$A:$A,HourlyTimeseries!$U:$U),"")</f>
        <v>8.8983869648446561</v>
      </c>
      <c r="FS87" s="73">
        <f>IFERROR(LOOKUP(FS$15,HourlyTimeseries!$A:$A,HourlyTimeseries!$U:$U),"")</f>
        <v>6.2088292384488701</v>
      </c>
    </row>
    <row r="88" spans="4:175" x14ac:dyDescent="0.2">
      <c r="D88" t="s">
        <v>47</v>
      </c>
      <c r="E88" s="2" t="s">
        <v>41</v>
      </c>
      <c r="F88" s="8" t="s">
        <v>151</v>
      </c>
      <c r="G88" s="5">
        <v>0</v>
      </c>
      <c r="H88" s="24" t="str">
        <f>IF(AND(G37=TRUE,G88&lt;0),"the penalty cost should be in range 0-25","")</f>
        <v/>
      </c>
    </row>
    <row r="89" spans="4:175" x14ac:dyDescent="0.2">
      <c r="D89" t="s">
        <v>48</v>
      </c>
      <c r="E89" s="2" t="s">
        <v>42</v>
      </c>
      <c r="F89" s="8" t="s">
        <v>151</v>
      </c>
      <c r="G89" s="5">
        <v>0</v>
      </c>
      <c r="H89" s="24" t="str">
        <f>IF(AND(G37=TRUE,G89&lt;0),"the penalty cost should be in range 0-25","")</f>
        <v/>
      </c>
    </row>
    <row r="90" spans="4:175" x14ac:dyDescent="0.2">
      <c r="D90" t="s">
        <v>49</v>
      </c>
      <c r="E90" s="2" t="s">
        <v>43</v>
      </c>
      <c r="F90" s="8" t="s">
        <v>151</v>
      </c>
      <c r="G90" s="5">
        <v>0</v>
      </c>
      <c r="H90" s="24" t="str">
        <f>IF(AND(G47=TRUE,G90&lt;0),"the penalty cost should be in range 0-25","")</f>
        <v/>
      </c>
    </row>
    <row r="91" spans="4:175" x14ac:dyDescent="0.2">
      <c r="D91" t="s">
        <v>50</v>
      </c>
      <c r="E91" s="2" t="s">
        <v>44</v>
      </c>
      <c r="F91" s="8" t="s">
        <v>151</v>
      </c>
      <c r="G91" s="5">
        <v>0</v>
      </c>
      <c r="H91" s="24" t="str">
        <f>IF(AND(G47=TRUE,G91&lt;0),"the penalty cost should be in range 0-25","")</f>
        <v/>
      </c>
    </row>
    <row r="92" spans="4:175" x14ac:dyDescent="0.2">
      <c r="D92" t="s">
        <v>51</v>
      </c>
      <c r="E92" s="2" t="s">
        <v>45</v>
      </c>
      <c r="F92" s="8" t="s">
        <v>151</v>
      </c>
      <c r="G92" s="5">
        <v>0</v>
      </c>
      <c r="H92" s="24" t="str">
        <f>IF(AND(G53=TRUE,G92&lt;0),"the penalty cost should be in range 0-25","")</f>
        <v/>
      </c>
    </row>
    <row r="93" spans="4:175" x14ac:dyDescent="0.2">
      <c r="D93" t="s">
        <v>52</v>
      </c>
      <c r="E93" s="2" t="s">
        <v>46</v>
      </c>
      <c r="F93" s="8" t="s">
        <v>151</v>
      </c>
      <c r="G93" s="5">
        <v>0</v>
      </c>
      <c r="H93" s="24" t="str">
        <f>IF(AND(G53=TRUE,G93&lt;0),"the penalty cost should be in range 0-25","")</f>
        <v/>
      </c>
    </row>
    <row r="94" spans="4:175" x14ac:dyDescent="0.2">
      <c r="D94" t="s">
        <v>203</v>
      </c>
      <c r="E94" s="2" t="s">
        <v>201</v>
      </c>
      <c r="F94" s="8" t="s">
        <v>153</v>
      </c>
      <c r="G94" s="5">
        <v>0</v>
      </c>
    </row>
    <row r="95" spans="4:175" x14ac:dyDescent="0.2">
      <c r="D95" t="s">
        <v>204</v>
      </c>
      <c r="E95" s="2" t="s">
        <v>202</v>
      </c>
      <c r="F95" s="8" t="s">
        <v>153</v>
      </c>
      <c r="G95" s="5">
        <v>0</v>
      </c>
    </row>
  </sheetData>
  <phoneticPr fontId="7" type="noConversion"/>
  <conditionalFormatting sqref="G9">
    <cfRule type="cellIs" dxfId="42" priority="63" operator="equal">
      <formula>FALSE</formula>
    </cfRule>
    <cfRule type="cellIs" dxfId="41" priority="64" operator="equal">
      <formula>TRUE</formula>
    </cfRule>
  </conditionalFormatting>
  <conditionalFormatting sqref="G10">
    <cfRule type="cellIs" dxfId="40" priority="61" operator="equal">
      <formula>FALSE</formula>
    </cfRule>
    <cfRule type="cellIs" dxfId="39" priority="62" operator="equal">
      <formula>TRUE</formula>
    </cfRule>
  </conditionalFormatting>
  <conditionalFormatting sqref="G35">
    <cfRule type="cellIs" dxfId="38" priority="21" operator="equal">
      <formula>FALSE</formula>
    </cfRule>
    <cfRule type="cellIs" dxfId="37" priority="22" operator="equal">
      <formula>TRUE</formula>
    </cfRule>
  </conditionalFormatting>
  <conditionalFormatting sqref="G37 G58 G69 G43 G47 G52:G53">
    <cfRule type="cellIs" dxfId="36" priority="19" operator="equal">
      <formula>FALSE</formula>
    </cfRule>
    <cfRule type="cellIs" dxfId="35" priority="20" operator="equal">
      <formula>TRUE</formula>
    </cfRule>
  </conditionalFormatting>
  <conditionalFormatting sqref="G38:G39">
    <cfRule type="expression" dxfId="34" priority="16">
      <formula>$G$37=FALSE</formula>
    </cfRule>
  </conditionalFormatting>
  <conditionalFormatting sqref="G36">
    <cfRule type="expression" dxfId="33" priority="15">
      <formula>$G$35=FALSE</formula>
    </cfRule>
  </conditionalFormatting>
  <conditionalFormatting sqref="G48:G49">
    <cfRule type="expression" dxfId="32" priority="14">
      <formula>$G$47=FALSE</formula>
    </cfRule>
  </conditionalFormatting>
  <conditionalFormatting sqref="G54:G55">
    <cfRule type="expression" dxfId="31" priority="13">
      <formula>$G$53=FALSE</formula>
    </cfRule>
  </conditionalFormatting>
  <conditionalFormatting sqref="G44:G46">
    <cfRule type="expression" dxfId="30" priority="12">
      <formula>$G$37=FALSE</formula>
    </cfRule>
  </conditionalFormatting>
  <conditionalFormatting sqref="G44:G46">
    <cfRule type="expression" dxfId="29" priority="9">
      <formula>$G$10="LP"</formula>
    </cfRule>
  </conditionalFormatting>
  <conditionalFormatting sqref="G60:G61">
    <cfRule type="expression" dxfId="28" priority="8">
      <formula>$G$53=FALSE</formula>
    </cfRule>
  </conditionalFormatting>
  <conditionalFormatting sqref="G59">
    <cfRule type="cellIs" dxfId="27" priority="6" operator="equal">
      <formula>FALSE</formula>
    </cfRule>
    <cfRule type="cellIs" dxfId="26" priority="7" operator="equal">
      <formula>TRUE</formula>
    </cfRule>
  </conditionalFormatting>
  <conditionalFormatting sqref="G64">
    <cfRule type="cellIs" dxfId="25" priority="4" operator="equal">
      <formula>FALSE</formula>
    </cfRule>
    <cfRule type="cellIs" dxfId="24" priority="5" operator="equal">
      <formula>TRUE</formula>
    </cfRule>
  </conditionalFormatting>
  <conditionalFormatting sqref="G30">
    <cfRule type="cellIs" dxfId="23" priority="2" operator="equal">
      <formula>FALSE</formula>
    </cfRule>
    <cfRule type="cellIs" dxfId="22" priority="3" operator="equal">
      <formula>TRUE</formula>
    </cfRule>
  </conditionalFormatting>
  <conditionalFormatting sqref="G11">
    <cfRule type="expression" dxfId="21" priority="1">
      <formula>$G$37=FALSE</formula>
    </cfRule>
  </conditionalFormatting>
  <dataValidations count="2">
    <dataValidation type="list" allowBlank="1" showInputMessage="1" showErrorMessage="1" sqref="G9 G69 G43 G52:G53 G37 G47 G35 G58:G59 G64 G30" xr:uid="{486E1DFA-3633-4FFB-A635-629E01A4702D}">
      <formula1>$AE$4:$AE$5</formula1>
    </dataValidation>
    <dataValidation type="list" allowBlank="1" showInputMessage="1" showErrorMessage="1" sqref="G10" xr:uid="{D951DE0D-37BD-4A18-A15C-8E7BB126690F}">
      <formula1>$AD$4:$AD$5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TempRegPy">
                <anchor moveWithCells="1" sizeWithCells="1">
                  <from>
                    <xdr:col>3</xdr:col>
                    <xdr:colOff>3124200</xdr:colOff>
                    <xdr:row>2</xdr:row>
                    <xdr:rowOff>114300</xdr:rowOff>
                  </from>
                  <to>
                    <xdr:col>3</xdr:col>
                    <xdr:colOff>4305300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9D9C9210-5224-45D6-8CAC-1414330E18AB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Inputs!H84:FS84</xm:f>
              <xm:sqref>G84</xm:sqref>
            </x14:sparkline>
          </x14:sparklines>
        </x14:sparklineGroup>
        <x14:sparklineGroup displayEmptyCellsAs="gap" xr2:uid="{8D8B0879-668A-4BF6-A71A-C73788F47E49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Inputs!H79:FS79</xm:f>
              <xm:sqref>G79</xm:sqref>
            </x14:sparkline>
          </x14:sparklines>
        </x14:sparklineGroup>
        <x14:sparklineGroup displayEmptyCellsAs="gap" xr2:uid="{D36B7A42-0BF5-4823-A1C3-19C8C05DCDC5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Inputs!H78:FS78</xm:f>
              <xm:sqref>G78</xm:sqref>
            </x14:sparkline>
          </x14:sparklines>
        </x14:sparklineGroup>
        <x14:sparklineGroup displayEmptyCellsAs="gap" xr2:uid="{5446F37B-F4A7-4811-B1D3-3A9EB4990E27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Inputs!H75:N75</xm:f>
              <xm:sqref>G75</xm:sqref>
            </x14:sparkline>
          </x14:sparklines>
        </x14:sparklineGroup>
        <x14:sparklineGroup displayEmptyCellsAs="gap" xr2:uid="{F3FCF3F7-E9F0-49D5-B8C5-F94CF068D86E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Inputs!H74:N74</xm:f>
              <xm:sqref>G74</xm:sqref>
            </x14:sparkline>
          </x14:sparklines>
        </x14:sparklineGroup>
        <x14:sparklineGroup displayEmptyCellsAs="gap" xr2:uid="{EF9A6BFB-2ADB-4AA8-9CC4-D8135DE7D1C8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Inputs!H71:FS71</xm:f>
              <xm:sqref>G71</xm:sqref>
            </x14:sparkline>
          </x14:sparklines>
        </x14:sparklineGroup>
        <x14:sparklineGroup displayEmptyCellsAs="gap" xr2:uid="{56E68D9C-F49E-45B6-B5BF-FBDC61EEA400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Inputs!H70:FS70</xm:f>
              <xm:sqref>G70</xm:sqref>
            </x14:sparkline>
          </x14:sparklines>
        </x14:sparklineGroup>
        <x14:sparklineGroup displayEmptyCellsAs="gap" xr2:uid="{016F3384-43B6-40EE-9C61-FF9662316AF4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Inputs!H68:FS68</xm:f>
              <xm:sqref>G68</xm:sqref>
            </x14:sparkline>
          </x14:sparklines>
        </x14:sparklineGroup>
        <x14:sparklineGroup displayEmptyCellsAs="gap" xr2:uid="{A7CFAB19-2E35-45CA-A047-297791354E56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Inputs!H67:FS67</xm:f>
              <xm:sqref>G67</xm:sqref>
            </x14:sparkline>
          </x14:sparklines>
        </x14:sparklineGroup>
        <x14:sparklineGroup displayEmptyCellsAs="gap" xr2:uid="{74B07142-06B4-497B-8BFC-087F59BAE8F1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Inputs!H32:FS32</xm:f>
              <xm:sqref>G32</xm:sqref>
            </x14:sparkline>
          </x14:sparklines>
        </x14:sparklineGroup>
        <x14:sparklineGroup displayEmptyCellsAs="gap" xr2:uid="{D9BA00CC-2648-412E-8734-7CFEA0F505E7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Inputs!H42:FS42</xm:f>
              <xm:sqref>G42</xm:sqref>
            </x14:sparkline>
          </x14:sparklines>
        </x14:sparklineGroup>
        <x14:sparklineGroup displayEmptyCellsAs="gap" xr2:uid="{99D14414-67EF-4125-8BCC-8DEECC2DF692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Inputs!H50:FS50</xm:f>
              <xm:sqref>G50</xm:sqref>
            </x14:sparkline>
          </x14:sparklines>
        </x14:sparklineGroup>
        <x14:sparklineGroup displayEmptyCellsAs="gap" xr2:uid="{B713B953-5E43-446B-BCDC-9CF841276349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Inputs!H51:FS51</xm:f>
              <xm:sqref>G51</xm:sqref>
            </x14:sparkline>
          </x14:sparklines>
        </x14:sparklineGroup>
        <x14:sparklineGroup displayEmptyCellsAs="gap" xr2:uid="{5B019F56-E23D-4AC0-8A97-8B6BB8DF6C3B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Inputs!H56:FS56</xm:f>
              <xm:sqref>G56</xm:sqref>
            </x14:sparkline>
          </x14:sparklines>
        </x14:sparklineGroup>
        <x14:sparklineGroup displayEmptyCellsAs="gap" xr2:uid="{3180E548-FC16-41BC-A553-2B74964F0729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Inputs!H57:FS57</xm:f>
              <xm:sqref>G57</xm:sqref>
            </x14:sparkline>
          </x14:sparklines>
        </x14:sparklineGroup>
        <x14:sparklineGroup displayEmptyCellsAs="gap" xr2:uid="{026166CF-C5FA-4DA9-AF9C-B3D24DC4E612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Inputs!H63:FS63</xm:f>
              <xm:sqref>G63</xm:sqref>
            </x14:sparkline>
          </x14:sparklines>
        </x14:sparklineGroup>
        <x14:sparklineGroup displayEmptyCellsAs="gap" xr2:uid="{C9834ADB-AA97-4FE6-8F3F-487BD519F493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Inputs!H62:FS62</xm:f>
              <xm:sqref>G62</xm:sqref>
            </x14:sparkline>
          </x14:sparklines>
        </x14:sparklineGroup>
        <x14:sparklineGroup displayEmptyCellsAs="gap" xr2:uid="{9309AA6A-3D83-4806-8D7E-F205BF1694A1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Inputs!H36:N36</xm:f>
              <xm:sqref>G36</xm:sqref>
            </x14:sparkline>
          </x14:sparklines>
        </x14:sparklineGroup>
        <x14:sparklineGroup displayEmptyCellsAs="gap" xr2:uid="{25F94417-9542-4737-8DAA-A6EFF426B653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Inputs!H34:N34</xm:f>
              <xm:sqref>G34</xm:sqref>
            </x14:sparkline>
          </x14:sparklines>
        </x14:sparklineGroup>
        <x14:sparklineGroup displayEmptyCellsAs="gap" xr2:uid="{9E7564E6-9660-4159-B73E-42EE8DA2BBBA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Inputs!H40:FS40</xm:f>
              <xm:sqref>G40</xm:sqref>
            </x14:sparkline>
          </x14:sparklines>
        </x14:sparklineGroup>
        <x14:sparklineGroup displayEmptyCellsAs="gap" xr2:uid="{E5A18EE3-C2DD-43D5-93DC-F5206AED693A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Inputs!H31:FS31</xm:f>
              <xm:sqref>G31</xm:sqref>
            </x14:sparkline>
          </x14:sparklines>
        </x14:sparklineGroup>
        <x14:sparklineGroup displayEmptyCellsAs="gap" xr2:uid="{5B0BDD38-925D-4FBA-8209-A40711FEE6EE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Inputs!H41:FS41</xm:f>
              <xm:sqref>G41</xm:sqref>
            </x14:sparkline>
          </x14:sparklines>
        </x14:sparklineGroup>
        <x14:sparklineGroup displayEmptyCellsAs="gap" xr2:uid="{6B7EA56C-0EFF-425B-AB84-B97864C2F187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Inputs!H72:FS72</xm:f>
              <xm:sqref>G72</xm:sqref>
            </x14:sparkline>
          </x14:sparklines>
        </x14:sparklineGroup>
        <x14:sparklineGroup displayEmptyCellsAs="gap" xr2:uid="{22503788-E733-4470-8975-1698AFEF5156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Inputs!H87:FS87</xm:f>
              <xm:sqref>G87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832D21-A55A-4C6D-95D4-9ECEEB248DED}">
  <sheetPr codeName="Sheet3"/>
  <dimension ref="A1:X746"/>
  <sheetViews>
    <sheetView topLeftCell="D1" workbookViewId="0">
      <selection activeCell="Q5" sqref="Q5"/>
    </sheetView>
  </sheetViews>
  <sheetFormatPr baseColWidth="10" defaultColWidth="8.83203125" defaultRowHeight="15" x14ac:dyDescent="0.2"/>
  <cols>
    <col min="1" max="1" width="14.33203125" bestFit="1" customWidth="1"/>
    <col min="2" max="14" width="10.83203125" customWidth="1"/>
    <col min="15" max="17" width="11.83203125" customWidth="1"/>
    <col min="18" max="23" width="10.83203125" customWidth="1"/>
  </cols>
  <sheetData>
    <row r="1" spans="1:24" s="43" customFormat="1" ht="112" x14ac:dyDescent="0.2">
      <c r="B1" s="44" t="s">
        <v>269</v>
      </c>
      <c r="C1" s="44" t="s">
        <v>268</v>
      </c>
      <c r="D1" s="44" t="s">
        <v>261</v>
      </c>
      <c r="E1" s="44" t="s">
        <v>80</v>
      </c>
      <c r="F1" s="44" t="s">
        <v>81</v>
      </c>
      <c r="G1" s="44" t="s">
        <v>82</v>
      </c>
      <c r="H1" s="44" t="s">
        <v>83</v>
      </c>
      <c r="I1" s="44" t="s">
        <v>84</v>
      </c>
      <c r="J1" s="44" t="s">
        <v>85</v>
      </c>
      <c r="K1" s="44" t="s">
        <v>194</v>
      </c>
      <c r="L1" s="44" t="s">
        <v>196</v>
      </c>
      <c r="M1" s="44" t="s">
        <v>35</v>
      </c>
      <c r="N1" s="44" t="s">
        <v>36</v>
      </c>
      <c r="O1" s="44" t="s">
        <v>34</v>
      </c>
      <c r="P1" s="44" t="s">
        <v>33</v>
      </c>
      <c r="Q1" s="44" t="s">
        <v>37</v>
      </c>
      <c r="R1" s="44" t="s">
        <v>87</v>
      </c>
      <c r="S1" s="44" t="s">
        <v>88</v>
      </c>
      <c r="T1" s="44" t="s">
        <v>55</v>
      </c>
      <c r="U1" s="44" t="s">
        <v>31</v>
      </c>
      <c r="X1" s="43" t="s">
        <v>435</v>
      </c>
    </row>
    <row r="2" spans="1:24" x14ac:dyDescent="0.2">
      <c r="A2" t="s">
        <v>270</v>
      </c>
      <c r="B2" s="51" t="s">
        <v>154</v>
      </c>
      <c r="C2" s="51" t="s">
        <v>154</v>
      </c>
      <c r="D2" s="51" t="s">
        <v>151</v>
      </c>
      <c r="E2" s="51" t="s">
        <v>151</v>
      </c>
      <c r="F2" s="51" t="s">
        <v>151</v>
      </c>
      <c r="G2" s="51" t="s">
        <v>151</v>
      </c>
      <c r="H2" s="51" t="s">
        <v>151</v>
      </c>
      <c r="I2" s="51" t="s">
        <v>151</v>
      </c>
      <c r="J2" s="51" t="s">
        <v>151</v>
      </c>
      <c r="K2" s="51" t="s">
        <v>153</v>
      </c>
      <c r="L2" s="51" t="s">
        <v>153</v>
      </c>
      <c r="M2" s="51" t="s">
        <v>151</v>
      </c>
      <c r="N2" s="51" t="s">
        <v>151</v>
      </c>
      <c r="O2" s="51" t="s">
        <v>153</v>
      </c>
      <c r="P2" s="51" t="s">
        <v>153</v>
      </c>
      <c r="Q2" s="51" t="s">
        <v>154</v>
      </c>
      <c r="R2" s="51" t="s">
        <v>151</v>
      </c>
      <c r="S2" s="51" t="s">
        <v>151</v>
      </c>
      <c r="T2" s="51" t="s">
        <v>152</v>
      </c>
      <c r="U2" s="51" t="s">
        <v>152</v>
      </c>
      <c r="V2">
        <f>AVERAGE(V3:V26)</f>
        <v>3.0499999999999994</v>
      </c>
      <c r="W2">
        <f>AVERAGE(W3:W26)</f>
        <v>3.0499999999999994</v>
      </c>
    </row>
    <row r="3" spans="1:24" x14ac:dyDescent="0.2">
      <c r="A3" s="41">
        <v>45839</v>
      </c>
      <c r="B3" s="8">
        <v>5000</v>
      </c>
      <c r="C3" s="8">
        <v>25000</v>
      </c>
      <c r="D3" s="8">
        <v>0</v>
      </c>
      <c r="E3" s="8">
        <v>700</v>
      </c>
      <c r="F3" s="8">
        <v>7500</v>
      </c>
      <c r="G3" s="8">
        <v>2400</v>
      </c>
      <c r="H3" s="8">
        <v>25000</v>
      </c>
      <c r="I3" s="8">
        <v>5000</v>
      </c>
      <c r="J3" s="8">
        <v>25000</v>
      </c>
      <c r="K3" s="8">
        <v>5000</v>
      </c>
      <c r="L3" s="8">
        <v>25000</v>
      </c>
      <c r="M3" s="9">
        <v>9</v>
      </c>
      <c r="N3" s="9">
        <v>16.100000000000001</v>
      </c>
      <c r="O3" s="9">
        <v>14</v>
      </c>
      <c r="P3" s="9">
        <v>19.5</v>
      </c>
      <c r="Q3" s="92">
        <v>2.5569288999999999</v>
      </c>
      <c r="R3">
        <v>10</v>
      </c>
      <c r="S3">
        <v>1000</v>
      </c>
      <c r="T3" s="5">
        <v>442.69657292841788</v>
      </c>
      <c r="U3">
        <f>T3/100</f>
        <v>4.4269657292841789</v>
      </c>
      <c r="V3">
        <v>3</v>
      </c>
      <c r="W3">
        <v>3.2</v>
      </c>
      <c r="X3" s="9">
        <v>2.5569288999999999</v>
      </c>
    </row>
    <row r="4" spans="1:24" x14ac:dyDescent="0.2">
      <c r="A4" s="41">
        <f>A3+TIME(1,0,0)</f>
        <v>45839.041666666664</v>
      </c>
      <c r="B4" s="8">
        <v>5000</v>
      </c>
      <c r="C4" s="8">
        <v>25000</v>
      </c>
      <c r="D4" s="8">
        <v>0</v>
      </c>
      <c r="E4" s="8">
        <v>700</v>
      </c>
      <c r="F4" s="8">
        <v>7500</v>
      </c>
      <c r="G4" s="8">
        <v>2400</v>
      </c>
      <c r="H4" s="8">
        <v>25000</v>
      </c>
      <c r="I4" s="8">
        <v>5000</v>
      </c>
      <c r="J4" s="8">
        <v>25000</v>
      </c>
      <c r="K4" s="8">
        <v>5000</v>
      </c>
      <c r="L4" s="8">
        <v>25000</v>
      </c>
      <c r="M4" s="9">
        <v>9</v>
      </c>
      <c r="N4" s="9">
        <v>16.100000000000001</v>
      </c>
      <c r="O4" s="9">
        <v>14</v>
      </c>
      <c r="P4" s="9">
        <v>19.5</v>
      </c>
      <c r="Q4" s="92">
        <v>2.5728320999999998</v>
      </c>
      <c r="R4">
        <v>10</v>
      </c>
      <c r="S4">
        <v>1000</v>
      </c>
      <c r="T4" s="5">
        <v>362.27094893570683</v>
      </c>
      <c r="U4">
        <f t="shared" ref="U4:U67" si="0">T4/100</f>
        <v>3.6227094893570682</v>
      </c>
      <c r="V4">
        <v>2.6</v>
      </c>
      <c r="W4">
        <v>3.2</v>
      </c>
      <c r="X4" s="9">
        <v>2.5728320999999998</v>
      </c>
    </row>
    <row r="5" spans="1:24" x14ac:dyDescent="0.2">
      <c r="A5" s="41">
        <f t="shared" ref="A5:A68" si="1">A4+TIME(1,0,0)</f>
        <v>45839.083333333328</v>
      </c>
      <c r="B5" s="8">
        <v>5000</v>
      </c>
      <c r="C5" s="8">
        <v>25000</v>
      </c>
      <c r="D5" s="8">
        <v>0</v>
      </c>
      <c r="E5" s="8">
        <v>700</v>
      </c>
      <c r="F5" s="8">
        <v>7500</v>
      </c>
      <c r="G5" s="8">
        <v>2400</v>
      </c>
      <c r="H5" s="8">
        <v>25000</v>
      </c>
      <c r="I5" s="8">
        <v>5000</v>
      </c>
      <c r="J5" s="8">
        <v>25000</v>
      </c>
      <c r="K5" s="8">
        <v>5000</v>
      </c>
      <c r="L5" s="8">
        <v>25000</v>
      </c>
      <c r="M5" s="9">
        <v>9</v>
      </c>
      <c r="N5" s="9">
        <v>16.100000000000001</v>
      </c>
      <c r="O5" s="9">
        <v>14</v>
      </c>
      <c r="P5" s="9">
        <v>19.5</v>
      </c>
      <c r="Q5" s="92">
        <v>2.6065198999999999</v>
      </c>
      <c r="R5">
        <v>10</v>
      </c>
      <c r="S5">
        <v>1000</v>
      </c>
      <c r="T5" s="5">
        <v>362.27094893570683</v>
      </c>
      <c r="U5">
        <f t="shared" si="0"/>
        <v>3.6227094893570682</v>
      </c>
      <c r="V5">
        <v>2.8</v>
      </c>
      <c r="W5">
        <v>3.2</v>
      </c>
      <c r="X5" s="9">
        <v>2.6065198999999999</v>
      </c>
    </row>
    <row r="6" spans="1:24" x14ac:dyDescent="0.2">
      <c r="A6" s="41">
        <f t="shared" si="1"/>
        <v>45839.124999999993</v>
      </c>
      <c r="B6" s="8">
        <v>5000</v>
      </c>
      <c r="C6" s="8">
        <v>25000</v>
      </c>
      <c r="D6" s="8">
        <v>0</v>
      </c>
      <c r="E6" s="8">
        <v>700</v>
      </c>
      <c r="F6" s="8">
        <v>7500</v>
      </c>
      <c r="G6" s="8">
        <v>2400</v>
      </c>
      <c r="H6" s="8">
        <v>25000</v>
      </c>
      <c r="I6" s="8">
        <v>5000</v>
      </c>
      <c r="J6" s="8">
        <v>25000</v>
      </c>
      <c r="K6" s="8">
        <v>5000</v>
      </c>
      <c r="L6" s="8">
        <v>25000</v>
      </c>
      <c r="M6" s="9">
        <v>9</v>
      </c>
      <c r="N6" s="9">
        <v>16.100000000000001</v>
      </c>
      <c r="O6" s="9">
        <v>14</v>
      </c>
      <c r="P6" s="9">
        <v>19.5</v>
      </c>
      <c r="Q6" s="92">
        <v>2.6428592000000002</v>
      </c>
      <c r="R6">
        <v>10</v>
      </c>
      <c r="S6">
        <v>1000</v>
      </c>
      <c r="T6" s="5">
        <v>362.27094893570683</v>
      </c>
      <c r="U6">
        <f t="shared" si="0"/>
        <v>3.6227094893570682</v>
      </c>
      <c r="V6">
        <v>2.7</v>
      </c>
      <c r="W6">
        <v>3.2</v>
      </c>
      <c r="X6" s="9">
        <v>2.6428592000000002</v>
      </c>
    </row>
    <row r="7" spans="1:24" x14ac:dyDescent="0.2">
      <c r="A7" s="41">
        <f t="shared" si="1"/>
        <v>45839.166666666657</v>
      </c>
      <c r="B7" s="8">
        <v>5000</v>
      </c>
      <c r="C7" s="8">
        <v>25000</v>
      </c>
      <c r="D7" s="8">
        <v>0</v>
      </c>
      <c r="E7" s="8">
        <v>700</v>
      </c>
      <c r="F7" s="8">
        <v>7500</v>
      </c>
      <c r="G7" s="8">
        <v>2400</v>
      </c>
      <c r="H7" s="8">
        <v>25000</v>
      </c>
      <c r="I7" s="8">
        <v>5000</v>
      </c>
      <c r="J7" s="8">
        <v>25000</v>
      </c>
      <c r="K7" s="8">
        <v>5000</v>
      </c>
      <c r="L7" s="8">
        <v>25000</v>
      </c>
      <c r="M7" s="9">
        <v>9</v>
      </c>
      <c r="N7" s="9">
        <v>16.100000000000001</v>
      </c>
      <c r="O7" s="9">
        <v>14</v>
      </c>
      <c r="P7" s="9">
        <v>19.5</v>
      </c>
      <c r="Q7" s="92">
        <v>2.6824131000000002</v>
      </c>
      <c r="R7">
        <v>10</v>
      </c>
      <c r="S7">
        <v>1000</v>
      </c>
      <c r="T7" s="5">
        <v>426.44032978095498</v>
      </c>
      <c r="U7">
        <f t="shared" si="0"/>
        <v>4.2644032978095501</v>
      </c>
      <c r="V7">
        <v>3</v>
      </c>
      <c r="W7">
        <v>3.1</v>
      </c>
      <c r="X7" s="9">
        <v>2.6824131000000002</v>
      </c>
    </row>
    <row r="8" spans="1:24" x14ac:dyDescent="0.2">
      <c r="A8" s="41">
        <f t="shared" si="1"/>
        <v>45839.208333333321</v>
      </c>
      <c r="B8" s="8">
        <v>5000</v>
      </c>
      <c r="C8" s="8">
        <v>25000</v>
      </c>
      <c r="D8" s="8">
        <v>0</v>
      </c>
      <c r="E8" s="8">
        <v>700</v>
      </c>
      <c r="F8" s="8">
        <v>7500</v>
      </c>
      <c r="G8" s="8">
        <v>2400</v>
      </c>
      <c r="H8" s="8">
        <v>25000</v>
      </c>
      <c r="I8" s="8">
        <v>5000</v>
      </c>
      <c r="J8" s="8">
        <v>25000</v>
      </c>
      <c r="K8" s="8">
        <v>5000</v>
      </c>
      <c r="L8" s="8">
        <v>25000</v>
      </c>
      <c r="M8" s="9">
        <v>9</v>
      </c>
      <c r="N8" s="9">
        <v>16.100000000000001</v>
      </c>
      <c r="O8" s="9">
        <v>14</v>
      </c>
      <c r="P8" s="9">
        <v>19.5</v>
      </c>
      <c r="Q8" s="92">
        <v>2.7804096</v>
      </c>
      <c r="R8">
        <v>10</v>
      </c>
      <c r="S8">
        <v>1000</v>
      </c>
      <c r="T8" s="5">
        <v>362.27094893570683</v>
      </c>
      <c r="U8">
        <f t="shared" si="0"/>
        <v>3.6227094893570682</v>
      </c>
      <c r="V8">
        <v>2.9</v>
      </c>
      <c r="W8">
        <v>3.1</v>
      </c>
      <c r="X8" s="9">
        <v>2.7804096</v>
      </c>
    </row>
    <row r="9" spans="1:24" x14ac:dyDescent="0.2">
      <c r="A9" s="41">
        <f t="shared" si="1"/>
        <v>45839.249999999985</v>
      </c>
      <c r="B9" s="8">
        <v>8000</v>
      </c>
      <c r="C9" s="8">
        <v>25000</v>
      </c>
      <c r="D9" s="8">
        <v>0</v>
      </c>
      <c r="E9" s="8">
        <v>700</v>
      </c>
      <c r="F9" s="8">
        <v>7500</v>
      </c>
      <c r="G9" s="8">
        <v>2400</v>
      </c>
      <c r="H9" s="8">
        <v>25000</v>
      </c>
      <c r="I9" s="8">
        <v>8000</v>
      </c>
      <c r="J9" s="8">
        <v>25000</v>
      </c>
      <c r="K9" s="8">
        <v>8000</v>
      </c>
      <c r="L9" s="8">
        <v>25000</v>
      </c>
      <c r="M9" s="9">
        <v>9</v>
      </c>
      <c r="N9" s="9">
        <v>16.100000000000001</v>
      </c>
      <c r="O9" s="9">
        <v>14</v>
      </c>
      <c r="P9" s="9">
        <v>19.5</v>
      </c>
      <c r="Q9" s="92">
        <v>2.9252291000000001</v>
      </c>
      <c r="R9">
        <v>10</v>
      </c>
      <c r="S9">
        <v>1000</v>
      </c>
      <c r="T9" s="5">
        <v>304.3759075508828</v>
      </c>
      <c r="U9">
        <f t="shared" si="0"/>
        <v>3.0437590755088282</v>
      </c>
      <c r="V9">
        <v>2.5</v>
      </c>
      <c r="W9">
        <v>3.1</v>
      </c>
      <c r="X9" s="9">
        <v>2.9252291000000001</v>
      </c>
    </row>
    <row r="10" spans="1:24" x14ac:dyDescent="0.2">
      <c r="A10" s="41">
        <f t="shared" si="1"/>
        <v>45839.29166666665</v>
      </c>
      <c r="B10" s="8">
        <v>8000</v>
      </c>
      <c r="C10" s="8">
        <v>25000</v>
      </c>
      <c r="D10" s="8">
        <v>0</v>
      </c>
      <c r="E10" s="8">
        <v>700</v>
      </c>
      <c r="F10" s="8">
        <v>7500</v>
      </c>
      <c r="G10" s="8">
        <v>2400</v>
      </c>
      <c r="H10" s="8">
        <v>25000</v>
      </c>
      <c r="I10" s="8">
        <v>8000</v>
      </c>
      <c r="J10" s="8">
        <v>25000</v>
      </c>
      <c r="K10" s="8">
        <v>8000</v>
      </c>
      <c r="L10" s="8">
        <v>25000</v>
      </c>
      <c r="M10" s="9">
        <v>9</v>
      </c>
      <c r="N10" s="9">
        <v>16.100000000000001</v>
      </c>
      <c r="O10" s="9">
        <v>14</v>
      </c>
      <c r="P10" s="9">
        <v>19.5</v>
      </c>
      <c r="Q10" s="92">
        <v>3.0830164</v>
      </c>
      <c r="R10">
        <v>10</v>
      </c>
      <c r="S10">
        <v>1000</v>
      </c>
      <c r="T10" s="5">
        <v>280.13414145378908</v>
      </c>
      <c r="U10">
        <f t="shared" si="0"/>
        <v>2.801341414537891</v>
      </c>
      <c r="V10">
        <v>2.5</v>
      </c>
      <c r="W10">
        <v>3.1</v>
      </c>
      <c r="X10" s="9">
        <v>3.0830164</v>
      </c>
    </row>
    <row r="11" spans="1:24" x14ac:dyDescent="0.2">
      <c r="A11" s="41">
        <f t="shared" si="1"/>
        <v>45839.333333333314</v>
      </c>
      <c r="B11" s="8">
        <v>8000</v>
      </c>
      <c r="C11" s="8">
        <v>25000</v>
      </c>
      <c r="D11" s="8">
        <v>0</v>
      </c>
      <c r="E11" s="8">
        <v>700</v>
      </c>
      <c r="F11" s="8">
        <v>7500</v>
      </c>
      <c r="G11" s="8">
        <v>2400</v>
      </c>
      <c r="H11" s="8">
        <v>25000</v>
      </c>
      <c r="I11" s="8">
        <v>8000</v>
      </c>
      <c r="J11" s="8">
        <v>25000</v>
      </c>
      <c r="K11" s="8">
        <v>8000</v>
      </c>
      <c r="L11" s="8">
        <v>25000</v>
      </c>
      <c r="M11" s="9">
        <v>9</v>
      </c>
      <c r="N11" s="9">
        <v>16.100000000000001</v>
      </c>
      <c r="O11" s="9">
        <v>14</v>
      </c>
      <c r="P11" s="9">
        <v>19.5</v>
      </c>
      <c r="Q11" s="92">
        <v>3.1579742</v>
      </c>
      <c r="R11">
        <v>10</v>
      </c>
      <c r="S11">
        <v>1000</v>
      </c>
      <c r="T11" s="5">
        <v>294.39400386384426</v>
      </c>
      <c r="U11">
        <f t="shared" si="0"/>
        <v>2.9439400386384427</v>
      </c>
      <c r="V11">
        <v>3.2</v>
      </c>
      <c r="W11">
        <v>3</v>
      </c>
      <c r="X11" s="9">
        <v>3.1579742</v>
      </c>
    </row>
    <row r="12" spans="1:24" x14ac:dyDescent="0.2">
      <c r="A12" s="41">
        <f t="shared" si="1"/>
        <v>45839.374999999978</v>
      </c>
      <c r="B12" s="8">
        <v>8000</v>
      </c>
      <c r="C12" s="8">
        <v>25000</v>
      </c>
      <c r="D12" s="8">
        <v>0</v>
      </c>
      <c r="E12" s="8">
        <v>700</v>
      </c>
      <c r="F12" s="8">
        <v>7500</v>
      </c>
      <c r="G12" s="8">
        <v>2400</v>
      </c>
      <c r="H12" s="8">
        <v>25000</v>
      </c>
      <c r="I12" s="8">
        <v>8000</v>
      </c>
      <c r="J12" s="8">
        <v>25000</v>
      </c>
      <c r="K12" s="8">
        <v>8000</v>
      </c>
      <c r="L12" s="8">
        <v>25000</v>
      </c>
      <c r="M12" s="9">
        <v>9</v>
      </c>
      <c r="N12" s="9">
        <v>16.100000000000001</v>
      </c>
      <c r="O12" s="9">
        <v>14</v>
      </c>
      <c r="P12" s="9">
        <v>19.5</v>
      </c>
      <c r="Q12" s="92">
        <v>3.2167728000000002</v>
      </c>
      <c r="R12">
        <v>10</v>
      </c>
      <c r="S12">
        <v>1000</v>
      </c>
      <c r="T12" s="5">
        <v>317.20978371993255</v>
      </c>
      <c r="U12">
        <f t="shared" si="0"/>
        <v>3.1720978371993254</v>
      </c>
      <c r="V12">
        <v>2.9</v>
      </c>
      <c r="W12">
        <v>3</v>
      </c>
      <c r="X12" s="9">
        <v>3.2167728000000002</v>
      </c>
    </row>
    <row r="13" spans="1:24" x14ac:dyDescent="0.2">
      <c r="A13" s="41">
        <f t="shared" si="1"/>
        <v>45839.416666666642</v>
      </c>
      <c r="B13" s="8">
        <v>8000</v>
      </c>
      <c r="C13" s="8">
        <v>25000</v>
      </c>
      <c r="D13" s="8">
        <v>0</v>
      </c>
      <c r="E13" s="8">
        <v>700</v>
      </c>
      <c r="F13" s="8">
        <v>7500</v>
      </c>
      <c r="G13" s="8">
        <v>2400</v>
      </c>
      <c r="H13" s="8">
        <v>25000</v>
      </c>
      <c r="I13" s="8">
        <v>8000</v>
      </c>
      <c r="J13" s="8">
        <v>25000</v>
      </c>
      <c r="K13" s="8">
        <v>8000</v>
      </c>
      <c r="L13" s="8">
        <v>25000</v>
      </c>
      <c r="M13" s="9">
        <v>9</v>
      </c>
      <c r="N13" s="9">
        <v>16.100000000000001</v>
      </c>
      <c r="O13" s="9">
        <v>14</v>
      </c>
      <c r="P13" s="9">
        <v>19.5</v>
      </c>
      <c r="Q13" s="92">
        <v>3.2937151999999998</v>
      </c>
      <c r="R13">
        <v>10</v>
      </c>
      <c r="S13">
        <v>1000</v>
      </c>
      <c r="T13" s="5">
        <v>308.08347177749721</v>
      </c>
      <c r="U13">
        <f t="shared" si="0"/>
        <v>3.0808347177749722</v>
      </c>
      <c r="V13">
        <v>2.9</v>
      </c>
      <c r="W13">
        <v>3</v>
      </c>
      <c r="X13" s="9">
        <v>3.2937151999999998</v>
      </c>
    </row>
    <row r="14" spans="1:24" x14ac:dyDescent="0.2">
      <c r="A14" s="41">
        <f t="shared" si="1"/>
        <v>45839.458333333307</v>
      </c>
      <c r="B14" s="8">
        <v>8000</v>
      </c>
      <c r="C14" s="8">
        <v>25000</v>
      </c>
      <c r="D14" s="8">
        <v>0</v>
      </c>
      <c r="E14" s="8">
        <v>700</v>
      </c>
      <c r="F14" s="8">
        <v>7500</v>
      </c>
      <c r="G14" s="8">
        <v>2400</v>
      </c>
      <c r="H14" s="8">
        <v>25000</v>
      </c>
      <c r="I14" s="8">
        <v>8000</v>
      </c>
      <c r="J14" s="8">
        <v>25000</v>
      </c>
      <c r="K14" s="8">
        <v>8000</v>
      </c>
      <c r="L14" s="8">
        <v>25000</v>
      </c>
      <c r="M14" s="9">
        <v>9</v>
      </c>
      <c r="N14" s="9">
        <v>16.100000000000001</v>
      </c>
      <c r="O14" s="9">
        <v>14</v>
      </c>
      <c r="P14" s="9">
        <v>19.5</v>
      </c>
      <c r="Q14" s="92">
        <v>3.2510406999999999</v>
      </c>
      <c r="R14">
        <v>10</v>
      </c>
      <c r="S14">
        <v>1000</v>
      </c>
      <c r="T14" s="5">
        <v>303.80551305448063</v>
      </c>
      <c r="U14">
        <f t="shared" si="0"/>
        <v>3.0380551305448065</v>
      </c>
      <c r="V14">
        <v>3.4</v>
      </c>
      <c r="W14">
        <v>3</v>
      </c>
      <c r="X14" s="9">
        <v>3.2510406999999999</v>
      </c>
    </row>
    <row r="15" spans="1:24" x14ac:dyDescent="0.2">
      <c r="A15" s="41">
        <f t="shared" si="1"/>
        <v>45839.499999999971</v>
      </c>
      <c r="B15" s="8">
        <v>8000</v>
      </c>
      <c r="C15" s="8">
        <v>25000</v>
      </c>
      <c r="D15" s="8">
        <v>0</v>
      </c>
      <c r="E15" s="8">
        <v>700</v>
      </c>
      <c r="F15" s="8">
        <v>7500</v>
      </c>
      <c r="G15" s="8">
        <v>2400</v>
      </c>
      <c r="H15" s="8">
        <v>25000</v>
      </c>
      <c r="I15" s="8">
        <v>8000</v>
      </c>
      <c r="J15" s="8">
        <v>25000</v>
      </c>
      <c r="K15" s="8">
        <v>8000</v>
      </c>
      <c r="L15" s="8">
        <v>25000</v>
      </c>
      <c r="M15" s="9">
        <v>9</v>
      </c>
      <c r="N15" s="9">
        <v>16.100000000000001</v>
      </c>
      <c r="O15" s="9">
        <v>14</v>
      </c>
      <c r="P15" s="9">
        <v>19.5</v>
      </c>
      <c r="Q15" s="92">
        <v>3.1067328000000001</v>
      </c>
      <c r="R15">
        <v>10</v>
      </c>
      <c r="S15">
        <v>1000</v>
      </c>
      <c r="T15" s="5">
        <v>303.80551305448063</v>
      </c>
      <c r="U15">
        <f t="shared" si="0"/>
        <v>3.0380551305448065</v>
      </c>
      <c r="V15">
        <v>3.1</v>
      </c>
      <c r="W15">
        <v>2.9</v>
      </c>
      <c r="X15" s="9">
        <v>3.1067328000000001</v>
      </c>
    </row>
    <row r="16" spans="1:24" x14ac:dyDescent="0.2">
      <c r="A16" s="41">
        <f t="shared" si="1"/>
        <v>45839.541666666635</v>
      </c>
      <c r="B16" s="8">
        <v>8000</v>
      </c>
      <c r="C16" s="8">
        <v>25000</v>
      </c>
      <c r="D16" s="8">
        <v>0</v>
      </c>
      <c r="E16" s="8">
        <v>700</v>
      </c>
      <c r="F16" s="8">
        <v>7500</v>
      </c>
      <c r="G16" s="8">
        <v>2400</v>
      </c>
      <c r="H16" s="8">
        <v>25000</v>
      </c>
      <c r="I16" s="8">
        <v>8000</v>
      </c>
      <c r="J16" s="8">
        <v>25000</v>
      </c>
      <c r="K16" s="8">
        <v>8000</v>
      </c>
      <c r="L16" s="8">
        <v>25000</v>
      </c>
      <c r="M16" s="9">
        <v>9</v>
      </c>
      <c r="N16" s="9">
        <v>16.100000000000001</v>
      </c>
      <c r="O16" s="9">
        <v>14</v>
      </c>
      <c r="P16" s="9">
        <v>19.5</v>
      </c>
      <c r="Q16" s="92">
        <v>2.9126077000000001</v>
      </c>
      <c r="R16">
        <v>10</v>
      </c>
      <c r="S16">
        <v>1000</v>
      </c>
      <c r="T16" s="4">
        <v>353.43040463596901</v>
      </c>
      <c r="U16">
        <f t="shared" si="0"/>
        <v>3.53430404635969</v>
      </c>
      <c r="V16">
        <v>3.2</v>
      </c>
      <c r="W16">
        <v>2.9</v>
      </c>
      <c r="X16" s="9">
        <v>2.9126077000000001</v>
      </c>
    </row>
    <row r="17" spans="1:24" x14ac:dyDescent="0.2">
      <c r="A17" s="41">
        <f t="shared" si="1"/>
        <v>45839.583333333299</v>
      </c>
      <c r="B17" s="8">
        <v>8000</v>
      </c>
      <c r="C17" s="8">
        <v>25000</v>
      </c>
      <c r="D17" s="8">
        <v>0</v>
      </c>
      <c r="E17" s="8">
        <v>700</v>
      </c>
      <c r="F17" s="8">
        <v>7500</v>
      </c>
      <c r="G17" s="8">
        <v>2400</v>
      </c>
      <c r="H17" s="8">
        <v>25000</v>
      </c>
      <c r="I17" s="8">
        <v>8000</v>
      </c>
      <c r="J17" s="8">
        <v>25000</v>
      </c>
      <c r="K17" s="8">
        <v>8000</v>
      </c>
      <c r="L17" s="8">
        <v>25000</v>
      </c>
      <c r="M17" s="9">
        <v>9</v>
      </c>
      <c r="N17" s="9">
        <v>16.100000000000001</v>
      </c>
      <c r="O17" s="9">
        <v>14</v>
      </c>
      <c r="P17" s="9">
        <v>19.5</v>
      </c>
      <c r="Q17" s="92">
        <v>2.8376633999999998</v>
      </c>
      <c r="R17">
        <v>10</v>
      </c>
      <c r="S17">
        <v>1000</v>
      </c>
      <c r="T17" s="4">
        <v>587.29100737188094</v>
      </c>
      <c r="U17">
        <f t="shared" si="0"/>
        <v>5.8729100737188098</v>
      </c>
      <c r="V17">
        <v>3.5</v>
      </c>
      <c r="W17">
        <v>2.9</v>
      </c>
      <c r="X17" s="9">
        <v>2.8376633999999998</v>
      </c>
    </row>
    <row r="18" spans="1:24" x14ac:dyDescent="0.2">
      <c r="A18" s="41">
        <f t="shared" si="1"/>
        <v>45839.624999999964</v>
      </c>
      <c r="B18" s="8">
        <v>8000</v>
      </c>
      <c r="C18" s="8">
        <v>25000</v>
      </c>
      <c r="D18" s="8">
        <v>0</v>
      </c>
      <c r="E18" s="8">
        <v>700</v>
      </c>
      <c r="F18" s="8">
        <v>7500</v>
      </c>
      <c r="G18" s="8">
        <v>2400</v>
      </c>
      <c r="H18" s="8">
        <v>25000</v>
      </c>
      <c r="I18" s="8">
        <v>8000</v>
      </c>
      <c r="J18" s="8">
        <v>25000</v>
      </c>
      <c r="K18" s="8">
        <v>8000</v>
      </c>
      <c r="L18" s="8">
        <v>25000</v>
      </c>
      <c r="M18" s="9">
        <v>9</v>
      </c>
      <c r="N18" s="9">
        <v>16.100000000000001</v>
      </c>
      <c r="O18" s="9">
        <v>14</v>
      </c>
      <c r="P18" s="9">
        <v>19.5</v>
      </c>
      <c r="Q18" s="92">
        <v>3.1047552</v>
      </c>
      <c r="R18">
        <v>10</v>
      </c>
      <c r="S18">
        <v>1000</v>
      </c>
      <c r="T18" s="4">
        <v>604.40284226394715</v>
      </c>
      <c r="U18">
        <f t="shared" si="0"/>
        <v>6.0440284226394718</v>
      </c>
      <c r="V18">
        <v>3.2</v>
      </c>
      <c r="W18">
        <v>2.9</v>
      </c>
      <c r="X18" s="9">
        <v>3.1047552</v>
      </c>
    </row>
    <row r="19" spans="1:24" x14ac:dyDescent="0.2">
      <c r="A19" s="41">
        <f t="shared" si="1"/>
        <v>45839.666666666628</v>
      </c>
      <c r="B19" s="8">
        <v>8000</v>
      </c>
      <c r="C19" s="8">
        <v>25000</v>
      </c>
      <c r="D19" s="8">
        <v>0</v>
      </c>
      <c r="E19" s="8">
        <v>700</v>
      </c>
      <c r="F19" s="8">
        <v>7500</v>
      </c>
      <c r="G19" s="8">
        <v>2400</v>
      </c>
      <c r="H19" s="8">
        <v>25000</v>
      </c>
      <c r="I19" s="8">
        <v>8000</v>
      </c>
      <c r="J19" s="8">
        <v>25000</v>
      </c>
      <c r="K19" s="8">
        <v>8000</v>
      </c>
      <c r="L19" s="8">
        <v>25000</v>
      </c>
      <c r="M19" s="9">
        <v>9</v>
      </c>
      <c r="N19" s="9">
        <v>16.100000000000001</v>
      </c>
      <c r="O19" s="9">
        <v>14</v>
      </c>
      <c r="P19" s="9">
        <v>19.5</v>
      </c>
      <c r="Q19" s="92">
        <v>3.0114662999999999</v>
      </c>
      <c r="R19">
        <v>10</v>
      </c>
      <c r="S19">
        <v>1000</v>
      </c>
      <c r="T19" s="4">
        <v>875.91062255139741</v>
      </c>
      <c r="U19">
        <f t="shared" si="0"/>
        <v>8.7591062255139747</v>
      </c>
      <c r="V19">
        <v>3.5</v>
      </c>
      <c r="W19">
        <v>3</v>
      </c>
      <c r="X19" s="9">
        <v>3.0114662999999999</v>
      </c>
    </row>
    <row r="20" spans="1:24" x14ac:dyDescent="0.2">
      <c r="A20" s="41">
        <f t="shared" si="1"/>
        <v>45839.708333333292</v>
      </c>
      <c r="B20" s="8">
        <v>8000</v>
      </c>
      <c r="C20" s="8">
        <v>25000</v>
      </c>
      <c r="D20" s="8">
        <v>0</v>
      </c>
      <c r="E20" s="8">
        <v>700</v>
      </c>
      <c r="F20" s="8">
        <v>7500</v>
      </c>
      <c r="G20" s="8">
        <v>2400</v>
      </c>
      <c r="H20" s="8">
        <v>25000</v>
      </c>
      <c r="I20" s="8">
        <v>8000</v>
      </c>
      <c r="J20" s="8">
        <v>25000</v>
      </c>
      <c r="K20" s="8">
        <v>8000</v>
      </c>
      <c r="L20" s="8">
        <v>25000</v>
      </c>
      <c r="M20" s="9">
        <v>9</v>
      </c>
      <c r="N20" s="9">
        <v>16.100000000000001</v>
      </c>
      <c r="O20" s="9">
        <v>14</v>
      </c>
      <c r="P20" s="9">
        <v>19.5</v>
      </c>
      <c r="Q20" s="92">
        <v>2.9133406000000002</v>
      </c>
      <c r="R20">
        <v>10</v>
      </c>
      <c r="S20">
        <v>1000</v>
      </c>
      <c r="T20" s="4">
        <v>1116.9022972813298</v>
      </c>
      <c r="U20">
        <f t="shared" si="0"/>
        <v>11.169022972813298</v>
      </c>
      <c r="V20">
        <v>3.6</v>
      </c>
      <c r="W20">
        <v>3</v>
      </c>
      <c r="X20" s="9">
        <v>2.9133406000000002</v>
      </c>
    </row>
    <row r="21" spans="1:24" x14ac:dyDescent="0.2">
      <c r="A21" s="41">
        <f t="shared" si="1"/>
        <v>45839.749999999956</v>
      </c>
      <c r="B21" s="8">
        <v>5000</v>
      </c>
      <c r="C21" s="8">
        <v>25000</v>
      </c>
      <c r="D21" s="8">
        <v>0</v>
      </c>
      <c r="E21" s="8">
        <v>700</v>
      </c>
      <c r="F21" s="8">
        <v>7500</v>
      </c>
      <c r="G21" s="8">
        <v>2400</v>
      </c>
      <c r="H21" s="8">
        <v>25000</v>
      </c>
      <c r="I21" s="8">
        <v>5000</v>
      </c>
      <c r="J21" s="8">
        <v>25000</v>
      </c>
      <c r="K21" s="8">
        <v>5000</v>
      </c>
      <c r="L21" s="8">
        <v>25000</v>
      </c>
      <c r="M21" s="9">
        <v>9</v>
      </c>
      <c r="N21" s="9">
        <v>16.100000000000001</v>
      </c>
      <c r="O21" s="9">
        <v>14</v>
      </c>
      <c r="P21" s="9">
        <v>19.5</v>
      </c>
      <c r="Q21" s="92">
        <v>2.8793196999999999</v>
      </c>
      <c r="R21">
        <v>10</v>
      </c>
      <c r="S21">
        <v>1000</v>
      </c>
      <c r="T21" s="4">
        <v>1156.8299120294841</v>
      </c>
      <c r="U21">
        <f t="shared" si="0"/>
        <v>11.568299120294842</v>
      </c>
      <c r="V21">
        <v>2.9</v>
      </c>
      <c r="W21">
        <v>3</v>
      </c>
      <c r="X21" s="9">
        <v>2.8793196999999999</v>
      </c>
    </row>
    <row r="22" spans="1:24" x14ac:dyDescent="0.2">
      <c r="A22" s="41">
        <f t="shared" si="1"/>
        <v>45839.791666666621</v>
      </c>
      <c r="B22" s="8">
        <v>5000</v>
      </c>
      <c r="C22" s="8">
        <v>25000</v>
      </c>
      <c r="D22" s="8">
        <v>0</v>
      </c>
      <c r="E22" s="8">
        <v>700</v>
      </c>
      <c r="F22" s="8">
        <v>7500</v>
      </c>
      <c r="G22" s="8">
        <v>2400</v>
      </c>
      <c r="H22" s="8">
        <v>25000</v>
      </c>
      <c r="I22" s="8">
        <v>5000</v>
      </c>
      <c r="J22" s="8">
        <v>25000</v>
      </c>
      <c r="K22" s="8">
        <v>5000</v>
      </c>
      <c r="L22" s="8">
        <v>25000</v>
      </c>
      <c r="M22" s="9">
        <v>9</v>
      </c>
      <c r="N22" s="9">
        <v>16.100000000000001</v>
      </c>
      <c r="O22" s="9">
        <v>14</v>
      </c>
      <c r="P22" s="9">
        <v>19.5</v>
      </c>
      <c r="Q22" s="92">
        <v>2.8393845999999998</v>
      </c>
      <c r="R22">
        <v>10</v>
      </c>
      <c r="S22">
        <v>1000</v>
      </c>
      <c r="T22" s="4">
        <v>1156.8299120294841</v>
      </c>
      <c r="U22">
        <f t="shared" si="0"/>
        <v>11.568299120294842</v>
      </c>
      <c r="V22">
        <v>3</v>
      </c>
      <c r="W22">
        <v>3</v>
      </c>
      <c r="X22" s="9">
        <v>2.8393845999999998</v>
      </c>
    </row>
    <row r="23" spans="1:24" x14ac:dyDescent="0.2">
      <c r="A23" s="41">
        <f t="shared" si="1"/>
        <v>45839.833333333285</v>
      </c>
      <c r="B23" s="8">
        <v>5000</v>
      </c>
      <c r="C23" s="8">
        <v>25000</v>
      </c>
      <c r="D23" s="8">
        <v>0</v>
      </c>
      <c r="E23" s="8">
        <v>700</v>
      </c>
      <c r="F23" s="8">
        <v>7500</v>
      </c>
      <c r="G23" s="8">
        <v>2400</v>
      </c>
      <c r="H23" s="8">
        <v>25000</v>
      </c>
      <c r="I23" s="8">
        <v>5000</v>
      </c>
      <c r="J23" s="8">
        <v>25000</v>
      </c>
      <c r="K23" s="8">
        <v>5000</v>
      </c>
      <c r="L23" s="8">
        <v>25000</v>
      </c>
      <c r="M23" s="9">
        <v>9</v>
      </c>
      <c r="N23" s="9">
        <v>16.100000000000001</v>
      </c>
      <c r="O23" s="9">
        <v>14</v>
      </c>
      <c r="P23" s="9">
        <v>19.5</v>
      </c>
      <c r="Q23" s="92">
        <v>2.8001990000000001</v>
      </c>
      <c r="R23">
        <v>10</v>
      </c>
      <c r="S23">
        <v>1000</v>
      </c>
      <c r="T23" s="4">
        <v>1114.0503247993186</v>
      </c>
      <c r="U23">
        <f t="shared" si="0"/>
        <v>11.140503247993186</v>
      </c>
      <c r="V23">
        <v>2.8</v>
      </c>
      <c r="W23">
        <v>3.1</v>
      </c>
      <c r="X23" s="9">
        <v>2.8001990000000001</v>
      </c>
    </row>
    <row r="24" spans="1:24" x14ac:dyDescent="0.2">
      <c r="A24" s="41">
        <f t="shared" si="1"/>
        <v>45839.874999999949</v>
      </c>
      <c r="B24" s="8">
        <v>5000</v>
      </c>
      <c r="C24" s="8">
        <v>25000</v>
      </c>
      <c r="D24" s="8">
        <v>0</v>
      </c>
      <c r="E24" s="8">
        <v>700</v>
      </c>
      <c r="F24" s="8">
        <v>7500</v>
      </c>
      <c r="G24" s="8">
        <v>2400</v>
      </c>
      <c r="H24" s="8">
        <v>25000</v>
      </c>
      <c r="I24" s="8">
        <v>5000</v>
      </c>
      <c r="J24" s="8">
        <v>25000</v>
      </c>
      <c r="K24" s="8">
        <v>5000</v>
      </c>
      <c r="L24" s="8">
        <v>25000</v>
      </c>
      <c r="M24" s="9">
        <v>9</v>
      </c>
      <c r="N24" s="9">
        <v>16.100000000000001</v>
      </c>
      <c r="O24" s="9">
        <v>14</v>
      </c>
      <c r="P24" s="9">
        <v>19.5</v>
      </c>
      <c r="Q24" s="92">
        <v>2.7702776999999998</v>
      </c>
      <c r="R24">
        <v>10</v>
      </c>
      <c r="S24">
        <v>1000</v>
      </c>
      <c r="T24" s="4">
        <v>1034.1950953030096</v>
      </c>
      <c r="U24">
        <f t="shared" si="0"/>
        <v>10.341950953030096</v>
      </c>
      <c r="V24">
        <v>3.5</v>
      </c>
      <c r="W24">
        <v>3.1</v>
      </c>
      <c r="X24" s="9">
        <v>2.7702776999999998</v>
      </c>
    </row>
    <row r="25" spans="1:24" x14ac:dyDescent="0.2">
      <c r="A25" s="41">
        <f t="shared" si="1"/>
        <v>45839.916666666613</v>
      </c>
      <c r="B25" s="8">
        <v>5000</v>
      </c>
      <c r="C25" s="8">
        <v>25000</v>
      </c>
      <c r="D25" s="8">
        <v>0</v>
      </c>
      <c r="E25" s="8">
        <v>700</v>
      </c>
      <c r="F25" s="8">
        <v>7500</v>
      </c>
      <c r="G25" s="8">
        <v>2400</v>
      </c>
      <c r="H25" s="8">
        <v>25000</v>
      </c>
      <c r="I25" s="8">
        <v>5000</v>
      </c>
      <c r="J25" s="8">
        <v>25000</v>
      </c>
      <c r="K25" s="8">
        <v>5000</v>
      </c>
      <c r="L25" s="8">
        <v>25000</v>
      </c>
      <c r="M25" s="9">
        <v>9</v>
      </c>
      <c r="N25" s="9">
        <v>16.100000000000001</v>
      </c>
      <c r="O25" s="9">
        <v>14</v>
      </c>
      <c r="P25" s="9">
        <v>19.5</v>
      </c>
      <c r="Q25" s="92">
        <v>2.7435879999999999</v>
      </c>
      <c r="R25">
        <v>10</v>
      </c>
      <c r="S25">
        <v>1000</v>
      </c>
      <c r="T25" s="4">
        <v>807.46328298313267</v>
      </c>
      <c r="U25">
        <f t="shared" si="0"/>
        <v>8.0746328298313266</v>
      </c>
      <c r="V25">
        <v>2.9</v>
      </c>
      <c r="W25">
        <v>3.1</v>
      </c>
      <c r="X25" s="9">
        <v>2.7435879999999999</v>
      </c>
    </row>
    <row r="26" spans="1:24" x14ac:dyDescent="0.2">
      <c r="A26" s="41">
        <f t="shared" si="1"/>
        <v>45839.958333333278</v>
      </c>
      <c r="B26" s="8">
        <v>5000</v>
      </c>
      <c r="C26" s="8">
        <v>25000</v>
      </c>
      <c r="D26" s="8">
        <v>0</v>
      </c>
      <c r="E26" s="8">
        <v>700</v>
      </c>
      <c r="F26" s="8">
        <v>7500</v>
      </c>
      <c r="G26" s="8">
        <v>2400</v>
      </c>
      <c r="H26" s="8">
        <v>25000</v>
      </c>
      <c r="I26" s="8">
        <v>5000</v>
      </c>
      <c r="J26" s="8">
        <v>25000</v>
      </c>
      <c r="K26" s="8">
        <v>5000</v>
      </c>
      <c r="L26" s="8">
        <v>25000</v>
      </c>
      <c r="M26" s="9">
        <v>9</v>
      </c>
      <c r="N26" s="9">
        <v>16.100000000000001</v>
      </c>
      <c r="O26" s="9">
        <v>14</v>
      </c>
      <c r="P26" s="9">
        <v>19.5</v>
      </c>
      <c r="Q26" s="92">
        <v>2.6532247</v>
      </c>
      <c r="R26">
        <v>10</v>
      </c>
      <c r="S26">
        <v>1000</v>
      </c>
      <c r="T26" s="4">
        <v>442.69657292841788</v>
      </c>
      <c r="U26">
        <f t="shared" si="0"/>
        <v>4.4269657292841789</v>
      </c>
      <c r="V26">
        <v>3.6</v>
      </c>
      <c r="W26">
        <v>3.1</v>
      </c>
      <c r="X26" s="9">
        <v>2.6532247</v>
      </c>
    </row>
    <row r="27" spans="1:24" x14ac:dyDescent="0.2">
      <c r="A27" s="41">
        <f t="shared" si="1"/>
        <v>45839.999999999942</v>
      </c>
      <c r="B27" s="42">
        <f>B3</f>
        <v>5000</v>
      </c>
      <c r="C27" s="8">
        <v>25000</v>
      </c>
      <c r="D27" s="8">
        <v>0</v>
      </c>
      <c r="E27" s="8">
        <v>700</v>
      </c>
      <c r="F27" s="8">
        <v>7500</v>
      </c>
      <c r="G27" s="42">
        <f>G3</f>
        <v>2400</v>
      </c>
      <c r="H27" s="8">
        <v>25000</v>
      </c>
      <c r="I27" s="42">
        <f>I3</f>
        <v>5000</v>
      </c>
      <c r="J27" s="8">
        <v>25000</v>
      </c>
      <c r="K27" s="42">
        <f>K3</f>
        <v>5000</v>
      </c>
      <c r="L27" s="8">
        <v>25000</v>
      </c>
      <c r="M27" s="9">
        <v>9</v>
      </c>
      <c r="N27" s="9">
        <v>16.100000000000001</v>
      </c>
      <c r="O27" s="9">
        <v>14</v>
      </c>
      <c r="P27" s="9">
        <v>19.5</v>
      </c>
      <c r="Q27" s="92">
        <v>2.5673892</v>
      </c>
      <c r="R27">
        <v>10</v>
      </c>
      <c r="S27">
        <v>1000</v>
      </c>
      <c r="T27" s="4">
        <f>T3</f>
        <v>442.69657292841788</v>
      </c>
      <c r="U27">
        <f t="shared" si="0"/>
        <v>4.4269657292841789</v>
      </c>
      <c r="V27">
        <f>V3</f>
        <v>3</v>
      </c>
      <c r="W27">
        <f>W3</f>
        <v>3.2</v>
      </c>
      <c r="X27" s="9">
        <v>2.5673892</v>
      </c>
    </row>
    <row r="28" spans="1:24" x14ac:dyDescent="0.2">
      <c r="A28" s="41">
        <f t="shared" si="1"/>
        <v>45840.041666666606</v>
      </c>
      <c r="B28" s="42">
        <f t="shared" ref="B28:B91" si="2">B4</f>
        <v>5000</v>
      </c>
      <c r="C28" s="8">
        <v>25000</v>
      </c>
      <c r="D28" s="8">
        <v>0</v>
      </c>
      <c r="E28" s="8">
        <v>700</v>
      </c>
      <c r="F28" s="8">
        <v>7500</v>
      </c>
      <c r="G28" s="42">
        <f t="shared" ref="G28:G91" si="3">G4</f>
        <v>2400</v>
      </c>
      <c r="H28" s="8">
        <v>25000</v>
      </c>
      <c r="I28" s="42">
        <f t="shared" ref="I28:I91" si="4">I4</f>
        <v>5000</v>
      </c>
      <c r="J28" s="8">
        <v>25000</v>
      </c>
      <c r="K28" s="42">
        <f t="shared" ref="K28:K91" si="5">K4</f>
        <v>5000</v>
      </c>
      <c r="L28" s="8">
        <v>25000</v>
      </c>
      <c r="M28" s="9">
        <v>9</v>
      </c>
      <c r="N28" s="9">
        <v>16.100000000000001</v>
      </c>
      <c r="O28" s="9">
        <v>14</v>
      </c>
      <c r="P28" s="9">
        <v>19.5</v>
      </c>
      <c r="Q28" s="92">
        <v>2.502424</v>
      </c>
      <c r="R28">
        <v>10</v>
      </c>
      <c r="S28">
        <v>1000</v>
      </c>
      <c r="T28" s="4">
        <f t="shared" ref="T28:T91" si="6">T4</f>
        <v>362.27094893570683</v>
      </c>
      <c r="U28">
        <f t="shared" si="0"/>
        <v>3.6227094893570682</v>
      </c>
      <c r="V28">
        <f t="shared" ref="V28:W28" si="7">V4</f>
        <v>2.6</v>
      </c>
      <c r="W28">
        <f t="shared" si="7"/>
        <v>3.2</v>
      </c>
      <c r="X28" s="9">
        <v>2.502424</v>
      </c>
    </row>
    <row r="29" spans="1:24" x14ac:dyDescent="0.2">
      <c r="A29" s="41">
        <f t="shared" si="1"/>
        <v>45840.08333333327</v>
      </c>
      <c r="B29" s="42">
        <f t="shared" si="2"/>
        <v>5000</v>
      </c>
      <c r="C29" s="8">
        <v>25000</v>
      </c>
      <c r="D29" s="8">
        <v>0</v>
      </c>
      <c r="E29" s="8">
        <v>700</v>
      </c>
      <c r="F29" s="8">
        <v>7500</v>
      </c>
      <c r="G29" s="42">
        <f t="shared" si="3"/>
        <v>2400</v>
      </c>
      <c r="H29" s="8">
        <v>25000</v>
      </c>
      <c r="I29" s="42">
        <f t="shared" si="4"/>
        <v>5000</v>
      </c>
      <c r="J29" s="8">
        <v>25000</v>
      </c>
      <c r="K29" s="42">
        <f t="shared" si="5"/>
        <v>5000</v>
      </c>
      <c r="L29" s="8">
        <v>25000</v>
      </c>
      <c r="M29" s="9">
        <v>9</v>
      </c>
      <c r="N29" s="9">
        <v>16.100000000000001</v>
      </c>
      <c r="O29" s="9">
        <v>14</v>
      </c>
      <c r="P29" s="9">
        <v>19.5</v>
      </c>
      <c r="Q29" s="92">
        <v>2.6049666</v>
      </c>
      <c r="R29">
        <v>10</v>
      </c>
      <c r="S29">
        <v>1000</v>
      </c>
      <c r="T29" s="4">
        <f t="shared" si="6"/>
        <v>362.27094893570683</v>
      </c>
      <c r="U29">
        <f t="shared" si="0"/>
        <v>3.6227094893570682</v>
      </c>
      <c r="V29">
        <f t="shared" ref="V29:W29" si="8">V5</f>
        <v>2.8</v>
      </c>
      <c r="W29">
        <f t="shared" si="8"/>
        <v>3.2</v>
      </c>
      <c r="X29" s="9">
        <v>2.6049666</v>
      </c>
    </row>
    <row r="30" spans="1:24" x14ac:dyDescent="0.2">
      <c r="A30" s="41">
        <f t="shared" si="1"/>
        <v>45840.124999999935</v>
      </c>
      <c r="B30" s="42">
        <f t="shared" si="2"/>
        <v>5000</v>
      </c>
      <c r="C30" s="8">
        <v>25000</v>
      </c>
      <c r="D30" s="8">
        <v>0</v>
      </c>
      <c r="E30" s="8">
        <v>700</v>
      </c>
      <c r="F30" s="8">
        <v>7500</v>
      </c>
      <c r="G30" s="42">
        <f t="shared" si="3"/>
        <v>2400</v>
      </c>
      <c r="H30" s="8">
        <v>25000</v>
      </c>
      <c r="I30" s="42">
        <f t="shared" si="4"/>
        <v>5000</v>
      </c>
      <c r="J30" s="8">
        <v>25000</v>
      </c>
      <c r="K30" s="42">
        <f t="shared" si="5"/>
        <v>5000</v>
      </c>
      <c r="L30" s="8">
        <v>25000</v>
      </c>
      <c r="M30" s="9">
        <v>9</v>
      </c>
      <c r="N30" s="9">
        <v>16.100000000000001</v>
      </c>
      <c r="O30" s="9">
        <v>14</v>
      </c>
      <c r="P30" s="9">
        <v>19.5</v>
      </c>
      <c r="Q30" s="92">
        <v>2.6881697</v>
      </c>
      <c r="R30">
        <v>10</v>
      </c>
      <c r="S30">
        <v>1000</v>
      </c>
      <c r="T30" s="4">
        <f t="shared" si="6"/>
        <v>362.27094893570683</v>
      </c>
      <c r="U30">
        <f t="shared" si="0"/>
        <v>3.6227094893570682</v>
      </c>
      <c r="V30">
        <f t="shared" ref="V30:W30" si="9">V6</f>
        <v>2.7</v>
      </c>
      <c r="W30">
        <f t="shared" si="9"/>
        <v>3.2</v>
      </c>
      <c r="X30" s="9">
        <v>2.6881697</v>
      </c>
    </row>
    <row r="31" spans="1:24" x14ac:dyDescent="0.2">
      <c r="A31" s="41">
        <f t="shared" si="1"/>
        <v>45840.166666666599</v>
      </c>
      <c r="B31" s="42">
        <f t="shared" si="2"/>
        <v>5000</v>
      </c>
      <c r="C31" s="8">
        <v>25000</v>
      </c>
      <c r="D31" s="8">
        <v>0</v>
      </c>
      <c r="E31" s="8">
        <v>700</v>
      </c>
      <c r="F31" s="8">
        <v>7500</v>
      </c>
      <c r="G31" s="42">
        <f t="shared" si="3"/>
        <v>2400</v>
      </c>
      <c r="H31" s="8">
        <v>25000</v>
      </c>
      <c r="I31" s="42">
        <f t="shared" si="4"/>
        <v>5000</v>
      </c>
      <c r="J31" s="8">
        <v>25000</v>
      </c>
      <c r="K31" s="42">
        <f t="shared" si="5"/>
        <v>5000</v>
      </c>
      <c r="L31" s="8">
        <v>25000</v>
      </c>
      <c r="M31" s="9">
        <v>9</v>
      </c>
      <c r="N31" s="9">
        <v>16.100000000000001</v>
      </c>
      <c r="O31" s="9">
        <v>14</v>
      </c>
      <c r="P31" s="9">
        <v>19.5</v>
      </c>
      <c r="Q31" s="92">
        <v>2.7356929999999999</v>
      </c>
      <c r="R31">
        <v>10</v>
      </c>
      <c r="S31">
        <v>1000</v>
      </c>
      <c r="T31" s="4">
        <f t="shared" si="6"/>
        <v>426.44032978095498</v>
      </c>
      <c r="U31">
        <f t="shared" si="0"/>
        <v>4.2644032978095501</v>
      </c>
      <c r="V31">
        <f t="shared" ref="V31:W31" si="10">V7</f>
        <v>3</v>
      </c>
      <c r="W31">
        <f t="shared" si="10"/>
        <v>3.1</v>
      </c>
      <c r="X31" s="9">
        <v>2.7356929999999999</v>
      </c>
    </row>
    <row r="32" spans="1:24" x14ac:dyDescent="0.2">
      <c r="A32" s="41">
        <f t="shared" si="1"/>
        <v>45840.208333333263</v>
      </c>
      <c r="B32" s="42">
        <f t="shared" si="2"/>
        <v>5000</v>
      </c>
      <c r="C32" s="8">
        <v>25000</v>
      </c>
      <c r="D32" s="8">
        <v>0</v>
      </c>
      <c r="E32" s="8">
        <v>700</v>
      </c>
      <c r="F32" s="8">
        <v>7500</v>
      </c>
      <c r="G32" s="42">
        <f t="shared" si="3"/>
        <v>2400</v>
      </c>
      <c r="H32" s="8">
        <v>25000</v>
      </c>
      <c r="I32" s="42">
        <f t="shared" si="4"/>
        <v>5000</v>
      </c>
      <c r="J32" s="8">
        <v>25000</v>
      </c>
      <c r="K32" s="42">
        <f t="shared" si="5"/>
        <v>5000</v>
      </c>
      <c r="L32" s="8">
        <v>25000</v>
      </c>
      <c r="M32" s="9">
        <v>9</v>
      </c>
      <c r="N32" s="9">
        <v>16.100000000000001</v>
      </c>
      <c r="O32" s="9">
        <v>14</v>
      </c>
      <c r="P32" s="9">
        <v>19.5</v>
      </c>
      <c r="Q32" s="92">
        <v>2.8319869</v>
      </c>
      <c r="R32">
        <v>10</v>
      </c>
      <c r="S32">
        <v>1000</v>
      </c>
      <c r="T32" s="4">
        <f t="shared" si="6"/>
        <v>362.27094893570683</v>
      </c>
      <c r="U32">
        <f t="shared" si="0"/>
        <v>3.6227094893570682</v>
      </c>
      <c r="V32">
        <f t="shared" ref="V32:W32" si="11">V8</f>
        <v>2.9</v>
      </c>
      <c r="W32">
        <f t="shared" si="11"/>
        <v>3.1</v>
      </c>
      <c r="X32" s="9">
        <v>2.8319869</v>
      </c>
    </row>
    <row r="33" spans="1:24" x14ac:dyDescent="0.2">
      <c r="A33" s="41">
        <f t="shared" si="1"/>
        <v>45840.249999999927</v>
      </c>
      <c r="B33" s="42">
        <f t="shared" si="2"/>
        <v>8000</v>
      </c>
      <c r="C33" s="8">
        <v>25000</v>
      </c>
      <c r="D33" s="8">
        <v>0</v>
      </c>
      <c r="E33" s="8">
        <v>700</v>
      </c>
      <c r="F33" s="8">
        <v>7500</v>
      </c>
      <c r="G33" s="42">
        <f t="shared" si="3"/>
        <v>2400</v>
      </c>
      <c r="H33" s="8">
        <v>25000</v>
      </c>
      <c r="I33" s="42">
        <f t="shared" si="4"/>
        <v>8000</v>
      </c>
      <c r="J33" s="8">
        <v>25000</v>
      </c>
      <c r="K33" s="42">
        <f t="shared" si="5"/>
        <v>8000</v>
      </c>
      <c r="L33" s="8">
        <v>25000</v>
      </c>
      <c r="M33" s="9">
        <v>9</v>
      </c>
      <c r="N33" s="9">
        <v>16.100000000000001</v>
      </c>
      <c r="O33" s="9">
        <v>14</v>
      </c>
      <c r="P33" s="9">
        <v>19.5</v>
      </c>
      <c r="Q33" s="92">
        <v>2.9732997000000001</v>
      </c>
      <c r="R33">
        <v>10</v>
      </c>
      <c r="S33">
        <v>1000</v>
      </c>
      <c r="T33" s="4">
        <f t="shared" si="6"/>
        <v>304.3759075508828</v>
      </c>
      <c r="U33">
        <f t="shared" si="0"/>
        <v>3.0437590755088282</v>
      </c>
      <c r="V33">
        <f t="shared" ref="V33:W33" si="12">V9</f>
        <v>2.5</v>
      </c>
      <c r="W33">
        <f t="shared" si="12"/>
        <v>3.1</v>
      </c>
      <c r="X33" s="9">
        <v>2.9732997000000001</v>
      </c>
    </row>
    <row r="34" spans="1:24" x14ac:dyDescent="0.2">
      <c r="A34" s="41">
        <f t="shared" si="1"/>
        <v>45840.291666666591</v>
      </c>
      <c r="B34" s="42">
        <f t="shared" si="2"/>
        <v>8000</v>
      </c>
      <c r="C34" s="8">
        <v>25000</v>
      </c>
      <c r="D34" s="8">
        <v>0</v>
      </c>
      <c r="E34" s="8">
        <v>700</v>
      </c>
      <c r="F34" s="8">
        <v>7500</v>
      </c>
      <c r="G34" s="42">
        <f t="shared" si="3"/>
        <v>2400</v>
      </c>
      <c r="H34" s="8">
        <v>25000</v>
      </c>
      <c r="I34" s="42">
        <f t="shared" si="4"/>
        <v>8000</v>
      </c>
      <c r="J34" s="8">
        <v>25000</v>
      </c>
      <c r="K34" s="42">
        <f t="shared" si="5"/>
        <v>8000</v>
      </c>
      <c r="L34" s="8">
        <v>25000</v>
      </c>
      <c r="M34" s="9">
        <v>9</v>
      </c>
      <c r="N34" s="9">
        <v>16.100000000000001</v>
      </c>
      <c r="O34" s="9">
        <v>14</v>
      </c>
      <c r="P34" s="9">
        <v>19.5</v>
      </c>
      <c r="Q34" s="92">
        <v>3.1290011</v>
      </c>
      <c r="R34">
        <v>10</v>
      </c>
      <c r="S34">
        <v>1000</v>
      </c>
      <c r="T34" s="4">
        <f t="shared" si="6"/>
        <v>280.13414145378908</v>
      </c>
      <c r="U34">
        <f t="shared" si="0"/>
        <v>2.801341414537891</v>
      </c>
      <c r="V34">
        <f t="shared" ref="V34:W34" si="13">V10</f>
        <v>2.5</v>
      </c>
      <c r="W34">
        <f t="shared" si="13"/>
        <v>3.1</v>
      </c>
      <c r="X34" s="9">
        <v>3.1290011</v>
      </c>
    </row>
    <row r="35" spans="1:24" x14ac:dyDescent="0.2">
      <c r="A35" s="41">
        <f t="shared" si="1"/>
        <v>45840.333333333256</v>
      </c>
      <c r="B35" s="42">
        <f t="shared" si="2"/>
        <v>8000</v>
      </c>
      <c r="C35" s="8">
        <v>25000</v>
      </c>
      <c r="D35" s="8">
        <v>0</v>
      </c>
      <c r="E35" s="8">
        <v>700</v>
      </c>
      <c r="F35" s="8">
        <v>7500</v>
      </c>
      <c r="G35" s="42">
        <f t="shared" si="3"/>
        <v>2400</v>
      </c>
      <c r="H35" s="8">
        <v>25000</v>
      </c>
      <c r="I35" s="42">
        <f t="shared" si="4"/>
        <v>8000</v>
      </c>
      <c r="J35" s="8">
        <v>25000</v>
      </c>
      <c r="K35" s="42">
        <f t="shared" si="5"/>
        <v>8000</v>
      </c>
      <c r="L35" s="8">
        <v>25000</v>
      </c>
      <c r="M35" s="9">
        <v>9</v>
      </c>
      <c r="N35" s="9">
        <v>16.100000000000001</v>
      </c>
      <c r="O35" s="9">
        <v>14</v>
      </c>
      <c r="P35" s="9">
        <v>19.5</v>
      </c>
      <c r="Q35" s="92">
        <v>3.2024976999999999</v>
      </c>
      <c r="R35">
        <v>10</v>
      </c>
      <c r="S35">
        <v>1000</v>
      </c>
      <c r="T35" s="4">
        <f t="shared" si="6"/>
        <v>294.39400386384426</v>
      </c>
      <c r="U35">
        <f t="shared" si="0"/>
        <v>2.9439400386384427</v>
      </c>
      <c r="V35">
        <f t="shared" ref="V35:W35" si="14">V11</f>
        <v>3.2</v>
      </c>
      <c r="W35">
        <f t="shared" si="14"/>
        <v>3</v>
      </c>
      <c r="X35" s="9">
        <v>3.2024976999999999</v>
      </c>
    </row>
    <row r="36" spans="1:24" x14ac:dyDescent="0.2">
      <c r="A36" s="41">
        <f t="shared" si="1"/>
        <v>45840.37499999992</v>
      </c>
      <c r="B36" s="42">
        <f t="shared" si="2"/>
        <v>8000</v>
      </c>
      <c r="C36" s="8">
        <v>25000</v>
      </c>
      <c r="D36" s="8">
        <v>0</v>
      </c>
      <c r="E36" s="8">
        <v>700</v>
      </c>
      <c r="F36" s="8">
        <v>7500</v>
      </c>
      <c r="G36" s="42">
        <f t="shared" si="3"/>
        <v>2400</v>
      </c>
      <c r="H36" s="8">
        <v>25000</v>
      </c>
      <c r="I36" s="42">
        <f t="shared" si="4"/>
        <v>8000</v>
      </c>
      <c r="J36" s="8">
        <v>25000</v>
      </c>
      <c r="K36" s="42">
        <f t="shared" si="5"/>
        <v>8000</v>
      </c>
      <c r="L36" s="8">
        <v>25000</v>
      </c>
      <c r="M36" s="9">
        <v>9</v>
      </c>
      <c r="N36" s="9">
        <v>16.100000000000001</v>
      </c>
      <c r="O36" s="9">
        <v>14</v>
      </c>
      <c r="P36" s="9">
        <v>19.5</v>
      </c>
      <c r="Q36" s="92">
        <v>3.2471429999999999</v>
      </c>
      <c r="R36">
        <v>10</v>
      </c>
      <c r="S36">
        <v>1000</v>
      </c>
      <c r="T36" s="4">
        <f t="shared" si="6"/>
        <v>317.20978371993255</v>
      </c>
      <c r="U36">
        <f t="shared" si="0"/>
        <v>3.1720978371993254</v>
      </c>
      <c r="V36">
        <f t="shared" ref="V36:W36" si="15">V12</f>
        <v>2.9</v>
      </c>
      <c r="W36">
        <f t="shared" si="15"/>
        <v>3</v>
      </c>
      <c r="X36" s="9">
        <v>3.2471429999999999</v>
      </c>
    </row>
    <row r="37" spans="1:24" x14ac:dyDescent="0.2">
      <c r="A37" s="41">
        <f t="shared" si="1"/>
        <v>45840.416666666584</v>
      </c>
      <c r="B37" s="42">
        <f t="shared" si="2"/>
        <v>8000</v>
      </c>
      <c r="C37" s="8">
        <v>25000</v>
      </c>
      <c r="D37" s="8">
        <v>0</v>
      </c>
      <c r="E37" s="8">
        <v>700</v>
      </c>
      <c r="F37" s="8">
        <v>7500</v>
      </c>
      <c r="G37" s="42">
        <f t="shared" si="3"/>
        <v>2400</v>
      </c>
      <c r="H37" s="8">
        <v>25000</v>
      </c>
      <c r="I37" s="42">
        <f t="shared" si="4"/>
        <v>8000</v>
      </c>
      <c r="J37" s="8">
        <v>25000</v>
      </c>
      <c r="K37" s="42">
        <f t="shared" si="5"/>
        <v>8000</v>
      </c>
      <c r="L37" s="8">
        <v>25000</v>
      </c>
      <c r="M37" s="9">
        <v>9</v>
      </c>
      <c r="N37" s="9">
        <v>16.100000000000001</v>
      </c>
      <c r="O37" s="9">
        <v>14</v>
      </c>
      <c r="P37" s="9">
        <v>19.5</v>
      </c>
      <c r="Q37" s="92">
        <v>3.3226513999999998</v>
      </c>
      <c r="R37">
        <v>10</v>
      </c>
      <c r="S37">
        <v>1000</v>
      </c>
      <c r="T37" s="4">
        <f t="shared" si="6"/>
        <v>308.08347177749721</v>
      </c>
      <c r="U37">
        <f t="shared" si="0"/>
        <v>3.0808347177749722</v>
      </c>
      <c r="V37">
        <f t="shared" ref="V37:W37" si="16">V13</f>
        <v>2.9</v>
      </c>
      <c r="W37">
        <f t="shared" si="16"/>
        <v>3</v>
      </c>
      <c r="X37" s="9">
        <v>3.3226513999999998</v>
      </c>
    </row>
    <row r="38" spans="1:24" x14ac:dyDescent="0.2">
      <c r="A38" s="41">
        <f t="shared" si="1"/>
        <v>45840.458333333248</v>
      </c>
      <c r="B38" s="42">
        <f t="shared" si="2"/>
        <v>8000</v>
      </c>
      <c r="C38" s="8">
        <v>25000</v>
      </c>
      <c r="D38" s="8">
        <v>0</v>
      </c>
      <c r="E38" s="8">
        <v>700</v>
      </c>
      <c r="F38" s="8">
        <v>7500</v>
      </c>
      <c r="G38" s="42">
        <f t="shared" si="3"/>
        <v>2400</v>
      </c>
      <c r="H38" s="8">
        <v>25000</v>
      </c>
      <c r="I38" s="42">
        <f t="shared" si="4"/>
        <v>8000</v>
      </c>
      <c r="J38" s="8">
        <v>25000</v>
      </c>
      <c r="K38" s="42">
        <f t="shared" si="5"/>
        <v>8000</v>
      </c>
      <c r="L38" s="8">
        <v>25000</v>
      </c>
      <c r="M38" s="9">
        <v>9</v>
      </c>
      <c r="N38" s="9">
        <v>16.100000000000001</v>
      </c>
      <c r="O38" s="9">
        <v>14</v>
      </c>
      <c r="P38" s="9">
        <v>19.5</v>
      </c>
      <c r="Q38" s="92">
        <v>3.2720126999999999</v>
      </c>
      <c r="R38">
        <v>10</v>
      </c>
      <c r="S38">
        <v>1000</v>
      </c>
      <c r="T38" s="4">
        <f t="shared" si="6"/>
        <v>303.80551305448063</v>
      </c>
      <c r="U38">
        <f t="shared" si="0"/>
        <v>3.0380551305448065</v>
      </c>
      <c r="V38">
        <f t="shared" ref="V38:W38" si="17">V14</f>
        <v>3.4</v>
      </c>
      <c r="W38">
        <f t="shared" si="17"/>
        <v>3</v>
      </c>
      <c r="X38" s="9">
        <v>3.2720126999999999</v>
      </c>
    </row>
    <row r="39" spans="1:24" x14ac:dyDescent="0.2">
      <c r="A39" s="41">
        <f t="shared" si="1"/>
        <v>45840.499999999913</v>
      </c>
      <c r="B39" s="42">
        <f t="shared" si="2"/>
        <v>8000</v>
      </c>
      <c r="C39" s="8">
        <v>25000</v>
      </c>
      <c r="D39" s="8">
        <v>0</v>
      </c>
      <c r="E39" s="8">
        <v>700</v>
      </c>
      <c r="F39" s="8">
        <v>7500</v>
      </c>
      <c r="G39" s="42">
        <f t="shared" si="3"/>
        <v>2400</v>
      </c>
      <c r="H39" s="8">
        <v>25000</v>
      </c>
      <c r="I39" s="42">
        <f t="shared" si="4"/>
        <v>8000</v>
      </c>
      <c r="J39" s="8">
        <v>25000</v>
      </c>
      <c r="K39" s="42">
        <f t="shared" si="5"/>
        <v>8000</v>
      </c>
      <c r="L39" s="8">
        <v>25000</v>
      </c>
      <c r="M39" s="9">
        <v>9</v>
      </c>
      <c r="N39" s="9">
        <v>16.100000000000001</v>
      </c>
      <c r="O39" s="9">
        <v>14</v>
      </c>
      <c r="P39" s="9">
        <v>19.5</v>
      </c>
      <c r="Q39" s="92">
        <v>3.1224072</v>
      </c>
      <c r="R39">
        <v>10</v>
      </c>
      <c r="S39">
        <v>1000</v>
      </c>
      <c r="T39" s="4">
        <f t="shared" si="6"/>
        <v>303.80551305448063</v>
      </c>
      <c r="U39">
        <f t="shared" si="0"/>
        <v>3.0380551305448065</v>
      </c>
      <c r="V39">
        <f t="shared" ref="V39:W39" si="18">V15</f>
        <v>3.1</v>
      </c>
      <c r="W39">
        <f t="shared" si="18"/>
        <v>2.9</v>
      </c>
      <c r="X39" s="9">
        <v>3.1224072</v>
      </c>
    </row>
    <row r="40" spans="1:24" x14ac:dyDescent="0.2">
      <c r="A40" s="41">
        <f t="shared" si="1"/>
        <v>45840.541666666577</v>
      </c>
      <c r="B40" s="42">
        <f t="shared" si="2"/>
        <v>8000</v>
      </c>
      <c r="C40" s="8">
        <v>25000</v>
      </c>
      <c r="D40" s="8">
        <v>0</v>
      </c>
      <c r="E40" s="8">
        <v>700</v>
      </c>
      <c r="F40" s="8">
        <v>7500</v>
      </c>
      <c r="G40" s="42">
        <f t="shared" si="3"/>
        <v>2400</v>
      </c>
      <c r="H40" s="8">
        <v>25000</v>
      </c>
      <c r="I40" s="42">
        <f t="shared" si="4"/>
        <v>8000</v>
      </c>
      <c r="J40" s="8">
        <v>25000</v>
      </c>
      <c r="K40" s="42">
        <f t="shared" si="5"/>
        <v>8000</v>
      </c>
      <c r="L40" s="8">
        <v>25000</v>
      </c>
      <c r="M40" s="9">
        <v>9</v>
      </c>
      <c r="N40" s="9">
        <v>16.100000000000001</v>
      </c>
      <c r="O40" s="9">
        <v>14</v>
      </c>
      <c r="P40" s="9">
        <v>19.5</v>
      </c>
      <c r="Q40" s="92">
        <v>2.9144735000000002</v>
      </c>
      <c r="R40">
        <v>10</v>
      </c>
      <c r="S40">
        <v>1000</v>
      </c>
      <c r="T40" s="4">
        <f t="shared" si="6"/>
        <v>353.43040463596901</v>
      </c>
      <c r="U40">
        <f t="shared" si="0"/>
        <v>3.53430404635969</v>
      </c>
      <c r="V40">
        <f t="shared" ref="V40:W40" si="19">V16</f>
        <v>3.2</v>
      </c>
      <c r="W40">
        <f t="shared" si="19"/>
        <v>2.9</v>
      </c>
      <c r="X40" s="9">
        <v>2.9144735000000002</v>
      </c>
    </row>
    <row r="41" spans="1:24" x14ac:dyDescent="0.2">
      <c r="A41" s="41">
        <f t="shared" si="1"/>
        <v>45840.583333333241</v>
      </c>
      <c r="B41" s="42">
        <f t="shared" si="2"/>
        <v>8000</v>
      </c>
      <c r="C41" s="8">
        <v>25000</v>
      </c>
      <c r="D41" s="8">
        <v>0</v>
      </c>
      <c r="E41" s="8">
        <v>700</v>
      </c>
      <c r="F41" s="8">
        <v>7500</v>
      </c>
      <c r="G41" s="42">
        <f t="shared" si="3"/>
        <v>2400</v>
      </c>
      <c r="H41" s="8">
        <v>25000</v>
      </c>
      <c r="I41" s="42">
        <f t="shared" si="4"/>
        <v>8000</v>
      </c>
      <c r="J41" s="8">
        <v>25000</v>
      </c>
      <c r="K41" s="42">
        <f t="shared" si="5"/>
        <v>8000</v>
      </c>
      <c r="L41" s="8">
        <v>25000</v>
      </c>
      <c r="M41" s="9">
        <v>9</v>
      </c>
      <c r="N41" s="9">
        <v>16.100000000000001</v>
      </c>
      <c r="O41" s="9">
        <v>14</v>
      </c>
      <c r="P41" s="9">
        <v>19.5</v>
      </c>
      <c r="Q41" s="92">
        <v>2.8631462999999999</v>
      </c>
      <c r="R41">
        <v>10</v>
      </c>
      <c r="S41">
        <v>1000</v>
      </c>
      <c r="T41" s="4">
        <f t="shared" si="6"/>
        <v>587.29100737188094</v>
      </c>
      <c r="U41">
        <f t="shared" si="0"/>
        <v>5.8729100737188098</v>
      </c>
      <c r="V41">
        <f t="shared" ref="V41:W41" si="20">V17</f>
        <v>3.5</v>
      </c>
      <c r="W41">
        <f t="shared" si="20"/>
        <v>2.9</v>
      </c>
      <c r="X41" s="9">
        <v>2.8631462999999999</v>
      </c>
    </row>
    <row r="42" spans="1:24" x14ac:dyDescent="0.2">
      <c r="A42" s="41">
        <f t="shared" si="1"/>
        <v>45840.624999999905</v>
      </c>
      <c r="B42" s="42">
        <f t="shared" si="2"/>
        <v>8000</v>
      </c>
      <c r="C42" s="8">
        <v>25000</v>
      </c>
      <c r="D42" s="8">
        <v>0</v>
      </c>
      <c r="E42" s="8">
        <v>700</v>
      </c>
      <c r="F42" s="8">
        <v>7500</v>
      </c>
      <c r="G42" s="42">
        <f t="shared" si="3"/>
        <v>2400</v>
      </c>
      <c r="H42" s="8">
        <v>25000</v>
      </c>
      <c r="I42" s="42">
        <f t="shared" si="4"/>
        <v>8000</v>
      </c>
      <c r="J42" s="8">
        <v>25000</v>
      </c>
      <c r="K42" s="42">
        <f t="shared" si="5"/>
        <v>8000</v>
      </c>
      <c r="L42" s="8">
        <v>25000</v>
      </c>
      <c r="M42" s="9">
        <v>9</v>
      </c>
      <c r="N42" s="9">
        <v>16.100000000000001</v>
      </c>
      <c r="O42" s="9">
        <v>14</v>
      </c>
      <c r="P42" s="9">
        <v>19.5</v>
      </c>
      <c r="Q42" s="92">
        <v>3.1547307999999998</v>
      </c>
      <c r="R42">
        <v>10</v>
      </c>
      <c r="S42">
        <v>1000</v>
      </c>
      <c r="T42" s="4">
        <f t="shared" si="6"/>
        <v>604.40284226394715</v>
      </c>
      <c r="U42">
        <f t="shared" si="0"/>
        <v>6.0440284226394718</v>
      </c>
      <c r="V42">
        <f t="shared" ref="V42:W42" si="21">V18</f>
        <v>3.2</v>
      </c>
      <c r="W42">
        <f t="shared" si="21"/>
        <v>2.9</v>
      </c>
      <c r="X42" s="9">
        <v>3.1547307999999998</v>
      </c>
    </row>
    <row r="43" spans="1:24" x14ac:dyDescent="0.2">
      <c r="A43" s="41">
        <f t="shared" si="1"/>
        <v>45840.66666666657</v>
      </c>
      <c r="B43" s="42">
        <f t="shared" si="2"/>
        <v>8000</v>
      </c>
      <c r="C43" s="8">
        <v>25000</v>
      </c>
      <c r="D43" s="8">
        <v>0</v>
      </c>
      <c r="E43" s="8">
        <v>700</v>
      </c>
      <c r="F43" s="8">
        <v>7500</v>
      </c>
      <c r="G43" s="42">
        <f t="shared" si="3"/>
        <v>2400</v>
      </c>
      <c r="H43" s="8">
        <v>25000</v>
      </c>
      <c r="I43" s="42">
        <f t="shared" si="4"/>
        <v>8000</v>
      </c>
      <c r="J43" s="8">
        <v>25000</v>
      </c>
      <c r="K43" s="42">
        <f t="shared" si="5"/>
        <v>8000</v>
      </c>
      <c r="L43" s="8">
        <v>25000</v>
      </c>
      <c r="M43" s="9">
        <v>9</v>
      </c>
      <c r="N43" s="9">
        <v>16.100000000000001</v>
      </c>
      <c r="O43" s="9">
        <v>14</v>
      </c>
      <c r="P43" s="9">
        <v>19.5</v>
      </c>
      <c r="Q43" s="92">
        <v>3.0276139</v>
      </c>
      <c r="R43">
        <v>10</v>
      </c>
      <c r="S43">
        <v>1000</v>
      </c>
      <c r="T43" s="4">
        <f t="shared" si="6"/>
        <v>875.91062255139741</v>
      </c>
      <c r="U43">
        <f t="shared" si="0"/>
        <v>8.7591062255139747</v>
      </c>
      <c r="V43">
        <f t="shared" ref="V43:W43" si="22">V19</f>
        <v>3.5</v>
      </c>
      <c r="W43">
        <f t="shared" si="22"/>
        <v>3</v>
      </c>
      <c r="X43" s="9">
        <v>3.0276139</v>
      </c>
    </row>
    <row r="44" spans="1:24" x14ac:dyDescent="0.2">
      <c r="A44" s="41">
        <f t="shared" si="1"/>
        <v>45840.708333333234</v>
      </c>
      <c r="B44" s="42">
        <f t="shared" si="2"/>
        <v>8000</v>
      </c>
      <c r="C44" s="8">
        <v>25000</v>
      </c>
      <c r="D44" s="8">
        <v>0</v>
      </c>
      <c r="E44" s="8">
        <v>700</v>
      </c>
      <c r="F44" s="8">
        <v>7500</v>
      </c>
      <c r="G44" s="42">
        <f t="shared" si="3"/>
        <v>2400</v>
      </c>
      <c r="H44" s="8">
        <v>25000</v>
      </c>
      <c r="I44" s="42">
        <f t="shared" si="4"/>
        <v>8000</v>
      </c>
      <c r="J44" s="8">
        <v>25000</v>
      </c>
      <c r="K44" s="42">
        <f t="shared" si="5"/>
        <v>8000</v>
      </c>
      <c r="L44" s="8">
        <v>25000</v>
      </c>
      <c r="M44" s="9">
        <v>9</v>
      </c>
      <c r="N44" s="9">
        <v>16.100000000000001</v>
      </c>
      <c r="O44" s="9">
        <v>14</v>
      </c>
      <c r="P44" s="9">
        <v>19.5</v>
      </c>
      <c r="Q44" s="92">
        <v>2.9296717999999999</v>
      </c>
      <c r="R44">
        <v>10</v>
      </c>
      <c r="S44">
        <v>1000</v>
      </c>
      <c r="T44" s="4">
        <f t="shared" si="6"/>
        <v>1116.9022972813298</v>
      </c>
      <c r="U44">
        <f t="shared" si="0"/>
        <v>11.169022972813298</v>
      </c>
      <c r="V44">
        <f t="shared" ref="V44:W44" si="23">V20</f>
        <v>3.6</v>
      </c>
      <c r="W44">
        <f t="shared" si="23"/>
        <v>3</v>
      </c>
      <c r="X44" s="9">
        <v>2.9296717999999999</v>
      </c>
    </row>
    <row r="45" spans="1:24" x14ac:dyDescent="0.2">
      <c r="A45" s="41">
        <f t="shared" si="1"/>
        <v>45840.749999999898</v>
      </c>
      <c r="B45" s="42">
        <f t="shared" si="2"/>
        <v>5000</v>
      </c>
      <c r="C45" s="8">
        <v>25000</v>
      </c>
      <c r="D45" s="8">
        <v>0</v>
      </c>
      <c r="E45" s="8">
        <v>700</v>
      </c>
      <c r="F45" s="8">
        <v>7500</v>
      </c>
      <c r="G45" s="42">
        <f t="shared" si="3"/>
        <v>2400</v>
      </c>
      <c r="H45" s="8">
        <v>25000</v>
      </c>
      <c r="I45" s="42">
        <f t="shared" si="4"/>
        <v>5000</v>
      </c>
      <c r="J45" s="8">
        <v>25000</v>
      </c>
      <c r="K45" s="42">
        <f t="shared" si="5"/>
        <v>5000</v>
      </c>
      <c r="L45" s="8">
        <v>25000</v>
      </c>
      <c r="M45" s="9">
        <v>9</v>
      </c>
      <c r="N45" s="9">
        <v>16.100000000000001</v>
      </c>
      <c r="O45" s="9">
        <v>14</v>
      </c>
      <c r="P45" s="9">
        <v>19.5</v>
      </c>
      <c r="Q45" s="92">
        <v>2.9017328999999998</v>
      </c>
      <c r="R45">
        <v>10</v>
      </c>
      <c r="S45">
        <v>1000</v>
      </c>
      <c r="T45" s="4">
        <f t="shared" si="6"/>
        <v>1156.8299120294841</v>
      </c>
      <c r="U45">
        <f t="shared" si="0"/>
        <v>11.568299120294842</v>
      </c>
      <c r="V45">
        <f t="shared" ref="V45:W45" si="24">V21</f>
        <v>2.9</v>
      </c>
      <c r="W45">
        <f t="shared" si="24"/>
        <v>3</v>
      </c>
      <c r="X45" s="9">
        <v>2.9017328999999998</v>
      </c>
    </row>
    <row r="46" spans="1:24" x14ac:dyDescent="0.2">
      <c r="A46" s="41">
        <f t="shared" si="1"/>
        <v>45840.791666666562</v>
      </c>
      <c r="B46" s="42">
        <f t="shared" si="2"/>
        <v>5000</v>
      </c>
      <c r="C46" s="8">
        <v>25000</v>
      </c>
      <c r="D46" s="8">
        <v>0</v>
      </c>
      <c r="E46" s="8">
        <v>700</v>
      </c>
      <c r="F46" s="8">
        <v>7500</v>
      </c>
      <c r="G46" s="42">
        <f t="shared" si="3"/>
        <v>2400</v>
      </c>
      <c r="H46" s="8">
        <v>25000</v>
      </c>
      <c r="I46" s="42">
        <f t="shared" si="4"/>
        <v>5000</v>
      </c>
      <c r="J46" s="8">
        <v>25000</v>
      </c>
      <c r="K46" s="42">
        <f t="shared" si="5"/>
        <v>5000</v>
      </c>
      <c r="L46" s="8">
        <v>25000</v>
      </c>
      <c r="M46" s="9">
        <v>9</v>
      </c>
      <c r="N46" s="9">
        <v>16.100000000000001</v>
      </c>
      <c r="O46" s="9">
        <v>14</v>
      </c>
      <c r="P46" s="9">
        <v>19.5</v>
      </c>
      <c r="Q46" s="92">
        <v>2.8596317999999998</v>
      </c>
      <c r="R46">
        <v>10</v>
      </c>
      <c r="S46">
        <v>1000</v>
      </c>
      <c r="T46" s="4">
        <f t="shared" si="6"/>
        <v>1156.8299120294841</v>
      </c>
      <c r="U46">
        <f t="shared" si="0"/>
        <v>11.568299120294842</v>
      </c>
      <c r="V46">
        <f t="shared" ref="V46:W46" si="25">V22</f>
        <v>3</v>
      </c>
      <c r="W46">
        <f t="shared" si="25"/>
        <v>3</v>
      </c>
      <c r="X46" s="9">
        <v>2.8596317999999998</v>
      </c>
    </row>
    <row r="47" spans="1:24" x14ac:dyDescent="0.2">
      <c r="A47" s="41">
        <f t="shared" si="1"/>
        <v>45840.833333333227</v>
      </c>
      <c r="B47" s="42">
        <f t="shared" si="2"/>
        <v>5000</v>
      </c>
      <c r="C47" s="8">
        <v>25000</v>
      </c>
      <c r="D47" s="8">
        <v>0</v>
      </c>
      <c r="E47" s="8">
        <v>700</v>
      </c>
      <c r="F47" s="8">
        <v>7500</v>
      </c>
      <c r="G47" s="42">
        <f t="shared" si="3"/>
        <v>2400</v>
      </c>
      <c r="H47" s="8">
        <v>25000</v>
      </c>
      <c r="I47" s="42">
        <f t="shared" si="4"/>
        <v>5000</v>
      </c>
      <c r="J47" s="8">
        <v>25000</v>
      </c>
      <c r="K47" s="42">
        <f t="shared" si="5"/>
        <v>5000</v>
      </c>
      <c r="L47" s="8">
        <v>25000</v>
      </c>
      <c r="M47" s="9">
        <v>9</v>
      </c>
      <c r="N47" s="9">
        <v>16.100000000000001</v>
      </c>
      <c r="O47" s="9">
        <v>14</v>
      </c>
      <c r="P47" s="9">
        <v>19.5</v>
      </c>
      <c r="Q47" s="92">
        <v>2.8210294</v>
      </c>
      <c r="R47">
        <v>10</v>
      </c>
      <c r="S47">
        <v>1000</v>
      </c>
      <c r="T47" s="4">
        <f t="shared" si="6"/>
        <v>1114.0503247993186</v>
      </c>
      <c r="U47">
        <f t="shared" si="0"/>
        <v>11.140503247993186</v>
      </c>
      <c r="V47">
        <f t="shared" ref="V47:W47" si="26">V23</f>
        <v>2.8</v>
      </c>
      <c r="W47">
        <f t="shared" si="26"/>
        <v>3.1</v>
      </c>
      <c r="X47" s="9">
        <v>2.8210294</v>
      </c>
    </row>
    <row r="48" spans="1:24" x14ac:dyDescent="0.2">
      <c r="A48" s="41">
        <f t="shared" si="1"/>
        <v>45840.874999999891</v>
      </c>
      <c r="B48" s="42">
        <f t="shared" si="2"/>
        <v>5000</v>
      </c>
      <c r="C48" s="8">
        <v>25000</v>
      </c>
      <c r="D48" s="8">
        <v>0</v>
      </c>
      <c r="E48" s="8">
        <v>700</v>
      </c>
      <c r="F48" s="8">
        <v>7500</v>
      </c>
      <c r="G48" s="42">
        <f t="shared" si="3"/>
        <v>2400</v>
      </c>
      <c r="H48" s="8">
        <v>25000</v>
      </c>
      <c r="I48" s="42">
        <f t="shared" si="4"/>
        <v>5000</v>
      </c>
      <c r="J48" s="8">
        <v>25000</v>
      </c>
      <c r="K48" s="42">
        <f t="shared" si="5"/>
        <v>5000</v>
      </c>
      <c r="L48" s="8">
        <v>25000</v>
      </c>
      <c r="M48" s="9">
        <v>9</v>
      </c>
      <c r="N48" s="9">
        <v>16.100000000000001</v>
      </c>
      <c r="O48" s="9">
        <v>14</v>
      </c>
      <c r="P48" s="9">
        <v>19.5</v>
      </c>
      <c r="Q48" s="92">
        <v>2.7868301999999998</v>
      </c>
      <c r="R48">
        <v>10</v>
      </c>
      <c r="S48">
        <v>1000</v>
      </c>
      <c r="T48" s="4">
        <f t="shared" si="6"/>
        <v>1034.1950953030096</v>
      </c>
      <c r="U48">
        <f t="shared" si="0"/>
        <v>10.341950953030096</v>
      </c>
      <c r="V48">
        <f t="shared" ref="V48:W48" si="27">V24</f>
        <v>3.5</v>
      </c>
      <c r="W48">
        <f t="shared" si="27"/>
        <v>3.1</v>
      </c>
      <c r="X48" s="9">
        <v>2.7868301999999998</v>
      </c>
    </row>
    <row r="49" spans="1:24" x14ac:dyDescent="0.2">
      <c r="A49" s="41">
        <f t="shared" si="1"/>
        <v>45840.916666666555</v>
      </c>
      <c r="B49" s="42">
        <f t="shared" si="2"/>
        <v>5000</v>
      </c>
      <c r="C49" s="8">
        <v>25000</v>
      </c>
      <c r="D49" s="8">
        <v>0</v>
      </c>
      <c r="E49" s="8">
        <v>700</v>
      </c>
      <c r="F49" s="8">
        <v>7500</v>
      </c>
      <c r="G49" s="42">
        <f t="shared" si="3"/>
        <v>2400</v>
      </c>
      <c r="H49" s="8">
        <v>25000</v>
      </c>
      <c r="I49" s="42">
        <f t="shared" si="4"/>
        <v>5000</v>
      </c>
      <c r="J49" s="8">
        <v>25000</v>
      </c>
      <c r="K49" s="42">
        <f t="shared" si="5"/>
        <v>5000</v>
      </c>
      <c r="L49" s="8">
        <v>25000</v>
      </c>
      <c r="M49" s="9">
        <v>9</v>
      </c>
      <c r="N49" s="9">
        <v>16.100000000000001</v>
      </c>
      <c r="O49" s="9">
        <v>14</v>
      </c>
      <c r="P49" s="9">
        <v>19.5</v>
      </c>
      <c r="Q49" s="92">
        <v>2.7539375000000001</v>
      </c>
      <c r="R49">
        <v>10</v>
      </c>
      <c r="S49">
        <v>1000</v>
      </c>
      <c r="T49" s="4">
        <f t="shared" si="6"/>
        <v>807.46328298313267</v>
      </c>
      <c r="U49">
        <f t="shared" si="0"/>
        <v>8.0746328298313266</v>
      </c>
      <c r="V49">
        <f t="shared" ref="V49:W49" si="28">V25</f>
        <v>2.9</v>
      </c>
      <c r="W49">
        <f t="shared" si="28"/>
        <v>3.1</v>
      </c>
      <c r="X49" s="9">
        <v>2.7539375000000001</v>
      </c>
    </row>
    <row r="50" spans="1:24" x14ac:dyDescent="0.2">
      <c r="A50" s="41">
        <f t="shared" si="1"/>
        <v>45840.958333333219</v>
      </c>
      <c r="B50" s="42">
        <f t="shared" si="2"/>
        <v>5000</v>
      </c>
      <c r="C50" s="8">
        <v>25000</v>
      </c>
      <c r="D50" s="8">
        <v>0</v>
      </c>
      <c r="E50" s="8">
        <v>700</v>
      </c>
      <c r="F50" s="8">
        <v>7500</v>
      </c>
      <c r="G50" s="42">
        <f t="shared" si="3"/>
        <v>2400</v>
      </c>
      <c r="H50" s="8">
        <v>25000</v>
      </c>
      <c r="I50" s="42">
        <f t="shared" si="4"/>
        <v>5000</v>
      </c>
      <c r="J50" s="8">
        <v>25000</v>
      </c>
      <c r="K50" s="42">
        <f t="shared" si="5"/>
        <v>5000</v>
      </c>
      <c r="L50" s="8">
        <v>25000</v>
      </c>
      <c r="M50" s="9">
        <v>9</v>
      </c>
      <c r="N50" s="9">
        <v>16.100000000000001</v>
      </c>
      <c r="O50" s="9">
        <v>14</v>
      </c>
      <c r="P50" s="9">
        <v>19.5</v>
      </c>
      <c r="Q50" s="92">
        <v>2.6527672</v>
      </c>
      <c r="R50">
        <v>10</v>
      </c>
      <c r="S50">
        <v>1000</v>
      </c>
      <c r="T50" s="4">
        <f t="shared" si="6"/>
        <v>442.69657292841788</v>
      </c>
      <c r="U50">
        <f t="shared" si="0"/>
        <v>4.4269657292841789</v>
      </c>
      <c r="V50">
        <f t="shared" ref="V50:W50" si="29">V26</f>
        <v>3.6</v>
      </c>
      <c r="W50">
        <f t="shared" si="29"/>
        <v>3.1</v>
      </c>
      <c r="X50" s="9">
        <v>2.6527672</v>
      </c>
    </row>
    <row r="51" spans="1:24" x14ac:dyDescent="0.2">
      <c r="A51" s="41">
        <f t="shared" si="1"/>
        <v>45840.999999999884</v>
      </c>
      <c r="B51" s="42">
        <f t="shared" si="2"/>
        <v>5000</v>
      </c>
      <c r="C51" s="8">
        <v>25000</v>
      </c>
      <c r="D51" s="8">
        <v>0</v>
      </c>
      <c r="E51" s="8">
        <v>700</v>
      </c>
      <c r="F51" s="8">
        <v>7500</v>
      </c>
      <c r="G51" s="42">
        <f t="shared" si="3"/>
        <v>2400</v>
      </c>
      <c r="H51" s="8">
        <v>25000</v>
      </c>
      <c r="I51" s="42">
        <f t="shared" si="4"/>
        <v>5000</v>
      </c>
      <c r="J51" s="8">
        <v>25000</v>
      </c>
      <c r="K51" s="42">
        <f t="shared" si="5"/>
        <v>5000</v>
      </c>
      <c r="L51" s="8">
        <v>25000</v>
      </c>
      <c r="M51" s="9">
        <v>9</v>
      </c>
      <c r="N51" s="9">
        <v>16.100000000000001</v>
      </c>
      <c r="O51" s="9">
        <v>14</v>
      </c>
      <c r="P51" s="9">
        <v>19.5</v>
      </c>
      <c r="Q51" s="92">
        <v>2.5805712000000001</v>
      </c>
      <c r="R51">
        <v>10</v>
      </c>
      <c r="S51">
        <v>1000</v>
      </c>
      <c r="T51" s="4">
        <f t="shared" si="6"/>
        <v>442.69657292841788</v>
      </c>
      <c r="U51">
        <f t="shared" si="0"/>
        <v>4.4269657292841789</v>
      </c>
      <c r="V51">
        <f t="shared" ref="V51:W51" si="30">V27</f>
        <v>3</v>
      </c>
      <c r="W51">
        <f t="shared" si="30"/>
        <v>3.2</v>
      </c>
      <c r="X51" s="9">
        <v>2.5805712000000001</v>
      </c>
    </row>
    <row r="52" spans="1:24" x14ac:dyDescent="0.2">
      <c r="A52" s="41">
        <f t="shared" si="1"/>
        <v>45841.041666666548</v>
      </c>
      <c r="B52" s="42">
        <f t="shared" si="2"/>
        <v>5000</v>
      </c>
      <c r="C52" s="8">
        <v>25000</v>
      </c>
      <c r="D52" s="8">
        <v>0</v>
      </c>
      <c r="E52" s="8">
        <v>700</v>
      </c>
      <c r="F52" s="8">
        <v>7500</v>
      </c>
      <c r="G52" s="42">
        <f t="shared" si="3"/>
        <v>2400</v>
      </c>
      <c r="H52" s="8">
        <v>25000</v>
      </c>
      <c r="I52" s="42">
        <f t="shared" si="4"/>
        <v>5000</v>
      </c>
      <c r="J52" s="8">
        <v>25000</v>
      </c>
      <c r="K52" s="42">
        <f t="shared" si="5"/>
        <v>5000</v>
      </c>
      <c r="L52" s="8">
        <v>25000</v>
      </c>
      <c r="M52" s="9">
        <v>9</v>
      </c>
      <c r="N52" s="9">
        <v>16.100000000000001</v>
      </c>
      <c r="O52" s="9">
        <v>14</v>
      </c>
      <c r="P52" s="9">
        <v>19.5</v>
      </c>
      <c r="Q52" s="92">
        <v>2.5404591999999999</v>
      </c>
      <c r="R52">
        <v>10</v>
      </c>
      <c r="S52">
        <v>1000</v>
      </c>
      <c r="T52" s="4">
        <f t="shared" si="6"/>
        <v>362.27094893570683</v>
      </c>
      <c r="U52">
        <f t="shared" si="0"/>
        <v>3.6227094893570682</v>
      </c>
      <c r="V52">
        <f t="shared" ref="V52:W52" si="31">V28</f>
        <v>2.6</v>
      </c>
      <c r="W52">
        <f t="shared" si="31"/>
        <v>3.2</v>
      </c>
      <c r="X52" s="9">
        <v>2.5404591999999999</v>
      </c>
    </row>
    <row r="53" spans="1:24" x14ac:dyDescent="0.2">
      <c r="A53" s="41">
        <f t="shared" si="1"/>
        <v>45841.083333333212</v>
      </c>
      <c r="B53" s="42">
        <f t="shared" si="2"/>
        <v>5000</v>
      </c>
      <c r="C53" s="8">
        <v>25000</v>
      </c>
      <c r="D53" s="8">
        <v>0</v>
      </c>
      <c r="E53" s="8">
        <v>700</v>
      </c>
      <c r="F53" s="8">
        <v>7500</v>
      </c>
      <c r="G53" s="42">
        <f t="shared" si="3"/>
        <v>2400</v>
      </c>
      <c r="H53" s="8">
        <v>25000</v>
      </c>
      <c r="I53" s="42">
        <f t="shared" si="4"/>
        <v>5000</v>
      </c>
      <c r="J53" s="8">
        <v>25000</v>
      </c>
      <c r="K53" s="42">
        <f t="shared" si="5"/>
        <v>5000</v>
      </c>
      <c r="L53" s="8">
        <v>25000</v>
      </c>
      <c r="M53" s="9">
        <v>9</v>
      </c>
      <c r="N53" s="9">
        <v>16.100000000000001</v>
      </c>
      <c r="O53" s="9">
        <v>14</v>
      </c>
      <c r="P53" s="9">
        <v>19.5</v>
      </c>
      <c r="Q53" s="92">
        <v>2.6293432999999999</v>
      </c>
      <c r="R53">
        <v>10</v>
      </c>
      <c r="S53">
        <v>1000</v>
      </c>
      <c r="T53" s="4">
        <f t="shared" si="6"/>
        <v>362.27094893570683</v>
      </c>
      <c r="U53">
        <f t="shared" si="0"/>
        <v>3.6227094893570682</v>
      </c>
      <c r="V53">
        <f t="shared" ref="V53:W53" si="32">V29</f>
        <v>2.8</v>
      </c>
      <c r="W53">
        <f t="shared" si="32"/>
        <v>3.2</v>
      </c>
      <c r="X53" s="9">
        <v>2.6293432999999999</v>
      </c>
    </row>
    <row r="54" spans="1:24" x14ac:dyDescent="0.2">
      <c r="A54" s="41">
        <f t="shared" si="1"/>
        <v>45841.124999999876</v>
      </c>
      <c r="B54" s="42">
        <f t="shared" si="2"/>
        <v>5000</v>
      </c>
      <c r="C54" s="8">
        <v>25000</v>
      </c>
      <c r="D54" s="8">
        <v>0</v>
      </c>
      <c r="E54" s="8">
        <v>700</v>
      </c>
      <c r="F54" s="8">
        <v>7500</v>
      </c>
      <c r="G54" s="42">
        <f t="shared" si="3"/>
        <v>2400</v>
      </c>
      <c r="H54" s="8">
        <v>25000</v>
      </c>
      <c r="I54" s="42">
        <f t="shared" si="4"/>
        <v>5000</v>
      </c>
      <c r="J54" s="8">
        <v>25000</v>
      </c>
      <c r="K54" s="42">
        <f t="shared" si="5"/>
        <v>5000</v>
      </c>
      <c r="L54" s="8">
        <v>25000</v>
      </c>
      <c r="M54" s="9">
        <v>9</v>
      </c>
      <c r="N54" s="9">
        <v>16.100000000000001</v>
      </c>
      <c r="O54" s="9">
        <v>14</v>
      </c>
      <c r="P54" s="9">
        <v>19.5</v>
      </c>
      <c r="Q54" s="92">
        <v>2.6928030999999999</v>
      </c>
      <c r="R54">
        <v>10</v>
      </c>
      <c r="S54">
        <v>1000</v>
      </c>
      <c r="T54" s="4">
        <f t="shared" si="6"/>
        <v>362.27094893570683</v>
      </c>
      <c r="U54">
        <f t="shared" si="0"/>
        <v>3.6227094893570682</v>
      </c>
      <c r="V54">
        <f t="shared" ref="V54:W54" si="33">V30</f>
        <v>2.7</v>
      </c>
      <c r="W54">
        <f t="shared" si="33"/>
        <v>3.2</v>
      </c>
      <c r="X54" s="9">
        <v>2.6928030999999999</v>
      </c>
    </row>
    <row r="55" spans="1:24" x14ac:dyDescent="0.2">
      <c r="A55" s="41">
        <f t="shared" si="1"/>
        <v>45841.166666666541</v>
      </c>
      <c r="B55" s="42">
        <f t="shared" si="2"/>
        <v>5000</v>
      </c>
      <c r="C55" s="8">
        <v>25000</v>
      </c>
      <c r="D55" s="8">
        <v>0</v>
      </c>
      <c r="E55" s="8">
        <v>700</v>
      </c>
      <c r="F55" s="8">
        <v>7500</v>
      </c>
      <c r="G55" s="42">
        <f t="shared" si="3"/>
        <v>2400</v>
      </c>
      <c r="H55" s="8">
        <v>25000</v>
      </c>
      <c r="I55" s="42">
        <f t="shared" si="4"/>
        <v>5000</v>
      </c>
      <c r="J55" s="8">
        <v>25000</v>
      </c>
      <c r="K55" s="42">
        <f t="shared" si="5"/>
        <v>5000</v>
      </c>
      <c r="L55" s="8">
        <v>25000</v>
      </c>
      <c r="M55" s="9">
        <v>9</v>
      </c>
      <c r="N55" s="9">
        <v>16.100000000000001</v>
      </c>
      <c r="O55" s="9">
        <v>14</v>
      </c>
      <c r="P55" s="9">
        <v>19.5</v>
      </c>
      <c r="Q55" s="92">
        <v>2.7318921</v>
      </c>
      <c r="R55">
        <v>10</v>
      </c>
      <c r="S55">
        <v>1000</v>
      </c>
      <c r="T55" s="4">
        <f t="shared" si="6"/>
        <v>426.44032978095498</v>
      </c>
      <c r="U55">
        <f t="shared" si="0"/>
        <v>4.2644032978095501</v>
      </c>
      <c r="V55">
        <f t="shared" ref="V55:W55" si="34">V31</f>
        <v>3</v>
      </c>
      <c r="W55">
        <f t="shared" si="34"/>
        <v>3.1</v>
      </c>
      <c r="X55" s="9">
        <v>2.7318921</v>
      </c>
    </row>
    <row r="56" spans="1:24" x14ac:dyDescent="0.2">
      <c r="A56" s="41">
        <f t="shared" si="1"/>
        <v>45841.208333333205</v>
      </c>
      <c r="B56" s="42">
        <f t="shared" si="2"/>
        <v>5000</v>
      </c>
      <c r="C56" s="8">
        <v>25000</v>
      </c>
      <c r="D56" s="8">
        <v>0</v>
      </c>
      <c r="E56" s="8">
        <v>700</v>
      </c>
      <c r="F56" s="8">
        <v>7500</v>
      </c>
      <c r="G56" s="42">
        <f t="shared" si="3"/>
        <v>2400</v>
      </c>
      <c r="H56" s="8">
        <v>25000</v>
      </c>
      <c r="I56" s="42">
        <f t="shared" si="4"/>
        <v>5000</v>
      </c>
      <c r="J56" s="8">
        <v>25000</v>
      </c>
      <c r="K56" s="42">
        <f t="shared" si="5"/>
        <v>5000</v>
      </c>
      <c r="L56" s="8">
        <v>25000</v>
      </c>
      <c r="M56" s="9">
        <v>9</v>
      </c>
      <c r="N56" s="9">
        <v>16.100000000000001</v>
      </c>
      <c r="O56" s="9">
        <v>14</v>
      </c>
      <c r="P56" s="9">
        <v>19.5</v>
      </c>
      <c r="Q56" s="92">
        <v>2.8205574000000002</v>
      </c>
      <c r="R56">
        <v>10</v>
      </c>
      <c r="S56">
        <v>1000</v>
      </c>
      <c r="T56" s="4">
        <f t="shared" si="6"/>
        <v>362.27094893570683</v>
      </c>
      <c r="U56">
        <f t="shared" si="0"/>
        <v>3.6227094893570682</v>
      </c>
      <c r="V56">
        <f t="shared" ref="V56:W56" si="35">V32</f>
        <v>2.9</v>
      </c>
      <c r="W56">
        <f t="shared" si="35"/>
        <v>3.1</v>
      </c>
      <c r="X56" s="9">
        <v>2.8205574000000002</v>
      </c>
    </row>
    <row r="57" spans="1:24" x14ac:dyDescent="0.2">
      <c r="A57" s="41">
        <f t="shared" si="1"/>
        <v>45841.249999999869</v>
      </c>
      <c r="B57" s="42">
        <f t="shared" si="2"/>
        <v>8000</v>
      </c>
      <c r="C57" s="8">
        <v>25000</v>
      </c>
      <c r="D57" s="8">
        <v>0</v>
      </c>
      <c r="E57" s="8">
        <v>700</v>
      </c>
      <c r="F57" s="8">
        <v>7500</v>
      </c>
      <c r="G57" s="42">
        <f t="shared" si="3"/>
        <v>2400</v>
      </c>
      <c r="H57" s="8">
        <v>25000</v>
      </c>
      <c r="I57" s="42">
        <f t="shared" si="4"/>
        <v>8000</v>
      </c>
      <c r="J57" s="8">
        <v>25000</v>
      </c>
      <c r="K57" s="42">
        <f t="shared" si="5"/>
        <v>8000</v>
      </c>
      <c r="L57" s="8">
        <v>25000</v>
      </c>
      <c r="M57" s="9">
        <v>9</v>
      </c>
      <c r="N57" s="9">
        <v>16.100000000000001</v>
      </c>
      <c r="O57" s="9">
        <v>14</v>
      </c>
      <c r="P57" s="9">
        <v>19.5</v>
      </c>
      <c r="Q57" s="92">
        <v>2.9507203</v>
      </c>
      <c r="R57">
        <v>10</v>
      </c>
      <c r="S57">
        <v>1000</v>
      </c>
      <c r="T57" s="4">
        <f t="shared" si="6"/>
        <v>304.3759075508828</v>
      </c>
      <c r="U57">
        <f t="shared" si="0"/>
        <v>3.0437590755088282</v>
      </c>
      <c r="V57">
        <f t="shared" ref="V57:W57" si="36">V33</f>
        <v>2.5</v>
      </c>
      <c r="W57">
        <f t="shared" si="36"/>
        <v>3.1</v>
      </c>
      <c r="X57" s="9">
        <v>2.9507203</v>
      </c>
    </row>
    <row r="58" spans="1:24" x14ac:dyDescent="0.2">
      <c r="A58" s="41">
        <f t="shared" si="1"/>
        <v>45841.291666666533</v>
      </c>
      <c r="B58" s="42">
        <f t="shared" si="2"/>
        <v>8000</v>
      </c>
      <c r="C58" s="8">
        <v>25000</v>
      </c>
      <c r="D58" s="8">
        <v>0</v>
      </c>
      <c r="E58" s="8">
        <v>700</v>
      </c>
      <c r="F58" s="8">
        <v>7500</v>
      </c>
      <c r="G58" s="42">
        <f t="shared" si="3"/>
        <v>2400</v>
      </c>
      <c r="H58" s="8">
        <v>25000</v>
      </c>
      <c r="I58" s="42">
        <f t="shared" si="4"/>
        <v>8000</v>
      </c>
      <c r="J58" s="8">
        <v>25000</v>
      </c>
      <c r="K58" s="42">
        <f t="shared" si="5"/>
        <v>8000</v>
      </c>
      <c r="L58" s="8">
        <v>25000</v>
      </c>
      <c r="M58" s="9">
        <v>9</v>
      </c>
      <c r="N58" s="9">
        <v>16.100000000000001</v>
      </c>
      <c r="O58" s="9">
        <v>14</v>
      </c>
      <c r="P58" s="9">
        <v>19.5</v>
      </c>
      <c r="Q58" s="92">
        <v>3.0952516000000001</v>
      </c>
      <c r="R58">
        <v>10</v>
      </c>
      <c r="S58">
        <v>1000</v>
      </c>
      <c r="T58" s="4">
        <f t="shared" si="6"/>
        <v>280.13414145378908</v>
      </c>
      <c r="U58">
        <f t="shared" si="0"/>
        <v>2.801341414537891</v>
      </c>
      <c r="V58">
        <f t="shared" ref="V58:W58" si="37">V34</f>
        <v>2.5</v>
      </c>
      <c r="W58">
        <f t="shared" si="37"/>
        <v>3.1</v>
      </c>
      <c r="X58" s="9">
        <v>3.0952516000000001</v>
      </c>
    </row>
    <row r="59" spans="1:24" x14ac:dyDescent="0.2">
      <c r="A59" s="41">
        <f t="shared" si="1"/>
        <v>45841.333333333198</v>
      </c>
      <c r="B59" s="42">
        <f t="shared" si="2"/>
        <v>8000</v>
      </c>
      <c r="C59" s="8">
        <v>25000</v>
      </c>
      <c r="D59" s="8">
        <v>0</v>
      </c>
      <c r="E59" s="8">
        <v>700</v>
      </c>
      <c r="F59" s="8">
        <v>7500</v>
      </c>
      <c r="G59" s="42">
        <f t="shared" si="3"/>
        <v>2400</v>
      </c>
      <c r="H59" s="8">
        <v>25000</v>
      </c>
      <c r="I59" s="42">
        <f t="shared" si="4"/>
        <v>8000</v>
      </c>
      <c r="J59" s="8">
        <v>25000</v>
      </c>
      <c r="K59" s="42">
        <f t="shared" si="5"/>
        <v>8000</v>
      </c>
      <c r="L59" s="8">
        <v>25000</v>
      </c>
      <c r="M59" s="9">
        <v>9</v>
      </c>
      <c r="N59" s="9">
        <v>16.100000000000001</v>
      </c>
      <c r="O59" s="9">
        <v>14</v>
      </c>
      <c r="P59" s="9">
        <v>19.5</v>
      </c>
      <c r="Q59" s="92">
        <v>3.1802052999999999</v>
      </c>
      <c r="R59">
        <v>10</v>
      </c>
      <c r="S59">
        <v>1000</v>
      </c>
      <c r="T59" s="4">
        <f t="shared" si="6"/>
        <v>294.39400386384426</v>
      </c>
      <c r="U59">
        <f t="shared" si="0"/>
        <v>2.9439400386384427</v>
      </c>
      <c r="V59">
        <f t="shared" ref="V59:W59" si="38">V35</f>
        <v>3.2</v>
      </c>
      <c r="W59">
        <f t="shared" si="38"/>
        <v>3</v>
      </c>
      <c r="X59" s="9">
        <v>3.1802052999999999</v>
      </c>
    </row>
    <row r="60" spans="1:24" x14ac:dyDescent="0.2">
      <c r="A60" s="41">
        <f t="shared" si="1"/>
        <v>45841.374999999862</v>
      </c>
      <c r="B60" s="42">
        <f t="shared" si="2"/>
        <v>8000</v>
      </c>
      <c r="C60" s="8">
        <v>25000</v>
      </c>
      <c r="D60" s="8">
        <v>0</v>
      </c>
      <c r="E60" s="8">
        <v>700</v>
      </c>
      <c r="F60" s="8">
        <v>7500</v>
      </c>
      <c r="G60" s="42">
        <f t="shared" si="3"/>
        <v>2400</v>
      </c>
      <c r="H60" s="8">
        <v>25000</v>
      </c>
      <c r="I60" s="42">
        <f t="shared" si="4"/>
        <v>8000</v>
      </c>
      <c r="J60" s="8">
        <v>25000</v>
      </c>
      <c r="K60" s="42">
        <f t="shared" si="5"/>
        <v>8000</v>
      </c>
      <c r="L60" s="8">
        <v>25000</v>
      </c>
      <c r="M60" s="9">
        <v>9</v>
      </c>
      <c r="N60" s="9">
        <v>16.100000000000001</v>
      </c>
      <c r="O60" s="9">
        <v>14</v>
      </c>
      <c r="P60" s="9">
        <v>19.5</v>
      </c>
      <c r="Q60" s="92">
        <v>3.215414</v>
      </c>
      <c r="R60">
        <v>10</v>
      </c>
      <c r="S60">
        <v>1000</v>
      </c>
      <c r="T60" s="4">
        <f t="shared" si="6"/>
        <v>317.20978371993255</v>
      </c>
      <c r="U60">
        <f t="shared" si="0"/>
        <v>3.1720978371993254</v>
      </c>
      <c r="V60">
        <f t="shared" ref="V60:W60" si="39">V36</f>
        <v>2.9</v>
      </c>
      <c r="W60">
        <f t="shared" si="39"/>
        <v>3</v>
      </c>
      <c r="X60" s="9">
        <v>3.215414</v>
      </c>
    </row>
    <row r="61" spans="1:24" x14ac:dyDescent="0.2">
      <c r="A61" s="41">
        <f t="shared" si="1"/>
        <v>45841.416666666526</v>
      </c>
      <c r="B61" s="42">
        <f t="shared" si="2"/>
        <v>8000</v>
      </c>
      <c r="C61" s="8">
        <v>25000</v>
      </c>
      <c r="D61" s="8">
        <v>0</v>
      </c>
      <c r="E61" s="8">
        <v>700</v>
      </c>
      <c r="F61" s="8">
        <v>7500</v>
      </c>
      <c r="G61" s="42">
        <f t="shared" si="3"/>
        <v>2400</v>
      </c>
      <c r="H61" s="8">
        <v>25000</v>
      </c>
      <c r="I61" s="42">
        <f t="shared" si="4"/>
        <v>8000</v>
      </c>
      <c r="J61" s="8">
        <v>25000</v>
      </c>
      <c r="K61" s="42">
        <f t="shared" si="5"/>
        <v>8000</v>
      </c>
      <c r="L61" s="8">
        <v>25000</v>
      </c>
      <c r="M61" s="9">
        <v>9</v>
      </c>
      <c r="N61" s="9">
        <v>16.100000000000001</v>
      </c>
      <c r="O61" s="9">
        <v>14</v>
      </c>
      <c r="P61" s="9">
        <v>19.5</v>
      </c>
      <c r="Q61" s="92">
        <v>3.2890793999999999</v>
      </c>
      <c r="R61">
        <v>10</v>
      </c>
      <c r="S61">
        <v>1000</v>
      </c>
      <c r="T61" s="4">
        <f t="shared" si="6"/>
        <v>308.08347177749721</v>
      </c>
      <c r="U61">
        <f t="shared" si="0"/>
        <v>3.0808347177749722</v>
      </c>
      <c r="V61">
        <f t="shared" ref="V61:W61" si="40">V37</f>
        <v>2.9</v>
      </c>
      <c r="W61">
        <f t="shared" si="40"/>
        <v>3</v>
      </c>
      <c r="X61" s="9">
        <v>3.2890793999999999</v>
      </c>
    </row>
    <row r="62" spans="1:24" x14ac:dyDescent="0.2">
      <c r="A62" s="41">
        <f t="shared" si="1"/>
        <v>45841.45833333319</v>
      </c>
      <c r="B62" s="42">
        <f t="shared" si="2"/>
        <v>8000</v>
      </c>
      <c r="C62" s="8">
        <v>25000</v>
      </c>
      <c r="D62" s="8">
        <v>0</v>
      </c>
      <c r="E62" s="8">
        <v>700</v>
      </c>
      <c r="F62" s="8">
        <v>7500</v>
      </c>
      <c r="G62" s="42">
        <f t="shared" si="3"/>
        <v>2400</v>
      </c>
      <c r="H62" s="8">
        <v>25000</v>
      </c>
      <c r="I62" s="42">
        <f t="shared" si="4"/>
        <v>8000</v>
      </c>
      <c r="J62" s="8">
        <v>25000</v>
      </c>
      <c r="K62" s="42">
        <f t="shared" si="5"/>
        <v>8000</v>
      </c>
      <c r="L62" s="8">
        <v>25000</v>
      </c>
      <c r="M62" s="9">
        <v>9</v>
      </c>
      <c r="N62" s="9">
        <v>16.100000000000001</v>
      </c>
      <c r="O62" s="9">
        <v>14</v>
      </c>
      <c r="P62" s="9">
        <v>19.5</v>
      </c>
      <c r="Q62" s="92">
        <v>3.2425677999999998</v>
      </c>
      <c r="R62">
        <v>10</v>
      </c>
      <c r="S62">
        <v>1000</v>
      </c>
      <c r="T62" s="4">
        <f t="shared" si="6"/>
        <v>303.80551305448063</v>
      </c>
      <c r="U62">
        <f t="shared" si="0"/>
        <v>3.0380551305448065</v>
      </c>
      <c r="V62">
        <f t="shared" ref="V62:W62" si="41">V38</f>
        <v>3.4</v>
      </c>
      <c r="W62">
        <f t="shared" si="41"/>
        <v>3</v>
      </c>
      <c r="X62" s="9">
        <v>3.2425677999999998</v>
      </c>
    </row>
    <row r="63" spans="1:24" x14ac:dyDescent="0.2">
      <c r="A63" s="41">
        <f t="shared" si="1"/>
        <v>45841.499999999854</v>
      </c>
      <c r="B63" s="42">
        <f t="shared" si="2"/>
        <v>8000</v>
      </c>
      <c r="C63" s="8">
        <v>25000</v>
      </c>
      <c r="D63" s="8">
        <v>0</v>
      </c>
      <c r="E63" s="8">
        <v>700</v>
      </c>
      <c r="F63" s="8">
        <v>7500</v>
      </c>
      <c r="G63" s="42">
        <f t="shared" si="3"/>
        <v>2400</v>
      </c>
      <c r="H63" s="8">
        <v>25000</v>
      </c>
      <c r="I63" s="42">
        <f t="shared" si="4"/>
        <v>8000</v>
      </c>
      <c r="J63" s="8">
        <v>25000</v>
      </c>
      <c r="K63" s="42">
        <f t="shared" si="5"/>
        <v>8000</v>
      </c>
      <c r="L63" s="8">
        <v>25000</v>
      </c>
      <c r="M63" s="9">
        <v>9</v>
      </c>
      <c r="N63" s="9">
        <v>16.100000000000001</v>
      </c>
      <c r="O63" s="9">
        <v>14</v>
      </c>
      <c r="P63" s="9">
        <v>19.5</v>
      </c>
      <c r="Q63" s="92">
        <v>3.0969331000000002</v>
      </c>
      <c r="R63">
        <v>10</v>
      </c>
      <c r="S63">
        <v>1000</v>
      </c>
      <c r="T63" s="4">
        <f t="shared" si="6"/>
        <v>303.80551305448063</v>
      </c>
      <c r="U63">
        <f t="shared" si="0"/>
        <v>3.0380551305448065</v>
      </c>
      <c r="V63">
        <f t="shared" ref="V63:W63" si="42">V39</f>
        <v>3.1</v>
      </c>
      <c r="W63">
        <f t="shared" si="42"/>
        <v>2.9</v>
      </c>
      <c r="X63" s="9">
        <v>3.0969331000000002</v>
      </c>
    </row>
    <row r="64" spans="1:24" x14ac:dyDescent="0.2">
      <c r="A64" s="41">
        <f t="shared" si="1"/>
        <v>45841.541666666519</v>
      </c>
      <c r="B64" s="42">
        <f t="shared" si="2"/>
        <v>8000</v>
      </c>
      <c r="C64" s="8">
        <v>25000</v>
      </c>
      <c r="D64" s="8">
        <v>0</v>
      </c>
      <c r="E64" s="8">
        <v>700</v>
      </c>
      <c r="F64" s="8">
        <v>7500</v>
      </c>
      <c r="G64" s="42">
        <f t="shared" si="3"/>
        <v>2400</v>
      </c>
      <c r="H64" s="8">
        <v>25000</v>
      </c>
      <c r="I64" s="42">
        <f t="shared" si="4"/>
        <v>8000</v>
      </c>
      <c r="J64" s="8">
        <v>25000</v>
      </c>
      <c r="K64" s="42">
        <f t="shared" si="5"/>
        <v>8000</v>
      </c>
      <c r="L64" s="8">
        <v>25000</v>
      </c>
      <c r="M64" s="9">
        <v>9</v>
      </c>
      <c r="N64" s="9">
        <v>16.100000000000001</v>
      </c>
      <c r="O64" s="9">
        <v>14</v>
      </c>
      <c r="P64" s="9">
        <v>19.5</v>
      </c>
      <c r="Q64" s="92">
        <v>2.8885793999999998</v>
      </c>
      <c r="R64">
        <v>10</v>
      </c>
      <c r="S64">
        <v>1000</v>
      </c>
      <c r="T64" s="4">
        <f t="shared" si="6"/>
        <v>353.43040463596901</v>
      </c>
      <c r="U64">
        <f t="shared" si="0"/>
        <v>3.53430404635969</v>
      </c>
      <c r="V64">
        <f t="shared" ref="V64:W64" si="43">V40</f>
        <v>3.2</v>
      </c>
      <c r="W64">
        <f t="shared" si="43"/>
        <v>2.9</v>
      </c>
      <c r="X64" s="9">
        <v>2.8885793999999998</v>
      </c>
    </row>
    <row r="65" spans="1:24" x14ac:dyDescent="0.2">
      <c r="A65" s="41">
        <f t="shared" si="1"/>
        <v>45841.583333333183</v>
      </c>
      <c r="B65" s="42">
        <f t="shared" si="2"/>
        <v>8000</v>
      </c>
      <c r="C65" s="8">
        <v>25000</v>
      </c>
      <c r="D65" s="8">
        <v>0</v>
      </c>
      <c r="E65" s="8">
        <v>700</v>
      </c>
      <c r="F65" s="8">
        <v>7500</v>
      </c>
      <c r="G65" s="42">
        <f t="shared" si="3"/>
        <v>2400</v>
      </c>
      <c r="H65" s="8">
        <v>25000</v>
      </c>
      <c r="I65" s="42">
        <f t="shared" si="4"/>
        <v>8000</v>
      </c>
      <c r="J65" s="8">
        <v>25000</v>
      </c>
      <c r="K65" s="42">
        <f t="shared" si="5"/>
        <v>8000</v>
      </c>
      <c r="L65" s="8">
        <v>25000</v>
      </c>
      <c r="M65" s="9">
        <v>9</v>
      </c>
      <c r="N65" s="9">
        <v>16.100000000000001</v>
      </c>
      <c r="O65" s="9">
        <v>14</v>
      </c>
      <c r="P65" s="9">
        <v>19.5</v>
      </c>
      <c r="Q65" s="92">
        <v>2.7654122999999999</v>
      </c>
      <c r="R65">
        <v>10</v>
      </c>
      <c r="S65">
        <v>1000</v>
      </c>
      <c r="T65" s="4">
        <f t="shared" si="6"/>
        <v>587.29100737188094</v>
      </c>
      <c r="U65">
        <f t="shared" si="0"/>
        <v>5.8729100737188098</v>
      </c>
      <c r="V65">
        <f t="shared" ref="V65:W65" si="44">V41</f>
        <v>3.5</v>
      </c>
      <c r="W65">
        <f t="shared" si="44"/>
        <v>2.9</v>
      </c>
      <c r="X65" s="9">
        <v>2.7654122999999999</v>
      </c>
    </row>
    <row r="66" spans="1:24" x14ac:dyDescent="0.2">
      <c r="A66" s="41">
        <f t="shared" si="1"/>
        <v>45841.624999999847</v>
      </c>
      <c r="B66" s="42">
        <f t="shared" si="2"/>
        <v>8000</v>
      </c>
      <c r="C66" s="8">
        <v>25000</v>
      </c>
      <c r="D66" s="8">
        <v>0</v>
      </c>
      <c r="E66" s="8">
        <v>700</v>
      </c>
      <c r="F66" s="8">
        <v>7500</v>
      </c>
      <c r="G66" s="42">
        <f t="shared" si="3"/>
        <v>2400</v>
      </c>
      <c r="H66" s="8">
        <v>25000</v>
      </c>
      <c r="I66" s="42">
        <f t="shared" si="4"/>
        <v>8000</v>
      </c>
      <c r="J66" s="8">
        <v>25000</v>
      </c>
      <c r="K66" s="42">
        <f t="shared" si="5"/>
        <v>8000</v>
      </c>
      <c r="L66" s="8">
        <v>25000</v>
      </c>
      <c r="M66" s="9">
        <v>9</v>
      </c>
      <c r="N66" s="9">
        <v>16.100000000000001</v>
      </c>
      <c r="O66" s="9">
        <v>14</v>
      </c>
      <c r="P66" s="9">
        <v>19.5</v>
      </c>
      <c r="Q66" s="92">
        <v>2.8434377</v>
      </c>
      <c r="R66">
        <v>10</v>
      </c>
      <c r="S66">
        <v>1000</v>
      </c>
      <c r="T66" s="4">
        <f t="shared" si="6"/>
        <v>604.40284226394715</v>
      </c>
      <c r="U66">
        <f t="shared" si="0"/>
        <v>6.0440284226394718</v>
      </c>
      <c r="V66">
        <f t="shared" ref="V66:W66" si="45">V42</f>
        <v>3.2</v>
      </c>
      <c r="W66">
        <f t="shared" si="45"/>
        <v>2.9</v>
      </c>
      <c r="X66" s="9">
        <v>2.8434377</v>
      </c>
    </row>
    <row r="67" spans="1:24" x14ac:dyDescent="0.2">
      <c r="A67" s="41">
        <f t="shared" si="1"/>
        <v>45841.666666666511</v>
      </c>
      <c r="B67" s="42">
        <f t="shared" si="2"/>
        <v>8000</v>
      </c>
      <c r="C67" s="8">
        <v>25000</v>
      </c>
      <c r="D67" s="8">
        <v>0</v>
      </c>
      <c r="E67" s="8">
        <v>700</v>
      </c>
      <c r="F67" s="8">
        <v>7500</v>
      </c>
      <c r="G67" s="42">
        <f t="shared" si="3"/>
        <v>2400</v>
      </c>
      <c r="H67" s="8">
        <v>25000</v>
      </c>
      <c r="I67" s="42">
        <f t="shared" si="4"/>
        <v>8000</v>
      </c>
      <c r="J67" s="8">
        <v>25000</v>
      </c>
      <c r="K67" s="42">
        <f t="shared" si="5"/>
        <v>8000</v>
      </c>
      <c r="L67" s="8">
        <v>25000</v>
      </c>
      <c r="M67" s="9">
        <v>9</v>
      </c>
      <c r="N67" s="9">
        <v>16.100000000000001</v>
      </c>
      <c r="O67" s="9">
        <v>14</v>
      </c>
      <c r="P67" s="9">
        <v>19.5</v>
      </c>
      <c r="Q67" s="92">
        <v>3.1390566999999998</v>
      </c>
      <c r="R67">
        <v>10</v>
      </c>
      <c r="S67">
        <v>1000</v>
      </c>
      <c r="T67" s="4">
        <f t="shared" si="6"/>
        <v>875.91062255139741</v>
      </c>
      <c r="U67">
        <f t="shared" si="0"/>
        <v>8.7591062255139747</v>
      </c>
      <c r="V67">
        <f t="shared" ref="V67:W67" si="46">V43</f>
        <v>3.5</v>
      </c>
      <c r="W67">
        <f t="shared" si="46"/>
        <v>3</v>
      </c>
      <c r="X67" s="9">
        <v>3.1390566999999998</v>
      </c>
    </row>
    <row r="68" spans="1:24" x14ac:dyDescent="0.2">
      <c r="A68" s="41">
        <f t="shared" si="1"/>
        <v>45841.708333333176</v>
      </c>
      <c r="B68" s="42">
        <f t="shared" si="2"/>
        <v>8000</v>
      </c>
      <c r="C68" s="8">
        <v>25000</v>
      </c>
      <c r="D68" s="8">
        <v>0</v>
      </c>
      <c r="E68" s="8">
        <v>700</v>
      </c>
      <c r="F68" s="8">
        <v>7500</v>
      </c>
      <c r="G68" s="42">
        <f t="shared" si="3"/>
        <v>2400</v>
      </c>
      <c r="H68" s="8">
        <v>25000</v>
      </c>
      <c r="I68" s="42">
        <f t="shared" si="4"/>
        <v>8000</v>
      </c>
      <c r="J68" s="8">
        <v>25000</v>
      </c>
      <c r="K68" s="42">
        <f t="shared" si="5"/>
        <v>8000</v>
      </c>
      <c r="L68" s="8">
        <v>25000</v>
      </c>
      <c r="M68" s="9">
        <v>9</v>
      </c>
      <c r="N68" s="9">
        <v>16.100000000000001</v>
      </c>
      <c r="O68" s="9">
        <v>14</v>
      </c>
      <c r="P68" s="9">
        <v>19.5</v>
      </c>
      <c r="Q68" s="92">
        <v>2.9951669999999999</v>
      </c>
      <c r="R68">
        <v>10</v>
      </c>
      <c r="S68">
        <v>1000</v>
      </c>
      <c r="T68" s="4">
        <f t="shared" si="6"/>
        <v>1116.9022972813298</v>
      </c>
      <c r="U68">
        <f t="shared" ref="U68:U131" si="47">T68/100</f>
        <v>11.169022972813298</v>
      </c>
      <c r="V68">
        <f t="shared" ref="V68:W68" si="48">V44</f>
        <v>3.6</v>
      </c>
      <c r="W68">
        <f t="shared" si="48"/>
        <v>3</v>
      </c>
      <c r="X68" s="9">
        <v>2.9951669999999999</v>
      </c>
    </row>
    <row r="69" spans="1:24" x14ac:dyDescent="0.2">
      <c r="A69" s="41">
        <f t="shared" ref="A69:A132" si="49">A68+TIME(1,0,0)</f>
        <v>45841.74999999984</v>
      </c>
      <c r="B69" s="42">
        <f t="shared" si="2"/>
        <v>5000</v>
      </c>
      <c r="C69" s="8">
        <v>25000</v>
      </c>
      <c r="D69" s="8">
        <v>0</v>
      </c>
      <c r="E69" s="8">
        <v>700</v>
      </c>
      <c r="F69" s="8">
        <v>7500</v>
      </c>
      <c r="G69" s="42">
        <f t="shared" si="3"/>
        <v>2400</v>
      </c>
      <c r="H69" s="8">
        <v>25000</v>
      </c>
      <c r="I69" s="42">
        <f t="shared" si="4"/>
        <v>5000</v>
      </c>
      <c r="J69" s="8">
        <v>25000</v>
      </c>
      <c r="K69" s="42">
        <f t="shared" si="5"/>
        <v>5000</v>
      </c>
      <c r="L69" s="8">
        <v>25000</v>
      </c>
      <c r="M69" s="9">
        <v>9</v>
      </c>
      <c r="N69" s="9">
        <v>16.100000000000001</v>
      </c>
      <c r="O69" s="9">
        <v>14</v>
      </c>
      <c r="P69" s="9">
        <v>19.5</v>
      </c>
      <c r="Q69" s="92">
        <v>2.9305412999999998</v>
      </c>
      <c r="R69">
        <v>10</v>
      </c>
      <c r="S69">
        <v>1000</v>
      </c>
      <c r="T69" s="4">
        <f t="shared" si="6"/>
        <v>1156.8299120294841</v>
      </c>
      <c r="U69">
        <f t="shared" si="47"/>
        <v>11.568299120294842</v>
      </c>
      <c r="V69">
        <f t="shared" ref="V69:W69" si="50">V45</f>
        <v>2.9</v>
      </c>
      <c r="W69">
        <f t="shared" si="50"/>
        <v>3</v>
      </c>
      <c r="X69" s="9">
        <v>2.9305412999999998</v>
      </c>
    </row>
    <row r="70" spans="1:24" x14ac:dyDescent="0.2">
      <c r="A70" s="41">
        <f t="shared" si="49"/>
        <v>45841.791666666504</v>
      </c>
      <c r="B70" s="42">
        <f t="shared" si="2"/>
        <v>5000</v>
      </c>
      <c r="C70" s="8">
        <v>25000</v>
      </c>
      <c r="D70" s="8">
        <v>0</v>
      </c>
      <c r="E70" s="8">
        <v>700</v>
      </c>
      <c r="F70" s="8">
        <v>7500</v>
      </c>
      <c r="G70" s="42">
        <f t="shared" si="3"/>
        <v>2400</v>
      </c>
      <c r="H70" s="8">
        <v>25000</v>
      </c>
      <c r="I70" s="42">
        <f t="shared" si="4"/>
        <v>5000</v>
      </c>
      <c r="J70" s="8">
        <v>25000</v>
      </c>
      <c r="K70" s="42">
        <f t="shared" si="5"/>
        <v>5000</v>
      </c>
      <c r="L70" s="8">
        <v>25000</v>
      </c>
      <c r="M70" s="9">
        <v>9</v>
      </c>
      <c r="N70" s="9">
        <v>16.100000000000001</v>
      </c>
      <c r="O70" s="9">
        <v>14</v>
      </c>
      <c r="P70" s="9">
        <v>19.5</v>
      </c>
      <c r="Q70" s="92">
        <v>2.9572932999999999</v>
      </c>
      <c r="R70">
        <v>10</v>
      </c>
      <c r="S70">
        <v>1000</v>
      </c>
      <c r="T70" s="4">
        <f t="shared" si="6"/>
        <v>1156.8299120294841</v>
      </c>
      <c r="U70">
        <f t="shared" si="47"/>
        <v>11.568299120294842</v>
      </c>
      <c r="V70">
        <f t="shared" ref="V70:W70" si="51">V46</f>
        <v>3</v>
      </c>
      <c r="W70">
        <f t="shared" si="51"/>
        <v>3</v>
      </c>
      <c r="X70" s="9">
        <v>2.9572932999999999</v>
      </c>
    </row>
    <row r="71" spans="1:24" x14ac:dyDescent="0.2">
      <c r="A71" s="41">
        <f t="shared" si="49"/>
        <v>45841.833333333168</v>
      </c>
      <c r="B71" s="42">
        <f t="shared" si="2"/>
        <v>5000</v>
      </c>
      <c r="C71" s="8">
        <v>25000</v>
      </c>
      <c r="D71" s="8">
        <v>0</v>
      </c>
      <c r="E71" s="8">
        <v>700</v>
      </c>
      <c r="F71" s="8">
        <v>7500</v>
      </c>
      <c r="G71" s="42">
        <f t="shared" si="3"/>
        <v>2400</v>
      </c>
      <c r="H71" s="8">
        <v>25000</v>
      </c>
      <c r="I71" s="42">
        <f t="shared" si="4"/>
        <v>5000</v>
      </c>
      <c r="J71" s="8">
        <v>25000</v>
      </c>
      <c r="K71" s="42">
        <f t="shared" si="5"/>
        <v>5000</v>
      </c>
      <c r="L71" s="8">
        <v>25000</v>
      </c>
      <c r="M71" s="9">
        <v>9</v>
      </c>
      <c r="N71" s="9">
        <v>16.100000000000001</v>
      </c>
      <c r="O71" s="9">
        <v>14</v>
      </c>
      <c r="P71" s="9">
        <v>19.5</v>
      </c>
      <c r="Q71" s="92">
        <v>2.9727991</v>
      </c>
      <c r="R71">
        <v>10</v>
      </c>
      <c r="S71">
        <v>1000</v>
      </c>
      <c r="T71" s="4">
        <f t="shared" si="6"/>
        <v>1114.0503247993186</v>
      </c>
      <c r="U71">
        <f t="shared" si="47"/>
        <v>11.140503247993186</v>
      </c>
      <c r="V71">
        <f t="shared" ref="V71:W71" si="52">V47</f>
        <v>2.8</v>
      </c>
      <c r="W71">
        <f t="shared" si="52"/>
        <v>3.1</v>
      </c>
      <c r="X71" s="9">
        <v>2.9727991</v>
      </c>
    </row>
    <row r="72" spans="1:24" x14ac:dyDescent="0.2">
      <c r="A72" s="41">
        <f t="shared" si="49"/>
        <v>45841.874999999833</v>
      </c>
      <c r="B72" s="42">
        <f t="shared" si="2"/>
        <v>5000</v>
      </c>
      <c r="C72" s="8">
        <v>25000</v>
      </c>
      <c r="D72" s="8">
        <v>0</v>
      </c>
      <c r="E72" s="8">
        <v>700</v>
      </c>
      <c r="F72" s="8">
        <v>7500</v>
      </c>
      <c r="G72" s="42">
        <f t="shared" si="3"/>
        <v>2400</v>
      </c>
      <c r="H72" s="8">
        <v>25000</v>
      </c>
      <c r="I72" s="42">
        <f t="shared" si="4"/>
        <v>5000</v>
      </c>
      <c r="J72" s="8">
        <v>25000</v>
      </c>
      <c r="K72" s="42">
        <f t="shared" si="5"/>
        <v>5000</v>
      </c>
      <c r="L72" s="8">
        <v>25000</v>
      </c>
      <c r="M72" s="9">
        <v>9</v>
      </c>
      <c r="N72" s="9">
        <v>16.100000000000001</v>
      </c>
      <c r="O72" s="9">
        <v>14</v>
      </c>
      <c r="P72" s="9">
        <v>19.5</v>
      </c>
      <c r="Q72" s="92">
        <v>2.9689014</v>
      </c>
      <c r="R72">
        <v>10</v>
      </c>
      <c r="S72">
        <v>1000</v>
      </c>
      <c r="T72" s="4">
        <f t="shared" si="6"/>
        <v>1034.1950953030096</v>
      </c>
      <c r="U72">
        <f t="shared" si="47"/>
        <v>10.341950953030096</v>
      </c>
      <c r="V72">
        <f t="shared" ref="V72:W72" si="53">V48</f>
        <v>3.5</v>
      </c>
      <c r="W72">
        <f t="shared" si="53"/>
        <v>3.1</v>
      </c>
      <c r="X72" s="9">
        <v>2.9689014</v>
      </c>
    </row>
    <row r="73" spans="1:24" x14ac:dyDescent="0.2">
      <c r="A73" s="41">
        <f t="shared" si="49"/>
        <v>45841.916666666497</v>
      </c>
      <c r="B73" s="42">
        <f t="shared" si="2"/>
        <v>5000</v>
      </c>
      <c r="C73" s="8">
        <v>25000</v>
      </c>
      <c r="D73" s="8">
        <v>0</v>
      </c>
      <c r="E73" s="8">
        <v>700</v>
      </c>
      <c r="F73" s="8">
        <v>7500</v>
      </c>
      <c r="G73" s="42">
        <f t="shared" si="3"/>
        <v>2400</v>
      </c>
      <c r="H73" s="8">
        <v>25000</v>
      </c>
      <c r="I73" s="42">
        <f t="shared" si="4"/>
        <v>5000</v>
      </c>
      <c r="J73" s="8">
        <v>25000</v>
      </c>
      <c r="K73" s="42">
        <f t="shared" si="5"/>
        <v>5000</v>
      </c>
      <c r="L73" s="8">
        <v>25000</v>
      </c>
      <c r="M73" s="9">
        <v>9</v>
      </c>
      <c r="N73" s="9">
        <v>16.100000000000001</v>
      </c>
      <c r="O73" s="9">
        <v>14</v>
      </c>
      <c r="P73" s="9">
        <v>19.5</v>
      </c>
      <c r="Q73" s="92">
        <v>2.9532452</v>
      </c>
      <c r="R73">
        <v>10</v>
      </c>
      <c r="S73">
        <v>1000</v>
      </c>
      <c r="T73" s="4">
        <f t="shared" si="6"/>
        <v>807.46328298313267</v>
      </c>
      <c r="U73">
        <f t="shared" si="47"/>
        <v>8.0746328298313266</v>
      </c>
      <c r="V73">
        <f t="shared" ref="V73:W73" si="54">V49</f>
        <v>2.9</v>
      </c>
      <c r="W73">
        <f t="shared" si="54"/>
        <v>3.1</v>
      </c>
      <c r="X73" s="9">
        <v>2.9532452</v>
      </c>
    </row>
    <row r="74" spans="1:24" x14ac:dyDescent="0.2">
      <c r="A74" s="41">
        <f t="shared" si="49"/>
        <v>45841.958333333161</v>
      </c>
      <c r="B74" s="42">
        <f t="shared" si="2"/>
        <v>5000</v>
      </c>
      <c r="C74" s="8">
        <v>25000</v>
      </c>
      <c r="D74" s="8">
        <v>0</v>
      </c>
      <c r="E74" s="8">
        <v>700</v>
      </c>
      <c r="F74" s="8">
        <v>7500</v>
      </c>
      <c r="G74" s="42">
        <f t="shared" si="3"/>
        <v>2400</v>
      </c>
      <c r="H74" s="8">
        <v>25000</v>
      </c>
      <c r="I74" s="42">
        <f t="shared" si="4"/>
        <v>5000</v>
      </c>
      <c r="J74" s="8">
        <v>25000</v>
      </c>
      <c r="K74" s="42">
        <f t="shared" si="5"/>
        <v>5000</v>
      </c>
      <c r="L74" s="8">
        <v>25000</v>
      </c>
      <c r="M74" s="9">
        <v>9</v>
      </c>
      <c r="N74" s="9">
        <v>16.100000000000001</v>
      </c>
      <c r="O74" s="9">
        <v>14</v>
      </c>
      <c r="P74" s="9">
        <v>19.5</v>
      </c>
      <c r="Q74" s="92">
        <v>2.8432143000000001</v>
      </c>
      <c r="R74">
        <v>10</v>
      </c>
      <c r="S74">
        <v>1000</v>
      </c>
      <c r="T74" s="4">
        <f t="shared" si="6"/>
        <v>442.69657292841788</v>
      </c>
      <c r="U74">
        <f t="shared" si="47"/>
        <v>4.4269657292841789</v>
      </c>
      <c r="V74">
        <f t="shared" ref="V74:W74" si="55">V50</f>
        <v>3.6</v>
      </c>
      <c r="W74">
        <f t="shared" si="55"/>
        <v>3.1</v>
      </c>
      <c r="X74" s="9">
        <v>2.8432143000000001</v>
      </c>
    </row>
    <row r="75" spans="1:24" x14ac:dyDescent="0.2">
      <c r="A75" s="41">
        <f t="shared" si="49"/>
        <v>45841.999999999825</v>
      </c>
      <c r="B75" s="42">
        <f t="shared" si="2"/>
        <v>5000</v>
      </c>
      <c r="C75" s="8">
        <v>25000</v>
      </c>
      <c r="D75" s="8">
        <v>0</v>
      </c>
      <c r="E75" s="8">
        <v>700</v>
      </c>
      <c r="F75" s="8">
        <v>7500</v>
      </c>
      <c r="G75" s="42">
        <f t="shared" si="3"/>
        <v>2400</v>
      </c>
      <c r="H75" s="8">
        <v>25000</v>
      </c>
      <c r="I75" s="42">
        <f t="shared" si="4"/>
        <v>5000</v>
      </c>
      <c r="J75" s="8">
        <v>25000</v>
      </c>
      <c r="K75" s="42">
        <f t="shared" si="5"/>
        <v>5000</v>
      </c>
      <c r="L75" s="8">
        <v>25000</v>
      </c>
      <c r="M75" s="9">
        <v>9</v>
      </c>
      <c r="N75" s="9">
        <v>16.100000000000001</v>
      </c>
      <c r="O75" s="9">
        <v>14</v>
      </c>
      <c r="P75" s="9">
        <v>19.5</v>
      </c>
      <c r="Q75" s="92">
        <v>2.8213556</v>
      </c>
      <c r="R75">
        <v>10</v>
      </c>
      <c r="S75">
        <v>1000</v>
      </c>
      <c r="T75" s="4">
        <f t="shared" si="6"/>
        <v>442.69657292841788</v>
      </c>
      <c r="U75">
        <f t="shared" si="47"/>
        <v>4.4269657292841789</v>
      </c>
      <c r="V75">
        <f t="shared" ref="V75:W75" si="56">V51</f>
        <v>3</v>
      </c>
      <c r="W75">
        <f t="shared" si="56"/>
        <v>3.2</v>
      </c>
      <c r="X75" s="9">
        <v>2.8213556</v>
      </c>
    </row>
    <row r="76" spans="1:24" x14ac:dyDescent="0.2">
      <c r="A76" s="41">
        <f t="shared" si="49"/>
        <v>45842.04166666649</v>
      </c>
      <c r="B76" s="42">
        <f t="shared" si="2"/>
        <v>5000</v>
      </c>
      <c r="C76" s="8">
        <v>25000</v>
      </c>
      <c r="D76" s="8">
        <v>0</v>
      </c>
      <c r="E76" s="8">
        <v>700</v>
      </c>
      <c r="F76" s="8">
        <v>7500</v>
      </c>
      <c r="G76" s="42">
        <f t="shared" si="3"/>
        <v>2400</v>
      </c>
      <c r="H76" s="8">
        <v>25000</v>
      </c>
      <c r="I76" s="42">
        <f t="shared" si="4"/>
        <v>5000</v>
      </c>
      <c r="J76" s="8">
        <v>25000</v>
      </c>
      <c r="K76" s="42">
        <f t="shared" si="5"/>
        <v>5000</v>
      </c>
      <c r="L76" s="8">
        <v>25000</v>
      </c>
      <c r="M76" s="9">
        <v>9</v>
      </c>
      <c r="N76" s="9">
        <v>16.100000000000001</v>
      </c>
      <c r="O76" s="9">
        <v>14</v>
      </c>
      <c r="P76" s="9">
        <v>19.5</v>
      </c>
      <c r="Q76" s="92">
        <v>2.8904147</v>
      </c>
      <c r="R76">
        <v>10</v>
      </c>
      <c r="S76">
        <v>1000</v>
      </c>
      <c r="T76" s="4">
        <f t="shared" si="6"/>
        <v>362.27094893570683</v>
      </c>
      <c r="U76">
        <f t="shared" si="47"/>
        <v>3.6227094893570682</v>
      </c>
      <c r="V76">
        <f t="shared" ref="V76:W76" si="57">V52</f>
        <v>2.6</v>
      </c>
      <c r="W76">
        <f t="shared" si="57"/>
        <v>3.2</v>
      </c>
      <c r="X76" s="9">
        <v>2.8904147</v>
      </c>
    </row>
    <row r="77" spans="1:24" x14ac:dyDescent="0.2">
      <c r="A77" s="41">
        <f t="shared" si="49"/>
        <v>45842.083333333154</v>
      </c>
      <c r="B77" s="42">
        <f t="shared" si="2"/>
        <v>5000</v>
      </c>
      <c r="C77" s="8">
        <v>25000</v>
      </c>
      <c r="D77" s="8">
        <v>0</v>
      </c>
      <c r="E77" s="8">
        <v>700</v>
      </c>
      <c r="F77" s="8">
        <v>7500</v>
      </c>
      <c r="G77" s="42">
        <f t="shared" si="3"/>
        <v>2400</v>
      </c>
      <c r="H77" s="8">
        <v>25000</v>
      </c>
      <c r="I77" s="42">
        <f t="shared" si="4"/>
        <v>5000</v>
      </c>
      <c r="J77" s="8">
        <v>25000</v>
      </c>
      <c r="K77" s="42">
        <f t="shared" si="5"/>
        <v>5000</v>
      </c>
      <c r="L77" s="8">
        <v>25000</v>
      </c>
      <c r="M77" s="9">
        <v>9</v>
      </c>
      <c r="N77" s="9">
        <v>16.100000000000001</v>
      </c>
      <c r="O77" s="9">
        <v>14</v>
      </c>
      <c r="P77" s="9">
        <v>19.5</v>
      </c>
      <c r="Q77" s="92">
        <v>2.9694748</v>
      </c>
      <c r="R77">
        <v>10</v>
      </c>
      <c r="S77">
        <v>1000</v>
      </c>
      <c r="T77" s="4">
        <f t="shared" si="6"/>
        <v>362.27094893570683</v>
      </c>
      <c r="U77">
        <f t="shared" si="47"/>
        <v>3.6227094893570682</v>
      </c>
      <c r="V77">
        <f t="shared" ref="V77:W77" si="58">V53</f>
        <v>2.8</v>
      </c>
      <c r="W77">
        <f t="shared" si="58"/>
        <v>3.2</v>
      </c>
      <c r="X77" s="9">
        <v>2.9694748</v>
      </c>
    </row>
    <row r="78" spans="1:24" x14ac:dyDescent="0.2">
      <c r="A78" s="41">
        <f t="shared" si="49"/>
        <v>45842.124999999818</v>
      </c>
      <c r="B78" s="42">
        <f t="shared" si="2"/>
        <v>5000</v>
      </c>
      <c r="C78" s="8">
        <v>25000</v>
      </c>
      <c r="D78" s="8">
        <v>0</v>
      </c>
      <c r="E78" s="8">
        <v>700</v>
      </c>
      <c r="F78" s="8">
        <v>7500</v>
      </c>
      <c r="G78" s="42">
        <f t="shared" si="3"/>
        <v>2400</v>
      </c>
      <c r="H78" s="8">
        <v>25000</v>
      </c>
      <c r="I78" s="42">
        <f t="shared" si="4"/>
        <v>5000</v>
      </c>
      <c r="J78" s="8">
        <v>25000</v>
      </c>
      <c r="K78" s="42">
        <f t="shared" si="5"/>
        <v>5000</v>
      </c>
      <c r="L78" s="8">
        <v>25000</v>
      </c>
      <c r="M78" s="9">
        <v>9</v>
      </c>
      <c r="N78" s="9">
        <v>16.100000000000001</v>
      </c>
      <c r="O78" s="9">
        <v>14</v>
      </c>
      <c r="P78" s="9">
        <v>19.5</v>
      </c>
      <c r="Q78" s="92">
        <v>3.0386495999999998</v>
      </c>
      <c r="R78">
        <v>10</v>
      </c>
      <c r="S78">
        <v>1000</v>
      </c>
      <c r="T78" s="4">
        <f t="shared" si="6"/>
        <v>362.27094893570683</v>
      </c>
      <c r="U78">
        <f t="shared" si="47"/>
        <v>3.6227094893570682</v>
      </c>
      <c r="V78">
        <f t="shared" ref="V78:W78" si="59">V54</f>
        <v>2.7</v>
      </c>
      <c r="W78">
        <f t="shared" si="59"/>
        <v>3.2</v>
      </c>
      <c r="X78" s="9">
        <v>3.0386495999999998</v>
      </c>
    </row>
    <row r="79" spans="1:24" x14ac:dyDescent="0.2">
      <c r="A79" s="41">
        <f t="shared" si="49"/>
        <v>45842.166666666482</v>
      </c>
      <c r="B79" s="42">
        <f t="shared" si="2"/>
        <v>5000</v>
      </c>
      <c r="C79" s="8">
        <v>25000</v>
      </c>
      <c r="D79" s="8">
        <v>0</v>
      </c>
      <c r="E79" s="8">
        <v>700</v>
      </c>
      <c r="F79" s="8">
        <v>7500</v>
      </c>
      <c r="G79" s="42">
        <f t="shared" si="3"/>
        <v>2400</v>
      </c>
      <c r="H79" s="8">
        <v>25000</v>
      </c>
      <c r="I79" s="42">
        <f t="shared" si="4"/>
        <v>5000</v>
      </c>
      <c r="J79" s="8">
        <v>25000</v>
      </c>
      <c r="K79" s="42">
        <f t="shared" si="5"/>
        <v>5000</v>
      </c>
      <c r="L79" s="8">
        <v>25000</v>
      </c>
      <c r="M79" s="9">
        <v>9</v>
      </c>
      <c r="N79" s="9">
        <v>16.100000000000001</v>
      </c>
      <c r="O79" s="9">
        <v>14</v>
      </c>
      <c r="P79" s="9">
        <v>19.5</v>
      </c>
      <c r="Q79" s="92">
        <v>3.0793051999999999</v>
      </c>
      <c r="R79">
        <v>10</v>
      </c>
      <c r="S79">
        <v>1000</v>
      </c>
      <c r="T79" s="4">
        <f t="shared" si="6"/>
        <v>426.44032978095498</v>
      </c>
      <c r="U79">
        <f t="shared" si="47"/>
        <v>4.2644032978095501</v>
      </c>
      <c r="V79">
        <f t="shared" ref="V79:W79" si="60">V55</f>
        <v>3</v>
      </c>
      <c r="W79">
        <f t="shared" si="60"/>
        <v>3.1</v>
      </c>
      <c r="X79" s="9">
        <v>3.0793051999999999</v>
      </c>
    </row>
    <row r="80" spans="1:24" x14ac:dyDescent="0.2">
      <c r="A80" s="41">
        <f t="shared" si="49"/>
        <v>45842.208333333147</v>
      </c>
      <c r="B80" s="42">
        <f t="shared" si="2"/>
        <v>5000</v>
      </c>
      <c r="C80" s="8">
        <v>25000</v>
      </c>
      <c r="D80" s="8">
        <v>0</v>
      </c>
      <c r="E80" s="8">
        <v>700</v>
      </c>
      <c r="F80" s="8">
        <v>7500</v>
      </c>
      <c r="G80" s="42">
        <f t="shared" si="3"/>
        <v>2400</v>
      </c>
      <c r="H80" s="8">
        <v>25000</v>
      </c>
      <c r="I80" s="42">
        <f t="shared" si="4"/>
        <v>5000</v>
      </c>
      <c r="J80" s="8">
        <v>25000</v>
      </c>
      <c r="K80" s="42">
        <f t="shared" si="5"/>
        <v>5000</v>
      </c>
      <c r="L80" s="8">
        <v>25000</v>
      </c>
      <c r="M80" s="9">
        <v>9</v>
      </c>
      <c r="N80" s="9">
        <v>16.100000000000001</v>
      </c>
      <c r="O80" s="9">
        <v>14</v>
      </c>
      <c r="P80" s="9">
        <v>19.5</v>
      </c>
      <c r="Q80" s="92">
        <v>3.1517681999999998</v>
      </c>
      <c r="R80">
        <v>10</v>
      </c>
      <c r="S80">
        <v>1000</v>
      </c>
      <c r="T80" s="4">
        <f t="shared" si="6"/>
        <v>362.27094893570683</v>
      </c>
      <c r="U80">
        <f t="shared" si="47"/>
        <v>3.6227094893570682</v>
      </c>
      <c r="V80">
        <f t="shared" ref="V80:W80" si="61">V56</f>
        <v>2.9</v>
      </c>
      <c r="W80">
        <f t="shared" si="61"/>
        <v>3.1</v>
      </c>
      <c r="X80" s="9">
        <v>3.1517681999999998</v>
      </c>
    </row>
    <row r="81" spans="1:24" x14ac:dyDescent="0.2">
      <c r="A81" s="41">
        <f t="shared" si="49"/>
        <v>45842.249999999811</v>
      </c>
      <c r="B81" s="42">
        <f t="shared" si="2"/>
        <v>8000</v>
      </c>
      <c r="C81" s="8">
        <v>25000</v>
      </c>
      <c r="D81" s="8">
        <v>0</v>
      </c>
      <c r="E81" s="8">
        <v>700</v>
      </c>
      <c r="F81" s="8">
        <v>7500</v>
      </c>
      <c r="G81" s="42">
        <f t="shared" si="3"/>
        <v>2400</v>
      </c>
      <c r="H81" s="8">
        <v>25000</v>
      </c>
      <c r="I81" s="42">
        <f t="shared" si="4"/>
        <v>8000</v>
      </c>
      <c r="J81" s="8">
        <v>25000</v>
      </c>
      <c r="K81" s="42">
        <f t="shared" si="5"/>
        <v>8000</v>
      </c>
      <c r="L81" s="8">
        <v>25000</v>
      </c>
      <c r="M81" s="9">
        <v>9</v>
      </c>
      <c r="N81" s="9">
        <v>16.100000000000001</v>
      </c>
      <c r="O81" s="9">
        <v>14</v>
      </c>
      <c r="P81" s="9">
        <v>19.5</v>
      </c>
      <c r="Q81" s="92">
        <v>3.2295308</v>
      </c>
      <c r="R81">
        <v>10</v>
      </c>
      <c r="S81">
        <v>1000</v>
      </c>
      <c r="T81" s="4">
        <f t="shared" si="6"/>
        <v>304.3759075508828</v>
      </c>
      <c r="U81">
        <f t="shared" si="47"/>
        <v>3.0437590755088282</v>
      </c>
      <c r="V81">
        <f t="shared" ref="V81:W81" si="62">V57</f>
        <v>2.5</v>
      </c>
      <c r="W81">
        <f t="shared" si="62"/>
        <v>3.1</v>
      </c>
      <c r="X81" s="9">
        <v>3.2295308</v>
      </c>
    </row>
    <row r="82" spans="1:24" x14ac:dyDescent="0.2">
      <c r="A82" s="41">
        <f t="shared" si="49"/>
        <v>45842.291666666475</v>
      </c>
      <c r="B82" s="42">
        <f t="shared" si="2"/>
        <v>8000</v>
      </c>
      <c r="C82" s="8">
        <v>25000</v>
      </c>
      <c r="D82" s="8">
        <v>0</v>
      </c>
      <c r="E82" s="8">
        <v>700</v>
      </c>
      <c r="F82" s="8">
        <v>7500</v>
      </c>
      <c r="G82" s="42">
        <f t="shared" si="3"/>
        <v>2400</v>
      </c>
      <c r="H82" s="8">
        <v>25000</v>
      </c>
      <c r="I82" s="42">
        <f t="shared" si="4"/>
        <v>8000</v>
      </c>
      <c r="J82" s="8">
        <v>25000</v>
      </c>
      <c r="K82" s="42">
        <f t="shared" si="5"/>
        <v>8000</v>
      </c>
      <c r="L82" s="8">
        <v>25000</v>
      </c>
      <c r="M82" s="9">
        <v>9</v>
      </c>
      <c r="N82" s="9">
        <v>16.100000000000001</v>
      </c>
      <c r="O82" s="9">
        <v>14</v>
      </c>
      <c r="P82" s="9">
        <v>19.5</v>
      </c>
      <c r="Q82" s="92">
        <v>3.2418556000000001</v>
      </c>
      <c r="R82">
        <v>10</v>
      </c>
      <c r="S82">
        <v>1000</v>
      </c>
      <c r="T82" s="4">
        <f t="shared" si="6"/>
        <v>280.13414145378908</v>
      </c>
      <c r="U82">
        <f t="shared" si="47"/>
        <v>2.801341414537891</v>
      </c>
      <c r="V82">
        <f t="shared" ref="V82:W82" si="63">V58</f>
        <v>2.5</v>
      </c>
      <c r="W82">
        <f t="shared" si="63"/>
        <v>3.1</v>
      </c>
      <c r="X82" s="9">
        <v>3.2418556000000001</v>
      </c>
    </row>
    <row r="83" spans="1:24" x14ac:dyDescent="0.2">
      <c r="A83" s="41">
        <f t="shared" si="49"/>
        <v>45842.333333333139</v>
      </c>
      <c r="B83" s="42">
        <f t="shared" si="2"/>
        <v>8000</v>
      </c>
      <c r="C83" s="8">
        <v>25000</v>
      </c>
      <c r="D83" s="8">
        <v>0</v>
      </c>
      <c r="E83" s="8">
        <v>700</v>
      </c>
      <c r="F83" s="8">
        <v>7500</v>
      </c>
      <c r="G83" s="42">
        <f t="shared" si="3"/>
        <v>2400</v>
      </c>
      <c r="H83" s="8">
        <v>25000</v>
      </c>
      <c r="I83" s="42">
        <f t="shared" si="4"/>
        <v>8000</v>
      </c>
      <c r="J83" s="8">
        <v>25000</v>
      </c>
      <c r="K83" s="42">
        <f t="shared" si="5"/>
        <v>8000</v>
      </c>
      <c r="L83" s="8">
        <v>25000</v>
      </c>
      <c r="M83" s="9">
        <v>9</v>
      </c>
      <c r="N83" s="9">
        <v>16.100000000000001</v>
      </c>
      <c r="O83" s="9">
        <v>14</v>
      </c>
      <c r="P83" s="9">
        <v>19.5</v>
      </c>
      <c r="Q83" s="92">
        <v>3.2957519999999998</v>
      </c>
      <c r="R83">
        <v>10</v>
      </c>
      <c r="S83">
        <v>1000</v>
      </c>
      <c r="T83" s="4">
        <f t="shared" si="6"/>
        <v>294.39400386384426</v>
      </c>
      <c r="U83">
        <f t="shared" si="47"/>
        <v>2.9439400386384427</v>
      </c>
      <c r="V83">
        <f t="shared" ref="V83:W83" si="64">V59</f>
        <v>3.2</v>
      </c>
      <c r="W83">
        <f t="shared" si="64"/>
        <v>3</v>
      </c>
      <c r="X83" s="9">
        <v>3.2957519999999998</v>
      </c>
    </row>
    <row r="84" spans="1:24" x14ac:dyDescent="0.2">
      <c r="A84" s="41">
        <f t="shared" si="49"/>
        <v>45842.374999999804</v>
      </c>
      <c r="B84" s="42">
        <f t="shared" si="2"/>
        <v>8000</v>
      </c>
      <c r="C84" s="8">
        <v>25000</v>
      </c>
      <c r="D84" s="8">
        <v>0</v>
      </c>
      <c r="E84" s="8">
        <v>700</v>
      </c>
      <c r="F84" s="8">
        <v>7500</v>
      </c>
      <c r="G84" s="42">
        <f t="shared" si="3"/>
        <v>2400</v>
      </c>
      <c r="H84" s="8">
        <v>25000</v>
      </c>
      <c r="I84" s="42">
        <f t="shared" si="4"/>
        <v>8000</v>
      </c>
      <c r="J84" s="8">
        <v>25000</v>
      </c>
      <c r="K84" s="42">
        <f t="shared" si="5"/>
        <v>8000</v>
      </c>
      <c r="L84" s="8">
        <v>25000</v>
      </c>
      <c r="M84" s="9">
        <v>9</v>
      </c>
      <c r="N84" s="9">
        <v>16.100000000000001</v>
      </c>
      <c r="O84" s="9">
        <v>14</v>
      </c>
      <c r="P84" s="9">
        <v>19.5</v>
      </c>
      <c r="Q84" s="92">
        <v>3.3775605999999998</v>
      </c>
      <c r="R84">
        <v>10</v>
      </c>
      <c r="S84">
        <v>1000</v>
      </c>
      <c r="T84" s="4">
        <f t="shared" si="6"/>
        <v>317.20978371993255</v>
      </c>
      <c r="U84">
        <f t="shared" si="47"/>
        <v>3.1720978371993254</v>
      </c>
      <c r="V84">
        <f t="shared" ref="V84:W84" si="65">V60</f>
        <v>2.9</v>
      </c>
      <c r="W84">
        <f t="shared" si="65"/>
        <v>3</v>
      </c>
      <c r="X84" s="9">
        <v>3.3775605999999998</v>
      </c>
    </row>
    <row r="85" spans="1:24" x14ac:dyDescent="0.2">
      <c r="A85" s="41">
        <f t="shared" si="49"/>
        <v>45842.416666666468</v>
      </c>
      <c r="B85" s="42">
        <f t="shared" si="2"/>
        <v>8000</v>
      </c>
      <c r="C85" s="8">
        <v>25000</v>
      </c>
      <c r="D85" s="8">
        <v>0</v>
      </c>
      <c r="E85" s="8">
        <v>700</v>
      </c>
      <c r="F85" s="8">
        <v>7500</v>
      </c>
      <c r="G85" s="42">
        <f t="shared" si="3"/>
        <v>2400</v>
      </c>
      <c r="H85" s="8">
        <v>25000</v>
      </c>
      <c r="I85" s="42">
        <f t="shared" si="4"/>
        <v>8000</v>
      </c>
      <c r="J85" s="8">
        <v>25000</v>
      </c>
      <c r="K85" s="42">
        <f t="shared" si="5"/>
        <v>8000</v>
      </c>
      <c r="L85" s="8">
        <v>25000</v>
      </c>
      <c r="M85" s="9">
        <v>9</v>
      </c>
      <c r="N85" s="9">
        <v>16.100000000000001</v>
      </c>
      <c r="O85" s="9">
        <v>14</v>
      </c>
      <c r="P85" s="9">
        <v>19.5</v>
      </c>
      <c r="Q85" s="92">
        <v>3.3921852000000001</v>
      </c>
      <c r="R85">
        <v>10</v>
      </c>
      <c r="S85">
        <v>1000</v>
      </c>
      <c r="T85" s="4">
        <f t="shared" si="6"/>
        <v>308.08347177749721</v>
      </c>
      <c r="U85">
        <f t="shared" si="47"/>
        <v>3.0808347177749722</v>
      </c>
      <c r="V85">
        <f t="shared" ref="V85:W85" si="66">V61</f>
        <v>2.9</v>
      </c>
      <c r="W85">
        <f t="shared" si="66"/>
        <v>3</v>
      </c>
      <c r="X85" s="9">
        <v>3.3921852000000001</v>
      </c>
    </row>
    <row r="86" spans="1:24" x14ac:dyDescent="0.2">
      <c r="A86" s="41">
        <f t="shared" si="49"/>
        <v>45842.458333333132</v>
      </c>
      <c r="B86" s="42">
        <f t="shared" si="2"/>
        <v>8000</v>
      </c>
      <c r="C86" s="8">
        <v>25000</v>
      </c>
      <c r="D86" s="8">
        <v>0</v>
      </c>
      <c r="E86" s="8">
        <v>700</v>
      </c>
      <c r="F86" s="8">
        <v>7500</v>
      </c>
      <c r="G86" s="42">
        <f t="shared" si="3"/>
        <v>2400</v>
      </c>
      <c r="H86" s="8">
        <v>25000</v>
      </c>
      <c r="I86" s="42">
        <f t="shared" si="4"/>
        <v>8000</v>
      </c>
      <c r="J86" s="8">
        <v>25000</v>
      </c>
      <c r="K86" s="42">
        <f t="shared" si="5"/>
        <v>8000</v>
      </c>
      <c r="L86" s="8">
        <v>25000</v>
      </c>
      <c r="M86" s="9">
        <v>9</v>
      </c>
      <c r="N86" s="9">
        <v>16.100000000000001</v>
      </c>
      <c r="O86" s="9">
        <v>14</v>
      </c>
      <c r="P86" s="9">
        <v>19.5</v>
      </c>
      <c r="Q86" s="92">
        <v>3.2445099000000002</v>
      </c>
      <c r="R86">
        <v>10</v>
      </c>
      <c r="S86">
        <v>1000</v>
      </c>
      <c r="T86" s="4">
        <f t="shared" si="6"/>
        <v>303.80551305448063</v>
      </c>
      <c r="U86">
        <f t="shared" si="47"/>
        <v>3.0380551305448065</v>
      </c>
      <c r="V86">
        <f t="shared" ref="V86:W86" si="67">V62</f>
        <v>3.4</v>
      </c>
      <c r="W86">
        <f t="shared" si="67"/>
        <v>3</v>
      </c>
      <c r="X86" s="9">
        <v>3.2445099000000002</v>
      </c>
    </row>
    <row r="87" spans="1:24" x14ac:dyDescent="0.2">
      <c r="A87" s="41">
        <f t="shared" si="49"/>
        <v>45842.499999999796</v>
      </c>
      <c r="B87" s="42">
        <f t="shared" si="2"/>
        <v>8000</v>
      </c>
      <c r="C87" s="8">
        <v>25000</v>
      </c>
      <c r="D87" s="8">
        <v>0</v>
      </c>
      <c r="E87" s="8">
        <v>700</v>
      </c>
      <c r="F87" s="8">
        <v>7500</v>
      </c>
      <c r="G87" s="42">
        <f t="shared" si="3"/>
        <v>2400</v>
      </c>
      <c r="H87" s="8">
        <v>25000</v>
      </c>
      <c r="I87" s="42">
        <f t="shared" si="4"/>
        <v>8000</v>
      </c>
      <c r="J87" s="8">
        <v>25000</v>
      </c>
      <c r="K87" s="42">
        <f t="shared" si="5"/>
        <v>8000</v>
      </c>
      <c r="L87" s="8">
        <v>25000</v>
      </c>
      <c r="M87" s="9">
        <v>9</v>
      </c>
      <c r="N87" s="9">
        <v>16.100000000000001</v>
      </c>
      <c r="O87" s="9">
        <v>14</v>
      </c>
      <c r="P87" s="9">
        <v>19.5</v>
      </c>
      <c r="Q87" s="92">
        <v>3.0543528000000002</v>
      </c>
      <c r="R87">
        <v>10</v>
      </c>
      <c r="S87">
        <v>1000</v>
      </c>
      <c r="T87" s="4">
        <f t="shared" si="6"/>
        <v>303.80551305448063</v>
      </c>
      <c r="U87">
        <f t="shared" si="47"/>
        <v>3.0380551305448065</v>
      </c>
      <c r="V87">
        <f t="shared" ref="V87:W87" si="68">V63</f>
        <v>3.1</v>
      </c>
      <c r="W87">
        <f t="shared" si="68"/>
        <v>2.9</v>
      </c>
      <c r="X87" s="9">
        <v>3.0543528000000002</v>
      </c>
    </row>
    <row r="88" spans="1:24" x14ac:dyDescent="0.2">
      <c r="A88" s="41">
        <f t="shared" si="49"/>
        <v>45842.541666666461</v>
      </c>
      <c r="B88" s="42">
        <f t="shared" si="2"/>
        <v>8000</v>
      </c>
      <c r="C88" s="8">
        <v>25000</v>
      </c>
      <c r="D88" s="8">
        <v>0</v>
      </c>
      <c r="E88" s="8">
        <v>700</v>
      </c>
      <c r="F88" s="8">
        <v>7500</v>
      </c>
      <c r="G88" s="42">
        <f t="shared" si="3"/>
        <v>2400</v>
      </c>
      <c r="H88" s="8">
        <v>25000</v>
      </c>
      <c r="I88" s="42">
        <f t="shared" si="4"/>
        <v>8000</v>
      </c>
      <c r="J88" s="8">
        <v>25000</v>
      </c>
      <c r="K88" s="42">
        <f t="shared" si="5"/>
        <v>8000</v>
      </c>
      <c r="L88" s="8">
        <v>25000</v>
      </c>
      <c r="M88" s="9">
        <v>9</v>
      </c>
      <c r="N88" s="9">
        <v>16.100000000000001</v>
      </c>
      <c r="O88" s="9">
        <v>14</v>
      </c>
      <c r="P88" s="9">
        <v>19.5</v>
      </c>
      <c r="Q88" s="92">
        <v>2.8603538999999998</v>
      </c>
      <c r="R88">
        <v>10</v>
      </c>
      <c r="S88">
        <v>1000</v>
      </c>
      <c r="T88" s="4">
        <f t="shared" si="6"/>
        <v>353.43040463596901</v>
      </c>
      <c r="U88">
        <f t="shared" si="47"/>
        <v>3.53430404635969</v>
      </c>
      <c r="V88">
        <f t="shared" ref="V88:W88" si="69">V64</f>
        <v>3.2</v>
      </c>
      <c r="W88">
        <f t="shared" si="69"/>
        <v>2.9</v>
      </c>
      <c r="X88" s="9">
        <v>2.8603538999999998</v>
      </c>
    </row>
    <row r="89" spans="1:24" x14ac:dyDescent="0.2">
      <c r="A89" s="41">
        <f t="shared" si="49"/>
        <v>45842.583333333125</v>
      </c>
      <c r="B89" s="42">
        <f t="shared" si="2"/>
        <v>8000</v>
      </c>
      <c r="C89" s="8">
        <v>25000</v>
      </c>
      <c r="D89" s="8">
        <v>0</v>
      </c>
      <c r="E89" s="8">
        <v>700</v>
      </c>
      <c r="F89" s="8">
        <v>7500</v>
      </c>
      <c r="G89" s="42">
        <f t="shared" si="3"/>
        <v>2400</v>
      </c>
      <c r="H89" s="8">
        <v>25000</v>
      </c>
      <c r="I89" s="42">
        <f t="shared" si="4"/>
        <v>8000</v>
      </c>
      <c r="J89" s="8">
        <v>25000</v>
      </c>
      <c r="K89" s="42">
        <f t="shared" si="5"/>
        <v>8000</v>
      </c>
      <c r="L89" s="8">
        <v>25000</v>
      </c>
      <c r="M89" s="9">
        <v>9</v>
      </c>
      <c r="N89" s="9">
        <v>16.100000000000001</v>
      </c>
      <c r="O89" s="9">
        <v>14</v>
      </c>
      <c r="P89" s="9">
        <v>19.5</v>
      </c>
      <c r="Q89" s="92">
        <v>2.8694513000000001</v>
      </c>
      <c r="R89">
        <v>10</v>
      </c>
      <c r="S89">
        <v>1000</v>
      </c>
      <c r="T89" s="4">
        <f t="shared" si="6"/>
        <v>587.29100737188094</v>
      </c>
      <c r="U89">
        <f t="shared" si="47"/>
        <v>5.8729100737188098</v>
      </c>
      <c r="V89">
        <f t="shared" ref="V89:W89" si="70">V65</f>
        <v>3.5</v>
      </c>
      <c r="W89">
        <f t="shared" si="70"/>
        <v>2.9</v>
      </c>
      <c r="X89" s="9">
        <v>2.8694513000000001</v>
      </c>
    </row>
    <row r="90" spans="1:24" x14ac:dyDescent="0.2">
      <c r="A90" s="41">
        <f t="shared" si="49"/>
        <v>45842.624999999789</v>
      </c>
      <c r="B90" s="42">
        <f t="shared" si="2"/>
        <v>8000</v>
      </c>
      <c r="C90" s="8">
        <v>25000</v>
      </c>
      <c r="D90" s="8">
        <v>0</v>
      </c>
      <c r="E90" s="8">
        <v>700</v>
      </c>
      <c r="F90" s="8">
        <v>7500</v>
      </c>
      <c r="G90" s="42">
        <f t="shared" si="3"/>
        <v>2400</v>
      </c>
      <c r="H90" s="8">
        <v>25000</v>
      </c>
      <c r="I90" s="42">
        <f t="shared" si="4"/>
        <v>8000</v>
      </c>
      <c r="J90" s="8">
        <v>25000</v>
      </c>
      <c r="K90" s="42">
        <f t="shared" si="5"/>
        <v>8000</v>
      </c>
      <c r="L90" s="8">
        <v>25000</v>
      </c>
      <c r="M90" s="9">
        <v>9</v>
      </c>
      <c r="N90" s="9">
        <v>16.100000000000001</v>
      </c>
      <c r="O90" s="9">
        <v>14</v>
      </c>
      <c r="P90" s="9">
        <v>19.5</v>
      </c>
      <c r="Q90" s="92">
        <v>3.1699421000000001</v>
      </c>
      <c r="R90">
        <v>10</v>
      </c>
      <c r="S90">
        <v>1000</v>
      </c>
      <c r="T90" s="4">
        <f t="shared" si="6"/>
        <v>604.40284226394715</v>
      </c>
      <c r="U90">
        <f t="shared" si="47"/>
        <v>6.0440284226394718</v>
      </c>
      <c r="V90">
        <f t="shared" ref="V90:W90" si="71">V66</f>
        <v>3.2</v>
      </c>
      <c r="W90">
        <f t="shared" si="71"/>
        <v>2.9</v>
      </c>
      <c r="X90" s="9">
        <v>3.1699421000000001</v>
      </c>
    </row>
    <row r="91" spans="1:24" x14ac:dyDescent="0.2">
      <c r="A91" s="41">
        <f t="shared" si="49"/>
        <v>45842.666666666453</v>
      </c>
      <c r="B91" s="42">
        <f t="shared" si="2"/>
        <v>8000</v>
      </c>
      <c r="C91" s="8">
        <v>25000</v>
      </c>
      <c r="D91" s="8">
        <v>0</v>
      </c>
      <c r="E91" s="8">
        <v>700</v>
      </c>
      <c r="F91" s="8">
        <v>7500</v>
      </c>
      <c r="G91" s="42">
        <f t="shared" si="3"/>
        <v>2400</v>
      </c>
      <c r="H91" s="8">
        <v>25000</v>
      </c>
      <c r="I91" s="42">
        <f t="shared" si="4"/>
        <v>8000</v>
      </c>
      <c r="J91" s="8">
        <v>25000</v>
      </c>
      <c r="K91" s="42">
        <f t="shared" si="5"/>
        <v>8000</v>
      </c>
      <c r="L91" s="8">
        <v>25000</v>
      </c>
      <c r="M91" s="9">
        <v>9</v>
      </c>
      <c r="N91" s="9">
        <v>16.100000000000001</v>
      </c>
      <c r="O91" s="9">
        <v>14</v>
      </c>
      <c r="P91" s="9">
        <v>19.5</v>
      </c>
      <c r="Q91" s="92">
        <v>3.0392420000000002</v>
      </c>
      <c r="R91">
        <v>10</v>
      </c>
      <c r="S91">
        <v>1000</v>
      </c>
      <c r="T91" s="4">
        <f t="shared" si="6"/>
        <v>875.91062255139741</v>
      </c>
      <c r="U91">
        <f t="shared" si="47"/>
        <v>8.7591062255139747</v>
      </c>
      <c r="V91">
        <f t="shared" ref="V91:W91" si="72">V67</f>
        <v>3.5</v>
      </c>
      <c r="W91">
        <f t="shared" si="72"/>
        <v>3</v>
      </c>
      <c r="X91" s="9">
        <v>3.0392420000000002</v>
      </c>
    </row>
    <row r="92" spans="1:24" x14ac:dyDescent="0.2">
      <c r="A92" s="41">
        <f t="shared" si="49"/>
        <v>45842.708333333117</v>
      </c>
      <c r="B92" s="42">
        <f t="shared" ref="B92:B155" si="73">B68</f>
        <v>8000</v>
      </c>
      <c r="C92" s="8">
        <v>25000</v>
      </c>
      <c r="D92" s="8">
        <v>0</v>
      </c>
      <c r="E92" s="8">
        <v>700</v>
      </c>
      <c r="F92" s="8">
        <v>7500</v>
      </c>
      <c r="G92" s="42">
        <f t="shared" ref="G92:G155" si="74">G68</f>
        <v>2400</v>
      </c>
      <c r="H92" s="8">
        <v>25000</v>
      </c>
      <c r="I92" s="42">
        <f t="shared" ref="I92:I155" si="75">I68</f>
        <v>8000</v>
      </c>
      <c r="J92" s="8">
        <v>25000</v>
      </c>
      <c r="K92" s="42">
        <f t="shared" ref="K92:K155" si="76">K68</f>
        <v>8000</v>
      </c>
      <c r="L92" s="8">
        <v>25000</v>
      </c>
      <c r="M92" s="9">
        <v>9</v>
      </c>
      <c r="N92" s="9">
        <v>16.100000000000001</v>
      </c>
      <c r="O92" s="9">
        <v>14</v>
      </c>
      <c r="P92" s="9">
        <v>19.5</v>
      </c>
      <c r="Q92" s="92">
        <v>2.9573767000000002</v>
      </c>
      <c r="R92">
        <v>10</v>
      </c>
      <c r="S92">
        <v>1000</v>
      </c>
      <c r="T92" s="4">
        <f t="shared" ref="T92:T122" si="77">T68</f>
        <v>1116.9022972813298</v>
      </c>
      <c r="U92">
        <f t="shared" si="47"/>
        <v>11.169022972813298</v>
      </c>
      <c r="V92">
        <f t="shared" ref="V92:W92" si="78">V68</f>
        <v>3.6</v>
      </c>
      <c r="W92">
        <f t="shared" si="78"/>
        <v>3</v>
      </c>
      <c r="X92" s="9">
        <v>2.9573767000000002</v>
      </c>
    </row>
    <row r="93" spans="1:24" x14ac:dyDescent="0.2">
      <c r="A93" s="41">
        <f t="shared" si="49"/>
        <v>45842.749999999782</v>
      </c>
      <c r="B93" s="42">
        <f t="shared" si="73"/>
        <v>5000</v>
      </c>
      <c r="C93" s="8">
        <v>25000</v>
      </c>
      <c r="D93" s="8">
        <v>0</v>
      </c>
      <c r="E93" s="8">
        <v>700</v>
      </c>
      <c r="F93" s="8">
        <v>7500</v>
      </c>
      <c r="G93" s="42">
        <f t="shared" si="74"/>
        <v>2400</v>
      </c>
      <c r="H93" s="8">
        <v>25000</v>
      </c>
      <c r="I93" s="42">
        <f t="shared" si="75"/>
        <v>5000</v>
      </c>
      <c r="J93" s="8">
        <v>25000</v>
      </c>
      <c r="K93" s="42">
        <f t="shared" si="76"/>
        <v>5000</v>
      </c>
      <c r="L93" s="8">
        <v>25000</v>
      </c>
      <c r="M93" s="9">
        <v>9</v>
      </c>
      <c r="N93" s="9">
        <v>16.100000000000001</v>
      </c>
      <c r="O93" s="9">
        <v>14</v>
      </c>
      <c r="P93" s="9">
        <v>19.5</v>
      </c>
      <c r="Q93" s="92">
        <v>2.9339179999999998</v>
      </c>
      <c r="R93">
        <v>10</v>
      </c>
      <c r="S93">
        <v>1000</v>
      </c>
      <c r="T93" s="4">
        <f t="shared" si="77"/>
        <v>1156.8299120294841</v>
      </c>
      <c r="U93">
        <f t="shared" si="47"/>
        <v>11.568299120294842</v>
      </c>
      <c r="V93">
        <f t="shared" ref="V93:W93" si="79">V69</f>
        <v>2.9</v>
      </c>
      <c r="W93">
        <f t="shared" si="79"/>
        <v>3</v>
      </c>
      <c r="X93" s="9">
        <v>2.9339179999999998</v>
      </c>
    </row>
    <row r="94" spans="1:24" x14ac:dyDescent="0.2">
      <c r="A94" s="41">
        <f t="shared" si="49"/>
        <v>45842.791666666446</v>
      </c>
      <c r="B94" s="42">
        <f t="shared" si="73"/>
        <v>5000</v>
      </c>
      <c r="C94" s="8">
        <v>25000</v>
      </c>
      <c r="D94" s="8">
        <v>0</v>
      </c>
      <c r="E94" s="8">
        <v>700</v>
      </c>
      <c r="F94" s="8">
        <v>7500</v>
      </c>
      <c r="G94" s="42">
        <f t="shared" si="74"/>
        <v>2400</v>
      </c>
      <c r="H94" s="8">
        <v>25000</v>
      </c>
      <c r="I94" s="42">
        <f t="shared" si="75"/>
        <v>5000</v>
      </c>
      <c r="J94" s="8">
        <v>25000</v>
      </c>
      <c r="K94" s="42">
        <f t="shared" si="76"/>
        <v>5000</v>
      </c>
      <c r="L94" s="8">
        <v>25000</v>
      </c>
      <c r="M94" s="9">
        <v>9</v>
      </c>
      <c r="N94" s="9">
        <v>16.100000000000001</v>
      </c>
      <c r="O94" s="9">
        <v>14</v>
      </c>
      <c r="P94" s="9">
        <v>19.5</v>
      </c>
      <c r="Q94" s="92">
        <v>2.8894134</v>
      </c>
      <c r="R94">
        <v>10</v>
      </c>
      <c r="S94">
        <v>1000</v>
      </c>
      <c r="T94" s="4">
        <f t="shared" si="77"/>
        <v>1156.8299120294841</v>
      </c>
      <c r="U94">
        <f t="shared" si="47"/>
        <v>11.568299120294842</v>
      </c>
      <c r="V94">
        <f t="shared" ref="V94:W94" si="80">V70</f>
        <v>3</v>
      </c>
      <c r="W94">
        <f t="shared" si="80"/>
        <v>3</v>
      </c>
      <c r="X94" s="9">
        <v>2.8894134</v>
      </c>
    </row>
    <row r="95" spans="1:24" x14ac:dyDescent="0.2">
      <c r="A95" s="41">
        <f t="shared" si="49"/>
        <v>45842.83333333311</v>
      </c>
      <c r="B95" s="42">
        <f t="shared" si="73"/>
        <v>5000</v>
      </c>
      <c r="C95" s="8">
        <v>25000</v>
      </c>
      <c r="D95" s="8">
        <v>0</v>
      </c>
      <c r="E95" s="8">
        <v>700</v>
      </c>
      <c r="F95" s="8">
        <v>7500</v>
      </c>
      <c r="G95" s="42">
        <f t="shared" si="74"/>
        <v>2400</v>
      </c>
      <c r="H95" s="8">
        <v>25000</v>
      </c>
      <c r="I95" s="42">
        <f t="shared" si="75"/>
        <v>5000</v>
      </c>
      <c r="J95" s="8">
        <v>25000</v>
      </c>
      <c r="K95" s="42">
        <f t="shared" si="76"/>
        <v>5000</v>
      </c>
      <c r="L95" s="8">
        <v>25000</v>
      </c>
      <c r="M95" s="9">
        <v>9</v>
      </c>
      <c r="N95" s="9">
        <v>16.100000000000001</v>
      </c>
      <c r="O95" s="9">
        <v>14</v>
      </c>
      <c r="P95" s="9">
        <v>19.5</v>
      </c>
      <c r="Q95" s="92">
        <v>2.8498321</v>
      </c>
      <c r="R95">
        <v>10</v>
      </c>
      <c r="S95">
        <v>1000</v>
      </c>
      <c r="T95" s="4">
        <f t="shared" si="77"/>
        <v>1114.0503247993186</v>
      </c>
      <c r="U95">
        <f t="shared" si="47"/>
        <v>11.140503247993186</v>
      </c>
      <c r="V95">
        <f t="shared" ref="V95:W95" si="81">V71</f>
        <v>2.8</v>
      </c>
      <c r="W95">
        <f t="shared" si="81"/>
        <v>3.1</v>
      </c>
      <c r="X95" s="9">
        <v>2.8498321</v>
      </c>
    </row>
    <row r="96" spans="1:24" x14ac:dyDescent="0.2">
      <c r="A96" s="41">
        <f t="shared" si="49"/>
        <v>45842.874999999774</v>
      </c>
      <c r="B96" s="42">
        <f t="shared" si="73"/>
        <v>5000</v>
      </c>
      <c r="C96" s="8">
        <v>25000</v>
      </c>
      <c r="D96" s="8">
        <v>0</v>
      </c>
      <c r="E96" s="8">
        <v>700</v>
      </c>
      <c r="F96" s="8">
        <v>7500</v>
      </c>
      <c r="G96" s="42">
        <f t="shared" si="74"/>
        <v>2400</v>
      </c>
      <c r="H96" s="8">
        <v>25000</v>
      </c>
      <c r="I96" s="42">
        <f t="shared" si="75"/>
        <v>5000</v>
      </c>
      <c r="J96" s="8">
        <v>25000</v>
      </c>
      <c r="K96" s="42">
        <f t="shared" si="76"/>
        <v>5000</v>
      </c>
      <c r="L96" s="8">
        <v>25000</v>
      </c>
      <c r="M96" s="9">
        <v>9</v>
      </c>
      <c r="N96" s="9">
        <v>16.100000000000001</v>
      </c>
      <c r="O96" s="9">
        <v>14</v>
      </c>
      <c r="P96" s="9">
        <v>19.5</v>
      </c>
      <c r="Q96" s="92">
        <v>2.8110211000000001</v>
      </c>
      <c r="R96">
        <v>10</v>
      </c>
      <c r="S96">
        <v>1000</v>
      </c>
      <c r="T96" s="4">
        <f t="shared" si="77"/>
        <v>1034.1950953030096</v>
      </c>
      <c r="U96">
        <f t="shared" si="47"/>
        <v>10.341950953030096</v>
      </c>
      <c r="V96">
        <f t="shared" ref="V96:W96" si="82">V72</f>
        <v>3.5</v>
      </c>
      <c r="W96">
        <f t="shared" si="82"/>
        <v>3.1</v>
      </c>
      <c r="X96" s="9">
        <v>2.8110211000000001</v>
      </c>
    </row>
    <row r="97" spans="1:24" x14ac:dyDescent="0.2">
      <c r="A97" s="41">
        <f t="shared" si="49"/>
        <v>45842.916666666439</v>
      </c>
      <c r="B97" s="42">
        <f t="shared" si="73"/>
        <v>5000</v>
      </c>
      <c r="C97" s="8">
        <v>25000</v>
      </c>
      <c r="D97" s="8">
        <v>0</v>
      </c>
      <c r="E97" s="8">
        <v>700</v>
      </c>
      <c r="F97" s="8">
        <v>7500</v>
      </c>
      <c r="G97" s="42">
        <f t="shared" si="74"/>
        <v>2400</v>
      </c>
      <c r="H97" s="8">
        <v>25000</v>
      </c>
      <c r="I97" s="42">
        <f t="shared" si="75"/>
        <v>5000</v>
      </c>
      <c r="J97" s="8">
        <v>25000</v>
      </c>
      <c r="K97" s="42">
        <f t="shared" si="76"/>
        <v>5000</v>
      </c>
      <c r="L97" s="8">
        <v>25000</v>
      </c>
      <c r="M97" s="9">
        <v>9</v>
      </c>
      <c r="N97" s="9">
        <v>16.100000000000001</v>
      </c>
      <c r="O97" s="9">
        <v>14</v>
      </c>
      <c r="P97" s="9">
        <v>19.5</v>
      </c>
      <c r="Q97" s="92">
        <v>2.7649466999999999</v>
      </c>
      <c r="R97">
        <v>10</v>
      </c>
      <c r="S97">
        <v>1000</v>
      </c>
      <c r="T97" s="4">
        <f t="shared" si="77"/>
        <v>807.46328298313267</v>
      </c>
      <c r="U97">
        <f t="shared" si="47"/>
        <v>8.0746328298313266</v>
      </c>
      <c r="V97">
        <f t="shared" ref="V97:W97" si="83">V73</f>
        <v>2.9</v>
      </c>
      <c r="W97">
        <f t="shared" si="83"/>
        <v>3.1</v>
      </c>
      <c r="X97" s="9">
        <v>2.7649466999999999</v>
      </c>
    </row>
    <row r="98" spans="1:24" x14ac:dyDescent="0.2">
      <c r="A98" s="41">
        <f t="shared" si="49"/>
        <v>45842.958333333103</v>
      </c>
      <c r="B98" s="42">
        <f t="shared" si="73"/>
        <v>5000</v>
      </c>
      <c r="C98" s="8">
        <v>25000</v>
      </c>
      <c r="D98" s="8">
        <v>0</v>
      </c>
      <c r="E98" s="8">
        <v>700</v>
      </c>
      <c r="F98" s="8">
        <v>7500</v>
      </c>
      <c r="G98" s="42">
        <f t="shared" si="74"/>
        <v>2400</v>
      </c>
      <c r="H98" s="8">
        <v>25000</v>
      </c>
      <c r="I98" s="42">
        <f t="shared" si="75"/>
        <v>5000</v>
      </c>
      <c r="J98" s="8">
        <v>25000</v>
      </c>
      <c r="K98" s="42">
        <f t="shared" si="76"/>
        <v>5000</v>
      </c>
      <c r="L98" s="8">
        <v>25000</v>
      </c>
      <c r="M98" s="9">
        <v>9</v>
      </c>
      <c r="N98" s="9">
        <v>16.100000000000001</v>
      </c>
      <c r="O98" s="9">
        <v>14</v>
      </c>
      <c r="P98" s="9">
        <v>19.5</v>
      </c>
      <c r="Q98" s="92">
        <v>2.6774939999999998</v>
      </c>
      <c r="R98">
        <v>10</v>
      </c>
      <c r="S98">
        <v>1000</v>
      </c>
      <c r="T98" s="4">
        <f t="shared" si="77"/>
        <v>442.69657292841788</v>
      </c>
      <c r="U98">
        <f t="shared" si="47"/>
        <v>4.4269657292841789</v>
      </c>
      <c r="V98">
        <f t="shared" ref="V98:W98" si="84">V74</f>
        <v>3.6</v>
      </c>
      <c r="W98">
        <f t="shared" si="84"/>
        <v>3.1</v>
      </c>
      <c r="X98" s="9">
        <v>2.6774939999999998</v>
      </c>
    </row>
    <row r="99" spans="1:24" x14ac:dyDescent="0.2">
      <c r="A99" s="41">
        <f t="shared" si="49"/>
        <v>45842.999999999767</v>
      </c>
      <c r="B99" s="42">
        <f t="shared" si="73"/>
        <v>5000</v>
      </c>
      <c r="C99" s="8">
        <v>25000</v>
      </c>
      <c r="D99" s="8">
        <v>0</v>
      </c>
      <c r="E99" s="8">
        <v>700</v>
      </c>
      <c r="F99" s="8">
        <v>7500</v>
      </c>
      <c r="G99" s="42">
        <f t="shared" si="74"/>
        <v>2400</v>
      </c>
      <c r="H99" s="8">
        <v>25000</v>
      </c>
      <c r="I99" s="42">
        <f t="shared" si="75"/>
        <v>5000</v>
      </c>
      <c r="J99" s="8">
        <v>25000</v>
      </c>
      <c r="K99" s="42">
        <f t="shared" si="76"/>
        <v>5000</v>
      </c>
      <c r="L99" s="8">
        <v>25000</v>
      </c>
      <c r="M99" s="9">
        <v>9</v>
      </c>
      <c r="N99" s="9">
        <v>16.100000000000001</v>
      </c>
      <c r="O99" s="9">
        <v>14</v>
      </c>
      <c r="P99" s="9">
        <v>19.5</v>
      </c>
      <c r="Q99" s="92">
        <v>2.6094290999999998</v>
      </c>
      <c r="R99">
        <v>10</v>
      </c>
      <c r="S99">
        <v>1000</v>
      </c>
      <c r="T99" s="4">
        <f t="shared" si="77"/>
        <v>442.69657292841788</v>
      </c>
      <c r="U99">
        <f t="shared" si="47"/>
        <v>4.4269657292841789</v>
      </c>
      <c r="V99">
        <f t="shared" ref="V99:W99" si="85">V75</f>
        <v>3</v>
      </c>
      <c r="W99">
        <f t="shared" si="85"/>
        <v>3.2</v>
      </c>
      <c r="X99" s="9">
        <v>2.6094290999999998</v>
      </c>
    </row>
    <row r="100" spans="1:24" x14ac:dyDescent="0.2">
      <c r="A100" s="41">
        <f t="shared" si="49"/>
        <v>45843.041666666431</v>
      </c>
      <c r="B100" s="42">
        <f t="shared" si="73"/>
        <v>5000</v>
      </c>
      <c r="C100" s="8">
        <v>25000</v>
      </c>
      <c r="D100" s="8">
        <v>0</v>
      </c>
      <c r="E100" s="8">
        <v>700</v>
      </c>
      <c r="F100" s="8">
        <v>7500</v>
      </c>
      <c r="G100" s="42">
        <f t="shared" si="74"/>
        <v>2400</v>
      </c>
      <c r="H100" s="8">
        <v>25000</v>
      </c>
      <c r="I100" s="42">
        <f t="shared" si="75"/>
        <v>5000</v>
      </c>
      <c r="J100" s="8">
        <v>25000</v>
      </c>
      <c r="K100" s="42">
        <f t="shared" si="76"/>
        <v>5000</v>
      </c>
      <c r="L100" s="8">
        <v>25000</v>
      </c>
      <c r="M100" s="9">
        <v>9</v>
      </c>
      <c r="N100" s="9">
        <v>16.100000000000001</v>
      </c>
      <c r="O100" s="9">
        <v>14</v>
      </c>
      <c r="P100" s="9">
        <v>19.5</v>
      </c>
      <c r="Q100" s="92">
        <v>2.5623564999999999</v>
      </c>
      <c r="R100">
        <v>10</v>
      </c>
      <c r="S100">
        <v>1000</v>
      </c>
      <c r="T100" s="4">
        <f t="shared" si="77"/>
        <v>362.27094893570683</v>
      </c>
      <c r="U100">
        <f t="shared" si="47"/>
        <v>3.6227094893570682</v>
      </c>
      <c r="V100">
        <f t="shared" ref="V100:W100" si="86">V76</f>
        <v>2.6</v>
      </c>
      <c r="W100">
        <f t="shared" si="86"/>
        <v>3.2</v>
      </c>
      <c r="X100" s="9">
        <v>2.5623564999999999</v>
      </c>
    </row>
    <row r="101" spans="1:24" x14ac:dyDescent="0.2">
      <c r="A101" s="41">
        <f t="shared" si="49"/>
        <v>45843.083333333096</v>
      </c>
      <c r="B101" s="42">
        <f t="shared" si="73"/>
        <v>5000</v>
      </c>
      <c r="C101" s="8">
        <v>25000</v>
      </c>
      <c r="D101" s="8">
        <v>0</v>
      </c>
      <c r="E101" s="8">
        <v>700</v>
      </c>
      <c r="F101" s="8">
        <v>7500</v>
      </c>
      <c r="G101" s="42">
        <f t="shared" si="74"/>
        <v>2400</v>
      </c>
      <c r="H101" s="8">
        <v>25000</v>
      </c>
      <c r="I101" s="42">
        <f t="shared" si="75"/>
        <v>5000</v>
      </c>
      <c r="J101" s="8">
        <v>25000</v>
      </c>
      <c r="K101" s="42">
        <f t="shared" si="76"/>
        <v>5000</v>
      </c>
      <c r="L101" s="8">
        <v>25000</v>
      </c>
      <c r="M101" s="9">
        <v>9</v>
      </c>
      <c r="N101" s="9">
        <v>16.100000000000001</v>
      </c>
      <c r="O101" s="9">
        <v>14</v>
      </c>
      <c r="P101" s="9">
        <v>19.5</v>
      </c>
      <c r="Q101" s="92">
        <v>2.6493833000000002</v>
      </c>
      <c r="R101">
        <v>10</v>
      </c>
      <c r="S101">
        <v>1000</v>
      </c>
      <c r="T101" s="4">
        <f t="shared" si="77"/>
        <v>362.27094893570683</v>
      </c>
      <c r="U101">
        <f t="shared" si="47"/>
        <v>3.6227094893570682</v>
      </c>
      <c r="V101">
        <f t="shared" ref="V101:W101" si="87">V77</f>
        <v>2.8</v>
      </c>
      <c r="W101">
        <f t="shared" si="87"/>
        <v>3.2</v>
      </c>
      <c r="X101" s="9">
        <v>2.6493833000000002</v>
      </c>
    </row>
    <row r="102" spans="1:24" x14ac:dyDescent="0.2">
      <c r="A102" s="41">
        <f t="shared" si="49"/>
        <v>45843.12499999976</v>
      </c>
      <c r="B102" s="42">
        <f t="shared" si="73"/>
        <v>5000</v>
      </c>
      <c r="C102" s="8">
        <v>25000</v>
      </c>
      <c r="D102" s="8">
        <v>0</v>
      </c>
      <c r="E102" s="8">
        <v>700</v>
      </c>
      <c r="F102" s="8">
        <v>7500</v>
      </c>
      <c r="G102" s="42">
        <f t="shared" si="74"/>
        <v>2400</v>
      </c>
      <c r="H102" s="8">
        <v>25000</v>
      </c>
      <c r="I102" s="42">
        <f t="shared" si="75"/>
        <v>5000</v>
      </c>
      <c r="J102" s="8">
        <v>25000</v>
      </c>
      <c r="K102" s="42">
        <f t="shared" si="76"/>
        <v>5000</v>
      </c>
      <c r="L102" s="8">
        <v>25000</v>
      </c>
      <c r="M102" s="9">
        <v>9</v>
      </c>
      <c r="N102" s="9">
        <v>16.100000000000001</v>
      </c>
      <c r="O102" s="9">
        <v>14</v>
      </c>
      <c r="P102" s="9">
        <v>19.5</v>
      </c>
      <c r="Q102" s="92">
        <v>2.7149241000000002</v>
      </c>
      <c r="R102">
        <v>10</v>
      </c>
      <c r="S102">
        <v>1000</v>
      </c>
      <c r="T102" s="4">
        <f t="shared" si="77"/>
        <v>362.27094893570683</v>
      </c>
      <c r="U102">
        <f t="shared" si="47"/>
        <v>3.6227094893570682</v>
      </c>
      <c r="V102">
        <f t="shared" ref="V102:W102" si="88">V78</f>
        <v>2.7</v>
      </c>
      <c r="W102">
        <f t="shared" si="88"/>
        <v>3.2</v>
      </c>
      <c r="X102" s="9">
        <v>2.7149241000000002</v>
      </c>
    </row>
    <row r="103" spans="1:24" x14ac:dyDescent="0.2">
      <c r="A103" s="41">
        <f t="shared" si="49"/>
        <v>45843.166666666424</v>
      </c>
      <c r="B103" s="42">
        <f t="shared" si="73"/>
        <v>5000</v>
      </c>
      <c r="C103" s="8">
        <v>25000</v>
      </c>
      <c r="D103" s="8">
        <v>0</v>
      </c>
      <c r="E103" s="8">
        <v>700</v>
      </c>
      <c r="F103" s="8">
        <v>7500</v>
      </c>
      <c r="G103" s="42">
        <f t="shared" si="74"/>
        <v>2400</v>
      </c>
      <c r="H103" s="8">
        <v>25000</v>
      </c>
      <c r="I103" s="42">
        <f t="shared" si="75"/>
        <v>5000</v>
      </c>
      <c r="J103" s="8">
        <v>25000</v>
      </c>
      <c r="K103" s="42">
        <f t="shared" si="76"/>
        <v>5000</v>
      </c>
      <c r="L103" s="8">
        <v>25000</v>
      </c>
      <c r="M103" s="9">
        <v>9</v>
      </c>
      <c r="N103" s="9">
        <v>16.100000000000001</v>
      </c>
      <c r="O103" s="9">
        <v>14</v>
      </c>
      <c r="P103" s="9">
        <v>19.5</v>
      </c>
      <c r="Q103" s="92">
        <v>2.7563605</v>
      </c>
      <c r="R103">
        <v>10</v>
      </c>
      <c r="S103">
        <v>1000</v>
      </c>
      <c r="T103" s="4">
        <f t="shared" si="77"/>
        <v>426.44032978095498</v>
      </c>
      <c r="U103">
        <f t="shared" si="47"/>
        <v>4.2644032978095501</v>
      </c>
      <c r="V103">
        <f t="shared" ref="V103:W103" si="89">V79</f>
        <v>3</v>
      </c>
      <c r="W103">
        <f t="shared" si="89"/>
        <v>3.1</v>
      </c>
      <c r="X103" s="9">
        <v>2.7563605</v>
      </c>
    </row>
    <row r="104" spans="1:24" x14ac:dyDescent="0.2">
      <c r="A104" s="41">
        <f t="shared" si="49"/>
        <v>45843.208333333088</v>
      </c>
      <c r="B104" s="42">
        <f t="shared" si="73"/>
        <v>5000</v>
      </c>
      <c r="C104" s="8">
        <v>25000</v>
      </c>
      <c r="D104" s="8">
        <v>0</v>
      </c>
      <c r="E104" s="8">
        <v>700</v>
      </c>
      <c r="F104" s="8">
        <v>7500</v>
      </c>
      <c r="G104" s="42">
        <f t="shared" si="74"/>
        <v>2400</v>
      </c>
      <c r="H104" s="8">
        <v>25000</v>
      </c>
      <c r="I104" s="42">
        <f t="shared" si="75"/>
        <v>5000</v>
      </c>
      <c r="J104" s="8">
        <v>25000</v>
      </c>
      <c r="K104" s="42">
        <f t="shared" si="76"/>
        <v>5000</v>
      </c>
      <c r="L104" s="8">
        <v>25000</v>
      </c>
      <c r="M104" s="9">
        <v>9</v>
      </c>
      <c r="N104" s="9">
        <v>16.100000000000001</v>
      </c>
      <c r="O104" s="9">
        <v>14</v>
      </c>
      <c r="P104" s="9">
        <v>19.5</v>
      </c>
      <c r="Q104" s="92">
        <v>2.8510411000000002</v>
      </c>
      <c r="R104">
        <v>10</v>
      </c>
      <c r="S104">
        <v>1000</v>
      </c>
      <c r="T104" s="4">
        <f t="shared" si="77"/>
        <v>362.27094893570683</v>
      </c>
      <c r="U104">
        <f t="shared" si="47"/>
        <v>3.6227094893570682</v>
      </c>
      <c r="V104">
        <f t="shared" ref="V104:W104" si="90">V80</f>
        <v>2.9</v>
      </c>
      <c r="W104">
        <f t="shared" si="90"/>
        <v>3.1</v>
      </c>
      <c r="X104" s="9">
        <v>2.8510411000000002</v>
      </c>
    </row>
    <row r="105" spans="1:24" x14ac:dyDescent="0.2">
      <c r="A105" s="41">
        <f t="shared" si="49"/>
        <v>45843.249999999753</v>
      </c>
      <c r="B105" s="42">
        <f t="shared" si="73"/>
        <v>8000</v>
      </c>
      <c r="C105" s="8">
        <v>25000</v>
      </c>
      <c r="D105" s="8">
        <v>0</v>
      </c>
      <c r="E105" s="8">
        <v>700</v>
      </c>
      <c r="F105" s="8">
        <v>7500</v>
      </c>
      <c r="G105" s="42">
        <f t="shared" si="74"/>
        <v>2400</v>
      </c>
      <c r="H105" s="8">
        <v>25000</v>
      </c>
      <c r="I105" s="42">
        <f t="shared" si="75"/>
        <v>8000</v>
      </c>
      <c r="J105" s="8">
        <v>25000</v>
      </c>
      <c r="K105" s="42">
        <f t="shared" si="76"/>
        <v>8000</v>
      </c>
      <c r="L105" s="8">
        <v>25000</v>
      </c>
      <c r="M105" s="9">
        <v>9</v>
      </c>
      <c r="N105" s="9">
        <v>16.100000000000001</v>
      </c>
      <c r="O105" s="9">
        <v>14</v>
      </c>
      <c r="P105" s="9">
        <v>19.5</v>
      </c>
      <c r="Q105" s="92">
        <v>2.9912312000000001</v>
      </c>
      <c r="R105">
        <v>10</v>
      </c>
      <c r="S105">
        <v>1000</v>
      </c>
      <c r="T105" s="4">
        <f t="shared" si="77"/>
        <v>304.3759075508828</v>
      </c>
      <c r="U105">
        <f t="shared" si="47"/>
        <v>3.0437590755088282</v>
      </c>
      <c r="V105">
        <f t="shared" ref="V105:W105" si="91">V81</f>
        <v>2.5</v>
      </c>
      <c r="W105">
        <f t="shared" si="91"/>
        <v>3.1</v>
      </c>
      <c r="X105" s="9">
        <v>2.9912312000000001</v>
      </c>
    </row>
    <row r="106" spans="1:24" x14ac:dyDescent="0.2">
      <c r="A106" s="41">
        <f t="shared" si="49"/>
        <v>45843.291666666417</v>
      </c>
      <c r="B106" s="42">
        <f t="shared" si="73"/>
        <v>8000</v>
      </c>
      <c r="C106" s="8">
        <v>25000</v>
      </c>
      <c r="D106" s="8">
        <v>0</v>
      </c>
      <c r="E106" s="8">
        <v>700</v>
      </c>
      <c r="F106" s="8">
        <v>7500</v>
      </c>
      <c r="G106" s="42">
        <f t="shared" si="74"/>
        <v>2400</v>
      </c>
      <c r="H106" s="8">
        <v>25000</v>
      </c>
      <c r="I106" s="42">
        <f t="shared" si="75"/>
        <v>8000</v>
      </c>
      <c r="J106" s="8">
        <v>25000</v>
      </c>
      <c r="K106" s="42">
        <f t="shared" si="76"/>
        <v>8000</v>
      </c>
      <c r="L106" s="8">
        <v>25000</v>
      </c>
      <c r="M106" s="9">
        <v>9</v>
      </c>
      <c r="N106" s="9">
        <v>16.100000000000001</v>
      </c>
      <c r="O106" s="9">
        <v>14</v>
      </c>
      <c r="P106" s="9">
        <v>19.5</v>
      </c>
      <c r="Q106" s="92">
        <v>3.1457856</v>
      </c>
      <c r="R106">
        <v>10</v>
      </c>
      <c r="S106">
        <v>1000</v>
      </c>
      <c r="T106" s="4">
        <f t="shared" si="77"/>
        <v>280.13414145378908</v>
      </c>
      <c r="U106">
        <f t="shared" si="47"/>
        <v>2.801341414537891</v>
      </c>
      <c r="V106">
        <f t="shared" ref="V106:W106" si="92">V82</f>
        <v>2.5</v>
      </c>
      <c r="W106">
        <f t="shared" si="92"/>
        <v>3.1</v>
      </c>
      <c r="X106" s="9">
        <v>3.1457856</v>
      </c>
    </row>
    <row r="107" spans="1:24" x14ac:dyDescent="0.2">
      <c r="A107" s="41">
        <f t="shared" si="49"/>
        <v>45843.333333333081</v>
      </c>
      <c r="B107" s="42">
        <f t="shared" si="73"/>
        <v>8000</v>
      </c>
      <c r="C107" s="8">
        <v>25000</v>
      </c>
      <c r="D107" s="8">
        <v>0</v>
      </c>
      <c r="E107" s="8">
        <v>700</v>
      </c>
      <c r="F107" s="8">
        <v>7500</v>
      </c>
      <c r="G107" s="42">
        <f t="shared" si="74"/>
        <v>2400</v>
      </c>
      <c r="H107" s="8">
        <v>25000</v>
      </c>
      <c r="I107" s="42">
        <f t="shared" si="75"/>
        <v>8000</v>
      </c>
      <c r="J107" s="8">
        <v>25000</v>
      </c>
      <c r="K107" s="42">
        <f t="shared" si="76"/>
        <v>8000</v>
      </c>
      <c r="L107" s="8">
        <v>25000</v>
      </c>
      <c r="M107" s="9">
        <v>9</v>
      </c>
      <c r="N107" s="9">
        <v>16.100000000000001</v>
      </c>
      <c r="O107" s="9">
        <v>14</v>
      </c>
      <c r="P107" s="9">
        <v>19.5</v>
      </c>
      <c r="Q107" s="92">
        <v>3.2171774000000002</v>
      </c>
      <c r="R107">
        <v>10</v>
      </c>
      <c r="S107">
        <v>1000</v>
      </c>
      <c r="T107" s="4">
        <f t="shared" si="77"/>
        <v>294.39400386384426</v>
      </c>
      <c r="U107">
        <f t="shared" si="47"/>
        <v>2.9439400386384427</v>
      </c>
      <c r="V107">
        <f t="shared" ref="V107:W107" si="93">V83</f>
        <v>3.2</v>
      </c>
      <c r="W107">
        <f t="shared" si="93"/>
        <v>3</v>
      </c>
      <c r="X107" s="9">
        <v>3.2171774000000002</v>
      </c>
    </row>
    <row r="108" spans="1:24" x14ac:dyDescent="0.2">
      <c r="A108" s="41">
        <f t="shared" si="49"/>
        <v>45843.374999999745</v>
      </c>
      <c r="B108" s="42">
        <f t="shared" si="73"/>
        <v>8000</v>
      </c>
      <c r="C108" s="8">
        <v>25000</v>
      </c>
      <c r="D108" s="8">
        <v>0</v>
      </c>
      <c r="E108" s="8">
        <v>700</v>
      </c>
      <c r="F108" s="8">
        <v>7500</v>
      </c>
      <c r="G108" s="42">
        <f t="shared" si="74"/>
        <v>2400</v>
      </c>
      <c r="H108" s="8">
        <v>25000</v>
      </c>
      <c r="I108" s="42">
        <f t="shared" si="75"/>
        <v>8000</v>
      </c>
      <c r="J108" s="8">
        <v>25000</v>
      </c>
      <c r="K108" s="42">
        <f t="shared" si="76"/>
        <v>8000</v>
      </c>
      <c r="L108" s="8">
        <v>25000</v>
      </c>
      <c r="M108" s="9">
        <v>9</v>
      </c>
      <c r="N108" s="9">
        <v>16.100000000000001</v>
      </c>
      <c r="O108" s="9">
        <v>14</v>
      </c>
      <c r="P108" s="9">
        <v>19.5</v>
      </c>
      <c r="Q108" s="92">
        <v>3.2655444</v>
      </c>
      <c r="R108">
        <v>10</v>
      </c>
      <c r="S108">
        <v>1000</v>
      </c>
      <c r="T108" s="4">
        <f t="shared" si="77"/>
        <v>317.20978371993255</v>
      </c>
      <c r="U108">
        <f t="shared" si="47"/>
        <v>3.1720978371993254</v>
      </c>
      <c r="V108">
        <f t="shared" ref="V108:W108" si="94">V84</f>
        <v>2.9</v>
      </c>
      <c r="W108">
        <f t="shared" si="94"/>
        <v>3</v>
      </c>
      <c r="X108" s="9">
        <v>3.2655444</v>
      </c>
    </row>
    <row r="109" spans="1:24" x14ac:dyDescent="0.2">
      <c r="A109" s="41">
        <f t="shared" si="49"/>
        <v>45843.41666666641</v>
      </c>
      <c r="B109" s="42">
        <f t="shared" si="73"/>
        <v>8000</v>
      </c>
      <c r="C109" s="8">
        <v>25000</v>
      </c>
      <c r="D109" s="8">
        <v>0</v>
      </c>
      <c r="E109" s="8">
        <v>700</v>
      </c>
      <c r="F109" s="8">
        <v>7500</v>
      </c>
      <c r="G109" s="42">
        <f t="shared" si="74"/>
        <v>2400</v>
      </c>
      <c r="H109" s="8">
        <v>25000</v>
      </c>
      <c r="I109" s="42">
        <f t="shared" si="75"/>
        <v>8000</v>
      </c>
      <c r="J109" s="8">
        <v>25000</v>
      </c>
      <c r="K109" s="42">
        <f t="shared" si="76"/>
        <v>8000</v>
      </c>
      <c r="L109" s="8">
        <v>25000</v>
      </c>
      <c r="M109" s="9">
        <v>9</v>
      </c>
      <c r="N109" s="9">
        <v>16.100000000000001</v>
      </c>
      <c r="O109" s="9">
        <v>14</v>
      </c>
      <c r="P109" s="9">
        <v>19.5</v>
      </c>
      <c r="Q109" s="92">
        <v>3.3397256999999998</v>
      </c>
      <c r="R109">
        <v>10</v>
      </c>
      <c r="S109">
        <v>1000</v>
      </c>
      <c r="T109" s="4">
        <f t="shared" si="77"/>
        <v>308.08347177749721</v>
      </c>
      <c r="U109">
        <f t="shared" si="47"/>
        <v>3.0808347177749722</v>
      </c>
      <c r="V109">
        <f t="shared" ref="V109:W109" si="95">V85</f>
        <v>2.9</v>
      </c>
      <c r="W109">
        <f t="shared" si="95"/>
        <v>3</v>
      </c>
      <c r="X109" s="9">
        <v>3.3397256999999998</v>
      </c>
    </row>
    <row r="110" spans="1:24" x14ac:dyDescent="0.2">
      <c r="A110" s="41">
        <f t="shared" si="49"/>
        <v>45843.458333333074</v>
      </c>
      <c r="B110" s="42">
        <f t="shared" si="73"/>
        <v>8000</v>
      </c>
      <c r="C110" s="8">
        <v>25000</v>
      </c>
      <c r="D110" s="8">
        <v>0</v>
      </c>
      <c r="E110" s="8">
        <v>700</v>
      </c>
      <c r="F110" s="8">
        <v>7500</v>
      </c>
      <c r="G110" s="42">
        <f t="shared" si="74"/>
        <v>2400</v>
      </c>
      <c r="H110" s="8">
        <v>25000</v>
      </c>
      <c r="I110" s="42">
        <f t="shared" si="75"/>
        <v>8000</v>
      </c>
      <c r="J110" s="8">
        <v>25000</v>
      </c>
      <c r="K110" s="42">
        <f t="shared" si="76"/>
        <v>8000</v>
      </c>
      <c r="L110" s="8">
        <v>25000</v>
      </c>
      <c r="M110" s="9">
        <v>9</v>
      </c>
      <c r="N110" s="9">
        <v>16.100000000000001</v>
      </c>
      <c r="O110" s="9">
        <v>14</v>
      </c>
      <c r="P110" s="9">
        <v>19.5</v>
      </c>
      <c r="Q110" s="92">
        <v>3.2940686000000001</v>
      </c>
      <c r="R110">
        <v>10</v>
      </c>
      <c r="S110">
        <v>1000</v>
      </c>
      <c r="T110" s="4">
        <f t="shared" si="77"/>
        <v>303.80551305448063</v>
      </c>
      <c r="U110">
        <f t="shared" si="47"/>
        <v>3.0380551305448065</v>
      </c>
      <c r="V110">
        <f t="shared" ref="V110:W110" si="96">V86</f>
        <v>3.4</v>
      </c>
      <c r="W110">
        <f t="shared" si="96"/>
        <v>3</v>
      </c>
      <c r="X110" s="9">
        <v>3.2940686000000001</v>
      </c>
    </row>
    <row r="111" spans="1:24" x14ac:dyDescent="0.2">
      <c r="A111" s="41">
        <f t="shared" si="49"/>
        <v>45843.499999999738</v>
      </c>
      <c r="B111" s="42">
        <f t="shared" si="73"/>
        <v>8000</v>
      </c>
      <c r="C111" s="8">
        <v>25000</v>
      </c>
      <c r="D111" s="8">
        <v>0</v>
      </c>
      <c r="E111" s="8">
        <v>700</v>
      </c>
      <c r="F111" s="8">
        <v>7500</v>
      </c>
      <c r="G111" s="42">
        <f t="shared" si="74"/>
        <v>2400</v>
      </c>
      <c r="H111" s="8">
        <v>25000</v>
      </c>
      <c r="I111" s="42">
        <f t="shared" si="75"/>
        <v>8000</v>
      </c>
      <c r="J111" s="8">
        <v>25000</v>
      </c>
      <c r="K111" s="42">
        <f t="shared" si="76"/>
        <v>8000</v>
      </c>
      <c r="L111" s="8">
        <v>25000</v>
      </c>
      <c r="M111" s="9">
        <v>9</v>
      </c>
      <c r="N111" s="9">
        <v>16.100000000000001</v>
      </c>
      <c r="O111" s="9">
        <v>14</v>
      </c>
      <c r="P111" s="9">
        <v>19.5</v>
      </c>
      <c r="Q111" s="92">
        <v>3.1533601</v>
      </c>
      <c r="R111">
        <v>10</v>
      </c>
      <c r="S111">
        <v>1000</v>
      </c>
      <c r="T111" s="4">
        <f t="shared" si="77"/>
        <v>303.80551305448063</v>
      </c>
      <c r="U111">
        <f t="shared" si="47"/>
        <v>3.0380551305448065</v>
      </c>
      <c r="V111">
        <f t="shared" ref="V111:W111" si="97">V87</f>
        <v>3.1</v>
      </c>
      <c r="W111">
        <f t="shared" si="97"/>
        <v>2.9</v>
      </c>
      <c r="X111" s="9">
        <v>3.1533601</v>
      </c>
    </row>
    <row r="112" spans="1:24" x14ac:dyDescent="0.2">
      <c r="A112" s="41">
        <f t="shared" si="49"/>
        <v>45843.541666666402</v>
      </c>
      <c r="B112" s="42">
        <f t="shared" si="73"/>
        <v>8000</v>
      </c>
      <c r="C112" s="8">
        <v>25000</v>
      </c>
      <c r="D112" s="8">
        <v>0</v>
      </c>
      <c r="E112" s="8">
        <v>700</v>
      </c>
      <c r="F112" s="8">
        <v>7500</v>
      </c>
      <c r="G112" s="42">
        <f t="shared" si="74"/>
        <v>2400</v>
      </c>
      <c r="H112" s="8">
        <v>25000</v>
      </c>
      <c r="I112" s="42">
        <f t="shared" si="75"/>
        <v>8000</v>
      </c>
      <c r="J112" s="8">
        <v>25000</v>
      </c>
      <c r="K112" s="42">
        <f t="shared" si="76"/>
        <v>8000</v>
      </c>
      <c r="L112" s="8">
        <v>25000</v>
      </c>
      <c r="M112" s="9">
        <v>9</v>
      </c>
      <c r="N112" s="9">
        <v>16.100000000000001</v>
      </c>
      <c r="O112" s="9">
        <v>14</v>
      </c>
      <c r="P112" s="9">
        <v>19.5</v>
      </c>
      <c r="Q112" s="92">
        <v>2.9550394999999998</v>
      </c>
      <c r="R112">
        <v>10</v>
      </c>
      <c r="S112">
        <v>1000</v>
      </c>
      <c r="T112" s="4">
        <f t="shared" si="77"/>
        <v>353.43040463596901</v>
      </c>
      <c r="U112">
        <f t="shared" si="47"/>
        <v>3.53430404635969</v>
      </c>
      <c r="V112">
        <f t="shared" ref="V112:W112" si="98">V88</f>
        <v>3.2</v>
      </c>
      <c r="W112">
        <f t="shared" si="98"/>
        <v>2.9</v>
      </c>
      <c r="X112" s="9">
        <v>2.9550394999999998</v>
      </c>
    </row>
    <row r="113" spans="1:24" x14ac:dyDescent="0.2">
      <c r="A113" s="41">
        <f t="shared" si="49"/>
        <v>45843.583333333067</v>
      </c>
      <c r="B113" s="42">
        <f t="shared" si="73"/>
        <v>8000</v>
      </c>
      <c r="C113" s="8">
        <v>25000</v>
      </c>
      <c r="D113" s="8">
        <v>0</v>
      </c>
      <c r="E113" s="8">
        <v>700</v>
      </c>
      <c r="F113" s="8">
        <v>7500</v>
      </c>
      <c r="G113" s="42">
        <f t="shared" si="74"/>
        <v>2400</v>
      </c>
      <c r="H113" s="8">
        <v>25000</v>
      </c>
      <c r="I113" s="42">
        <f t="shared" si="75"/>
        <v>8000</v>
      </c>
      <c r="J113" s="8">
        <v>25000</v>
      </c>
      <c r="K113" s="42">
        <f t="shared" si="76"/>
        <v>8000</v>
      </c>
      <c r="L113" s="8">
        <v>25000</v>
      </c>
      <c r="M113" s="9">
        <v>9</v>
      </c>
      <c r="N113" s="9">
        <v>16.100000000000001</v>
      </c>
      <c r="O113" s="9">
        <v>14</v>
      </c>
      <c r="P113" s="9">
        <v>19.5</v>
      </c>
      <c r="Q113" s="92">
        <v>2.8380632000000001</v>
      </c>
      <c r="R113">
        <v>10</v>
      </c>
      <c r="S113">
        <v>1000</v>
      </c>
      <c r="T113" s="4">
        <f t="shared" si="77"/>
        <v>587.29100737188094</v>
      </c>
      <c r="U113">
        <f t="shared" si="47"/>
        <v>5.8729100737188098</v>
      </c>
      <c r="V113">
        <f t="shared" ref="V113:W113" si="99">V89</f>
        <v>3.5</v>
      </c>
      <c r="W113">
        <f t="shared" si="99"/>
        <v>2.9</v>
      </c>
      <c r="X113" s="9">
        <v>2.8380632000000001</v>
      </c>
    </row>
    <row r="114" spans="1:24" x14ac:dyDescent="0.2">
      <c r="A114" s="41">
        <f t="shared" si="49"/>
        <v>45843.624999999731</v>
      </c>
      <c r="B114" s="42">
        <f t="shared" si="73"/>
        <v>8000</v>
      </c>
      <c r="C114" s="8">
        <v>25000</v>
      </c>
      <c r="D114" s="8">
        <v>0</v>
      </c>
      <c r="E114" s="8">
        <v>700</v>
      </c>
      <c r="F114" s="8">
        <v>7500</v>
      </c>
      <c r="G114" s="42">
        <f t="shared" si="74"/>
        <v>2400</v>
      </c>
      <c r="H114" s="8">
        <v>25000</v>
      </c>
      <c r="I114" s="42">
        <f t="shared" si="75"/>
        <v>8000</v>
      </c>
      <c r="J114" s="8">
        <v>25000</v>
      </c>
      <c r="K114" s="42">
        <f t="shared" si="76"/>
        <v>8000</v>
      </c>
      <c r="L114" s="8">
        <v>25000</v>
      </c>
      <c r="M114" s="9">
        <v>9</v>
      </c>
      <c r="N114" s="9">
        <v>16.100000000000001</v>
      </c>
      <c r="O114" s="9">
        <v>14</v>
      </c>
      <c r="P114" s="9">
        <v>19.5</v>
      </c>
      <c r="Q114" s="92">
        <v>2.9475136000000002</v>
      </c>
      <c r="R114">
        <v>10</v>
      </c>
      <c r="S114">
        <v>1000</v>
      </c>
      <c r="T114" s="4">
        <f t="shared" si="77"/>
        <v>604.40284226394715</v>
      </c>
      <c r="U114">
        <f t="shared" si="47"/>
        <v>6.0440284226394718</v>
      </c>
      <c r="V114">
        <f t="shared" ref="V114:W114" si="100">V90</f>
        <v>3.2</v>
      </c>
      <c r="W114">
        <f t="shared" si="100"/>
        <v>2.9</v>
      </c>
      <c r="X114" s="9">
        <v>2.9475136000000002</v>
      </c>
    </row>
    <row r="115" spans="1:24" x14ac:dyDescent="0.2">
      <c r="A115" s="41">
        <f t="shared" si="49"/>
        <v>45843.666666666395</v>
      </c>
      <c r="B115" s="42">
        <f t="shared" si="73"/>
        <v>8000</v>
      </c>
      <c r="C115" s="8">
        <v>25000</v>
      </c>
      <c r="D115" s="8">
        <v>0</v>
      </c>
      <c r="E115" s="8">
        <v>700</v>
      </c>
      <c r="F115" s="8">
        <v>7500</v>
      </c>
      <c r="G115" s="42">
        <f t="shared" si="74"/>
        <v>2400</v>
      </c>
      <c r="H115" s="8">
        <v>25000</v>
      </c>
      <c r="I115" s="42">
        <f t="shared" si="75"/>
        <v>8000</v>
      </c>
      <c r="J115" s="8">
        <v>25000</v>
      </c>
      <c r="K115" s="42">
        <f t="shared" si="76"/>
        <v>8000</v>
      </c>
      <c r="L115" s="8">
        <v>25000</v>
      </c>
      <c r="M115" s="9">
        <v>9</v>
      </c>
      <c r="N115" s="9">
        <v>16.100000000000001</v>
      </c>
      <c r="O115" s="9">
        <v>14</v>
      </c>
      <c r="P115" s="9">
        <v>19.5</v>
      </c>
      <c r="Q115" s="92">
        <v>3.1970005000000001</v>
      </c>
      <c r="R115">
        <v>10</v>
      </c>
      <c r="S115">
        <v>1000</v>
      </c>
      <c r="T115" s="4">
        <f t="shared" si="77"/>
        <v>875.91062255139741</v>
      </c>
      <c r="U115">
        <f t="shared" si="47"/>
        <v>8.7591062255139747</v>
      </c>
      <c r="V115">
        <f t="shared" ref="V115:W115" si="101">V91</f>
        <v>3.5</v>
      </c>
      <c r="W115">
        <f t="shared" si="101"/>
        <v>3</v>
      </c>
      <c r="X115" s="9">
        <v>3.1970005000000001</v>
      </c>
    </row>
    <row r="116" spans="1:24" x14ac:dyDescent="0.2">
      <c r="A116" s="41">
        <f t="shared" si="49"/>
        <v>45843.708333333059</v>
      </c>
      <c r="B116" s="42">
        <f t="shared" si="73"/>
        <v>8000</v>
      </c>
      <c r="C116" s="8">
        <v>25000</v>
      </c>
      <c r="D116" s="8">
        <v>0</v>
      </c>
      <c r="E116" s="8">
        <v>700</v>
      </c>
      <c r="F116" s="8">
        <v>7500</v>
      </c>
      <c r="G116" s="42">
        <f t="shared" si="74"/>
        <v>2400</v>
      </c>
      <c r="H116" s="8">
        <v>25000</v>
      </c>
      <c r="I116" s="42">
        <f t="shared" si="75"/>
        <v>8000</v>
      </c>
      <c r="J116" s="8">
        <v>25000</v>
      </c>
      <c r="K116" s="42">
        <f t="shared" si="76"/>
        <v>8000</v>
      </c>
      <c r="L116" s="8">
        <v>25000</v>
      </c>
      <c r="M116" s="9">
        <v>9</v>
      </c>
      <c r="N116" s="9">
        <v>16.100000000000001</v>
      </c>
      <c r="O116" s="9">
        <v>14</v>
      </c>
      <c r="P116" s="9">
        <v>19.5</v>
      </c>
      <c r="Q116" s="92">
        <v>3.0768627999999998</v>
      </c>
      <c r="R116">
        <v>10</v>
      </c>
      <c r="S116">
        <v>1000</v>
      </c>
      <c r="T116" s="4">
        <f t="shared" si="77"/>
        <v>1116.9022972813298</v>
      </c>
      <c r="U116">
        <f t="shared" si="47"/>
        <v>11.169022972813298</v>
      </c>
      <c r="V116">
        <f t="shared" ref="V116:W116" si="102">V92</f>
        <v>3.6</v>
      </c>
      <c r="W116">
        <f t="shared" si="102"/>
        <v>3</v>
      </c>
      <c r="X116" s="9">
        <v>3.0768627999999998</v>
      </c>
    </row>
    <row r="117" spans="1:24" x14ac:dyDescent="0.2">
      <c r="A117" s="41">
        <f t="shared" si="49"/>
        <v>45843.749999999724</v>
      </c>
      <c r="B117" s="42">
        <f t="shared" si="73"/>
        <v>5000</v>
      </c>
      <c r="C117" s="8">
        <v>25000</v>
      </c>
      <c r="D117" s="8">
        <v>0</v>
      </c>
      <c r="E117" s="8">
        <v>700</v>
      </c>
      <c r="F117" s="8">
        <v>7500</v>
      </c>
      <c r="G117" s="42">
        <f t="shared" si="74"/>
        <v>2400</v>
      </c>
      <c r="H117" s="8">
        <v>25000</v>
      </c>
      <c r="I117" s="42">
        <f t="shared" si="75"/>
        <v>5000</v>
      </c>
      <c r="J117" s="8">
        <v>25000</v>
      </c>
      <c r="K117" s="42">
        <f t="shared" si="76"/>
        <v>5000</v>
      </c>
      <c r="L117" s="8">
        <v>25000</v>
      </c>
      <c r="M117" s="9">
        <v>9</v>
      </c>
      <c r="N117" s="9">
        <v>16.100000000000001</v>
      </c>
      <c r="O117" s="9">
        <v>14</v>
      </c>
      <c r="P117" s="9">
        <v>19.5</v>
      </c>
      <c r="Q117" s="92">
        <v>3.0157039000000001</v>
      </c>
      <c r="R117">
        <v>10</v>
      </c>
      <c r="S117">
        <v>1000</v>
      </c>
      <c r="T117" s="4">
        <f t="shared" si="77"/>
        <v>1156.8299120294841</v>
      </c>
      <c r="U117">
        <f t="shared" si="47"/>
        <v>11.568299120294842</v>
      </c>
      <c r="V117">
        <f t="shared" ref="V117:W117" si="103">V93</f>
        <v>2.9</v>
      </c>
      <c r="W117">
        <f t="shared" si="103"/>
        <v>3</v>
      </c>
      <c r="X117" s="9">
        <v>3.0157039000000001</v>
      </c>
    </row>
    <row r="118" spans="1:24" x14ac:dyDescent="0.2">
      <c r="A118" s="41">
        <f t="shared" si="49"/>
        <v>45843.791666666388</v>
      </c>
      <c r="B118" s="42">
        <f t="shared" si="73"/>
        <v>5000</v>
      </c>
      <c r="C118" s="8">
        <v>25000</v>
      </c>
      <c r="D118" s="8">
        <v>0</v>
      </c>
      <c r="E118" s="8">
        <v>700</v>
      </c>
      <c r="F118" s="8">
        <v>7500</v>
      </c>
      <c r="G118" s="42">
        <f t="shared" si="74"/>
        <v>2400</v>
      </c>
      <c r="H118" s="8">
        <v>25000</v>
      </c>
      <c r="I118" s="42">
        <f t="shared" si="75"/>
        <v>5000</v>
      </c>
      <c r="J118" s="8">
        <v>25000</v>
      </c>
      <c r="K118" s="42">
        <f t="shared" si="76"/>
        <v>5000</v>
      </c>
      <c r="L118" s="8">
        <v>25000</v>
      </c>
      <c r="M118" s="9">
        <v>9</v>
      </c>
      <c r="N118" s="9">
        <v>16.100000000000001</v>
      </c>
      <c r="O118" s="9">
        <v>14</v>
      </c>
      <c r="P118" s="9">
        <v>19.5</v>
      </c>
      <c r="Q118" s="92">
        <v>3.037318</v>
      </c>
      <c r="R118">
        <v>10</v>
      </c>
      <c r="S118">
        <v>1000</v>
      </c>
      <c r="T118" s="4">
        <f t="shared" si="77"/>
        <v>1156.8299120294841</v>
      </c>
      <c r="U118">
        <f t="shared" si="47"/>
        <v>11.568299120294842</v>
      </c>
      <c r="V118">
        <f t="shared" ref="V118:W118" si="104">V94</f>
        <v>3</v>
      </c>
      <c r="W118">
        <f t="shared" si="104"/>
        <v>3</v>
      </c>
      <c r="X118" s="9">
        <v>3.037318</v>
      </c>
    </row>
    <row r="119" spans="1:24" x14ac:dyDescent="0.2">
      <c r="A119" s="41">
        <f t="shared" si="49"/>
        <v>45843.833333333052</v>
      </c>
      <c r="B119" s="42">
        <f t="shared" si="73"/>
        <v>5000</v>
      </c>
      <c r="C119" s="8">
        <v>25000</v>
      </c>
      <c r="D119" s="8">
        <v>0</v>
      </c>
      <c r="E119" s="8">
        <v>700</v>
      </c>
      <c r="F119" s="8">
        <v>7500</v>
      </c>
      <c r="G119" s="42">
        <f t="shared" si="74"/>
        <v>2400</v>
      </c>
      <c r="H119" s="8">
        <v>25000</v>
      </c>
      <c r="I119" s="42">
        <f t="shared" si="75"/>
        <v>5000</v>
      </c>
      <c r="J119" s="8">
        <v>25000</v>
      </c>
      <c r="K119" s="42">
        <f t="shared" si="76"/>
        <v>5000</v>
      </c>
      <c r="L119" s="8">
        <v>25000</v>
      </c>
      <c r="M119" s="9">
        <v>9</v>
      </c>
      <c r="N119" s="9">
        <v>16.100000000000001</v>
      </c>
      <c r="O119" s="9">
        <v>14</v>
      </c>
      <c r="P119" s="9">
        <v>19.5</v>
      </c>
      <c r="Q119" s="92">
        <v>3.0483321999999999</v>
      </c>
      <c r="R119">
        <v>10</v>
      </c>
      <c r="S119">
        <v>1000</v>
      </c>
      <c r="T119" s="4">
        <f t="shared" si="77"/>
        <v>1114.0503247993186</v>
      </c>
      <c r="U119">
        <f t="shared" si="47"/>
        <v>11.140503247993186</v>
      </c>
      <c r="V119">
        <f t="shared" ref="V119:W119" si="105">V95</f>
        <v>2.8</v>
      </c>
      <c r="W119">
        <f t="shared" si="105"/>
        <v>3.1</v>
      </c>
      <c r="X119" s="9">
        <v>3.0483321999999999</v>
      </c>
    </row>
    <row r="120" spans="1:24" x14ac:dyDescent="0.2">
      <c r="A120" s="41">
        <f t="shared" si="49"/>
        <v>45843.874999999716</v>
      </c>
      <c r="B120" s="42">
        <f t="shared" si="73"/>
        <v>5000</v>
      </c>
      <c r="C120" s="8">
        <v>25000</v>
      </c>
      <c r="D120" s="8">
        <v>0</v>
      </c>
      <c r="E120" s="8">
        <v>700</v>
      </c>
      <c r="F120" s="8">
        <v>7500</v>
      </c>
      <c r="G120" s="42">
        <f t="shared" si="74"/>
        <v>2400</v>
      </c>
      <c r="H120" s="8">
        <v>25000</v>
      </c>
      <c r="I120" s="42">
        <f t="shared" si="75"/>
        <v>5000</v>
      </c>
      <c r="J120" s="8">
        <v>25000</v>
      </c>
      <c r="K120" s="42">
        <f t="shared" si="76"/>
        <v>5000</v>
      </c>
      <c r="L120" s="8">
        <v>25000</v>
      </c>
      <c r="M120" s="9">
        <v>9</v>
      </c>
      <c r="N120" s="9">
        <v>16.100000000000001</v>
      </c>
      <c r="O120" s="9">
        <v>14</v>
      </c>
      <c r="P120" s="9">
        <v>19.5</v>
      </c>
      <c r="Q120" s="92">
        <v>3.0301254000000002</v>
      </c>
      <c r="R120">
        <v>10</v>
      </c>
      <c r="S120">
        <v>1000</v>
      </c>
      <c r="T120" s="4">
        <f t="shared" si="77"/>
        <v>1034.1950953030096</v>
      </c>
      <c r="U120">
        <f t="shared" si="47"/>
        <v>10.341950953030096</v>
      </c>
      <c r="V120">
        <f t="shared" ref="V120:W120" si="106">V96</f>
        <v>3.5</v>
      </c>
      <c r="W120">
        <f t="shared" si="106"/>
        <v>3.1</v>
      </c>
      <c r="X120" s="9">
        <v>3.0301254000000002</v>
      </c>
    </row>
    <row r="121" spans="1:24" x14ac:dyDescent="0.2">
      <c r="A121" s="41">
        <f t="shared" si="49"/>
        <v>45843.91666666638</v>
      </c>
      <c r="B121" s="42">
        <f t="shared" si="73"/>
        <v>5000</v>
      </c>
      <c r="C121" s="8">
        <v>25000</v>
      </c>
      <c r="D121" s="8">
        <v>0</v>
      </c>
      <c r="E121" s="8">
        <v>700</v>
      </c>
      <c r="F121" s="8">
        <v>7500</v>
      </c>
      <c r="G121" s="42">
        <f t="shared" si="74"/>
        <v>2400</v>
      </c>
      <c r="H121" s="8">
        <v>25000</v>
      </c>
      <c r="I121" s="42">
        <f t="shared" si="75"/>
        <v>5000</v>
      </c>
      <c r="J121" s="8">
        <v>25000</v>
      </c>
      <c r="K121" s="42">
        <f t="shared" si="76"/>
        <v>5000</v>
      </c>
      <c r="L121" s="8">
        <v>25000</v>
      </c>
      <c r="M121" s="9">
        <v>9</v>
      </c>
      <c r="N121" s="9">
        <v>16.100000000000001</v>
      </c>
      <c r="O121" s="9">
        <v>14</v>
      </c>
      <c r="P121" s="9">
        <v>19.5</v>
      </c>
      <c r="Q121" s="92">
        <v>2.9906788</v>
      </c>
      <c r="R121">
        <v>10</v>
      </c>
      <c r="S121">
        <v>1000</v>
      </c>
      <c r="T121" s="4">
        <f t="shared" si="77"/>
        <v>807.46328298313267</v>
      </c>
      <c r="U121">
        <f t="shared" si="47"/>
        <v>8.0746328298313266</v>
      </c>
      <c r="V121">
        <f t="shared" ref="V121:W121" si="107">V97</f>
        <v>2.9</v>
      </c>
      <c r="W121">
        <f t="shared" si="107"/>
        <v>3.1</v>
      </c>
      <c r="X121" s="9">
        <v>2.9906788</v>
      </c>
    </row>
    <row r="122" spans="1:24" x14ac:dyDescent="0.2">
      <c r="A122" s="41">
        <f t="shared" si="49"/>
        <v>45843.958333333045</v>
      </c>
      <c r="B122" s="42">
        <f t="shared" si="73"/>
        <v>5000</v>
      </c>
      <c r="C122" s="8">
        <v>25000</v>
      </c>
      <c r="D122" s="8">
        <v>0</v>
      </c>
      <c r="E122" s="8">
        <v>700</v>
      </c>
      <c r="F122" s="8">
        <v>7500</v>
      </c>
      <c r="G122" s="42">
        <f t="shared" si="74"/>
        <v>2400</v>
      </c>
      <c r="H122" s="8">
        <v>25000</v>
      </c>
      <c r="I122" s="42">
        <f t="shared" si="75"/>
        <v>5000</v>
      </c>
      <c r="J122" s="8">
        <v>25000</v>
      </c>
      <c r="K122" s="42">
        <f t="shared" si="76"/>
        <v>5000</v>
      </c>
      <c r="L122" s="8">
        <v>25000</v>
      </c>
      <c r="M122" s="9">
        <v>9</v>
      </c>
      <c r="N122" s="9">
        <v>16.100000000000001</v>
      </c>
      <c r="O122" s="9">
        <v>14</v>
      </c>
      <c r="P122" s="9">
        <v>19.5</v>
      </c>
      <c r="Q122" s="92">
        <v>2.9216700000000002</v>
      </c>
      <c r="R122">
        <v>10</v>
      </c>
      <c r="S122">
        <v>1000</v>
      </c>
      <c r="T122" s="4">
        <f t="shared" si="77"/>
        <v>442.69657292841788</v>
      </c>
      <c r="U122">
        <f t="shared" si="47"/>
        <v>4.4269657292841789</v>
      </c>
      <c r="V122">
        <f t="shared" ref="V122:W122" si="108">V98</f>
        <v>3.6</v>
      </c>
      <c r="W122">
        <f t="shared" si="108"/>
        <v>3.1</v>
      </c>
      <c r="X122" s="9">
        <v>2.9216700000000002</v>
      </c>
    </row>
    <row r="123" spans="1:24" x14ac:dyDescent="0.2">
      <c r="A123" s="41">
        <f t="shared" si="49"/>
        <v>45843.999999999709</v>
      </c>
      <c r="B123" s="42">
        <f t="shared" si="73"/>
        <v>5000</v>
      </c>
      <c r="C123" s="8">
        <v>25000</v>
      </c>
      <c r="D123" s="8">
        <v>0</v>
      </c>
      <c r="E123" s="8">
        <v>700</v>
      </c>
      <c r="F123" s="8">
        <v>7500</v>
      </c>
      <c r="G123" s="42">
        <f t="shared" si="74"/>
        <v>2400</v>
      </c>
      <c r="H123" s="8">
        <v>25000</v>
      </c>
      <c r="I123" s="42">
        <f t="shared" si="75"/>
        <v>5000</v>
      </c>
      <c r="J123" s="8">
        <v>25000</v>
      </c>
      <c r="K123" s="42">
        <f t="shared" si="76"/>
        <v>5000</v>
      </c>
      <c r="L123" s="8">
        <v>25000</v>
      </c>
      <c r="M123" s="9">
        <v>9</v>
      </c>
      <c r="N123" s="9">
        <v>16.100000000000001</v>
      </c>
      <c r="O123" s="9">
        <v>14</v>
      </c>
      <c r="P123" s="9">
        <v>19.5</v>
      </c>
      <c r="Q123" s="92">
        <v>2.8643165000000002</v>
      </c>
      <c r="R123">
        <v>10</v>
      </c>
      <c r="S123">
        <v>1000</v>
      </c>
      <c r="T123" s="4">
        <v>442.69657292841788</v>
      </c>
      <c r="U123">
        <f t="shared" si="47"/>
        <v>4.4269657292841789</v>
      </c>
      <c r="V123">
        <f t="shared" ref="V123:W123" si="109">V99</f>
        <v>3</v>
      </c>
      <c r="W123">
        <f t="shared" si="109"/>
        <v>3.2</v>
      </c>
      <c r="X123" s="9">
        <v>2.8643165000000002</v>
      </c>
    </row>
    <row r="124" spans="1:24" x14ac:dyDescent="0.2">
      <c r="A124" s="41">
        <f t="shared" si="49"/>
        <v>45844.041666666373</v>
      </c>
      <c r="B124" s="42">
        <f t="shared" si="73"/>
        <v>5000</v>
      </c>
      <c r="C124" s="8">
        <v>25000</v>
      </c>
      <c r="D124" s="8">
        <v>0</v>
      </c>
      <c r="E124" s="8">
        <v>700</v>
      </c>
      <c r="F124" s="8">
        <v>7500</v>
      </c>
      <c r="G124" s="42">
        <f t="shared" si="74"/>
        <v>2400</v>
      </c>
      <c r="H124" s="8">
        <v>25000</v>
      </c>
      <c r="I124" s="42">
        <f t="shared" si="75"/>
        <v>5000</v>
      </c>
      <c r="J124" s="8">
        <v>25000</v>
      </c>
      <c r="K124" s="42">
        <f t="shared" si="76"/>
        <v>5000</v>
      </c>
      <c r="L124" s="8">
        <v>25000</v>
      </c>
      <c r="M124" s="9">
        <v>9</v>
      </c>
      <c r="N124" s="9">
        <v>16.100000000000001</v>
      </c>
      <c r="O124" s="9">
        <v>14</v>
      </c>
      <c r="P124" s="9">
        <v>19.5</v>
      </c>
      <c r="Q124" s="92">
        <v>2.8924701000000002</v>
      </c>
      <c r="R124">
        <v>10</v>
      </c>
      <c r="S124">
        <v>1000</v>
      </c>
      <c r="T124" s="4">
        <v>362.27094893570683</v>
      </c>
      <c r="U124">
        <f t="shared" si="47"/>
        <v>3.6227094893570682</v>
      </c>
      <c r="V124">
        <f t="shared" ref="V124:W124" si="110">V100</f>
        <v>2.6</v>
      </c>
      <c r="W124">
        <f t="shared" si="110"/>
        <v>3.2</v>
      </c>
      <c r="X124" s="9">
        <v>2.8924701000000002</v>
      </c>
    </row>
    <row r="125" spans="1:24" x14ac:dyDescent="0.2">
      <c r="A125" s="41">
        <f t="shared" si="49"/>
        <v>45844.083333333037</v>
      </c>
      <c r="B125" s="42">
        <f t="shared" si="73"/>
        <v>5000</v>
      </c>
      <c r="C125" s="8">
        <v>25000</v>
      </c>
      <c r="D125" s="8">
        <v>0</v>
      </c>
      <c r="E125" s="8">
        <v>700</v>
      </c>
      <c r="F125" s="8">
        <v>7500</v>
      </c>
      <c r="G125" s="42">
        <f t="shared" si="74"/>
        <v>2400</v>
      </c>
      <c r="H125" s="8">
        <v>25000</v>
      </c>
      <c r="I125" s="42">
        <f t="shared" si="75"/>
        <v>5000</v>
      </c>
      <c r="J125" s="8">
        <v>25000</v>
      </c>
      <c r="K125" s="42">
        <f t="shared" si="76"/>
        <v>5000</v>
      </c>
      <c r="L125" s="8">
        <v>25000</v>
      </c>
      <c r="M125" s="9">
        <v>9</v>
      </c>
      <c r="N125" s="9">
        <v>16.100000000000001</v>
      </c>
      <c r="O125" s="9">
        <v>14</v>
      </c>
      <c r="P125" s="9">
        <v>19.5</v>
      </c>
      <c r="Q125" s="92">
        <v>2.955308</v>
      </c>
      <c r="R125">
        <v>10</v>
      </c>
      <c r="S125">
        <v>1000</v>
      </c>
      <c r="T125" s="4">
        <v>362.27094893570683</v>
      </c>
      <c r="U125">
        <f t="shared" si="47"/>
        <v>3.6227094893570682</v>
      </c>
      <c r="V125">
        <f t="shared" ref="V125:W125" si="111">V101</f>
        <v>2.8</v>
      </c>
      <c r="W125">
        <f t="shared" si="111"/>
        <v>3.2</v>
      </c>
      <c r="X125" s="9">
        <v>2.955308</v>
      </c>
    </row>
    <row r="126" spans="1:24" x14ac:dyDescent="0.2">
      <c r="A126" s="41">
        <f t="shared" si="49"/>
        <v>45844.124999999702</v>
      </c>
      <c r="B126" s="42">
        <f t="shared" si="73"/>
        <v>5000</v>
      </c>
      <c r="C126" s="8">
        <v>25000</v>
      </c>
      <c r="D126" s="8">
        <v>0</v>
      </c>
      <c r="E126" s="8">
        <v>700</v>
      </c>
      <c r="F126" s="8">
        <v>7500</v>
      </c>
      <c r="G126" s="42">
        <f t="shared" si="74"/>
        <v>2400</v>
      </c>
      <c r="H126" s="8">
        <v>25000</v>
      </c>
      <c r="I126" s="42">
        <f t="shared" si="75"/>
        <v>5000</v>
      </c>
      <c r="J126" s="8">
        <v>25000</v>
      </c>
      <c r="K126" s="42">
        <f t="shared" si="76"/>
        <v>5000</v>
      </c>
      <c r="L126" s="8">
        <v>25000</v>
      </c>
      <c r="M126" s="9">
        <v>9</v>
      </c>
      <c r="N126" s="9">
        <v>16.100000000000001</v>
      </c>
      <c r="O126" s="9">
        <v>14</v>
      </c>
      <c r="P126" s="9">
        <v>19.5</v>
      </c>
      <c r="Q126" s="92">
        <v>3.0358679</v>
      </c>
      <c r="R126">
        <v>10</v>
      </c>
      <c r="S126">
        <v>1000</v>
      </c>
      <c r="T126" s="4">
        <v>362.27094893570683</v>
      </c>
      <c r="U126">
        <f t="shared" si="47"/>
        <v>3.6227094893570682</v>
      </c>
      <c r="V126">
        <f t="shared" ref="V126:W126" si="112">V102</f>
        <v>2.7</v>
      </c>
      <c r="W126">
        <f t="shared" si="112"/>
        <v>3.2</v>
      </c>
      <c r="X126" s="9">
        <v>3.0358679</v>
      </c>
    </row>
    <row r="127" spans="1:24" x14ac:dyDescent="0.2">
      <c r="A127" s="41">
        <f t="shared" si="49"/>
        <v>45844.166666666366</v>
      </c>
      <c r="B127" s="42">
        <f t="shared" si="73"/>
        <v>5000</v>
      </c>
      <c r="C127" s="8">
        <v>25000</v>
      </c>
      <c r="D127" s="8">
        <v>0</v>
      </c>
      <c r="E127" s="8">
        <v>700</v>
      </c>
      <c r="F127" s="8">
        <v>7500</v>
      </c>
      <c r="G127" s="42">
        <f t="shared" si="74"/>
        <v>2400</v>
      </c>
      <c r="H127" s="8">
        <v>25000</v>
      </c>
      <c r="I127" s="42">
        <f t="shared" si="75"/>
        <v>5000</v>
      </c>
      <c r="J127" s="8">
        <v>25000</v>
      </c>
      <c r="K127" s="42">
        <f t="shared" si="76"/>
        <v>5000</v>
      </c>
      <c r="L127" s="8">
        <v>25000</v>
      </c>
      <c r="M127" s="9">
        <v>9</v>
      </c>
      <c r="N127" s="9">
        <v>16.100000000000001</v>
      </c>
      <c r="O127" s="9">
        <v>14</v>
      </c>
      <c r="P127" s="9">
        <v>19.5</v>
      </c>
      <c r="Q127" s="92">
        <v>3.0781846000000002</v>
      </c>
      <c r="R127">
        <v>10</v>
      </c>
      <c r="S127">
        <v>1000</v>
      </c>
      <c r="T127" s="4">
        <v>426.44032978095498</v>
      </c>
      <c r="U127">
        <f t="shared" si="47"/>
        <v>4.2644032978095501</v>
      </c>
      <c r="V127">
        <f t="shared" ref="V127:W127" si="113">V103</f>
        <v>3</v>
      </c>
      <c r="W127">
        <f t="shared" si="113"/>
        <v>3.1</v>
      </c>
      <c r="X127" s="9">
        <v>3.0781846000000002</v>
      </c>
    </row>
    <row r="128" spans="1:24" x14ac:dyDescent="0.2">
      <c r="A128" s="41">
        <f t="shared" si="49"/>
        <v>45844.20833333303</v>
      </c>
      <c r="B128" s="42">
        <f t="shared" si="73"/>
        <v>5000</v>
      </c>
      <c r="C128" s="8">
        <v>25000</v>
      </c>
      <c r="D128" s="8">
        <v>0</v>
      </c>
      <c r="E128" s="8">
        <v>700</v>
      </c>
      <c r="F128" s="8">
        <v>7500</v>
      </c>
      <c r="G128" s="42">
        <f t="shared" si="74"/>
        <v>2400</v>
      </c>
      <c r="H128" s="8">
        <v>25000</v>
      </c>
      <c r="I128" s="42">
        <f t="shared" si="75"/>
        <v>5000</v>
      </c>
      <c r="J128" s="8">
        <v>25000</v>
      </c>
      <c r="K128" s="42">
        <f t="shared" si="76"/>
        <v>5000</v>
      </c>
      <c r="L128" s="8">
        <v>25000</v>
      </c>
      <c r="M128" s="9">
        <v>9</v>
      </c>
      <c r="N128" s="9">
        <v>16.100000000000001</v>
      </c>
      <c r="O128" s="9">
        <v>14</v>
      </c>
      <c r="P128" s="9">
        <v>19.5</v>
      </c>
      <c r="Q128" s="92">
        <v>3.1533878</v>
      </c>
      <c r="R128">
        <v>10</v>
      </c>
      <c r="S128">
        <v>1000</v>
      </c>
      <c r="T128" s="4">
        <v>362.27094893570683</v>
      </c>
      <c r="U128">
        <f t="shared" si="47"/>
        <v>3.6227094893570682</v>
      </c>
      <c r="V128">
        <f t="shared" ref="V128:W128" si="114">V104</f>
        <v>2.9</v>
      </c>
      <c r="W128">
        <f t="shared" si="114"/>
        <v>3.1</v>
      </c>
      <c r="X128" s="9">
        <v>3.1533878</v>
      </c>
    </row>
    <row r="129" spans="1:24" x14ac:dyDescent="0.2">
      <c r="A129" s="41">
        <f t="shared" si="49"/>
        <v>45844.249999999694</v>
      </c>
      <c r="B129" s="42">
        <f t="shared" si="73"/>
        <v>8000</v>
      </c>
      <c r="C129" s="8">
        <v>25000</v>
      </c>
      <c r="D129" s="8">
        <v>0</v>
      </c>
      <c r="E129" s="8">
        <v>700</v>
      </c>
      <c r="F129" s="8">
        <v>7500</v>
      </c>
      <c r="G129" s="42">
        <f t="shared" si="74"/>
        <v>2400</v>
      </c>
      <c r="H129" s="8">
        <v>25000</v>
      </c>
      <c r="I129" s="42">
        <f t="shared" si="75"/>
        <v>8000</v>
      </c>
      <c r="J129" s="8">
        <v>25000</v>
      </c>
      <c r="K129" s="42">
        <f t="shared" si="76"/>
        <v>8000</v>
      </c>
      <c r="L129" s="8">
        <v>25000</v>
      </c>
      <c r="M129" s="9">
        <v>9</v>
      </c>
      <c r="N129" s="9">
        <v>16.100000000000001</v>
      </c>
      <c r="O129" s="9">
        <v>14</v>
      </c>
      <c r="P129" s="9">
        <v>19.5</v>
      </c>
      <c r="Q129" s="92">
        <v>3.249409</v>
      </c>
      <c r="R129">
        <v>10</v>
      </c>
      <c r="S129">
        <v>1000</v>
      </c>
      <c r="T129" s="4">
        <v>304.3759075508828</v>
      </c>
      <c r="U129">
        <f t="shared" si="47"/>
        <v>3.0437590755088282</v>
      </c>
      <c r="V129">
        <f t="shared" ref="V129:W129" si="115">V105</f>
        <v>2.5</v>
      </c>
      <c r="W129">
        <f t="shared" si="115"/>
        <v>3.1</v>
      </c>
      <c r="X129" s="9">
        <v>3.249409</v>
      </c>
    </row>
    <row r="130" spans="1:24" x14ac:dyDescent="0.2">
      <c r="A130" s="41">
        <f t="shared" si="49"/>
        <v>45844.291666666359</v>
      </c>
      <c r="B130" s="42">
        <f t="shared" si="73"/>
        <v>8000</v>
      </c>
      <c r="C130" s="8">
        <v>25000</v>
      </c>
      <c r="D130" s="8">
        <v>0</v>
      </c>
      <c r="E130" s="8">
        <v>700</v>
      </c>
      <c r="F130" s="8">
        <v>7500</v>
      </c>
      <c r="G130" s="42">
        <f t="shared" si="74"/>
        <v>2400</v>
      </c>
      <c r="H130" s="8">
        <v>25000</v>
      </c>
      <c r="I130" s="42">
        <f t="shared" si="75"/>
        <v>8000</v>
      </c>
      <c r="J130" s="8">
        <v>25000</v>
      </c>
      <c r="K130" s="42">
        <f t="shared" si="76"/>
        <v>8000</v>
      </c>
      <c r="L130" s="8">
        <v>25000</v>
      </c>
      <c r="M130" s="9">
        <v>9</v>
      </c>
      <c r="N130" s="9">
        <v>16.100000000000001</v>
      </c>
      <c r="O130" s="9">
        <v>14</v>
      </c>
      <c r="P130" s="9">
        <v>19.5</v>
      </c>
      <c r="Q130" s="92">
        <v>3.2506149</v>
      </c>
      <c r="R130">
        <v>10</v>
      </c>
      <c r="S130">
        <v>1000</v>
      </c>
      <c r="T130" s="4">
        <v>280.13414145378908</v>
      </c>
      <c r="U130">
        <f t="shared" si="47"/>
        <v>2.801341414537891</v>
      </c>
      <c r="V130">
        <f t="shared" ref="V130:W130" si="116">V106</f>
        <v>2.5</v>
      </c>
      <c r="W130">
        <f t="shared" si="116"/>
        <v>3.1</v>
      </c>
      <c r="X130" s="9">
        <v>3.2506149</v>
      </c>
    </row>
    <row r="131" spans="1:24" x14ac:dyDescent="0.2">
      <c r="A131" s="41">
        <f t="shared" si="49"/>
        <v>45844.333333333023</v>
      </c>
      <c r="B131" s="42">
        <f t="shared" si="73"/>
        <v>8000</v>
      </c>
      <c r="C131" s="8">
        <v>25000</v>
      </c>
      <c r="D131" s="8">
        <v>0</v>
      </c>
      <c r="E131" s="8">
        <v>700</v>
      </c>
      <c r="F131" s="8">
        <v>7500</v>
      </c>
      <c r="G131" s="42">
        <f t="shared" si="74"/>
        <v>2400</v>
      </c>
      <c r="H131" s="8">
        <v>25000</v>
      </c>
      <c r="I131" s="42">
        <f t="shared" si="75"/>
        <v>8000</v>
      </c>
      <c r="J131" s="8">
        <v>25000</v>
      </c>
      <c r="K131" s="42">
        <f t="shared" si="76"/>
        <v>8000</v>
      </c>
      <c r="L131" s="8">
        <v>25000</v>
      </c>
      <c r="M131" s="9">
        <v>9</v>
      </c>
      <c r="N131" s="9">
        <v>16.100000000000001</v>
      </c>
      <c r="O131" s="9">
        <v>14</v>
      </c>
      <c r="P131" s="9">
        <v>19.5</v>
      </c>
      <c r="Q131" s="92">
        <v>3.3355350000000001</v>
      </c>
      <c r="R131">
        <v>10</v>
      </c>
      <c r="S131">
        <v>1000</v>
      </c>
      <c r="T131" s="4">
        <v>294.39400386384426</v>
      </c>
      <c r="U131">
        <f t="shared" si="47"/>
        <v>2.9439400386384427</v>
      </c>
      <c r="V131">
        <f t="shared" ref="V131:W131" si="117">V107</f>
        <v>3.2</v>
      </c>
      <c r="W131">
        <f t="shared" si="117"/>
        <v>3</v>
      </c>
      <c r="X131" s="9">
        <v>3.3355350000000001</v>
      </c>
    </row>
    <row r="132" spans="1:24" x14ac:dyDescent="0.2">
      <c r="A132" s="41">
        <f t="shared" si="49"/>
        <v>45844.374999999687</v>
      </c>
      <c r="B132" s="42">
        <f t="shared" si="73"/>
        <v>8000</v>
      </c>
      <c r="C132" s="8">
        <v>25000</v>
      </c>
      <c r="D132" s="8">
        <v>0</v>
      </c>
      <c r="E132" s="8">
        <v>700</v>
      </c>
      <c r="F132" s="8">
        <v>7500</v>
      </c>
      <c r="G132" s="42">
        <f t="shared" si="74"/>
        <v>2400</v>
      </c>
      <c r="H132" s="8">
        <v>25000</v>
      </c>
      <c r="I132" s="42">
        <f t="shared" si="75"/>
        <v>8000</v>
      </c>
      <c r="J132" s="8">
        <v>25000</v>
      </c>
      <c r="K132" s="42">
        <f t="shared" si="76"/>
        <v>8000</v>
      </c>
      <c r="L132" s="8">
        <v>25000</v>
      </c>
      <c r="M132" s="9">
        <v>9</v>
      </c>
      <c r="N132" s="9">
        <v>16.100000000000001</v>
      </c>
      <c r="O132" s="9">
        <v>14</v>
      </c>
      <c r="P132" s="9">
        <v>19.5</v>
      </c>
      <c r="Q132" s="92">
        <v>3.4513265999999998</v>
      </c>
      <c r="R132">
        <v>10</v>
      </c>
      <c r="S132">
        <v>1000</v>
      </c>
      <c r="T132" s="4">
        <v>317.20978371993255</v>
      </c>
      <c r="U132">
        <f t="shared" ref="U132:U195" si="118">T132/100</f>
        <v>3.1720978371993254</v>
      </c>
      <c r="V132">
        <f t="shared" ref="V132:W132" si="119">V108</f>
        <v>2.9</v>
      </c>
      <c r="W132">
        <f t="shared" si="119"/>
        <v>3</v>
      </c>
      <c r="X132" s="9">
        <v>3.4513265999999998</v>
      </c>
    </row>
    <row r="133" spans="1:24" x14ac:dyDescent="0.2">
      <c r="A133" s="41">
        <f t="shared" ref="A133:A196" si="120">A132+TIME(1,0,0)</f>
        <v>45844.416666666351</v>
      </c>
      <c r="B133" s="42">
        <f t="shared" si="73"/>
        <v>8000</v>
      </c>
      <c r="C133" s="8">
        <v>25000</v>
      </c>
      <c r="D133" s="8">
        <v>0</v>
      </c>
      <c r="E133" s="8">
        <v>700</v>
      </c>
      <c r="F133" s="8">
        <v>7500</v>
      </c>
      <c r="G133" s="42">
        <f t="shared" si="74"/>
        <v>2400</v>
      </c>
      <c r="H133" s="8">
        <v>25000</v>
      </c>
      <c r="I133" s="42">
        <f t="shared" si="75"/>
        <v>8000</v>
      </c>
      <c r="J133" s="8">
        <v>25000</v>
      </c>
      <c r="K133" s="42">
        <f t="shared" si="76"/>
        <v>8000</v>
      </c>
      <c r="L133" s="8">
        <v>25000</v>
      </c>
      <c r="M133" s="9">
        <v>9</v>
      </c>
      <c r="N133" s="9">
        <v>16.100000000000001</v>
      </c>
      <c r="O133" s="9">
        <v>14</v>
      </c>
      <c r="P133" s="9">
        <v>19.5</v>
      </c>
      <c r="Q133" s="92">
        <v>3.4450078</v>
      </c>
      <c r="R133">
        <v>10</v>
      </c>
      <c r="S133">
        <v>1000</v>
      </c>
      <c r="T133" s="4">
        <v>308.08347177749721</v>
      </c>
      <c r="U133">
        <f t="shared" si="118"/>
        <v>3.0808347177749722</v>
      </c>
      <c r="V133">
        <f t="shared" ref="V133:W133" si="121">V109</f>
        <v>2.9</v>
      </c>
      <c r="W133">
        <f t="shared" si="121"/>
        <v>3</v>
      </c>
      <c r="X133" s="9">
        <v>3.4450078</v>
      </c>
    </row>
    <row r="134" spans="1:24" x14ac:dyDescent="0.2">
      <c r="A134" s="41">
        <f t="shared" si="120"/>
        <v>45844.458333333016</v>
      </c>
      <c r="B134" s="42">
        <f t="shared" si="73"/>
        <v>8000</v>
      </c>
      <c r="C134" s="8">
        <v>25000</v>
      </c>
      <c r="D134" s="8">
        <v>0</v>
      </c>
      <c r="E134" s="8">
        <v>700</v>
      </c>
      <c r="F134" s="8">
        <v>7500</v>
      </c>
      <c r="G134" s="42">
        <f t="shared" si="74"/>
        <v>2400</v>
      </c>
      <c r="H134" s="8">
        <v>25000</v>
      </c>
      <c r="I134" s="42">
        <f t="shared" si="75"/>
        <v>8000</v>
      </c>
      <c r="J134" s="8">
        <v>25000</v>
      </c>
      <c r="K134" s="42">
        <f t="shared" si="76"/>
        <v>8000</v>
      </c>
      <c r="L134" s="8">
        <v>25000</v>
      </c>
      <c r="M134" s="9">
        <v>9</v>
      </c>
      <c r="N134" s="9">
        <v>16.100000000000001</v>
      </c>
      <c r="O134" s="9">
        <v>14</v>
      </c>
      <c r="P134" s="9">
        <v>19.5</v>
      </c>
      <c r="Q134" s="92">
        <v>3.2603295000000001</v>
      </c>
      <c r="R134">
        <v>10</v>
      </c>
      <c r="S134">
        <v>1000</v>
      </c>
      <c r="T134" s="4">
        <v>303.80551305448063</v>
      </c>
      <c r="U134">
        <f t="shared" si="118"/>
        <v>3.0380551305448065</v>
      </c>
      <c r="V134">
        <f t="shared" ref="V134:W134" si="122">V110</f>
        <v>3.4</v>
      </c>
      <c r="W134">
        <f t="shared" si="122"/>
        <v>3</v>
      </c>
      <c r="X134" s="9">
        <v>3.2603295000000001</v>
      </c>
    </row>
    <row r="135" spans="1:24" x14ac:dyDescent="0.2">
      <c r="A135" s="41">
        <f t="shared" si="120"/>
        <v>45844.49999999968</v>
      </c>
      <c r="B135" s="42">
        <f t="shared" si="73"/>
        <v>8000</v>
      </c>
      <c r="C135" s="8">
        <v>25000</v>
      </c>
      <c r="D135" s="8">
        <v>0</v>
      </c>
      <c r="E135" s="8">
        <v>700</v>
      </c>
      <c r="F135" s="8">
        <v>7500</v>
      </c>
      <c r="G135" s="42">
        <f t="shared" si="74"/>
        <v>2400</v>
      </c>
      <c r="H135" s="8">
        <v>25000</v>
      </c>
      <c r="I135" s="42">
        <f t="shared" si="75"/>
        <v>8000</v>
      </c>
      <c r="J135" s="8">
        <v>25000</v>
      </c>
      <c r="K135" s="42">
        <f t="shared" si="76"/>
        <v>8000</v>
      </c>
      <c r="L135" s="8">
        <v>25000</v>
      </c>
      <c r="M135" s="9">
        <v>9</v>
      </c>
      <c r="N135" s="9">
        <v>16.100000000000001</v>
      </c>
      <c r="O135" s="9">
        <v>14</v>
      </c>
      <c r="P135" s="9">
        <v>19.5</v>
      </c>
      <c r="Q135" s="92">
        <v>3.0558071</v>
      </c>
      <c r="R135">
        <v>10</v>
      </c>
      <c r="S135">
        <v>1000</v>
      </c>
      <c r="T135" s="4">
        <v>303.80551305448063</v>
      </c>
      <c r="U135">
        <f t="shared" si="118"/>
        <v>3.0380551305448065</v>
      </c>
      <c r="V135">
        <f t="shared" ref="V135:W135" si="123">V111</f>
        <v>3.1</v>
      </c>
      <c r="W135">
        <f t="shared" si="123"/>
        <v>2.9</v>
      </c>
      <c r="X135" s="9">
        <v>3.0558071</v>
      </c>
    </row>
    <row r="136" spans="1:24" x14ac:dyDescent="0.2">
      <c r="A136" s="41">
        <f t="shared" si="120"/>
        <v>45844.541666666344</v>
      </c>
      <c r="B136" s="42">
        <f t="shared" si="73"/>
        <v>8000</v>
      </c>
      <c r="C136" s="8">
        <v>25000</v>
      </c>
      <c r="D136" s="8">
        <v>0</v>
      </c>
      <c r="E136" s="8">
        <v>700</v>
      </c>
      <c r="F136" s="8">
        <v>7500</v>
      </c>
      <c r="G136" s="42">
        <f t="shared" si="74"/>
        <v>2400</v>
      </c>
      <c r="H136" s="8">
        <v>25000</v>
      </c>
      <c r="I136" s="42">
        <f t="shared" si="75"/>
        <v>8000</v>
      </c>
      <c r="J136" s="8">
        <v>25000</v>
      </c>
      <c r="K136" s="42">
        <f t="shared" si="76"/>
        <v>8000</v>
      </c>
      <c r="L136" s="8">
        <v>25000</v>
      </c>
      <c r="M136" s="9">
        <v>9</v>
      </c>
      <c r="N136" s="9">
        <v>16.100000000000001</v>
      </c>
      <c r="O136" s="9">
        <v>14</v>
      </c>
      <c r="P136" s="9">
        <v>19.5</v>
      </c>
      <c r="Q136" s="92">
        <v>2.9222016000000002</v>
      </c>
      <c r="R136">
        <v>10</v>
      </c>
      <c r="S136">
        <v>1000</v>
      </c>
      <c r="T136" s="4">
        <v>353.43040463596901</v>
      </c>
      <c r="U136">
        <f t="shared" si="118"/>
        <v>3.53430404635969</v>
      </c>
      <c r="V136">
        <f t="shared" ref="V136:W136" si="124">V112</f>
        <v>3.2</v>
      </c>
      <c r="W136">
        <f t="shared" si="124"/>
        <v>2.9</v>
      </c>
      <c r="X136" s="9">
        <v>2.9222016000000002</v>
      </c>
    </row>
    <row r="137" spans="1:24" x14ac:dyDescent="0.2">
      <c r="A137" s="41">
        <f t="shared" si="120"/>
        <v>45844.583333333008</v>
      </c>
      <c r="B137" s="42">
        <f t="shared" si="73"/>
        <v>8000</v>
      </c>
      <c r="C137" s="8">
        <v>25000</v>
      </c>
      <c r="D137" s="8">
        <v>0</v>
      </c>
      <c r="E137" s="8">
        <v>700</v>
      </c>
      <c r="F137" s="8">
        <v>7500</v>
      </c>
      <c r="G137" s="42">
        <f t="shared" si="74"/>
        <v>2400</v>
      </c>
      <c r="H137" s="8">
        <v>25000</v>
      </c>
      <c r="I137" s="42">
        <f t="shared" si="75"/>
        <v>8000</v>
      </c>
      <c r="J137" s="8">
        <v>25000</v>
      </c>
      <c r="K137" s="42">
        <f t="shared" si="76"/>
        <v>8000</v>
      </c>
      <c r="L137" s="8">
        <v>25000</v>
      </c>
      <c r="M137" s="9">
        <v>9</v>
      </c>
      <c r="N137" s="9">
        <v>16.100000000000001</v>
      </c>
      <c r="O137" s="9">
        <v>14</v>
      </c>
      <c r="P137" s="9">
        <v>19.5</v>
      </c>
      <c r="Q137" s="92">
        <v>2.9752865000000002</v>
      </c>
      <c r="R137">
        <v>10</v>
      </c>
      <c r="S137">
        <v>1000</v>
      </c>
      <c r="T137" s="4">
        <v>587.29100737188094</v>
      </c>
      <c r="U137">
        <f t="shared" si="118"/>
        <v>5.8729100737188098</v>
      </c>
      <c r="V137">
        <f t="shared" ref="V137:W137" si="125">V113</f>
        <v>3.5</v>
      </c>
      <c r="W137">
        <f t="shared" si="125"/>
        <v>2.9</v>
      </c>
      <c r="X137" s="9">
        <v>2.9752865000000002</v>
      </c>
    </row>
    <row r="138" spans="1:24" x14ac:dyDescent="0.2">
      <c r="A138" s="41">
        <f t="shared" si="120"/>
        <v>45844.624999999673</v>
      </c>
      <c r="B138" s="42">
        <f t="shared" si="73"/>
        <v>8000</v>
      </c>
      <c r="C138" s="8">
        <v>25000</v>
      </c>
      <c r="D138" s="8">
        <v>0</v>
      </c>
      <c r="E138" s="8">
        <v>700</v>
      </c>
      <c r="F138" s="8">
        <v>7500</v>
      </c>
      <c r="G138" s="42">
        <f t="shared" si="74"/>
        <v>2400</v>
      </c>
      <c r="H138" s="8">
        <v>25000</v>
      </c>
      <c r="I138" s="42">
        <f t="shared" si="75"/>
        <v>8000</v>
      </c>
      <c r="J138" s="8">
        <v>25000</v>
      </c>
      <c r="K138" s="42">
        <f t="shared" si="76"/>
        <v>8000</v>
      </c>
      <c r="L138" s="8">
        <v>25000</v>
      </c>
      <c r="M138" s="9">
        <v>9</v>
      </c>
      <c r="N138" s="9">
        <v>16.100000000000001</v>
      </c>
      <c r="O138" s="9">
        <v>14</v>
      </c>
      <c r="P138" s="9">
        <v>19.5</v>
      </c>
      <c r="Q138" s="92">
        <v>3.3345006000000001</v>
      </c>
      <c r="R138">
        <v>10</v>
      </c>
      <c r="S138">
        <v>1000</v>
      </c>
      <c r="T138" s="4">
        <v>604.40284226394715</v>
      </c>
      <c r="U138">
        <f t="shared" si="118"/>
        <v>6.0440284226394718</v>
      </c>
      <c r="V138">
        <f t="shared" ref="V138:W138" si="126">V114</f>
        <v>3.2</v>
      </c>
      <c r="W138">
        <f t="shared" si="126"/>
        <v>2.9</v>
      </c>
      <c r="X138" s="9">
        <v>3.3345006000000001</v>
      </c>
    </row>
    <row r="139" spans="1:24" x14ac:dyDescent="0.2">
      <c r="A139" s="41">
        <f t="shared" si="120"/>
        <v>45844.666666666337</v>
      </c>
      <c r="B139" s="42">
        <f t="shared" si="73"/>
        <v>8000</v>
      </c>
      <c r="C139" s="8">
        <v>25000</v>
      </c>
      <c r="D139" s="8">
        <v>0</v>
      </c>
      <c r="E139" s="8">
        <v>700</v>
      </c>
      <c r="F139" s="8">
        <v>7500</v>
      </c>
      <c r="G139" s="42">
        <f t="shared" si="74"/>
        <v>2400</v>
      </c>
      <c r="H139" s="8">
        <v>25000</v>
      </c>
      <c r="I139" s="42">
        <f t="shared" si="75"/>
        <v>8000</v>
      </c>
      <c r="J139" s="8">
        <v>25000</v>
      </c>
      <c r="K139" s="42">
        <f t="shared" si="76"/>
        <v>8000</v>
      </c>
      <c r="L139" s="8">
        <v>25000</v>
      </c>
      <c r="M139" s="9">
        <v>9</v>
      </c>
      <c r="N139" s="9">
        <v>16.100000000000001</v>
      </c>
      <c r="O139" s="9">
        <v>14</v>
      </c>
      <c r="P139" s="9">
        <v>19.5</v>
      </c>
      <c r="Q139" s="92">
        <v>3.2613257999999998</v>
      </c>
      <c r="R139">
        <v>10</v>
      </c>
      <c r="S139">
        <v>1000</v>
      </c>
      <c r="T139" s="4">
        <v>875.91062255139741</v>
      </c>
      <c r="U139">
        <f t="shared" si="118"/>
        <v>8.7591062255139747</v>
      </c>
      <c r="V139">
        <f t="shared" ref="V139:W139" si="127">V115</f>
        <v>3.5</v>
      </c>
      <c r="W139">
        <f t="shared" si="127"/>
        <v>3</v>
      </c>
      <c r="X139" s="9">
        <v>3.2613257999999998</v>
      </c>
    </row>
    <row r="140" spans="1:24" x14ac:dyDescent="0.2">
      <c r="A140" s="41">
        <f t="shared" si="120"/>
        <v>45844.708333333001</v>
      </c>
      <c r="B140" s="42">
        <f t="shared" si="73"/>
        <v>8000</v>
      </c>
      <c r="C140" s="8">
        <v>25000</v>
      </c>
      <c r="D140" s="8">
        <v>0</v>
      </c>
      <c r="E140" s="8">
        <v>700</v>
      </c>
      <c r="F140" s="8">
        <v>7500</v>
      </c>
      <c r="G140" s="42">
        <f t="shared" si="74"/>
        <v>2400</v>
      </c>
      <c r="H140" s="8">
        <v>25000</v>
      </c>
      <c r="I140" s="42">
        <f t="shared" si="75"/>
        <v>8000</v>
      </c>
      <c r="J140" s="8">
        <v>25000</v>
      </c>
      <c r="K140" s="42">
        <f t="shared" si="76"/>
        <v>8000</v>
      </c>
      <c r="L140" s="8">
        <v>25000</v>
      </c>
      <c r="M140" s="9">
        <v>9</v>
      </c>
      <c r="N140" s="9">
        <v>16.100000000000001</v>
      </c>
      <c r="O140" s="9">
        <v>14</v>
      </c>
      <c r="P140" s="9">
        <v>19.5</v>
      </c>
      <c r="Q140" s="92">
        <v>3.1467706999999998</v>
      </c>
      <c r="R140">
        <v>10</v>
      </c>
      <c r="S140">
        <v>1000</v>
      </c>
      <c r="T140" s="4">
        <v>1116.9022972813298</v>
      </c>
      <c r="U140">
        <f t="shared" si="118"/>
        <v>11.169022972813298</v>
      </c>
      <c r="V140">
        <f t="shared" ref="V140:W140" si="128">V116</f>
        <v>3.6</v>
      </c>
      <c r="W140">
        <f t="shared" si="128"/>
        <v>3</v>
      </c>
      <c r="X140" s="9">
        <v>3.1467706999999998</v>
      </c>
    </row>
    <row r="141" spans="1:24" x14ac:dyDescent="0.2">
      <c r="A141" s="41">
        <f t="shared" si="120"/>
        <v>45844.749999999665</v>
      </c>
      <c r="B141" s="42">
        <f t="shared" si="73"/>
        <v>5000</v>
      </c>
      <c r="C141" s="8">
        <v>25000</v>
      </c>
      <c r="D141" s="8">
        <v>0</v>
      </c>
      <c r="E141" s="8">
        <v>700</v>
      </c>
      <c r="F141" s="8">
        <v>7500</v>
      </c>
      <c r="G141" s="42">
        <f t="shared" si="74"/>
        <v>2400</v>
      </c>
      <c r="H141" s="8">
        <v>25000</v>
      </c>
      <c r="I141" s="42">
        <f t="shared" si="75"/>
        <v>5000</v>
      </c>
      <c r="J141" s="8">
        <v>25000</v>
      </c>
      <c r="K141" s="42">
        <f t="shared" si="76"/>
        <v>5000</v>
      </c>
      <c r="L141" s="8">
        <v>25000</v>
      </c>
      <c r="M141" s="9">
        <v>9</v>
      </c>
      <c r="N141" s="9">
        <v>16.100000000000001</v>
      </c>
      <c r="O141" s="9">
        <v>14</v>
      </c>
      <c r="P141" s="9">
        <v>19.5</v>
      </c>
      <c r="Q141" s="92">
        <v>3.1188471</v>
      </c>
      <c r="R141">
        <v>10</v>
      </c>
      <c r="S141">
        <v>1000</v>
      </c>
      <c r="T141" s="4">
        <v>1156.8299120294841</v>
      </c>
      <c r="U141">
        <f t="shared" si="118"/>
        <v>11.568299120294842</v>
      </c>
      <c r="V141">
        <f t="shared" ref="V141:W141" si="129">V117</f>
        <v>2.9</v>
      </c>
      <c r="W141">
        <f t="shared" si="129"/>
        <v>3</v>
      </c>
      <c r="X141" s="9">
        <v>3.1188471</v>
      </c>
    </row>
    <row r="142" spans="1:24" x14ac:dyDescent="0.2">
      <c r="A142" s="41">
        <f t="shared" si="120"/>
        <v>45844.79166666633</v>
      </c>
      <c r="B142" s="42">
        <f t="shared" si="73"/>
        <v>5000</v>
      </c>
      <c r="C142" s="8">
        <v>25000</v>
      </c>
      <c r="D142" s="8">
        <v>0</v>
      </c>
      <c r="E142" s="8">
        <v>700</v>
      </c>
      <c r="F142" s="8">
        <v>7500</v>
      </c>
      <c r="G142" s="42">
        <f t="shared" si="74"/>
        <v>2400</v>
      </c>
      <c r="H142" s="8">
        <v>25000</v>
      </c>
      <c r="I142" s="42">
        <f t="shared" si="75"/>
        <v>5000</v>
      </c>
      <c r="J142" s="8">
        <v>25000</v>
      </c>
      <c r="K142" s="42">
        <f t="shared" si="76"/>
        <v>5000</v>
      </c>
      <c r="L142" s="8">
        <v>25000</v>
      </c>
      <c r="M142" s="9">
        <v>9</v>
      </c>
      <c r="N142" s="9">
        <v>16.100000000000001</v>
      </c>
      <c r="O142" s="9">
        <v>14</v>
      </c>
      <c r="P142" s="9">
        <v>19.5</v>
      </c>
      <c r="Q142" s="92">
        <v>3.1332140000000002</v>
      </c>
      <c r="R142">
        <v>10</v>
      </c>
      <c r="S142">
        <v>1000</v>
      </c>
      <c r="T142" s="4">
        <v>1156.8299120294841</v>
      </c>
      <c r="U142">
        <f t="shared" si="118"/>
        <v>11.568299120294842</v>
      </c>
      <c r="V142">
        <f t="shared" ref="V142:W142" si="130">V118</f>
        <v>3</v>
      </c>
      <c r="W142">
        <f t="shared" si="130"/>
        <v>3</v>
      </c>
      <c r="X142" s="9">
        <v>3.1332140000000002</v>
      </c>
    </row>
    <row r="143" spans="1:24" x14ac:dyDescent="0.2">
      <c r="A143" s="41">
        <f t="shared" si="120"/>
        <v>45844.833333332994</v>
      </c>
      <c r="B143" s="42">
        <f t="shared" si="73"/>
        <v>5000</v>
      </c>
      <c r="C143" s="8">
        <v>25000</v>
      </c>
      <c r="D143" s="8">
        <v>0</v>
      </c>
      <c r="E143" s="8">
        <v>700</v>
      </c>
      <c r="F143" s="8">
        <v>7500</v>
      </c>
      <c r="G143" s="42">
        <f t="shared" si="74"/>
        <v>2400</v>
      </c>
      <c r="H143" s="8">
        <v>25000</v>
      </c>
      <c r="I143" s="42">
        <f t="shared" si="75"/>
        <v>5000</v>
      </c>
      <c r="J143" s="8">
        <v>25000</v>
      </c>
      <c r="K143" s="42">
        <f t="shared" si="76"/>
        <v>5000</v>
      </c>
      <c r="L143" s="8">
        <v>25000</v>
      </c>
      <c r="M143" s="9">
        <v>9</v>
      </c>
      <c r="N143" s="9">
        <v>16.100000000000001</v>
      </c>
      <c r="O143" s="9">
        <v>14</v>
      </c>
      <c r="P143" s="9">
        <v>19.5</v>
      </c>
      <c r="Q143" s="92">
        <v>3.1204236000000001</v>
      </c>
      <c r="R143">
        <v>10</v>
      </c>
      <c r="S143">
        <v>1000</v>
      </c>
      <c r="T143" s="4">
        <v>1114.0503247993186</v>
      </c>
      <c r="U143">
        <f t="shared" si="118"/>
        <v>11.140503247993186</v>
      </c>
      <c r="V143">
        <f t="shared" ref="V143:W143" si="131">V119</f>
        <v>2.8</v>
      </c>
      <c r="W143">
        <f t="shared" si="131"/>
        <v>3.1</v>
      </c>
      <c r="X143" s="9">
        <v>3.1204236000000001</v>
      </c>
    </row>
    <row r="144" spans="1:24" x14ac:dyDescent="0.2">
      <c r="A144" s="41">
        <f t="shared" si="120"/>
        <v>45844.874999999658</v>
      </c>
      <c r="B144" s="42">
        <f t="shared" si="73"/>
        <v>5000</v>
      </c>
      <c r="C144" s="8">
        <v>25000</v>
      </c>
      <c r="D144" s="8">
        <v>0</v>
      </c>
      <c r="E144" s="8">
        <v>700</v>
      </c>
      <c r="F144" s="8">
        <v>7500</v>
      </c>
      <c r="G144" s="42">
        <f t="shared" si="74"/>
        <v>2400</v>
      </c>
      <c r="H144" s="8">
        <v>25000</v>
      </c>
      <c r="I144" s="42">
        <f t="shared" si="75"/>
        <v>5000</v>
      </c>
      <c r="J144" s="8">
        <v>25000</v>
      </c>
      <c r="K144" s="42">
        <f t="shared" si="76"/>
        <v>5000</v>
      </c>
      <c r="L144" s="8">
        <v>25000</v>
      </c>
      <c r="M144" s="9">
        <v>9</v>
      </c>
      <c r="N144" s="9">
        <v>16.100000000000001</v>
      </c>
      <c r="O144" s="9">
        <v>14</v>
      </c>
      <c r="P144" s="9">
        <v>19.5</v>
      </c>
      <c r="Q144" s="92">
        <v>3.0405536</v>
      </c>
      <c r="R144">
        <v>10</v>
      </c>
      <c r="S144">
        <v>1000</v>
      </c>
      <c r="T144" s="4">
        <v>1034.1950953030096</v>
      </c>
      <c r="U144">
        <f t="shared" si="118"/>
        <v>10.341950953030096</v>
      </c>
      <c r="V144">
        <f t="shared" ref="V144:W144" si="132">V120</f>
        <v>3.5</v>
      </c>
      <c r="W144">
        <f t="shared" si="132"/>
        <v>3.1</v>
      </c>
      <c r="X144" s="9">
        <v>3.0405536</v>
      </c>
    </row>
    <row r="145" spans="1:24" x14ac:dyDescent="0.2">
      <c r="A145" s="41">
        <f t="shared" si="120"/>
        <v>45844.916666666322</v>
      </c>
      <c r="B145" s="42">
        <f t="shared" si="73"/>
        <v>5000</v>
      </c>
      <c r="C145" s="8">
        <v>25000</v>
      </c>
      <c r="D145" s="8">
        <v>0</v>
      </c>
      <c r="E145" s="8">
        <v>700</v>
      </c>
      <c r="F145" s="8">
        <v>7500</v>
      </c>
      <c r="G145" s="42">
        <f t="shared" si="74"/>
        <v>2400</v>
      </c>
      <c r="H145" s="8">
        <v>25000</v>
      </c>
      <c r="I145" s="42">
        <f t="shared" si="75"/>
        <v>5000</v>
      </c>
      <c r="J145" s="8">
        <v>25000</v>
      </c>
      <c r="K145" s="42">
        <f t="shared" si="76"/>
        <v>5000</v>
      </c>
      <c r="L145" s="8">
        <v>25000</v>
      </c>
      <c r="M145" s="9">
        <v>9</v>
      </c>
      <c r="N145" s="9">
        <v>16.100000000000001</v>
      </c>
      <c r="O145" s="9">
        <v>14</v>
      </c>
      <c r="P145" s="9">
        <v>19.5</v>
      </c>
      <c r="Q145" s="92">
        <v>2.9656753999999999</v>
      </c>
      <c r="R145">
        <v>10</v>
      </c>
      <c r="S145">
        <v>1000</v>
      </c>
      <c r="T145" s="4">
        <v>807.46328298313267</v>
      </c>
      <c r="U145">
        <f t="shared" si="118"/>
        <v>8.0746328298313266</v>
      </c>
      <c r="V145">
        <f t="shared" ref="V145:W145" si="133">V121</f>
        <v>2.9</v>
      </c>
      <c r="W145">
        <f t="shared" si="133"/>
        <v>3.1</v>
      </c>
      <c r="X145" s="9">
        <v>2.9656753999999999</v>
      </c>
    </row>
    <row r="146" spans="1:24" x14ac:dyDescent="0.2">
      <c r="A146" s="41">
        <f t="shared" si="120"/>
        <v>45844.958333332987</v>
      </c>
      <c r="B146" s="42">
        <f t="shared" si="73"/>
        <v>5000</v>
      </c>
      <c r="C146" s="8">
        <v>25000</v>
      </c>
      <c r="D146" s="8">
        <v>0</v>
      </c>
      <c r="E146" s="8">
        <v>700</v>
      </c>
      <c r="F146" s="8">
        <v>7500</v>
      </c>
      <c r="G146" s="42">
        <f t="shared" si="74"/>
        <v>2400</v>
      </c>
      <c r="H146" s="8">
        <v>25000</v>
      </c>
      <c r="I146" s="42">
        <f t="shared" si="75"/>
        <v>5000</v>
      </c>
      <c r="J146" s="8">
        <v>25000</v>
      </c>
      <c r="K146" s="42">
        <f t="shared" si="76"/>
        <v>5000</v>
      </c>
      <c r="L146" s="8">
        <v>25000</v>
      </c>
      <c r="M146" s="9">
        <v>9</v>
      </c>
      <c r="N146" s="9">
        <v>16.100000000000001</v>
      </c>
      <c r="O146" s="9">
        <v>14</v>
      </c>
      <c r="P146" s="9">
        <v>19.5</v>
      </c>
      <c r="Q146" s="92">
        <v>2.9095225</v>
      </c>
      <c r="R146">
        <v>10</v>
      </c>
      <c r="S146">
        <v>1000</v>
      </c>
      <c r="T146" s="4">
        <v>578.16526582394192</v>
      </c>
      <c r="U146">
        <f t="shared" si="118"/>
        <v>5.7816526582394197</v>
      </c>
      <c r="V146">
        <f t="shared" ref="V146:W146" si="134">V122</f>
        <v>3.6</v>
      </c>
      <c r="W146">
        <f t="shared" si="134"/>
        <v>3.1</v>
      </c>
      <c r="X146" s="9">
        <v>2.9095225</v>
      </c>
    </row>
    <row r="147" spans="1:24" x14ac:dyDescent="0.2">
      <c r="A147" s="41">
        <f t="shared" si="120"/>
        <v>45844.999999999651</v>
      </c>
      <c r="B147" s="42">
        <f t="shared" si="73"/>
        <v>5000</v>
      </c>
      <c r="C147" s="8">
        <v>25000</v>
      </c>
      <c r="D147" s="8">
        <v>0</v>
      </c>
      <c r="E147" s="8">
        <v>700</v>
      </c>
      <c r="F147" s="8">
        <v>7500</v>
      </c>
      <c r="G147" s="42">
        <f t="shared" si="74"/>
        <v>2400</v>
      </c>
      <c r="H147" s="8">
        <v>25000</v>
      </c>
      <c r="I147" s="42">
        <f t="shared" si="75"/>
        <v>5000</v>
      </c>
      <c r="J147" s="8">
        <v>25000</v>
      </c>
      <c r="K147" s="42">
        <f t="shared" si="76"/>
        <v>5000</v>
      </c>
      <c r="L147" s="8">
        <v>25000</v>
      </c>
      <c r="M147" s="9">
        <v>9</v>
      </c>
      <c r="N147" s="9">
        <v>16.100000000000001</v>
      </c>
      <c r="O147" s="9">
        <v>14</v>
      </c>
      <c r="P147" s="9">
        <v>19.5</v>
      </c>
      <c r="Q147" s="92">
        <v>2.9282588999999999</v>
      </c>
      <c r="R147">
        <v>10</v>
      </c>
      <c r="S147">
        <v>1000</v>
      </c>
      <c r="T147" s="4">
        <v>328.43039476330199</v>
      </c>
      <c r="U147">
        <f t="shared" si="118"/>
        <v>3.28430394763302</v>
      </c>
      <c r="V147">
        <f t="shared" ref="V147:W147" si="135">V123</f>
        <v>3</v>
      </c>
      <c r="W147">
        <f t="shared" si="135"/>
        <v>3.2</v>
      </c>
      <c r="X147" s="9">
        <v>2.9282588999999999</v>
      </c>
    </row>
    <row r="148" spans="1:24" x14ac:dyDescent="0.2">
      <c r="A148" s="41">
        <f t="shared" si="120"/>
        <v>45845.041666666315</v>
      </c>
      <c r="B148" s="42">
        <f t="shared" si="73"/>
        <v>5000</v>
      </c>
      <c r="C148" s="8">
        <v>25000</v>
      </c>
      <c r="D148" s="8">
        <v>0</v>
      </c>
      <c r="E148" s="8">
        <v>700</v>
      </c>
      <c r="F148" s="8">
        <v>7500</v>
      </c>
      <c r="G148" s="42">
        <f t="shared" si="74"/>
        <v>2400</v>
      </c>
      <c r="H148" s="8">
        <v>25000</v>
      </c>
      <c r="I148" s="42">
        <f t="shared" si="75"/>
        <v>5000</v>
      </c>
      <c r="J148" s="8">
        <v>25000</v>
      </c>
      <c r="K148" s="42">
        <f t="shared" si="76"/>
        <v>5000</v>
      </c>
      <c r="L148" s="8">
        <v>25000</v>
      </c>
      <c r="M148" s="9">
        <v>9</v>
      </c>
      <c r="N148" s="9">
        <v>16.100000000000001</v>
      </c>
      <c r="O148" s="9">
        <v>14</v>
      </c>
      <c r="P148" s="9">
        <v>19.5</v>
      </c>
      <c r="Q148" s="92">
        <v>2.9735668</v>
      </c>
      <c r="R148">
        <v>10</v>
      </c>
      <c r="S148">
        <v>1000</v>
      </c>
      <c r="T148" s="4">
        <v>318.44246167114238</v>
      </c>
      <c r="U148">
        <f t="shared" si="118"/>
        <v>3.1844246167114236</v>
      </c>
      <c r="V148">
        <f t="shared" ref="V148:W148" si="136">V124</f>
        <v>2.6</v>
      </c>
      <c r="W148">
        <f t="shared" si="136"/>
        <v>3.2</v>
      </c>
      <c r="X148" s="9">
        <v>2.9735668</v>
      </c>
    </row>
    <row r="149" spans="1:24" x14ac:dyDescent="0.2">
      <c r="A149" s="41">
        <f t="shared" si="120"/>
        <v>45845.083333332979</v>
      </c>
      <c r="B149" s="42">
        <f t="shared" si="73"/>
        <v>5000</v>
      </c>
      <c r="C149" s="8">
        <v>25000</v>
      </c>
      <c r="D149" s="8">
        <v>0</v>
      </c>
      <c r="E149" s="8">
        <v>700</v>
      </c>
      <c r="F149" s="8">
        <v>7500</v>
      </c>
      <c r="G149" s="42">
        <f t="shared" si="74"/>
        <v>2400</v>
      </c>
      <c r="H149" s="8">
        <v>25000</v>
      </c>
      <c r="I149" s="42">
        <f t="shared" si="75"/>
        <v>5000</v>
      </c>
      <c r="J149" s="8">
        <v>25000</v>
      </c>
      <c r="K149" s="42">
        <f t="shared" si="76"/>
        <v>5000</v>
      </c>
      <c r="L149" s="8">
        <v>25000</v>
      </c>
      <c r="M149" s="9">
        <v>9</v>
      </c>
      <c r="N149" s="9">
        <v>16.100000000000001</v>
      </c>
      <c r="O149" s="9">
        <v>14</v>
      </c>
      <c r="P149" s="9">
        <v>19.5</v>
      </c>
      <c r="Q149" s="92">
        <v>3.0231271</v>
      </c>
      <c r="R149">
        <v>10</v>
      </c>
      <c r="S149">
        <v>1000</v>
      </c>
      <c r="T149" s="4">
        <v>318.44246167114238</v>
      </c>
      <c r="U149">
        <f t="shared" si="118"/>
        <v>3.1844246167114236</v>
      </c>
      <c r="V149">
        <f t="shared" ref="V149:W149" si="137">V125</f>
        <v>2.8</v>
      </c>
      <c r="W149">
        <f t="shared" si="137"/>
        <v>3.2</v>
      </c>
      <c r="X149" s="9">
        <v>3.0231271</v>
      </c>
    </row>
    <row r="150" spans="1:24" x14ac:dyDescent="0.2">
      <c r="A150" s="41">
        <f t="shared" si="120"/>
        <v>45845.124999999643</v>
      </c>
      <c r="B150" s="42">
        <f t="shared" si="73"/>
        <v>5000</v>
      </c>
      <c r="C150" s="8">
        <v>25000</v>
      </c>
      <c r="D150" s="8">
        <v>0</v>
      </c>
      <c r="E150" s="8">
        <v>700</v>
      </c>
      <c r="F150" s="8">
        <v>7500</v>
      </c>
      <c r="G150" s="42">
        <f t="shared" si="74"/>
        <v>2400</v>
      </c>
      <c r="H150" s="8">
        <v>25000</v>
      </c>
      <c r="I150" s="42">
        <f t="shared" si="75"/>
        <v>5000</v>
      </c>
      <c r="J150" s="8">
        <v>25000</v>
      </c>
      <c r="K150" s="42">
        <f t="shared" si="76"/>
        <v>5000</v>
      </c>
      <c r="L150" s="8">
        <v>25000</v>
      </c>
      <c r="M150" s="9">
        <v>9</v>
      </c>
      <c r="N150" s="9">
        <v>16.100000000000001</v>
      </c>
      <c r="O150" s="9">
        <v>14</v>
      </c>
      <c r="P150" s="9">
        <v>19.5</v>
      </c>
      <c r="Q150" s="92">
        <v>3.0643875999999999</v>
      </c>
      <c r="R150">
        <v>10</v>
      </c>
      <c r="S150">
        <v>1000</v>
      </c>
      <c r="T150" s="4">
        <v>396.47318895363924</v>
      </c>
      <c r="U150">
        <f t="shared" si="118"/>
        <v>3.9647318895363926</v>
      </c>
      <c r="V150">
        <f t="shared" ref="V150:W150" si="138">V126</f>
        <v>2.7</v>
      </c>
      <c r="W150">
        <f t="shared" si="138"/>
        <v>3.2</v>
      </c>
      <c r="X150" s="9">
        <v>3.0643875999999999</v>
      </c>
    </row>
    <row r="151" spans="1:24" x14ac:dyDescent="0.2">
      <c r="A151" s="41">
        <f t="shared" si="120"/>
        <v>45845.166666666308</v>
      </c>
      <c r="B151" s="42">
        <f t="shared" si="73"/>
        <v>5000</v>
      </c>
      <c r="C151" s="8">
        <v>25000</v>
      </c>
      <c r="D151" s="8">
        <v>0</v>
      </c>
      <c r="E151" s="8">
        <v>700</v>
      </c>
      <c r="F151" s="8">
        <v>7500</v>
      </c>
      <c r="G151" s="42">
        <f t="shared" si="74"/>
        <v>2400</v>
      </c>
      <c r="H151" s="8">
        <v>25000</v>
      </c>
      <c r="I151" s="42">
        <f t="shared" si="75"/>
        <v>5000</v>
      </c>
      <c r="J151" s="8">
        <v>25000</v>
      </c>
      <c r="K151" s="42">
        <f t="shared" si="76"/>
        <v>5000</v>
      </c>
      <c r="L151" s="8">
        <v>25000</v>
      </c>
      <c r="M151" s="9">
        <v>9</v>
      </c>
      <c r="N151" s="9">
        <v>16.100000000000001</v>
      </c>
      <c r="O151" s="9">
        <v>14</v>
      </c>
      <c r="P151" s="9">
        <v>19.5</v>
      </c>
      <c r="Q151" s="92">
        <v>3.0913295999999999</v>
      </c>
      <c r="R151">
        <v>10</v>
      </c>
      <c r="S151">
        <v>1000</v>
      </c>
      <c r="T151" s="4">
        <v>466.70084350788647</v>
      </c>
      <c r="U151">
        <f t="shared" si="118"/>
        <v>4.6670084350788645</v>
      </c>
      <c r="V151">
        <f t="shared" ref="V151:W151" si="139">V127</f>
        <v>3</v>
      </c>
      <c r="W151">
        <f t="shared" si="139"/>
        <v>3.1</v>
      </c>
      <c r="X151" s="9">
        <v>3.0913295999999999</v>
      </c>
    </row>
    <row r="152" spans="1:24" x14ac:dyDescent="0.2">
      <c r="A152" s="41">
        <f t="shared" si="120"/>
        <v>45845.208333332972</v>
      </c>
      <c r="B152" s="42">
        <f t="shared" si="73"/>
        <v>5000</v>
      </c>
      <c r="C152" s="8">
        <v>25000</v>
      </c>
      <c r="D152" s="8">
        <v>0</v>
      </c>
      <c r="E152" s="8">
        <v>700</v>
      </c>
      <c r="F152" s="8">
        <v>7500</v>
      </c>
      <c r="G152" s="42">
        <f t="shared" si="74"/>
        <v>2400</v>
      </c>
      <c r="H152" s="8">
        <v>25000</v>
      </c>
      <c r="I152" s="42">
        <f t="shared" si="75"/>
        <v>5000</v>
      </c>
      <c r="J152" s="8">
        <v>25000</v>
      </c>
      <c r="K152" s="42">
        <f t="shared" si="76"/>
        <v>5000</v>
      </c>
      <c r="L152" s="8">
        <v>25000</v>
      </c>
      <c r="M152" s="9">
        <v>9</v>
      </c>
      <c r="N152" s="9">
        <v>16.100000000000001</v>
      </c>
      <c r="O152" s="9">
        <v>14</v>
      </c>
      <c r="P152" s="9">
        <v>19.5</v>
      </c>
      <c r="Q152" s="92">
        <v>3.1555688000000002</v>
      </c>
      <c r="R152">
        <v>10</v>
      </c>
      <c r="S152">
        <v>1000</v>
      </c>
      <c r="T152" s="4">
        <v>466.70084350788647</v>
      </c>
      <c r="U152">
        <f t="shared" si="118"/>
        <v>4.6670084350788645</v>
      </c>
      <c r="V152">
        <f t="shared" ref="V152:W152" si="140">V128</f>
        <v>2.9</v>
      </c>
      <c r="W152">
        <f t="shared" si="140"/>
        <v>3.1</v>
      </c>
      <c r="X152" s="9">
        <v>3.1555688000000002</v>
      </c>
    </row>
    <row r="153" spans="1:24" x14ac:dyDescent="0.2">
      <c r="A153" s="41">
        <f t="shared" si="120"/>
        <v>45845.249999999636</v>
      </c>
      <c r="B153" s="42">
        <f t="shared" si="73"/>
        <v>8000</v>
      </c>
      <c r="C153" s="8">
        <v>25000</v>
      </c>
      <c r="D153" s="8">
        <v>0</v>
      </c>
      <c r="E153" s="8">
        <v>700</v>
      </c>
      <c r="F153" s="8">
        <v>7500</v>
      </c>
      <c r="G153" s="42">
        <f t="shared" si="74"/>
        <v>2400</v>
      </c>
      <c r="H153" s="8">
        <v>25000</v>
      </c>
      <c r="I153" s="42">
        <f t="shared" si="75"/>
        <v>8000</v>
      </c>
      <c r="J153" s="8">
        <v>25000</v>
      </c>
      <c r="K153" s="42">
        <f t="shared" si="76"/>
        <v>8000</v>
      </c>
      <c r="L153" s="8">
        <v>25000</v>
      </c>
      <c r="M153" s="9">
        <v>9</v>
      </c>
      <c r="N153" s="9">
        <v>16.100000000000001</v>
      </c>
      <c r="O153" s="9">
        <v>14</v>
      </c>
      <c r="P153" s="9">
        <v>19.5</v>
      </c>
      <c r="Q153" s="92">
        <v>3.2238642999999998</v>
      </c>
      <c r="R153">
        <v>10</v>
      </c>
      <c r="S153">
        <v>1000</v>
      </c>
      <c r="T153" s="4">
        <v>362.76391476760062</v>
      </c>
      <c r="U153">
        <f t="shared" si="118"/>
        <v>3.6276391476760064</v>
      </c>
      <c r="V153">
        <f t="shared" ref="V153:W153" si="141">V129</f>
        <v>2.5</v>
      </c>
      <c r="W153">
        <f t="shared" si="141"/>
        <v>3.1</v>
      </c>
      <c r="X153" s="9">
        <v>3.2238642999999998</v>
      </c>
    </row>
    <row r="154" spans="1:24" x14ac:dyDescent="0.2">
      <c r="A154" s="41">
        <f t="shared" si="120"/>
        <v>45845.2916666663</v>
      </c>
      <c r="B154" s="42">
        <f t="shared" si="73"/>
        <v>8000</v>
      </c>
      <c r="C154" s="8">
        <v>25000</v>
      </c>
      <c r="D154" s="8">
        <v>0</v>
      </c>
      <c r="E154" s="8">
        <v>700</v>
      </c>
      <c r="F154" s="8">
        <v>7500</v>
      </c>
      <c r="G154" s="42">
        <f t="shared" si="74"/>
        <v>2400</v>
      </c>
      <c r="H154" s="8">
        <v>25000</v>
      </c>
      <c r="I154" s="42">
        <f t="shared" si="75"/>
        <v>8000</v>
      </c>
      <c r="J154" s="8">
        <v>25000</v>
      </c>
      <c r="K154" s="42">
        <f t="shared" si="76"/>
        <v>8000</v>
      </c>
      <c r="L154" s="8">
        <v>25000</v>
      </c>
      <c r="M154" s="9">
        <v>9</v>
      </c>
      <c r="N154" s="9">
        <v>16.100000000000001</v>
      </c>
      <c r="O154" s="9">
        <v>14</v>
      </c>
      <c r="P154" s="9">
        <v>19.5</v>
      </c>
      <c r="Q154" s="92">
        <v>3.2334928999999999</v>
      </c>
      <c r="R154">
        <v>10</v>
      </c>
      <c r="S154">
        <v>1000</v>
      </c>
      <c r="T154" s="4">
        <v>369.00637295020039</v>
      </c>
      <c r="U154">
        <f t="shared" si="118"/>
        <v>3.690063729502004</v>
      </c>
      <c r="V154">
        <f t="shared" ref="V154:W154" si="142">V130</f>
        <v>2.5</v>
      </c>
      <c r="W154">
        <f t="shared" si="142"/>
        <v>3.1</v>
      </c>
      <c r="X154" s="9">
        <v>3.2334928999999999</v>
      </c>
    </row>
    <row r="155" spans="1:24" x14ac:dyDescent="0.2">
      <c r="A155" s="41">
        <f t="shared" si="120"/>
        <v>45845.333333332965</v>
      </c>
      <c r="B155" s="42">
        <f t="shared" si="73"/>
        <v>8000</v>
      </c>
      <c r="C155" s="8">
        <v>25000</v>
      </c>
      <c r="D155" s="8">
        <v>0</v>
      </c>
      <c r="E155" s="8">
        <v>700</v>
      </c>
      <c r="F155" s="8">
        <v>7500</v>
      </c>
      <c r="G155" s="42">
        <f t="shared" si="74"/>
        <v>2400</v>
      </c>
      <c r="H155" s="8">
        <v>25000</v>
      </c>
      <c r="I155" s="42">
        <f t="shared" si="75"/>
        <v>8000</v>
      </c>
      <c r="J155" s="8">
        <v>25000</v>
      </c>
      <c r="K155" s="42">
        <f t="shared" si="76"/>
        <v>8000</v>
      </c>
      <c r="L155" s="8">
        <v>25000</v>
      </c>
      <c r="M155" s="9">
        <v>9</v>
      </c>
      <c r="N155" s="9">
        <v>16.100000000000001</v>
      </c>
      <c r="O155" s="9">
        <v>14</v>
      </c>
      <c r="P155" s="9">
        <v>19.5</v>
      </c>
      <c r="Q155" s="92">
        <v>3.2846641999999999</v>
      </c>
      <c r="R155">
        <v>10</v>
      </c>
      <c r="S155">
        <v>1000</v>
      </c>
      <c r="T155" s="4">
        <v>386.17313295234976</v>
      </c>
      <c r="U155">
        <f t="shared" si="118"/>
        <v>3.8617313295234976</v>
      </c>
      <c r="V155">
        <f t="shared" ref="V155:W155" si="143">V131</f>
        <v>3.2</v>
      </c>
      <c r="W155">
        <f t="shared" si="143"/>
        <v>3</v>
      </c>
      <c r="X155" s="9">
        <v>3.2846641999999999</v>
      </c>
    </row>
    <row r="156" spans="1:24" x14ac:dyDescent="0.2">
      <c r="A156" s="41">
        <f t="shared" si="120"/>
        <v>45845.374999999629</v>
      </c>
      <c r="B156" s="42">
        <f t="shared" ref="B156:B219" si="144">B132</f>
        <v>8000</v>
      </c>
      <c r="C156" s="8">
        <v>25000</v>
      </c>
      <c r="D156" s="8">
        <v>0</v>
      </c>
      <c r="E156" s="8">
        <v>700</v>
      </c>
      <c r="F156" s="8">
        <v>7500</v>
      </c>
      <c r="G156" s="42">
        <f t="shared" ref="G156:G219" si="145">G132</f>
        <v>2400</v>
      </c>
      <c r="H156" s="8">
        <v>25000</v>
      </c>
      <c r="I156" s="42">
        <f t="shared" ref="I156:I219" si="146">I132</f>
        <v>8000</v>
      </c>
      <c r="J156" s="8">
        <v>25000</v>
      </c>
      <c r="K156" s="42">
        <f t="shared" ref="K156:K219" si="147">K132</f>
        <v>8000</v>
      </c>
      <c r="L156" s="8">
        <v>25000</v>
      </c>
      <c r="M156" s="9">
        <v>9</v>
      </c>
      <c r="N156" s="9">
        <v>16.100000000000001</v>
      </c>
      <c r="O156" s="9">
        <v>14</v>
      </c>
      <c r="P156" s="9">
        <v>19.5</v>
      </c>
      <c r="Q156" s="92">
        <v>3.3645716000000001</v>
      </c>
      <c r="R156">
        <v>10</v>
      </c>
      <c r="S156">
        <v>1000</v>
      </c>
      <c r="T156" s="4">
        <v>364.32452931325059</v>
      </c>
      <c r="U156">
        <f t="shared" si="118"/>
        <v>3.6432452931325061</v>
      </c>
      <c r="V156">
        <f t="shared" ref="V156:W156" si="148">V132</f>
        <v>2.9</v>
      </c>
      <c r="W156">
        <f t="shared" si="148"/>
        <v>3</v>
      </c>
      <c r="X156" s="9">
        <v>3.3645716000000001</v>
      </c>
    </row>
    <row r="157" spans="1:24" x14ac:dyDescent="0.2">
      <c r="A157" s="41">
        <f t="shared" si="120"/>
        <v>45845.416666666293</v>
      </c>
      <c r="B157" s="42">
        <f t="shared" si="144"/>
        <v>8000</v>
      </c>
      <c r="C157" s="8">
        <v>25000</v>
      </c>
      <c r="D157" s="8">
        <v>0</v>
      </c>
      <c r="E157" s="8">
        <v>700</v>
      </c>
      <c r="F157" s="8">
        <v>7500</v>
      </c>
      <c r="G157" s="42">
        <f t="shared" si="145"/>
        <v>2400</v>
      </c>
      <c r="H157" s="8">
        <v>25000</v>
      </c>
      <c r="I157" s="42">
        <f t="shared" si="146"/>
        <v>8000</v>
      </c>
      <c r="J157" s="8">
        <v>25000</v>
      </c>
      <c r="K157" s="42">
        <f t="shared" si="147"/>
        <v>8000</v>
      </c>
      <c r="L157" s="8">
        <v>25000</v>
      </c>
      <c r="M157" s="9">
        <v>9</v>
      </c>
      <c r="N157" s="9">
        <v>16.100000000000001</v>
      </c>
      <c r="O157" s="9">
        <v>14</v>
      </c>
      <c r="P157" s="9">
        <v>19.5</v>
      </c>
      <c r="Q157" s="92">
        <v>3.377564</v>
      </c>
      <c r="R157">
        <v>10</v>
      </c>
      <c r="S157">
        <v>1000</v>
      </c>
      <c r="T157" s="4">
        <v>343.41229440154143</v>
      </c>
      <c r="U157">
        <f t="shared" si="118"/>
        <v>3.4341229440154142</v>
      </c>
      <c r="V157">
        <f t="shared" ref="V157:W157" si="149">V133</f>
        <v>2.9</v>
      </c>
      <c r="W157">
        <f t="shared" si="149"/>
        <v>3</v>
      </c>
      <c r="X157" s="9">
        <v>3.377564</v>
      </c>
    </row>
    <row r="158" spans="1:24" x14ac:dyDescent="0.2">
      <c r="A158" s="41">
        <f t="shared" si="120"/>
        <v>45845.458333332957</v>
      </c>
      <c r="B158" s="42">
        <f t="shared" si="144"/>
        <v>8000</v>
      </c>
      <c r="C158" s="8">
        <v>25000</v>
      </c>
      <c r="D158" s="8">
        <v>0</v>
      </c>
      <c r="E158" s="8">
        <v>700</v>
      </c>
      <c r="F158" s="8">
        <v>7500</v>
      </c>
      <c r="G158" s="42">
        <f t="shared" si="145"/>
        <v>2400</v>
      </c>
      <c r="H158" s="8">
        <v>25000</v>
      </c>
      <c r="I158" s="42">
        <f t="shared" si="146"/>
        <v>8000</v>
      </c>
      <c r="J158" s="8">
        <v>25000</v>
      </c>
      <c r="K158" s="42">
        <f t="shared" si="147"/>
        <v>8000</v>
      </c>
      <c r="L158" s="8">
        <v>25000</v>
      </c>
      <c r="M158" s="9">
        <v>9</v>
      </c>
      <c r="N158" s="9">
        <v>16.100000000000001</v>
      </c>
      <c r="O158" s="9">
        <v>14</v>
      </c>
      <c r="P158" s="9">
        <v>19.5</v>
      </c>
      <c r="Q158" s="92">
        <v>3.2318737999999998</v>
      </c>
      <c r="R158">
        <v>10</v>
      </c>
      <c r="S158">
        <v>1000</v>
      </c>
      <c r="T158" s="4">
        <v>340.29106531024155</v>
      </c>
      <c r="U158">
        <f t="shared" si="118"/>
        <v>3.4029106531024156</v>
      </c>
      <c r="V158">
        <f t="shared" ref="V158:W158" si="150">V134</f>
        <v>3.4</v>
      </c>
      <c r="W158">
        <f t="shared" si="150"/>
        <v>3</v>
      </c>
      <c r="X158" s="9">
        <v>3.2318737999999998</v>
      </c>
    </row>
    <row r="159" spans="1:24" x14ac:dyDescent="0.2">
      <c r="A159" s="41">
        <f t="shared" si="120"/>
        <v>45845.499999999622</v>
      </c>
      <c r="B159" s="42">
        <f t="shared" si="144"/>
        <v>8000</v>
      </c>
      <c r="C159" s="8">
        <v>25000</v>
      </c>
      <c r="D159" s="8">
        <v>0</v>
      </c>
      <c r="E159" s="8">
        <v>700</v>
      </c>
      <c r="F159" s="8">
        <v>7500</v>
      </c>
      <c r="G159" s="42">
        <f t="shared" si="145"/>
        <v>2400</v>
      </c>
      <c r="H159" s="8">
        <v>25000</v>
      </c>
      <c r="I159" s="42">
        <f t="shared" si="146"/>
        <v>8000</v>
      </c>
      <c r="J159" s="8">
        <v>25000</v>
      </c>
      <c r="K159" s="42">
        <f t="shared" si="147"/>
        <v>8000</v>
      </c>
      <c r="L159" s="8">
        <v>25000</v>
      </c>
      <c r="M159" s="9">
        <v>9</v>
      </c>
      <c r="N159" s="9">
        <v>16.100000000000001</v>
      </c>
      <c r="O159" s="9">
        <v>14</v>
      </c>
      <c r="P159" s="9">
        <v>19.5</v>
      </c>
      <c r="Q159" s="92">
        <v>3.0485338999999998</v>
      </c>
      <c r="R159">
        <v>10</v>
      </c>
      <c r="S159">
        <v>1000</v>
      </c>
      <c r="T159" s="4">
        <v>369.94274167759033</v>
      </c>
      <c r="U159">
        <f t="shared" si="118"/>
        <v>3.6994274167759031</v>
      </c>
      <c r="V159">
        <f t="shared" ref="V159:W159" si="151">V135</f>
        <v>3.1</v>
      </c>
      <c r="W159">
        <f t="shared" si="151"/>
        <v>2.9</v>
      </c>
      <c r="X159" s="9">
        <v>3.0485338999999998</v>
      </c>
    </row>
    <row r="160" spans="1:24" x14ac:dyDescent="0.2">
      <c r="A160" s="41">
        <f t="shared" si="120"/>
        <v>45845.541666666286</v>
      </c>
      <c r="B160" s="42">
        <f t="shared" si="144"/>
        <v>8000</v>
      </c>
      <c r="C160" s="8">
        <v>25000</v>
      </c>
      <c r="D160" s="8">
        <v>0</v>
      </c>
      <c r="E160" s="8">
        <v>700</v>
      </c>
      <c r="F160" s="8">
        <v>7500</v>
      </c>
      <c r="G160" s="42">
        <f t="shared" si="145"/>
        <v>2400</v>
      </c>
      <c r="H160" s="8">
        <v>25000</v>
      </c>
      <c r="I160" s="42">
        <f t="shared" si="146"/>
        <v>8000</v>
      </c>
      <c r="J160" s="8">
        <v>25000</v>
      </c>
      <c r="K160" s="42">
        <f t="shared" si="147"/>
        <v>8000</v>
      </c>
      <c r="L160" s="8">
        <v>25000</v>
      </c>
      <c r="M160" s="9">
        <v>9</v>
      </c>
      <c r="N160" s="9">
        <v>16.100000000000001</v>
      </c>
      <c r="O160" s="9">
        <v>14</v>
      </c>
      <c r="P160" s="9">
        <v>19.5</v>
      </c>
      <c r="Q160" s="92">
        <v>2.8661113</v>
      </c>
      <c r="R160">
        <v>10</v>
      </c>
      <c r="S160">
        <v>1000</v>
      </c>
      <c r="T160" s="4">
        <v>402.40414847292726</v>
      </c>
      <c r="U160">
        <f t="shared" si="118"/>
        <v>4.0240414847292723</v>
      </c>
      <c r="V160">
        <f t="shared" ref="V160:W160" si="152">V136</f>
        <v>3.2</v>
      </c>
      <c r="W160">
        <f t="shared" si="152"/>
        <v>2.9</v>
      </c>
      <c r="X160" s="9">
        <v>2.8661113</v>
      </c>
    </row>
    <row r="161" spans="1:24" x14ac:dyDescent="0.2">
      <c r="A161" s="41">
        <f t="shared" si="120"/>
        <v>45845.58333333295</v>
      </c>
      <c r="B161" s="42">
        <f t="shared" si="144"/>
        <v>8000</v>
      </c>
      <c r="C161" s="8">
        <v>25000</v>
      </c>
      <c r="D161" s="8">
        <v>0</v>
      </c>
      <c r="E161" s="8">
        <v>700</v>
      </c>
      <c r="F161" s="8">
        <v>7500</v>
      </c>
      <c r="G161" s="42">
        <f t="shared" si="145"/>
        <v>2400</v>
      </c>
      <c r="H161" s="8">
        <v>25000</v>
      </c>
      <c r="I161" s="42">
        <f t="shared" si="146"/>
        <v>8000</v>
      </c>
      <c r="J161" s="8">
        <v>25000</v>
      </c>
      <c r="K161" s="42">
        <f t="shared" si="147"/>
        <v>8000</v>
      </c>
      <c r="L161" s="8">
        <v>25000</v>
      </c>
      <c r="M161" s="9">
        <v>9</v>
      </c>
      <c r="N161" s="9">
        <v>16.100000000000001</v>
      </c>
      <c r="O161" s="9">
        <v>14</v>
      </c>
      <c r="P161" s="9">
        <v>19.5</v>
      </c>
      <c r="Q161" s="92">
        <v>2.9089700999999999</v>
      </c>
      <c r="R161">
        <v>10</v>
      </c>
      <c r="S161">
        <v>1000</v>
      </c>
      <c r="T161" s="4">
        <v>655.22245637658079</v>
      </c>
      <c r="U161">
        <f t="shared" si="118"/>
        <v>6.5522245637658081</v>
      </c>
      <c r="V161">
        <f t="shared" ref="V161:W161" si="153">V137</f>
        <v>3.5</v>
      </c>
      <c r="W161">
        <f t="shared" si="153"/>
        <v>2.9</v>
      </c>
      <c r="X161" s="9">
        <v>2.9089700999999999</v>
      </c>
    </row>
    <row r="162" spans="1:24" x14ac:dyDescent="0.2">
      <c r="A162" s="41">
        <f t="shared" si="120"/>
        <v>45845.624999999614</v>
      </c>
      <c r="B162" s="42">
        <f t="shared" si="144"/>
        <v>8000</v>
      </c>
      <c r="C162" s="8">
        <v>25000</v>
      </c>
      <c r="D162" s="8">
        <v>0</v>
      </c>
      <c r="E162" s="8">
        <v>700</v>
      </c>
      <c r="F162" s="8">
        <v>7500</v>
      </c>
      <c r="G162" s="42">
        <f t="shared" si="145"/>
        <v>2400</v>
      </c>
      <c r="H162" s="8">
        <v>25000</v>
      </c>
      <c r="I162" s="42">
        <f t="shared" si="146"/>
        <v>8000</v>
      </c>
      <c r="J162" s="8">
        <v>25000</v>
      </c>
      <c r="K162" s="42">
        <f t="shared" si="147"/>
        <v>8000</v>
      </c>
      <c r="L162" s="8">
        <v>25000</v>
      </c>
      <c r="M162" s="9">
        <v>9</v>
      </c>
      <c r="N162" s="9">
        <v>16.100000000000001</v>
      </c>
      <c r="O162" s="9">
        <v>14</v>
      </c>
      <c r="P162" s="9">
        <v>19.5</v>
      </c>
      <c r="Q162" s="92">
        <v>3.2169219999999998</v>
      </c>
      <c r="R162">
        <v>10</v>
      </c>
      <c r="S162">
        <v>1000</v>
      </c>
      <c r="T162" s="4">
        <v>753.54117275252679</v>
      </c>
      <c r="U162">
        <f t="shared" si="118"/>
        <v>7.5354117275252683</v>
      </c>
      <c r="V162">
        <f t="shared" ref="V162:W162" si="154">V138</f>
        <v>3.2</v>
      </c>
      <c r="W162">
        <f t="shared" si="154"/>
        <v>2.9</v>
      </c>
      <c r="X162" s="9">
        <v>3.2169219999999998</v>
      </c>
    </row>
    <row r="163" spans="1:24" x14ac:dyDescent="0.2">
      <c r="A163" s="41">
        <f t="shared" si="120"/>
        <v>45845.666666666279</v>
      </c>
      <c r="B163" s="42">
        <f t="shared" si="144"/>
        <v>8000</v>
      </c>
      <c r="C163" s="8">
        <v>25000</v>
      </c>
      <c r="D163" s="8">
        <v>0</v>
      </c>
      <c r="E163" s="8">
        <v>700</v>
      </c>
      <c r="F163" s="8">
        <v>7500</v>
      </c>
      <c r="G163" s="42">
        <f t="shared" si="145"/>
        <v>2400</v>
      </c>
      <c r="H163" s="8">
        <v>25000</v>
      </c>
      <c r="I163" s="42">
        <f t="shared" si="146"/>
        <v>8000</v>
      </c>
      <c r="J163" s="8">
        <v>25000</v>
      </c>
      <c r="K163" s="42">
        <f t="shared" si="147"/>
        <v>8000</v>
      </c>
      <c r="L163" s="8">
        <v>25000</v>
      </c>
      <c r="M163" s="9">
        <v>9</v>
      </c>
      <c r="N163" s="9">
        <v>16.100000000000001</v>
      </c>
      <c r="O163" s="9">
        <v>14</v>
      </c>
      <c r="P163" s="9">
        <v>19.5</v>
      </c>
      <c r="Q163" s="92">
        <v>3.0791873999999999</v>
      </c>
      <c r="R163">
        <v>10</v>
      </c>
      <c r="S163">
        <v>1000</v>
      </c>
      <c r="T163" s="4">
        <v>974.21206950742805</v>
      </c>
      <c r="U163">
        <f t="shared" si="118"/>
        <v>9.7421206950742807</v>
      </c>
      <c r="V163">
        <f t="shared" ref="V163:W163" si="155">V139</f>
        <v>3.5</v>
      </c>
      <c r="W163">
        <f t="shared" si="155"/>
        <v>3</v>
      </c>
      <c r="X163" s="9">
        <v>3.0791873999999999</v>
      </c>
    </row>
    <row r="164" spans="1:24" x14ac:dyDescent="0.2">
      <c r="A164" s="41">
        <f t="shared" si="120"/>
        <v>45845.708333332943</v>
      </c>
      <c r="B164" s="42">
        <f t="shared" si="144"/>
        <v>8000</v>
      </c>
      <c r="C164" s="8">
        <v>25000</v>
      </c>
      <c r="D164" s="8">
        <v>0</v>
      </c>
      <c r="E164" s="8">
        <v>700</v>
      </c>
      <c r="F164" s="8">
        <v>7500</v>
      </c>
      <c r="G164" s="42">
        <f t="shared" si="145"/>
        <v>2400</v>
      </c>
      <c r="H164" s="8">
        <v>25000</v>
      </c>
      <c r="I164" s="42">
        <f t="shared" si="146"/>
        <v>8000</v>
      </c>
      <c r="J164" s="8">
        <v>25000</v>
      </c>
      <c r="K164" s="42">
        <f t="shared" si="147"/>
        <v>8000</v>
      </c>
      <c r="L164" s="8">
        <v>25000</v>
      </c>
      <c r="M164" s="9">
        <v>9</v>
      </c>
      <c r="N164" s="9">
        <v>16.100000000000001</v>
      </c>
      <c r="O164" s="9">
        <v>14</v>
      </c>
      <c r="P164" s="9">
        <v>19.5</v>
      </c>
      <c r="Q164" s="92">
        <v>3.0040752999999998</v>
      </c>
      <c r="R164">
        <v>10</v>
      </c>
      <c r="S164">
        <v>1000</v>
      </c>
      <c r="T164" s="4">
        <v>1241.0771568135674</v>
      </c>
      <c r="U164">
        <f t="shared" si="118"/>
        <v>12.410771568135674</v>
      </c>
      <c r="V164">
        <f t="shared" ref="V164:W164" si="156">V140</f>
        <v>3.6</v>
      </c>
      <c r="W164">
        <f t="shared" si="156"/>
        <v>3</v>
      </c>
      <c r="X164" s="9">
        <v>3.0040752999999998</v>
      </c>
    </row>
    <row r="165" spans="1:24" x14ac:dyDescent="0.2">
      <c r="A165" s="41">
        <f t="shared" si="120"/>
        <v>45845.749999999607</v>
      </c>
      <c r="B165" s="42">
        <f t="shared" si="144"/>
        <v>5000</v>
      </c>
      <c r="C165" s="8">
        <v>25000</v>
      </c>
      <c r="D165" s="8">
        <v>0</v>
      </c>
      <c r="E165" s="8">
        <v>700</v>
      </c>
      <c r="F165" s="8">
        <v>7500</v>
      </c>
      <c r="G165" s="42">
        <f t="shared" si="145"/>
        <v>2400</v>
      </c>
      <c r="H165" s="8">
        <v>25000</v>
      </c>
      <c r="I165" s="42">
        <f t="shared" si="146"/>
        <v>5000</v>
      </c>
      <c r="J165" s="8">
        <v>25000</v>
      </c>
      <c r="K165" s="42">
        <f t="shared" si="147"/>
        <v>5000</v>
      </c>
      <c r="L165" s="8">
        <v>25000</v>
      </c>
      <c r="M165" s="9">
        <v>9</v>
      </c>
      <c r="N165" s="9">
        <v>16.100000000000001</v>
      </c>
      <c r="O165" s="9">
        <v>14</v>
      </c>
      <c r="P165" s="9">
        <v>19.5</v>
      </c>
      <c r="Q165" s="92">
        <v>2.9862986</v>
      </c>
      <c r="R165">
        <v>10</v>
      </c>
      <c r="S165">
        <v>1000</v>
      </c>
      <c r="T165" s="4">
        <v>1284.7743640917656</v>
      </c>
      <c r="U165">
        <f t="shared" si="118"/>
        <v>12.847743640917656</v>
      </c>
      <c r="V165">
        <f t="shared" ref="V165:W165" si="157">V141</f>
        <v>2.9</v>
      </c>
      <c r="W165">
        <f t="shared" si="157"/>
        <v>3</v>
      </c>
      <c r="X165" s="9">
        <v>2.9862986</v>
      </c>
    </row>
    <row r="166" spans="1:24" x14ac:dyDescent="0.2">
      <c r="A166" s="41">
        <f t="shared" si="120"/>
        <v>45845.791666666271</v>
      </c>
      <c r="B166" s="42">
        <f t="shared" si="144"/>
        <v>5000</v>
      </c>
      <c r="C166" s="8">
        <v>25000</v>
      </c>
      <c r="D166" s="8">
        <v>0</v>
      </c>
      <c r="E166" s="8">
        <v>700</v>
      </c>
      <c r="F166" s="8">
        <v>7500</v>
      </c>
      <c r="G166" s="42">
        <f t="shared" si="145"/>
        <v>2400</v>
      </c>
      <c r="H166" s="8">
        <v>25000</v>
      </c>
      <c r="I166" s="42">
        <f t="shared" si="146"/>
        <v>5000</v>
      </c>
      <c r="J166" s="8">
        <v>25000</v>
      </c>
      <c r="K166" s="42">
        <f t="shared" si="147"/>
        <v>5000</v>
      </c>
      <c r="L166" s="8">
        <v>25000</v>
      </c>
      <c r="M166" s="9">
        <v>9</v>
      </c>
      <c r="N166" s="9">
        <v>16.100000000000001</v>
      </c>
      <c r="O166" s="9">
        <v>14</v>
      </c>
      <c r="P166" s="9">
        <v>19.5</v>
      </c>
      <c r="Q166" s="92">
        <v>2.9415716999999999</v>
      </c>
      <c r="R166">
        <v>10</v>
      </c>
      <c r="S166">
        <v>1000</v>
      </c>
      <c r="T166" s="4">
        <v>1281.6531350004659</v>
      </c>
      <c r="U166">
        <f t="shared" si="118"/>
        <v>12.816531350004659</v>
      </c>
      <c r="V166">
        <f t="shared" ref="V166:W166" si="158">V142</f>
        <v>3</v>
      </c>
      <c r="W166">
        <f t="shared" si="158"/>
        <v>3</v>
      </c>
      <c r="X166" s="9">
        <v>2.9415716999999999</v>
      </c>
    </row>
    <row r="167" spans="1:24" x14ac:dyDescent="0.2">
      <c r="A167" s="41">
        <f t="shared" si="120"/>
        <v>45845.833333332936</v>
      </c>
      <c r="B167" s="42">
        <f t="shared" si="144"/>
        <v>5000</v>
      </c>
      <c r="C167" s="8">
        <v>25000</v>
      </c>
      <c r="D167" s="8">
        <v>0</v>
      </c>
      <c r="E167" s="8">
        <v>700</v>
      </c>
      <c r="F167" s="8">
        <v>7500</v>
      </c>
      <c r="G167" s="42">
        <f t="shared" si="145"/>
        <v>2400</v>
      </c>
      <c r="H167" s="8">
        <v>25000</v>
      </c>
      <c r="I167" s="42">
        <f t="shared" si="146"/>
        <v>5000</v>
      </c>
      <c r="J167" s="8">
        <v>25000</v>
      </c>
      <c r="K167" s="42">
        <f t="shared" si="147"/>
        <v>5000</v>
      </c>
      <c r="L167" s="8">
        <v>25000</v>
      </c>
      <c r="M167" s="9">
        <v>9</v>
      </c>
      <c r="N167" s="9">
        <v>16.100000000000001</v>
      </c>
      <c r="O167" s="9">
        <v>14</v>
      </c>
      <c r="P167" s="9">
        <v>19.5</v>
      </c>
      <c r="Q167" s="92">
        <v>2.9021363</v>
      </c>
      <c r="R167">
        <v>10</v>
      </c>
      <c r="S167">
        <v>1000</v>
      </c>
      <c r="T167" s="4">
        <v>1237.9559277222675</v>
      </c>
      <c r="U167">
        <f t="shared" si="118"/>
        <v>12.379559277222675</v>
      </c>
      <c r="V167">
        <f t="shared" ref="V167:W167" si="159">V143</f>
        <v>2.8</v>
      </c>
      <c r="W167">
        <f t="shared" si="159"/>
        <v>3.1</v>
      </c>
      <c r="X167" s="9">
        <v>2.9021363</v>
      </c>
    </row>
    <row r="168" spans="1:24" x14ac:dyDescent="0.2">
      <c r="A168" s="41">
        <f t="shared" si="120"/>
        <v>45845.8749999996</v>
      </c>
      <c r="B168" s="42">
        <f t="shared" si="144"/>
        <v>5000</v>
      </c>
      <c r="C168" s="8">
        <v>25000</v>
      </c>
      <c r="D168" s="8">
        <v>0</v>
      </c>
      <c r="E168" s="8">
        <v>700</v>
      </c>
      <c r="F168" s="8">
        <v>7500</v>
      </c>
      <c r="G168" s="42">
        <f t="shared" si="145"/>
        <v>2400</v>
      </c>
      <c r="H168" s="8">
        <v>25000</v>
      </c>
      <c r="I168" s="42">
        <f t="shared" si="146"/>
        <v>5000</v>
      </c>
      <c r="J168" s="8">
        <v>25000</v>
      </c>
      <c r="K168" s="42">
        <f t="shared" si="147"/>
        <v>5000</v>
      </c>
      <c r="L168" s="8">
        <v>25000</v>
      </c>
      <c r="M168" s="9">
        <v>9</v>
      </c>
      <c r="N168" s="9">
        <v>16.100000000000001</v>
      </c>
      <c r="O168" s="9">
        <v>14</v>
      </c>
      <c r="P168" s="9">
        <v>19.5</v>
      </c>
      <c r="Q168" s="92">
        <v>2.8622622</v>
      </c>
      <c r="R168">
        <v>10</v>
      </c>
      <c r="S168">
        <v>1000</v>
      </c>
      <c r="T168" s="4">
        <v>1142.7584404376212</v>
      </c>
      <c r="U168">
        <f t="shared" si="118"/>
        <v>11.427584404376212</v>
      </c>
      <c r="V168">
        <f t="shared" ref="V168:W168" si="160">V144</f>
        <v>3.5</v>
      </c>
      <c r="W168">
        <f t="shared" si="160"/>
        <v>3.1</v>
      </c>
      <c r="X168" s="9">
        <v>2.8622622</v>
      </c>
    </row>
    <row r="169" spans="1:24" x14ac:dyDescent="0.2">
      <c r="A169" s="41">
        <f t="shared" si="120"/>
        <v>45845.916666666264</v>
      </c>
      <c r="B169" s="42">
        <f t="shared" si="144"/>
        <v>5000</v>
      </c>
      <c r="C169" s="8">
        <v>25000</v>
      </c>
      <c r="D169" s="8">
        <v>0</v>
      </c>
      <c r="E169" s="8">
        <v>700</v>
      </c>
      <c r="F169" s="8">
        <v>7500</v>
      </c>
      <c r="G169" s="42">
        <f t="shared" si="145"/>
        <v>2400</v>
      </c>
      <c r="H169" s="8">
        <v>25000</v>
      </c>
      <c r="I169" s="42">
        <f t="shared" si="146"/>
        <v>5000</v>
      </c>
      <c r="J169" s="8">
        <v>25000</v>
      </c>
      <c r="K169" s="42">
        <f t="shared" si="147"/>
        <v>5000</v>
      </c>
      <c r="L169" s="8">
        <v>25000</v>
      </c>
      <c r="M169" s="9">
        <v>9</v>
      </c>
      <c r="N169" s="9">
        <v>16.100000000000001</v>
      </c>
      <c r="O169" s="9">
        <v>14</v>
      </c>
      <c r="P169" s="9">
        <v>19.5</v>
      </c>
      <c r="Q169" s="92">
        <v>2.8155912999999999</v>
      </c>
      <c r="R169">
        <v>10</v>
      </c>
      <c r="S169">
        <v>1000</v>
      </c>
      <c r="T169" s="4">
        <v>918.02994586403031</v>
      </c>
      <c r="U169">
        <f t="shared" si="118"/>
        <v>9.1802994586403024</v>
      </c>
      <c r="V169">
        <f t="shared" ref="V169:W169" si="161">V145</f>
        <v>2.9</v>
      </c>
      <c r="W169">
        <f t="shared" si="161"/>
        <v>3.1</v>
      </c>
      <c r="X169" s="9">
        <v>2.8155912999999999</v>
      </c>
    </row>
    <row r="170" spans="1:24" x14ac:dyDescent="0.2">
      <c r="A170" s="41">
        <f t="shared" si="120"/>
        <v>45845.958333332928</v>
      </c>
      <c r="B170" s="42">
        <f t="shared" si="144"/>
        <v>5000</v>
      </c>
      <c r="C170" s="8">
        <v>25000</v>
      </c>
      <c r="D170" s="8">
        <v>0</v>
      </c>
      <c r="E170" s="8">
        <v>700</v>
      </c>
      <c r="F170" s="8">
        <v>7500</v>
      </c>
      <c r="G170" s="42">
        <f t="shared" si="145"/>
        <v>2400</v>
      </c>
      <c r="H170" s="8">
        <v>25000</v>
      </c>
      <c r="I170" s="42">
        <f t="shared" si="146"/>
        <v>5000</v>
      </c>
      <c r="J170" s="8">
        <v>25000</v>
      </c>
      <c r="K170" s="42">
        <f t="shared" si="147"/>
        <v>5000</v>
      </c>
      <c r="L170" s="8">
        <v>25000</v>
      </c>
      <c r="M170" s="9">
        <v>9</v>
      </c>
      <c r="N170" s="9">
        <v>16.100000000000001</v>
      </c>
      <c r="O170" s="9">
        <v>14</v>
      </c>
      <c r="P170" s="9">
        <v>19.5</v>
      </c>
      <c r="Q170" s="92">
        <v>2.7097294000000001</v>
      </c>
      <c r="R170">
        <v>10</v>
      </c>
      <c r="S170">
        <v>1000</v>
      </c>
      <c r="T170" s="4">
        <v>562.52257661079261</v>
      </c>
      <c r="U170">
        <f t="shared" si="118"/>
        <v>5.6252257661079259</v>
      </c>
      <c r="V170">
        <f t="shared" ref="V170:W170" si="162">V146</f>
        <v>3.6</v>
      </c>
      <c r="W170">
        <f t="shared" si="162"/>
        <v>3.1</v>
      </c>
      <c r="X170" s="9">
        <v>2.7097294000000001</v>
      </c>
    </row>
    <row r="171" spans="1:24" x14ac:dyDescent="0.2">
      <c r="A171" s="41">
        <f t="shared" si="120"/>
        <v>45845.999999999593</v>
      </c>
      <c r="B171" s="42">
        <f t="shared" si="144"/>
        <v>5000</v>
      </c>
      <c r="C171" s="8">
        <v>25000</v>
      </c>
      <c r="D171" s="8">
        <v>0</v>
      </c>
      <c r="E171" s="8">
        <v>700</v>
      </c>
      <c r="F171" s="8">
        <v>7500</v>
      </c>
      <c r="G171" s="42">
        <f t="shared" si="145"/>
        <v>2400</v>
      </c>
      <c r="H171" s="8">
        <v>25000</v>
      </c>
      <c r="I171" s="42">
        <f t="shared" si="146"/>
        <v>5000</v>
      </c>
      <c r="J171" s="8">
        <v>25000</v>
      </c>
      <c r="K171" s="42">
        <f t="shared" si="147"/>
        <v>5000</v>
      </c>
      <c r="L171" s="8">
        <v>25000</v>
      </c>
      <c r="M171" s="9">
        <v>9</v>
      </c>
      <c r="N171" s="9">
        <v>16.100000000000001</v>
      </c>
      <c r="O171" s="9">
        <v>14</v>
      </c>
      <c r="P171" s="9">
        <v>19.5</v>
      </c>
      <c r="Q171" s="92">
        <v>2.6478817000000001</v>
      </c>
      <c r="R171">
        <v>10</v>
      </c>
      <c r="S171">
        <v>1000</v>
      </c>
      <c r="T171" s="4">
        <v>328.43039476330199</v>
      </c>
      <c r="U171">
        <f t="shared" si="118"/>
        <v>3.28430394763302</v>
      </c>
      <c r="V171">
        <f t="shared" ref="V171:W171" si="163">V147</f>
        <v>3</v>
      </c>
      <c r="W171">
        <f t="shared" si="163"/>
        <v>3.2</v>
      </c>
      <c r="X171" s="9">
        <v>2.6478817000000001</v>
      </c>
    </row>
    <row r="172" spans="1:24" x14ac:dyDescent="0.2">
      <c r="A172" s="41">
        <f t="shared" si="120"/>
        <v>45846.041666666257</v>
      </c>
      <c r="B172" s="42">
        <f t="shared" si="144"/>
        <v>5000</v>
      </c>
      <c r="C172" s="8">
        <v>25000</v>
      </c>
      <c r="D172" s="8">
        <v>0</v>
      </c>
      <c r="E172" s="8">
        <v>700</v>
      </c>
      <c r="F172" s="8">
        <v>7500</v>
      </c>
      <c r="G172" s="42">
        <f t="shared" si="145"/>
        <v>2400</v>
      </c>
      <c r="H172" s="8">
        <v>25000</v>
      </c>
      <c r="I172" s="42">
        <f t="shared" si="146"/>
        <v>5000</v>
      </c>
      <c r="J172" s="8">
        <v>25000</v>
      </c>
      <c r="K172" s="42">
        <f t="shared" si="147"/>
        <v>5000</v>
      </c>
      <c r="L172" s="8">
        <v>25000</v>
      </c>
      <c r="M172" s="9">
        <v>9</v>
      </c>
      <c r="N172" s="9">
        <v>16.100000000000001</v>
      </c>
      <c r="O172" s="9">
        <v>14</v>
      </c>
      <c r="P172" s="9">
        <v>19.5</v>
      </c>
      <c r="Q172" s="92">
        <v>2.6271624999999998</v>
      </c>
      <c r="R172">
        <v>10</v>
      </c>
      <c r="S172">
        <v>1000</v>
      </c>
      <c r="T172" s="4">
        <v>318.44246167114238</v>
      </c>
      <c r="U172">
        <f t="shared" si="118"/>
        <v>3.1844246167114236</v>
      </c>
      <c r="V172">
        <f t="shared" ref="V172:W172" si="164">V148</f>
        <v>2.6</v>
      </c>
      <c r="W172">
        <f t="shared" si="164"/>
        <v>3.2</v>
      </c>
      <c r="X172" s="9">
        <v>2.6271624999999998</v>
      </c>
    </row>
    <row r="173" spans="1:24" x14ac:dyDescent="0.2">
      <c r="A173" s="41">
        <f t="shared" si="120"/>
        <v>45846.083333332921</v>
      </c>
      <c r="B173" s="42">
        <f t="shared" si="144"/>
        <v>5000</v>
      </c>
      <c r="C173" s="8">
        <v>25000</v>
      </c>
      <c r="D173" s="8">
        <v>0</v>
      </c>
      <c r="E173" s="8">
        <v>700</v>
      </c>
      <c r="F173" s="8">
        <v>7500</v>
      </c>
      <c r="G173" s="42">
        <f t="shared" si="145"/>
        <v>2400</v>
      </c>
      <c r="H173" s="8">
        <v>25000</v>
      </c>
      <c r="I173" s="42">
        <f t="shared" si="146"/>
        <v>5000</v>
      </c>
      <c r="J173" s="8">
        <v>25000</v>
      </c>
      <c r="K173" s="42">
        <f t="shared" si="147"/>
        <v>5000</v>
      </c>
      <c r="L173" s="8">
        <v>25000</v>
      </c>
      <c r="M173" s="9">
        <v>9</v>
      </c>
      <c r="N173" s="9">
        <v>16.100000000000001</v>
      </c>
      <c r="O173" s="9">
        <v>14</v>
      </c>
      <c r="P173" s="9">
        <v>19.5</v>
      </c>
      <c r="Q173" s="92">
        <v>2.6882806000000001</v>
      </c>
      <c r="R173">
        <v>10</v>
      </c>
      <c r="S173">
        <v>1000</v>
      </c>
      <c r="T173" s="4">
        <v>318.44246167114238</v>
      </c>
      <c r="U173">
        <f t="shared" si="118"/>
        <v>3.1844246167114236</v>
      </c>
      <c r="V173">
        <f t="shared" ref="V173:W173" si="165">V149</f>
        <v>2.8</v>
      </c>
      <c r="W173">
        <f t="shared" si="165"/>
        <v>3.2</v>
      </c>
      <c r="X173" s="9">
        <v>2.6882806000000001</v>
      </c>
    </row>
    <row r="174" spans="1:24" x14ac:dyDescent="0.2">
      <c r="A174" s="41">
        <f t="shared" si="120"/>
        <v>45846.124999999585</v>
      </c>
      <c r="B174" s="42">
        <f t="shared" si="144"/>
        <v>5000</v>
      </c>
      <c r="C174" s="8">
        <v>25000</v>
      </c>
      <c r="D174" s="8">
        <v>0</v>
      </c>
      <c r="E174" s="8">
        <v>700</v>
      </c>
      <c r="F174" s="8">
        <v>7500</v>
      </c>
      <c r="G174" s="42">
        <f t="shared" si="145"/>
        <v>2400</v>
      </c>
      <c r="H174" s="8">
        <v>25000</v>
      </c>
      <c r="I174" s="42">
        <f t="shared" si="146"/>
        <v>5000</v>
      </c>
      <c r="J174" s="8">
        <v>25000</v>
      </c>
      <c r="K174" s="42">
        <f t="shared" si="147"/>
        <v>5000</v>
      </c>
      <c r="L174" s="8">
        <v>25000</v>
      </c>
      <c r="M174" s="9">
        <v>9</v>
      </c>
      <c r="N174" s="9">
        <v>16.100000000000001</v>
      </c>
      <c r="O174" s="9">
        <v>14</v>
      </c>
      <c r="P174" s="9">
        <v>19.5</v>
      </c>
      <c r="Q174" s="92">
        <v>2.736243</v>
      </c>
      <c r="R174">
        <v>10</v>
      </c>
      <c r="S174">
        <v>1000</v>
      </c>
      <c r="T174" s="4">
        <v>396.47318895363924</v>
      </c>
      <c r="U174">
        <f t="shared" si="118"/>
        <v>3.9647318895363926</v>
      </c>
      <c r="V174">
        <f t="shared" ref="V174:W174" si="166">V150</f>
        <v>2.7</v>
      </c>
      <c r="W174">
        <f t="shared" si="166"/>
        <v>3.2</v>
      </c>
      <c r="X174" s="9">
        <v>2.736243</v>
      </c>
    </row>
    <row r="175" spans="1:24" x14ac:dyDescent="0.2">
      <c r="A175" s="41">
        <f t="shared" si="120"/>
        <v>45846.16666666625</v>
      </c>
      <c r="B175" s="42">
        <f t="shared" si="144"/>
        <v>5000</v>
      </c>
      <c r="C175" s="8">
        <v>25000</v>
      </c>
      <c r="D175" s="8">
        <v>0</v>
      </c>
      <c r="E175" s="8">
        <v>700</v>
      </c>
      <c r="F175" s="8">
        <v>7500</v>
      </c>
      <c r="G175" s="42">
        <f t="shared" si="145"/>
        <v>2400</v>
      </c>
      <c r="H175" s="8">
        <v>25000</v>
      </c>
      <c r="I175" s="42">
        <f t="shared" si="146"/>
        <v>5000</v>
      </c>
      <c r="J175" s="8">
        <v>25000</v>
      </c>
      <c r="K175" s="42">
        <f t="shared" si="147"/>
        <v>5000</v>
      </c>
      <c r="L175" s="8">
        <v>25000</v>
      </c>
      <c r="M175" s="9">
        <v>9</v>
      </c>
      <c r="N175" s="9">
        <v>16.100000000000001</v>
      </c>
      <c r="O175" s="9">
        <v>14</v>
      </c>
      <c r="P175" s="9">
        <v>19.5</v>
      </c>
      <c r="Q175" s="92">
        <v>2.7699392</v>
      </c>
      <c r="R175">
        <v>10</v>
      </c>
      <c r="S175">
        <v>1000</v>
      </c>
      <c r="T175" s="4">
        <v>466.70084350788647</v>
      </c>
      <c r="U175">
        <f t="shared" si="118"/>
        <v>4.6670084350788645</v>
      </c>
      <c r="V175">
        <f t="shared" ref="V175:W175" si="167">V151</f>
        <v>3</v>
      </c>
      <c r="W175">
        <f t="shared" si="167"/>
        <v>3.1</v>
      </c>
      <c r="X175" s="9">
        <v>2.7699392</v>
      </c>
    </row>
    <row r="176" spans="1:24" x14ac:dyDescent="0.2">
      <c r="A176" s="41">
        <f t="shared" si="120"/>
        <v>45846.208333332914</v>
      </c>
      <c r="B176" s="42">
        <f t="shared" si="144"/>
        <v>5000</v>
      </c>
      <c r="C176" s="8">
        <v>25000</v>
      </c>
      <c r="D176" s="8">
        <v>0</v>
      </c>
      <c r="E176" s="8">
        <v>700</v>
      </c>
      <c r="F176" s="8">
        <v>7500</v>
      </c>
      <c r="G176" s="42">
        <f t="shared" si="145"/>
        <v>2400</v>
      </c>
      <c r="H176" s="8">
        <v>25000</v>
      </c>
      <c r="I176" s="42">
        <f t="shared" si="146"/>
        <v>5000</v>
      </c>
      <c r="J176" s="8">
        <v>25000</v>
      </c>
      <c r="K176" s="42">
        <f t="shared" si="147"/>
        <v>5000</v>
      </c>
      <c r="L176" s="8">
        <v>25000</v>
      </c>
      <c r="M176" s="9">
        <v>9</v>
      </c>
      <c r="N176" s="9">
        <v>16.100000000000001</v>
      </c>
      <c r="O176" s="9">
        <v>14</v>
      </c>
      <c r="P176" s="9">
        <v>19.5</v>
      </c>
      <c r="Q176" s="92">
        <v>2.8546931999999998</v>
      </c>
      <c r="R176">
        <v>10</v>
      </c>
      <c r="S176">
        <v>1000</v>
      </c>
      <c r="T176" s="4">
        <v>466.70084350788647</v>
      </c>
      <c r="U176">
        <f t="shared" si="118"/>
        <v>4.6670084350788645</v>
      </c>
      <c r="V176">
        <f t="shared" ref="V176:W176" si="168">V152</f>
        <v>2.9</v>
      </c>
      <c r="W176">
        <f t="shared" si="168"/>
        <v>3.1</v>
      </c>
      <c r="X176" s="9">
        <v>2.8546931999999998</v>
      </c>
    </row>
    <row r="177" spans="1:24" x14ac:dyDescent="0.2">
      <c r="A177" s="41">
        <f t="shared" si="120"/>
        <v>45846.249999999578</v>
      </c>
      <c r="B177" s="42">
        <f t="shared" si="144"/>
        <v>8000</v>
      </c>
      <c r="C177" s="8">
        <v>25000</v>
      </c>
      <c r="D177" s="8">
        <v>0</v>
      </c>
      <c r="E177" s="8">
        <v>700</v>
      </c>
      <c r="F177" s="8">
        <v>7500</v>
      </c>
      <c r="G177" s="42">
        <f t="shared" si="145"/>
        <v>2400</v>
      </c>
      <c r="H177" s="8">
        <v>25000</v>
      </c>
      <c r="I177" s="42">
        <f t="shared" si="146"/>
        <v>8000</v>
      </c>
      <c r="J177" s="8">
        <v>25000</v>
      </c>
      <c r="K177" s="42">
        <f t="shared" si="147"/>
        <v>8000</v>
      </c>
      <c r="L177" s="8">
        <v>25000</v>
      </c>
      <c r="M177" s="9">
        <v>9</v>
      </c>
      <c r="N177" s="9">
        <v>16.100000000000001</v>
      </c>
      <c r="O177" s="9">
        <v>14</v>
      </c>
      <c r="P177" s="9">
        <v>19.5</v>
      </c>
      <c r="Q177" s="92">
        <v>2.9852995999999998</v>
      </c>
      <c r="R177">
        <v>10</v>
      </c>
      <c r="S177">
        <v>1000</v>
      </c>
      <c r="T177" s="4">
        <v>362.76391476760062</v>
      </c>
      <c r="U177">
        <f t="shared" si="118"/>
        <v>3.6276391476760064</v>
      </c>
      <c r="V177">
        <f t="shared" ref="V177:W177" si="169">V153</f>
        <v>2.5</v>
      </c>
      <c r="W177">
        <f t="shared" si="169"/>
        <v>3.1</v>
      </c>
      <c r="X177" s="9">
        <v>2.9852995999999998</v>
      </c>
    </row>
    <row r="178" spans="1:24" x14ac:dyDescent="0.2">
      <c r="A178" s="41">
        <f t="shared" si="120"/>
        <v>45846.291666666242</v>
      </c>
      <c r="B178" s="42">
        <f t="shared" si="144"/>
        <v>8000</v>
      </c>
      <c r="C178" s="8">
        <v>25000</v>
      </c>
      <c r="D178" s="8">
        <v>0</v>
      </c>
      <c r="E178" s="8">
        <v>700</v>
      </c>
      <c r="F178" s="8">
        <v>7500</v>
      </c>
      <c r="G178" s="42">
        <f t="shared" si="145"/>
        <v>2400</v>
      </c>
      <c r="H178" s="8">
        <v>25000</v>
      </c>
      <c r="I178" s="42">
        <f t="shared" si="146"/>
        <v>8000</v>
      </c>
      <c r="J178" s="8">
        <v>25000</v>
      </c>
      <c r="K178" s="42">
        <f t="shared" si="147"/>
        <v>8000</v>
      </c>
      <c r="L178" s="8">
        <v>25000</v>
      </c>
      <c r="M178" s="9">
        <v>9</v>
      </c>
      <c r="N178" s="9">
        <v>16.100000000000001</v>
      </c>
      <c r="O178" s="9">
        <v>14</v>
      </c>
      <c r="P178" s="9">
        <v>19.5</v>
      </c>
      <c r="Q178" s="92">
        <v>3.1313431</v>
      </c>
      <c r="R178">
        <v>10</v>
      </c>
      <c r="S178">
        <v>1000</v>
      </c>
      <c r="T178" s="4">
        <v>369.00637295020039</v>
      </c>
      <c r="U178">
        <f t="shared" si="118"/>
        <v>3.690063729502004</v>
      </c>
      <c r="V178">
        <f t="shared" ref="V178:W178" si="170">V154</f>
        <v>2.5</v>
      </c>
      <c r="W178">
        <f t="shared" si="170"/>
        <v>3.1</v>
      </c>
      <c r="X178" s="9">
        <v>3.1313431</v>
      </c>
    </row>
    <row r="179" spans="1:24" x14ac:dyDescent="0.2">
      <c r="A179" s="41">
        <f t="shared" si="120"/>
        <v>45846.333333332906</v>
      </c>
      <c r="B179" s="42">
        <f t="shared" si="144"/>
        <v>8000</v>
      </c>
      <c r="C179" s="8">
        <v>25000</v>
      </c>
      <c r="D179" s="8">
        <v>0</v>
      </c>
      <c r="E179" s="8">
        <v>700</v>
      </c>
      <c r="F179" s="8">
        <v>7500</v>
      </c>
      <c r="G179" s="42">
        <f t="shared" si="145"/>
        <v>2400</v>
      </c>
      <c r="H179" s="8">
        <v>25000</v>
      </c>
      <c r="I179" s="42">
        <f t="shared" si="146"/>
        <v>8000</v>
      </c>
      <c r="J179" s="8">
        <v>25000</v>
      </c>
      <c r="K179" s="42">
        <f t="shared" si="147"/>
        <v>8000</v>
      </c>
      <c r="L179" s="8">
        <v>25000</v>
      </c>
      <c r="M179" s="9">
        <v>9</v>
      </c>
      <c r="N179" s="9">
        <v>16.100000000000001</v>
      </c>
      <c r="O179" s="9">
        <v>14</v>
      </c>
      <c r="P179" s="9">
        <v>19.5</v>
      </c>
      <c r="Q179" s="92">
        <v>3.1928477000000002</v>
      </c>
      <c r="R179">
        <v>10</v>
      </c>
      <c r="S179">
        <v>1000</v>
      </c>
      <c r="T179" s="4">
        <v>386.17313295234976</v>
      </c>
      <c r="U179">
        <f t="shared" si="118"/>
        <v>3.8617313295234976</v>
      </c>
      <c r="V179">
        <f t="shared" ref="V179:W179" si="171">V155</f>
        <v>3.2</v>
      </c>
      <c r="W179">
        <f t="shared" si="171"/>
        <v>3</v>
      </c>
      <c r="X179" s="9">
        <v>3.1928477000000002</v>
      </c>
    </row>
    <row r="180" spans="1:24" x14ac:dyDescent="0.2">
      <c r="A180" s="41">
        <f t="shared" si="120"/>
        <v>45846.374999999571</v>
      </c>
      <c r="B180" s="42">
        <f t="shared" si="144"/>
        <v>8000</v>
      </c>
      <c r="C180" s="8">
        <v>25000</v>
      </c>
      <c r="D180" s="8">
        <v>0</v>
      </c>
      <c r="E180" s="8">
        <v>700</v>
      </c>
      <c r="F180" s="8">
        <v>7500</v>
      </c>
      <c r="G180" s="42">
        <f t="shared" si="145"/>
        <v>2400</v>
      </c>
      <c r="H180" s="8">
        <v>25000</v>
      </c>
      <c r="I180" s="42">
        <f t="shared" si="146"/>
        <v>8000</v>
      </c>
      <c r="J180" s="8">
        <v>25000</v>
      </c>
      <c r="K180" s="42">
        <f t="shared" si="147"/>
        <v>8000</v>
      </c>
      <c r="L180" s="8">
        <v>25000</v>
      </c>
      <c r="M180" s="9">
        <v>9</v>
      </c>
      <c r="N180" s="9">
        <v>16.100000000000001</v>
      </c>
      <c r="O180" s="9">
        <v>14</v>
      </c>
      <c r="P180" s="9">
        <v>19.5</v>
      </c>
      <c r="Q180" s="92">
        <v>3.2407048000000001</v>
      </c>
      <c r="R180">
        <v>10</v>
      </c>
      <c r="S180">
        <v>1000</v>
      </c>
      <c r="T180" s="4">
        <v>364.32452931325059</v>
      </c>
      <c r="U180">
        <f t="shared" si="118"/>
        <v>3.6432452931325061</v>
      </c>
      <c r="V180">
        <f t="shared" ref="V180:W180" si="172">V156</f>
        <v>2.9</v>
      </c>
      <c r="W180">
        <f t="shared" si="172"/>
        <v>3</v>
      </c>
      <c r="X180" s="9">
        <v>3.2407048000000001</v>
      </c>
    </row>
    <row r="181" spans="1:24" x14ac:dyDescent="0.2">
      <c r="A181" s="41">
        <f t="shared" si="120"/>
        <v>45846.416666666235</v>
      </c>
      <c r="B181" s="42">
        <f t="shared" si="144"/>
        <v>8000</v>
      </c>
      <c r="C181" s="8">
        <v>25000</v>
      </c>
      <c r="D181" s="8">
        <v>0</v>
      </c>
      <c r="E181" s="8">
        <v>700</v>
      </c>
      <c r="F181" s="8">
        <v>7500</v>
      </c>
      <c r="G181" s="42">
        <f t="shared" si="145"/>
        <v>2400</v>
      </c>
      <c r="H181" s="8">
        <v>25000</v>
      </c>
      <c r="I181" s="42">
        <f t="shared" si="146"/>
        <v>8000</v>
      </c>
      <c r="J181" s="8">
        <v>25000</v>
      </c>
      <c r="K181" s="42">
        <f t="shared" si="147"/>
        <v>8000</v>
      </c>
      <c r="L181" s="8">
        <v>25000</v>
      </c>
      <c r="M181" s="9">
        <v>9</v>
      </c>
      <c r="N181" s="9">
        <v>16.100000000000001</v>
      </c>
      <c r="O181" s="9">
        <v>14</v>
      </c>
      <c r="P181" s="9">
        <v>19.5</v>
      </c>
      <c r="Q181" s="92">
        <v>3.3089184999999999</v>
      </c>
      <c r="R181">
        <v>10</v>
      </c>
      <c r="S181">
        <v>1000</v>
      </c>
      <c r="T181" s="4">
        <v>343.41229440154143</v>
      </c>
      <c r="U181">
        <f t="shared" si="118"/>
        <v>3.4341229440154142</v>
      </c>
      <c r="V181">
        <f t="shared" ref="V181:W181" si="173">V157</f>
        <v>2.9</v>
      </c>
      <c r="W181">
        <f t="shared" si="173"/>
        <v>3</v>
      </c>
      <c r="X181" s="9">
        <v>3.3089184999999999</v>
      </c>
    </row>
    <row r="182" spans="1:24" x14ac:dyDescent="0.2">
      <c r="A182" s="41">
        <f t="shared" si="120"/>
        <v>45846.458333332899</v>
      </c>
      <c r="B182" s="42">
        <f t="shared" si="144"/>
        <v>8000</v>
      </c>
      <c r="C182" s="8">
        <v>25000</v>
      </c>
      <c r="D182" s="8">
        <v>0</v>
      </c>
      <c r="E182" s="8">
        <v>700</v>
      </c>
      <c r="F182" s="8">
        <v>7500</v>
      </c>
      <c r="G182" s="42">
        <f t="shared" si="145"/>
        <v>2400</v>
      </c>
      <c r="H182" s="8">
        <v>25000</v>
      </c>
      <c r="I182" s="42">
        <f t="shared" si="146"/>
        <v>8000</v>
      </c>
      <c r="J182" s="8">
        <v>25000</v>
      </c>
      <c r="K182" s="42">
        <f t="shared" si="147"/>
        <v>8000</v>
      </c>
      <c r="L182" s="8">
        <v>25000</v>
      </c>
      <c r="M182" s="9">
        <v>9</v>
      </c>
      <c r="N182" s="9">
        <v>16.100000000000001</v>
      </c>
      <c r="O182" s="9">
        <v>14</v>
      </c>
      <c r="P182" s="9">
        <v>19.5</v>
      </c>
      <c r="Q182" s="92">
        <v>3.2608134999999998</v>
      </c>
      <c r="R182">
        <v>10</v>
      </c>
      <c r="S182">
        <v>1000</v>
      </c>
      <c r="T182" s="4">
        <v>340.29106531024155</v>
      </c>
      <c r="U182">
        <f t="shared" si="118"/>
        <v>3.4029106531024156</v>
      </c>
      <c r="V182">
        <f t="shared" ref="V182:W182" si="174">V158</f>
        <v>3.4</v>
      </c>
      <c r="W182">
        <f t="shared" si="174"/>
        <v>3</v>
      </c>
      <c r="X182" s="9">
        <v>3.2608134999999998</v>
      </c>
    </row>
    <row r="183" spans="1:24" x14ac:dyDescent="0.2">
      <c r="A183" s="41">
        <f t="shared" si="120"/>
        <v>45846.499999999563</v>
      </c>
      <c r="B183" s="42">
        <f t="shared" si="144"/>
        <v>8000</v>
      </c>
      <c r="C183" s="8">
        <v>25000</v>
      </c>
      <c r="D183" s="8">
        <v>0</v>
      </c>
      <c r="E183" s="8">
        <v>700</v>
      </c>
      <c r="F183" s="8">
        <v>7500</v>
      </c>
      <c r="G183" s="42">
        <f t="shared" si="145"/>
        <v>2400</v>
      </c>
      <c r="H183" s="8">
        <v>25000</v>
      </c>
      <c r="I183" s="42">
        <f t="shared" si="146"/>
        <v>8000</v>
      </c>
      <c r="J183" s="8">
        <v>25000</v>
      </c>
      <c r="K183" s="42">
        <f t="shared" si="147"/>
        <v>8000</v>
      </c>
      <c r="L183" s="8">
        <v>25000</v>
      </c>
      <c r="M183" s="9">
        <v>9</v>
      </c>
      <c r="N183" s="9">
        <v>16.100000000000001</v>
      </c>
      <c r="O183" s="9">
        <v>14</v>
      </c>
      <c r="P183" s="9">
        <v>19.5</v>
      </c>
      <c r="Q183" s="92">
        <v>3.1289069999999999</v>
      </c>
      <c r="R183">
        <v>10</v>
      </c>
      <c r="S183">
        <v>1000</v>
      </c>
      <c r="T183" s="4">
        <v>369.94274167759033</v>
      </c>
      <c r="U183">
        <f t="shared" si="118"/>
        <v>3.6994274167759031</v>
      </c>
      <c r="V183">
        <f t="shared" ref="V183:W183" si="175">V159</f>
        <v>3.1</v>
      </c>
      <c r="W183">
        <f t="shared" si="175"/>
        <v>2.9</v>
      </c>
      <c r="X183" s="9">
        <v>3.1289069999999999</v>
      </c>
    </row>
    <row r="184" spans="1:24" x14ac:dyDescent="0.2">
      <c r="A184" s="41">
        <f t="shared" si="120"/>
        <v>45846.541666666228</v>
      </c>
      <c r="B184" s="42">
        <f t="shared" si="144"/>
        <v>8000</v>
      </c>
      <c r="C184" s="8">
        <v>25000</v>
      </c>
      <c r="D184" s="8">
        <v>0</v>
      </c>
      <c r="E184" s="8">
        <v>700</v>
      </c>
      <c r="F184" s="8">
        <v>7500</v>
      </c>
      <c r="G184" s="42">
        <f t="shared" si="145"/>
        <v>2400</v>
      </c>
      <c r="H184" s="8">
        <v>25000</v>
      </c>
      <c r="I184" s="42">
        <f t="shared" si="146"/>
        <v>8000</v>
      </c>
      <c r="J184" s="8">
        <v>25000</v>
      </c>
      <c r="K184" s="42">
        <f t="shared" si="147"/>
        <v>8000</v>
      </c>
      <c r="L184" s="8">
        <v>25000</v>
      </c>
      <c r="M184" s="9">
        <v>9</v>
      </c>
      <c r="N184" s="9">
        <v>16.100000000000001</v>
      </c>
      <c r="O184" s="9">
        <v>14</v>
      </c>
      <c r="P184" s="9">
        <v>19.5</v>
      </c>
      <c r="Q184" s="92">
        <v>2.95085</v>
      </c>
      <c r="R184">
        <v>10</v>
      </c>
      <c r="S184">
        <v>1000</v>
      </c>
      <c r="T184" s="4">
        <v>402.40414847292726</v>
      </c>
      <c r="U184">
        <f t="shared" si="118"/>
        <v>4.0240414847292723</v>
      </c>
      <c r="V184">
        <f t="shared" ref="V184:W184" si="176">V160</f>
        <v>3.2</v>
      </c>
      <c r="W184">
        <f t="shared" si="176"/>
        <v>2.9</v>
      </c>
      <c r="X184" s="9">
        <v>2.95085</v>
      </c>
    </row>
    <row r="185" spans="1:24" x14ac:dyDescent="0.2">
      <c r="A185" s="41">
        <f t="shared" si="120"/>
        <v>45846.583333332892</v>
      </c>
      <c r="B185" s="42">
        <f t="shared" si="144"/>
        <v>8000</v>
      </c>
      <c r="C185" s="8">
        <v>25000</v>
      </c>
      <c r="D185" s="8">
        <v>0</v>
      </c>
      <c r="E185" s="8">
        <v>700</v>
      </c>
      <c r="F185" s="8">
        <v>7500</v>
      </c>
      <c r="G185" s="42">
        <f t="shared" si="145"/>
        <v>2400</v>
      </c>
      <c r="H185" s="8">
        <v>25000</v>
      </c>
      <c r="I185" s="42">
        <f t="shared" si="146"/>
        <v>8000</v>
      </c>
      <c r="J185" s="8">
        <v>25000</v>
      </c>
      <c r="K185" s="42">
        <f t="shared" si="147"/>
        <v>8000</v>
      </c>
      <c r="L185" s="8">
        <v>25000</v>
      </c>
      <c r="M185" s="9">
        <v>9</v>
      </c>
      <c r="N185" s="9">
        <v>16.100000000000001</v>
      </c>
      <c r="O185" s="9">
        <v>14</v>
      </c>
      <c r="P185" s="9">
        <v>19.5</v>
      </c>
      <c r="Q185" s="92">
        <v>2.8886243999999999</v>
      </c>
      <c r="R185">
        <v>10</v>
      </c>
      <c r="S185">
        <v>1000</v>
      </c>
      <c r="T185" s="4">
        <v>655.22245637658079</v>
      </c>
      <c r="U185">
        <f t="shared" si="118"/>
        <v>6.5522245637658081</v>
      </c>
      <c r="V185">
        <f t="shared" ref="V185:W185" si="177">V161</f>
        <v>3.5</v>
      </c>
      <c r="W185">
        <f t="shared" si="177"/>
        <v>2.9</v>
      </c>
      <c r="X185" s="9">
        <v>2.8886243999999999</v>
      </c>
    </row>
    <row r="186" spans="1:24" x14ac:dyDescent="0.2">
      <c r="A186" s="41">
        <f t="shared" si="120"/>
        <v>45846.624999999556</v>
      </c>
      <c r="B186" s="42">
        <f t="shared" si="144"/>
        <v>8000</v>
      </c>
      <c r="C186" s="8">
        <v>25000</v>
      </c>
      <c r="D186" s="8">
        <v>0</v>
      </c>
      <c r="E186" s="8">
        <v>700</v>
      </c>
      <c r="F186" s="8">
        <v>7500</v>
      </c>
      <c r="G186" s="42">
        <f t="shared" si="145"/>
        <v>2400</v>
      </c>
      <c r="H186" s="8">
        <v>25000</v>
      </c>
      <c r="I186" s="42">
        <f t="shared" si="146"/>
        <v>8000</v>
      </c>
      <c r="J186" s="8">
        <v>25000</v>
      </c>
      <c r="K186" s="42">
        <f t="shared" si="147"/>
        <v>8000</v>
      </c>
      <c r="L186" s="8">
        <v>25000</v>
      </c>
      <c r="M186" s="9">
        <v>9</v>
      </c>
      <c r="N186" s="9">
        <v>16.100000000000001</v>
      </c>
      <c r="O186" s="9">
        <v>14</v>
      </c>
      <c r="P186" s="9">
        <v>19.5</v>
      </c>
      <c r="Q186" s="92">
        <v>3.1779613000000002</v>
      </c>
      <c r="R186">
        <v>10</v>
      </c>
      <c r="S186">
        <v>1000</v>
      </c>
      <c r="T186" s="4">
        <v>753.54117275252679</v>
      </c>
      <c r="U186">
        <f t="shared" si="118"/>
        <v>7.5354117275252683</v>
      </c>
      <c r="V186">
        <f t="shared" ref="V186:W186" si="178">V162</f>
        <v>3.2</v>
      </c>
      <c r="W186">
        <f t="shared" si="178"/>
        <v>2.9</v>
      </c>
      <c r="X186" s="9">
        <v>3.1779613000000002</v>
      </c>
    </row>
    <row r="187" spans="1:24" x14ac:dyDescent="0.2">
      <c r="A187" s="41">
        <f t="shared" si="120"/>
        <v>45846.66666666622</v>
      </c>
      <c r="B187" s="42">
        <f t="shared" si="144"/>
        <v>8000</v>
      </c>
      <c r="C187" s="8">
        <v>25000</v>
      </c>
      <c r="D187" s="8">
        <v>0</v>
      </c>
      <c r="E187" s="8">
        <v>700</v>
      </c>
      <c r="F187" s="8">
        <v>7500</v>
      </c>
      <c r="G187" s="42">
        <f t="shared" si="145"/>
        <v>2400</v>
      </c>
      <c r="H187" s="8">
        <v>25000</v>
      </c>
      <c r="I187" s="42">
        <f t="shared" si="146"/>
        <v>8000</v>
      </c>
      <c r="J187" s="8">
        <v>25000</v>
      </c>
      <c r="K187" s="42">
        <f t="shared" si="147"/>
        <v>8000</v>
      </c>
      <c r="L187" s="8">
        <v>25000</v>
      </c>
      <c r="M187" s="9">
        <v>9</v>
      </c>
      <c r="N187" s="9">
        <v>16.100000000000001</v>
      </c>
      <c r="O187" s="9">
        <v>14</v>
      </c>
      <c r="P187" s="9">
        <v>19.5</v>
      </c>
      <c r="Q187" s="92">
        <v>3.0961227</v>
      </c>
      <c r="R187">
        <v>10</v>
      </c>
      <c r="S187">
        <v>1000</v>
      </c>
      <c r="T187" s="4">
        <v>974.21206950742805</v>
      </c>
      <c r="U187">
        <f t="shared" si="118"/>
        <v>9.7421206950742807</v>
      </c>
      <c r="V187">
        <f t="shared" ref="V187:W187" si="179">V163</f>
        <v>3.5</v>
      </c>
      <c r="W187">
        <f t="shared" si="179"/>
        <v>3</v>
      </c>
      <c r="X187" s="9">
        <v>3.0961227</v>
      </c>
    </row>
    <row r="188" spans="1:24" x14ac:dyDescent="0.2">
      <c r="A188" s="41">
        <f t="shared" si="120"/>
        <v>45846.708333332885</v>
      </c>
      <c r="B188" s="42">
        <f t="shared" si="144"/>
        <v>8000</v>
      </c>
      <c r="C188" s="8">
        <v>25000</v>
      </c>
      <c r="D188" s="8">
        <v>0</v>
      </c>
      <c r="E188" s="8">
        <v>700</v>
      </c>
      <c r="F188" s="8">
        <v>7500</v>
      </c>
      <c r="G188" s="42">
        <f t="shared" si="145"/>
        <v>2400</v>
      </c>
      <c r="H188" s="8">
        <v>25000</v>
      </c>
      <c r="I188" s="42">
        <f t="shared" si="146"/>
        <v>8000</v>
      </c>
      <c r="J188" s="8">
        <v>25000</v>
      </c>
      <c r="K188" s="42">
        <f t="shared" si="147"/>
        <v>8000</v>
      </c>
      <c r="L188" s="8">
        <v>25000</v>
      </c>
      <c r="M188" s="9">
        <v>9</v>
      </c>
      <c r="N188" s="9">
        <v>16.100000000000001</v>
      </c>
      <c r="O188" s="9">
        <v>14</v>
      </c>
      <c r="P188" s="9">
        <v>19.5</v>
      </c>
      <c r="Q188" s="92">
        <v>3.0073378000000002</v>
      </c>
      <c r="R188">
        <v>10</v>
      </c>
      <c r="S188">
        <v>1000</v>
      </c>
      <c r="T188" s="4">
        <v>1241.0771568135674</v>
      </c>
      <c r="U188">
        <f t="shared" si="118"/>
        <v>12.410771568135674</v>
      </c>
      <c r="V188">
        <f t="shared" ref="V188:W188" si="180">V164</f>
        <v>3.6</v>
      </c>
      <c r="W188">
        <f t="shared" si="180"/>
        <v>3</v>
      </c>
      <c r="X188" s="9">
        <v>3.0073378000000002</v>
      </c>
    </row>
    <row r="189" spans="1:24" x14ac:dyDescent="0.2">
      <c r="A189" s="41">
        <f t="shared" si="120"/>
        <v>45846.749999999549</v>
      </c>
      <c r="B189" s="42">
        <f t="shared" si="144"/>
        <v>5000</v>
      </c>
      <c r="C189" s="8">
        <v>25000</v>
      </c>
      <c r="D189" s="8">
        <v>0</v>
      </c>
      <c r="E189" s="8">
        <v>700</v>
      </c>
      <c r="F189" s="8">
        <v>7500</v>
      </c>
      <c r="G189" s="42">
        <f t="shared" si="145"/>
        <v>2400</v>
      </c>
      <c r="H189" s="8">
        <v>25000</v>
      </c>
      <c r="I189" s="42">
        <f t="shared" si="146"/>
        <v>5000</v>
      </c>
      <c r="J189" s="8">
        <v>25000</v>
      </c>
      <c r="K189" s="42">
        <f t="shared" si="147"/>
        <v>5000</v>
      </c>
      <c r="L189" s="8">
        <v>25000</v>
      </c>
      <c r="M189" s="9">
        <v>9</v>
      </c>
      <c r="N189" s="9">
        <v>16.100000000000001</v>
      </c>
      <c r="O189" s="9">
        <v>14</v>
      </c>
      <c r="P189" s="9">
        <v>19.5</v>
      </c>
      <c r="Q189" s="92">
        <v>2.9814544000000001</v>
      </c>
      <c r="R189">
        <v>10</v>
      </c>
      <c r="S189">
        <v>1000</v>
      </c>
      <c r="T189" s="4">
        <v>1284.7743640917656</v>
      </c>
      <c r="U189">
        <f t="shared" si="118"/>
        <v>12.847743640917656</v>
      </c>
      <c r="V189">
        <f t="shared" ref="V189:W189" si="181">V165</f>
        <v>2.9</v>
      </c>
      <c r="W189">
        <f t="shared" si="181"/>
        <v>3</v>
      </c>
      <c r="X189" s="9">
        <v>2.9814544000000001</v>
      </c>
    </row>
    <row r="190" spans="1:24" x14ac:dyDescent="0.2">
      <c r="A190" s="41">
        <f t="shared" si="120"/>
        <v>45846.791666666213</v>
      </c>
      <c r="B190" s="42">
        <f t="shared" si="144"/>
        <v>5000</v>
      </c>
      <c r="C190" s="8">
        <v>25000</v>
      </c>
      <c r="D190" s="8">
        <v>0</v>
      </c>
      <c r="E190" s="8">
        <v>700</v>
      </c>
      <c r="F190" s="8">
        <v>7500</v>
      </c>
      <c r="G190" s="42">
        <f t="shared" si="145"/>
        <v>2400</v>
      </c>
      <c r="H190" s="8">
        <v>25000</v>
      </c>
      <c r="I190" s="42">
        <f t="shared" si="146"/>
        <v>5000</v>
      </c>
      <c r="J190" s="8">
        <v>25000</v>
      </c>
      <c r="K190" s="42">
        <f t="shared" si="147"/>
        <v>5000</v>
      </c>
      <c r="L190" s="8">
        <v>25000</v>
      </c>
      <c r="M190" s="9">
        <v>9</v>
      </c>
      <c r="N190" s="9">
        <v>16.100000000000001</v>
      </c>
      <c r="O190" s="9">
        <v>14</v>
      </c>
      <c r="P190" s="9">
        <v>19.5</v>
      </c>
      <c r="Q190" s="92">
        <v>2.9464549999999998</v>
      </c>
      <c r="R190">
        <v>10</v>
      </c>
      <c r="S190">
        <v>1000</v>
      </c>
      <c r="T190" s="4">
        <v>1281.6531350004659</v>
      </c>
      <c r="U190">
        <f t="shared" si="118"/>
        <v>12.816531350004659</v>
      </c>
      <c r="V190">
        <f t="shared" ref="V190:W190" si="182">V166</f>
        <v>3</v>
      </c>
      <c r="W190">
        <f t="shared" si="182"/>
        <v>3</v>
      </c>
      <c r="X190" s="9">
        <v>2.9464549999999998</v>
      </c>
    </row>
    <row r="191" spans="1:24" x14ac:dyDescent="0.2">
      <c r="A191" s="41">
        <f t="shared" si="120"/>
        <v>45846.833333332877</v>
      </c>
      <c r="B191" s="42">
        <f t="shared" si="144"/>
        <v>5000</v>
      </c>
      <c r="C191" s="8">
        <v>25000</v>
      </c>
      <c r="D191" s="8">
        <v>0</v>
      </c>
      <c r="E191" s="8">
        <v>700</v>
      </c>
      <c r="F191" s="8">
        <v>7500</v>
      </c>
      <c r="G191" s="42">
        <f t="shared" si="145"/>
        <v>2400</v>
      </c>
      <c r="H191" s="8">
        <v>25000</v>
      </c>
      <c r="I191" s="42">
        <f t="shared" si="146"/>
        <v>5000</v>
      </c>
      <c r="J191" s="8">
        <v>25000</v>
      </c>
      <c r="K191" s="42">
        <f t="shared" si="147"/>
        <v>5000</v>
      </c>
      <c r="L191" s="8">
        <v>25000</v>
      </c>
      <c r="M191" s="9">
        <v>9</v>
      </c>
      <c r="N191" s="9">
        <v>16.100000000000001</v>
      </c>
      <c r="O191" s="9">
        <v>14</v>
      </c>
      <c r="P191" s="9">
        <v>19.5</v>
      </c>
      <c r="Q191" s="92">
        <v>2.9102185</v>
      </c>
      <c r="R191">
        <v>10</v>
      </c>
      <c r="S191">
        <v>1000</v>
      </c>
      <c r="T191" s="4">
        <v>1237.9559277222675</v>
      </c>
      <c r="U191">
        <f t="shared" si="118"/>
        <v>12.379559277222675</v>
      </c>
      <c r="V191">
        <f t="shared" ref="V191:W191" si="183">V167</f>
        <v>2.8</v>
      </c>
      <c r="W191">
        <f t="shared" si="183"/>
        <v>3.1</v>
      </c>
      <c r="X191" s="9">
        <v>2.9102185</v>
      </c>
    </row>
    <row r="192" spans="1:24" x14ac:dyDescent="0.2">
      <c r="A192" s="41">
        <f t="shared" si="120"/>
        <v>45846.874999999542</v>
      </c>
      <c r="B192" s="42">
        <f t="shared" si="144"/>
        <v>5000</v>
      </c>
      <c r="C192" s="8">
        <v>25000</v>
      </c>
      <c r="D192" s="8">
        <v>0</v>
      </c>
      <c r="E192" s="8">
        <v>700</v>
      </c>
      <c r="F192" s="8">
        <v>7500</v>
      </c>
      <c r="G192" s="42">
        <f t="shared" si="145"/>
        <v>2400</v>
      </c>
      <c r="H192" s="8">
        <v>25000</v>
      </c>
      <c r="I192" s="42">
        <f t="shared" si="146"/>
        <v>5000</v>
      </c>
      <c r="J192" s="8">
        <v>25000</v>
      </c>
      <c r="K192" s="42">
        <f t="shared" si="147"/>
        <v>5000</v>
      </c>
      <c r="L192" s="8">
        <v>25000</v>
      </c>
      <c r="M192" s="9">
        <v>9</v>
      </c>
      <c r="N192" s="9">
        <v>16.100000000000001</v>
      </c>
      <c r="O192" s="9">
        <v>14</v>
      </c>
      <c r="P192" s="9">
        <v>19.5</v>
      </c>
      <c r="Q192" s="92">
        <v>2.8822842</v>
      </c>
      <c r="R192">
        <v>10</v>
      </c>
      <c r="S192">
        <v>1000</v>
      </c>
      <c r="T192" s="4">
        <v>1142.7584404376212</v>
      </c>
      <c r="U192">
        <f t="shared" si="118"/>
        <v>11.427584404376212</v>
      </c>
      <c r="V192">
        <f t="shared" ref="V192:W192" si="184">V168</f>
        <v>3.5</v>
      </c>
      <c r="W192">
        <f t="shared" si="184"/>
        <v>3.1</v>
      </c>
      <c r="X192" s="9">
        <v>2.8822842</v>
      </c>
    </row>
    <row r="193" spans="1:24" x14ac:dyDescent="0.2">
      <c r="A193" s="41">
        <f t="shared" si="120"/>
        <v>45846.916666666206</v>
      </c>
      <c r="B193" s="42">
        <f t="shared" si="144"/>
        <v>5000</v>
      </c>
      <c r="C193" s="8">
        <v>25000</v>
      </c>
      <c r="D193" s="8">
        <v>0</v>
      </c>
      <c r="E193" s="8">
        <v>700</v>
      </c>
      <c r="F193" s="8">
        <v>7500</v>
      </c>
      <c r="G193" s="42">
        <f t="shared" si="145"/>
        <v>2400</v>
      </c>
      <c r="H193" s="8">
        <v>25000</v>
      </c>
      <c r="I193" s="42">
        <f t="shared" si="146"/>
        <v>5000</v>
      </c>
      <c r="J193" s="8">
        <v>25000</v>
      </c>
      <c r="K193" s="42">
        <f t="shared" si="147"/>
        <v>5000</v>
      </c>
      <c r="L193" s="8">
        <v>25000</v>
      </c>
      <c r="M193" s="9">
        <v>9</v>
      </c>
      <c r="N193" s="9">
        <v>16.100000000000001</v>
      </c>
      <c r="O193" s="9">
        <v>14</v>
      </c>
      <c r="P193" s="9">
        <v>19.5</v>
      </c>
      <c r="Q193" s="92">
        <v>2.8557990000000002</v>
      </c>
      <c r="R193">
        <v>10</v>
      </c>
      <c r="S193">
        <v>1000</v>
      </c>
      <c r="T193" s="4">
        <v>918.02994586403031</v>
      </c>
      <c r="U193">
        <f t="shared" si="118"/>
        <v>9.1802994586403024</v>
      </c>
      <c r="V193">
        <f t="shared" ref="V193:W193" si="185">V169</f>
        <v>2.9</v>
      </c>
      <c r="W193">
        <f t="shared" si="185"/>
        <v>3.1</v>
      </c>
      <c r="X193" s="9">
        <v>2.8557990000000002</v>
      </c>
    </row>
    <row r="194" spans="1:24" x14ac:dyDescent="0.2">
      <c r="A194" s="41">
        <f t="shared" si="120"/>
        <v>45846.95833333287</v>
      </c>
      <c r="B194" s="42">
        <f t="shared" si="144"/>
        <v>5000</v>
      </c>
      <c r="C194" s="8">
        <v>25000</v>
      </c>
      <c r="D194" s="8">
        <v>0</v>
      </c>
      <c r="E194" s="8">
        <v>700</v>
      </c>
      <c r="F194" s="8">
        <v>7500</v>
      </c>
      <c r="G194" s="42">
        <f t="shared" si="145"/>
        <v>2400</v>
      </c>
      <c r="H194" s="8">
        <v>25000</v>
      </c>
      <c r="I194" s="42">
        <f t="shared" si="146"/>
        <v>5000</v>
      </c>
      <c r="J194" s="8">
        <v>25000</v>
      </c>
      <c r="K194" s="42">
        <f t="shared" si="147"/>
        <v>5000</v>
      </c>
      <c r="L194" s="8">
        <v>25000</v>
      </c>
      <c r="M194" s="9">
        <v>9</v>
      </c>
      <c r="N194" s="9">
        <v>16.100000000000001</v>
      </c>
      <c r="O194" s="9">
        <v>14</v>
      </c>
      <c r="P194" s="9">
        <v>19.5</v>
      </c>
      <c r="Q194" s="92">
        <v>2.7654953</v>
      </c>
      <c r="R194">
        <v>10</v>
      </c>
      <c r="S194">
        <v>1000</v>
      </c>
      <c r="T194" s="4">
        <v>562.52257661079261</v>
      </c>
      <c r="U194">
        <f t="shared" si="118"/>
        <v>5.6252257661079259</v>
      </c>
      <c r="V194">
        <f t="shared" ref="V194:W194" si="186">V170</f>
        <v>3.6</v>
      </c>
      <c r="W194">
        <f t="shared" si="186"/>
        <v>3.1</v>
      </c>
      <c r="X194" s="9">
        <v>2.7654953</v>
      </c>
    </row>
    <row r="195" spans="1:24" x14ac:dyDescent="0.2">
      <c r="A195" s="41">
        <f t="shared" si="120"/>
        <v>45846.999999999534</v>
      </c>
      <c r="B195" s="42">
        <f t="shared" si="144"/>
        <v>5000</v>
      </c>
      <c r="C195" s="8">
        <v>25000</v>
      </c>
      <c r="D195" s="8">
        <v>0</v>
      </c>
      <c r="E195" s="8">
        <v>700</v>
      </c>
      <c r="F195" s="8">
        <v>7500</v>
      </c>
      <c r="G195" s="42">
        <f t="shared" si="145"/>
        <v>2400</v>
      </c>
      <c r="H195" s="8">
        <v>25000</v>
      </c>
      <c r="I195" s="42">
        <f t="shared" si="146"/>
        <v>5000</v>
      </c>
      <c r="J195" s="8">
        <v>25000</v>
      </c>
      <c r="K195" s="42">
        <f t="shared" si="147"/>
        <v>5000</v>
      </c>
      <c r="L195" s="8">
        <v>25000</v>
      </c>
      <c r="M195" s="9">
        <v>9</v>
      </c>
      <c r="N195" s="9">
        <v>16.100000000000001</v>
      </c>
      <c r="O195" s="9">
        <v>14</v>
      </c>
      <c r="P195" s="9">
        <v>19.5</v>
      </c>
      <c r="Q195" s="92">
        <v>2.6782086000000001</v>
      </c>
      <c r="R195">
        <v>10</v>
      </c>
      <c r="S195">
        <v>1000</v>
      </c>
      <c r="T195" s="4">
        <v>328.43039476330199</v>
      </c>
      <c r="U195">
        <f t="shared" si="118"/>
        <v>3.28430394763302</v>
      </c>
      <c r="V195">
        <f t="shared" ref="V195:W195" si="187">V171</f>
        <v>3</v>
      </c>
      <c r="W195">
        <f t="shared" si="187"/>
        <v>3.2</v>
      </c>
      <c r="X195" s="9">
        <v>2.6782086000000001</v>
      </c>
    </row>
    <row r="196" spans="1:24" x14ac:dyDescent="0.2">
      <c r="A196" s="41">
        <f t="shared" si="120"/>
        <v>45847.041666666199</v>
      </c>
      <c r="B196" s="42">
        <f t="shared" si="144"/>
        <v>5000</v>
      </c>
      <c r="C196" s="8">
        <v>25000</v>
      </c>
      <c r="D196" s="8">
        <v>0</v>
      </c>
      <c r="E196" s="8">
        <v>700</v>
      </c>
      <c r="F196" s="8">
        <v>7500</v>
      </c>
      <c r="G196" s="42">
        <f t="shared" si="145"/>
        <v>2400</v>
      </c>
      <c r="H196" s="8">
        <v>25000</v>
      </c>
      <c r="I196" s="42">
        <f t="shared" si="146"/>
        <v>5000</v>
      </c>
      <c r="J196" s="8">
        <v>25000</v>
      </c>
      <c r="K196" s="42">
        <f t="shared" si="147"/>
        <v>5000</v>
      </c>
      <c r="L196" s="8">
        <v>25000</v>
      </c>
      <c r="M196" s="9">
        <v>9</v>
      </c>
      <c r="N196" s="9">
        <v>16.100000000000001</v>
      </c>
      <c r="O196" s="9">
        <v>14</v>
      </c>
      <c r="P196" s="9">
        <v>19.5</v>
      </c>
      <c r="Q196" s="92">
        <v>2.6112449</v>
      </c>
      <c r="R196">
        <v>10</v>
      </c>
      <c r="S196">
        <v>1000</v>
      </c>
      <c r="T196" s="4">
        <v>318.44246167114238</v>
      </c>
      <c r="U196">
        <f t="shared" ref="U196:U259" si="188">T196/100</f>
        <v>3.1844246167114236</v>
      </c>
      <c r="V196">
        <f t="shared" ref="V196:W196" si="189">V172</f>
        <v>2.6</v>
      </c>
      <c r="W196">
        <f t="shared" si="189"/>
        <v>3.2</v>
      </c>
      <c r="X196" s="9">
        <v>2.6112449</v>
      </c>
    </row>
    <row r="197" spans="1:24" x14ac:dyDescent="0.2">
      <c r="A197" s="41">
        <f t="shared" ref="A197:A260" si="190">A196+TIME(1,0,0)</f>
        <v>45847.083333332863</v>
      </c>
      <c r="B197" s="42">
        <f t="shared" si="144"/>
        <v>5000</v>
      </c>
      <c r="C197" s="8">
        <v>25000</v>
      </c>
      <c r="D197" s="8">
        <v>0</v>
      </c>
      <c r="E197" s="8">
        <v>700</v>
      </c>
      <c r="F197" s="8">
        <v>7500</v>
      </c>
      <c r="G197" s="42">
        <f t="shared" si="145"/>
        <v>2400</v>
      </c>
      <c r="H197" s="8">
        <v>25000</v>
      </c>
      <c r="I197" s="42">
        <f t="shared" si="146"/>
        <v>5000</v>
      </c>
      <c r="J197" s="8">
        <v>25000</v>
      </c>
      <c r="K197" s="42">
        <f t="shared" si="147"/>
        <v>5000</v>
      </c>
      <c r="L197" s="8">
        <v>25000</v>
      </c>
      <c r="M197" s="9">
        <v>9</v>
      </c>
      <c r="N197" s="9">
        <v>16.100000000000001</v>
      </c>
      <c r="O197" s="9">
        <v>14</v>
      </c>
      <c r="P197" s="9">
        <v>19.5</v>
      </c>
      <c r="Q197" s="92">
        <v>2.7065324999999998</v>
      </c>
      <c r="R197">
        <v>10</v>
      </c>
      <c r="S197">
        <v>1000</v>
      </c>
      <c r="T197" s="4">
        <v>318.44246167114238</v>
      </c>
      <c r="U197">
        <f t="shared" si="188"/>
        <v>3.1844246167114236</v>
      </c>
      <c r="V197">
        <f t="shared" ref="V197:W197" si="191">V173</f>
        <v>2.8</v>
      </c>
      <c r="W197">
        <f t="shared" si="191"/>
        <v>3.2</v>
      </c>
      <c r="X197" s="9">
        <v>2.7065324999999998</v>
      </c>
    </row>
    <row r="198" spans="1:24" x14ac:dyDescent="0.2">
      <c r="A198" s="41">
        <f t="shared" si="190"/>
        <v>45847.124999999527</v>
      </c>
      <c r="B198" s="42">
        <f t="shared" si="144"/>
        <v>5000</v>
      </c>
      <c r="C198" s="8">
        <v>25000</v>
      </c>
      <c r="D198" s="8">
        <v>0</v>
      </c>
      <c r="E198" s="8">
        <v>700</v>
      </c>
      <c r="F198" s="8">
        <v>7500</v>
      </c>
      <c r="G198" s="42">
        <f t="shared" si="145"/>
        <v>2400</v>
      </c>
      <c r="H198" s="8">
        <v>25000</v>
      </c>
      <c r="I198" s="42">
        <f t="shared" si="146"/>
        <v>5000</v>
      </c>
      <c r="J198" s="8">
        <v>25000</v>
      </c>
      <c r="K198" s="42">
        <f t="shared" si="147"/>
        <v>5000</v>
      </c>
      <c r="L198" s="8">
        <v>25000</v>
      </c>
      <c r="M198" s="9">
        <v>9</v>
      </c>
      <c r="N198" s="9">
        <v>16.100000000000001</v>
      </c>
      <c r="O198" s="9">
        <v>14</v>
      </c>
      <c r="P198" s="9">
        <v>19.5</v>
      </c>
      <c r="Q198" s="92">
        <v>2.7837849000000001</v>
      </c>
      <c r="R198">
        <v>10</v>
      </c>
      <c r="S198">
        <v>1000</v>
      </c>
      <c r="T198" s="4">
        <v>396.47318895363924</v>
      </c>
      <c r="U198">
        <f t="shared" si="188"/>
        <v>3.9647318895363926</v>
      </c>
      <c r="V198">
        <f t="shared" ref="V198:W198" si="192">V174</f>
        <v>2.7</v>
      </c>
      <c r="W198">
        <f t="shared" si="192"/>
        <v>3.2</v>
      </c>
      <c r="X198" s="9">
        <v>2.7837849000000001</v>
      </c>
    </row>
    <row r="199" spans="1:24" x14ac:dyDescent="0.2">
      <c r="A199" s="41">
        <f t="shared" si="190"/>
        <v>45847.166666666191</v>
      </c>
      <c r="B199" s="42">
        <f t="shared" si="144"/>
        <v>5000</v>
      </c>
      <c r="C199" s="8">
        <v>25000</v>
      </c>
      <c r="D199" s="8">
        <v>0</v>
      </c>
      <c r="E199" s="8">
        <v>700</v>
      </c>
      <c r="F199" s="8">
        <v>7500</v>
      </c>
      <c r="G199" s="42">
        <f t="shared" si="145"/>
        <v>2400</v>
      </c>
      <c r="H199" s="8">
        <v>25000</v>
      </c>
      <c r="I199" s="42">
        <f t="shared" si="146"/>
        <v>5000</v>
      </c>
      <c r="J199" s="8">
        <v>25000</v>
      </c>
      <c r="K199" s="42">
        <f t="shared" si="147"/>
        <v>5000</v>
      </c>
      <c r="L199" s="8">
        <v>25000</v>
      </c>
      <c r="M199" s="9">
        <v>9</v>
      </c>
      <c r="N199" s="9">
        <v>16.100000000000001</v>
      </c>
      <c r="O199" s="9">
        <v>14</v>
      </c>
      <c r="P199" s="9">
        <v>19.5</v>
      </c>
      <c r="Q199" s="92">
        <v>2.8246565000000001</v>
      </c>
      <c r="R199">
        <v>10</v>
      </c>
      <c r="S199">
        <v>1000</v>
      </c>
      <c r="T199" s="4">
        <v>466.70084350788647</v>
      </c>
      <c r="U199">
        <f t="shared" si="188"/>
        <v>4.6670084350788645</v>
      </c>
      <c r="V199">
        <f t="shared" ref="V199:W199" si="193">V175</f>
        <v>3</v>
      </c>
      <c r="W199">
        <f t="shared" si="193"/>
        <v>3.1</v>
      </c>
      <c r="X199" s="9">
        <v>2.8246565000000001</v>
      </c>
    </row>
    <row r="200" spans="1:24" x14ac:dyDescent="0.2">
      <c r="A200" s="41">
        <f t="shared" si="190"/>
        <v>45847.208333332856</v>
      </c>
      <c r="B200" s="42">
        <f t="shared" si="144"/>
        <v>5000</v>
      </c>
      <c r="C200" s="8">
        <v>25000</v>
      </c>
      <c r="D200" s="8">
        <v>0</v>
      </c>
      <c r="E200" s="8">
        <v>700</v>
      </c>
      <c r="F200" s="8">
        <v>7500</v>
      </c>
      <c r="G200" s="42">
        <f t="shared" si="145"/>
        <v>2400</v>
      </c>
      <c r="H200" s="8">
        <v>25000</v>
      </c>
      <c r="I200" s="42">
        <f t="shared" si="146"/>
        <v>5000</v>
      </c>
      <c r="J200" s="8">
        <v>25000</v>
      </c>
      <c r="K200" s="42">
        <f t="shared" si="147"/>
        <v>5000</v>
      </c>
      <c r="L200" s="8">
        <v>25000</v>
      </c>
      <c r="M200" s="9">
        <v>9</v>
      </c>
      <c r="N200" s="9">
        <v>16.100000000000001</v>
      </c>
      <c r="O200" s="9">
        <v>14</v>
      </c>
      <c r="P200" s="9">
        <v>19.5</v>
      </c>
      <c r="Q200" s="92">
        <v>2.9119837</v>
      </c>
      <c r="R200">
        <v>10</v>
      </c>
      <c r="S200">
        <v>1000</v>
      </c>
      <c r="T200" s="4">
        <v>466.70084350788647</v>
      </c>
      <c r="U200">
        <f t="shared" si="188"/>
        <v>4.6670084350788645</v>
      </c>
      <c r="V200">
        <f t="shared" ref="V200:W200" si="194">V176</f>
        <v>2.9</v>
      </c>
      <c r="W200">
        <f t="shared" si="194"/>
        <v>3.1</v>
      </c>
      <c r="X200" s="9">
        <v>2.9119837</v>
      </c>
    </row>
    <row r="201" spans="1:24" x14ac:dyDescent="0.2">
      <c r="A201" s="41">
        <f t="shared" si="190"/>
        <v>45847.24999999952</v>
      </c>
      <c r="B201" s="42">
        <f t="shared" si="144"/>
        <v>8000</v>
      </c>
      <c r="C201" s="8">
        <v>25000</v>
      </c>
      <c r="D201" s="8">
        <v>0</v>
      </c>
      <c r="E201" s="8">
        <v>700</v>
      </c>
      <c r="F201" s="8">
        <v>7500</v>
      </c>
      <c r="G201" s="42">
        <f t="shared" si="145"/>
        <v>2400</v>
      </c>
      <c r="H201" s="8">
        <v>25000</v>
      </c>
      <c r="I201" s="42">
        <f t="shared" si="146"/>
        <v>8000</v>
      </c>
      <c r="J201" s="8">
        <v>25000</v>
      </c>
      <c r="K201" s="42">
        <f t="shared" si="147"/>
        <v>8000</v>
      </c>
      <c r="L201" s="8">
        <v>25000</v>
      </c>
      <c r="M201" s="9">
        <v>9</v>
      </c>
      <c r="N201" s="9">
        <v>16.100000000000001</v>
      </c>
      <c r="O201" s="9">
        <v>14</v>
      </c>
      <c r="P201" s="9">
        <v>19.5</v>
      </c>
      <c r="Q201" s="92">
        <v>3.0456333</v>
      </c>
      <c r="R201">
        <v>10</v>
      </c>
      <c r="S201">
        <v>1000</v>
      </c>
      <c r="T201" s="4">
        <v>362.76391476760062</v>
      </c>
      <c r="U201">
        <f t="shared" si="188"/>
        <v>3.6276391476760064</v>
      </c>
      <c r="V201">
        <f t="shared" ref="V201:W201" si="195">V177</f>
        <v>2.5</v>
      </c>
      <c r="W201">
        <f t="shared" si="195"/>
        <v>3.1</v>
      </c>
      <c r="X201" s="9">
        <v>3.0456333</v>
      </c>
    </row>
    <row r="202" spans="1:24" x14ac:dyDescent="0.2">
      <c r="A202" s="41">
        <f t="shared" si="190"/>
        <v>45847.291666666184</v>
      </c>
      <c r="B202" s="42">
        <f t="shared" si="144"/>
        <v>8000</v>
      </c>
      <c r="C202" s="8">
        <v>25000</v>
      </c>
      <c r="D202" s="8">
        <v>0</v>
      </c>
      <c r="E202" s="8">
        <v>700</v>
      </c>
      <c r="F202" s="8">
        <v>7500</v>
      </c>
      <c r="G202" s="42">
        <f t="shared" si="145"/>
        <v>2400</v>
      </c>
      <c r="H202" s="8">
        <v>25000</v>
      </c>
      <c r="I202" s="42">
        <f t="shared" si="146"/>
        <v>8000</v>
      </c>
      <c r="J202" s="8">
        <v>25000</v>
      </c>
      <c r="K202" s="42">
        <f t="shared" si="147"/>
        <v>8000</v>
      </c>
      <c r="L202" s="8">
        <v>25000</v>
      </c>
      <c r="M202" s="9">
        <v>9</v>
      </c>
      <c r="N202" s="9">
        <v>16.100000000000001</v>
      </c>
      <c r="O202" s="9">
        <v>14</v>
      </c>
      <c r="P202" s="9">
        <v>19.5</v>
      </c>
      <c r="Q202" s="92">
        <v>3.1962609</v>
      </c>
      <c r="R202">
        <v>10</v>
      </c>
      <c r="S202">
        <v>1000</v>
      </c>
      <c r="T202" s="4">
        <v>369.00637295020039</v>
      </c>
      <c r="U202">
        <f t="shared" si="188"/>
        <v>3.690063729502004</v>
      </c>
      <c r="V202">
        <f t="shared" ref="V202:W202" si="196">V178</f>
        <v>2.5</v>
      </c>
      <c r="W202">
        <f t="shared" si="196"/>
        <v>3.1</v>
      </c>
      <c r="X202" s="9">
        <v>3.1962609</v>
      </c>
    </row>
    <row r="203" spans="1:24" x14ac:dyDescent="0.2">
      <c r="A203" s="41">
        <f t="shared" si="190"/>
        <v>45847.333333332848</v>
      </c>
      <c r="B203" s="42">
        <f t="shared" si="144"/>
        <v>8000</v>
      </c>
      <c r="C203" s="8">
        <v>25000</v>
      </c>
      <c r="D203" s="8">
        <v>0</v>
      </c>
      <c r="E203" s="8">
        <v>700</v>
      </c>
      <c r="F203" s="8">
        <v>7500</v>
      </c>
      <c r="G203" s="42">
        <f t="shared" si="145"/>
        <v>2400</v>
      </c>
      <c r="H203" s="8">
        <v>25000</v>
      </c>
      <c r="I203" s="42">
        <f t="shared" si="146"/>
        <v>8000</v>
      </c>
      <c r="J203" s="8">
        <v>25000</v>
      </c>
      <c r="K203" s="42">
        <f t="shared" si="147"/>
        <v>8000</v>
      </c>
      <c r="L203" s="8">
        <v>25000</v>
      </c>
      <c r="M203" s="9">
        <v>9</v>
      </c>
      <c r="N203" s="9">
        <v>16.100000000000001</v>
      </c>
      <c r="O203" s="9">
        <v>14</v>
      </c>
      <c r="P203" s="9">
        <v>19.5</v>
      </c>
      <c r="Q203" s="92">
        <v>3.2649168999999998</v>
      </c>
      <c r="R203">
        <v>10</v>
      </c>
      <c r="S203">
        <v>1000</v>
      </c>
      <c r="T203" s="4">
        <v>386.17313295234976</v>
      </c>
      <c r="U203">
        <f t="shared" si="188"/>
        <v>3.8617313295234976</v>
      </c>
      <c r="V203">
        <f t="shared" ref="V203:W203" si="197">V179</f>
        <v>3.2</v>
      </c>
      <c r="W203">
        <f t="shared" si="197"/>
        <v>3</v>
      </c>
      <c r="X203" s="9">
        <v>3.2649168999999998</v>
      </c>
    </row>
    <row r="204" spans="1:24" x14ac:dyDescent="0.2">
      <c r="A204" s="41">
        <f t="shared" si="190"/>
        <v>45847.374999999513</v>
      </c>
      <c r="B204" s="42">
        <f t="shared" si="144"/>
        <v>8000</v>
      </c>
      <c r="C204" s="8">
        <v>25000</v>
      </c>
      <c r="D204" s="8">
        <v>0</v>
      </c>
      <c r="E204" s="8">
        <v>700</v>
      </c>
      <c r="F204" s="8">
        <v>7500</v>
      </c>
      <c r="G204" s="42">
        <f t="shared" si="145"/>
        <v>2400</v>
      </c>
      <c r="H204" s="8">
        <v>25000</v>
      </c>
      <c r="I204" s="42">
        <f t="shared" si="146"/>
        <v>8000</v>
      </c>
      <c r="J204" s="8">
        <v>25000</v>
      </c>
      <c r="K204" s="42">
        <f t="shared" si="147"/>
        <v>8000</v>
      </c>
      <c r="L204" s="8">
        <v>25000</v>
      </c>
      <c r="M204" s="9">
        <v>9</v>
      </c>
      <c r="N204" s="9">
        <v>16.100000000000001</v>
      </c>
      <c r="O204" s="9">
        <v>14</v>
      </c>
      <c r="P204" s="9">
        <v>19.5</v>
      </c>
      <c r="Q204" s="92">
        <v>3.3073359</v>
      </c>
      <c r="R204">
        <v>10</v>
      </c>
      <c r="S204">
        <v>1000</v>
      </c>
      <c r="T204" s="4">
        <v>364.32452931325059</v>
      </c>
      <c r="U204">
        <f t="shared" si="188"/>
        <v>3.6432452931325061</v>
      </c>
      <c r="V204">
        <f t="shared" ref="V204:W204" si="198">V180</f>
        <v>2.9</v>
      </c>
      <c r="W204">
        <f t="shared" si="198"/>
        <v>3</v>
      </c>
      <c r="X204" s="9">
        <v>3.3073359</v>
      </c>
    </row>
    <row r="205" spans="1:24" x14ac:dyDescent="0.2">
      <c r="A205" s="41">
        <f t="shared" si="190"/>
        <v>45847.416666666177</v>
      </c>
      <c r="B205" s="42">
        <f t="shared" si="144"/>
        <v>8000</v>
      </c>
      <c r="C205" s="8">
        <v>25000</v>
      </c>
      <c r="D205" s="8">
        <v>0</v>
      </c>
      <c r="E205" s="8">
        <v>700</v>
      </c>
      <c r="F205" s="8">
        <v>7500</v>
      </c>
      <c r="G205" s="42">
        <f t="shared" si="145"/>
        <v>2400</v>
      </c>
      <c r="H205" s="8">
        <v>25000</v>
      </c>
      <c r="I205" s="42">
        <f t="shared" si="146"/>
        <v>8000</v>
      </c>
      <c r="J205" s="8">
        <v>25000</v>
      </c>
      <c r="K205" s="42">
        <f t="shared" si="147"/>
        <v>8000</v>
      </c>
      <c r="L205" s="8">
        <v>25000</v>
      </c>
      <c r="M205" s="9">
        <v>9</v>
      </c>
      <c r="N205" s="9">
        <v>16.100000000000001</v>
      </c>
      <c r="O205" s="9">
        <v>14</v>
      </c>
      <c r="P205" s="9">
        <v>19.5</v>
      </c>
      <c r="Q205" s="92">
        <v>3.3827093000000001</v>
      </c>
      <c r="R205">
        <v>10</v>
      </c>
      <c r="S205">
        <v>1000</v>
      </c>
      <c r="T205" s="4">
        <v>343.41229440154143</v>
      </c>
      <c r="U205">
        <f t="shared" si="188"/>
        <v>3.4341229440154142</v>
      </c>
      <c r="V205">
        <f t="shared" ref="V205:W205" si="199">V181</f>
        <v>2.9</v>
      </c>
      <c r="W205">
        <f t="shared" si="199"/>
        <v>3</v>
      </c>
      <c r="X205" s="9">
        <v>3.3827093000000001</v>
      </c>
    </row>
    <row r="206" spans="1:24" x14ac:dyDescent="0.2">
      <c r="A206" s="41">
        <f t="shared" si="190"/>
        <v>45847.458333332841</v>
      </c>
      <c r="B206" s="42">
        <f t="shared" si="144"/>
        <v>8000</v>
      </c>
      <c r="C206" s="8">
        <v>25000</v>
      </c>
      <c r="D206" s="8">
        <v>0</v>
      </c>
      <c r="E206" s="8">
        <v>700</v>
      </c>
      <c r="F206" s="8">
        <v>7500</v>
      </c>
      <c r="G206" s="42">
        <f t="shared" si="145"/>
        <v>2400</v>
      </c>
      <c r="H206" s="8">
        <v>25000</v>
      </c>
      <c r="I206" s="42">
        <f t="shared" si="146"/>
        <v>8000</v>
      </c>
      <c r="J206" s="8">
        <v>25000</v>
      </c>
      <c r="K206" s="42">
        <f t="shared" si="147"/>
        <v>8000</v>
      </c>
      <c r="L206" s="8">
        <v>25000</v>
      </c>
      <c r="M206" s="9">
        <v>9</v>
      </c>
      <c r="N206" s="9">
        <v>16.100000000000001</v>
      </c>
      <c r="O206" s="9">
        <v>14</v>
      </c>
      <c r="P206" s="9">
        <v>19.5</v>
      </c>
      <c r="Q206" s="92">
        <v>3.3338575000000001</v>
      </c>
      <c r="R206">
        <v>10</v>
      </c>
      <c r="S206">
        <v>1000</v>
      </c>
      <c r="T206" s="4">
        <v>340.29106531024155</v>
      </c>
      <c r="U206">
        <f t="shared" si="188"/>
        <v>3.4029106531024156</v>
      </c>
      <c r="V206">
        <f t="shared" ref="V206:W206" si="200">V182</f>
        <v>3.4</v>
      </c>
      <c r="W206">
        <f t="shared" si="200"/>
        <v>3</v>
      </c>
      <c r="X206" s="9">
        <v>3.3338575000000001</v>
      </c>
    </row>
    <row r="207" spans="1:24" x14ac:dyDescent="0.2">
      <c r="A207" s="41">
        <f t="shared" si="190"/>
        <v>45847.499999999505</v>
      </c>
      <c r="B207" s="42">
        <f t="shared" si="144"/>
        <v>8000</v>
      </c>
      <c r="C207" s="8">
        <v>25000</v>
      </c>
      <c r="D207" s="8">
        <v>0</v>
      </c>
      <c r="E207" s="8">
        <v>700</v>
      </c>
      <c r="F207" s="8">
        <v>7500</v>
      </c>
      <c r="G207" s="42">
        <f t="shared" si="145"/>
        <v>2400</v>
      </c>
      <c r="H207" s="8">
        <v>25000</v>
      </c>
      <c r="I207" s="42">
        <f t="shared" si="146"/>
        <v>8000</v>
      </c>
      <c r="J207" s="8">
        <v>25000</v>
      </c>
      <c r="K207" s="42">
        <f t="shared" si="147"/>
        <v>8000</v>
      </c>
      <c r="L207" s="8">
        <v>25000</v>
      </c>
      <c r="M207" s="9">
        <v>9</v>
      </c>
      <c r="N207" s="9">
        <v>16.100000000000001</v>
      </c>
      <c r="O207" s="9">
        <v>14</v>
      </c>
      <c r="P207" s="9">
        <v>19.5</v>
      </c>
      <c r="Q207" s="92">
        <v>3.2054119000000001</v>
      </c>
      <c r="R207">
        <v>10</v>
      </c>
      <c r="S207">
        <v>1000</v>
      </c>
      <c r="T207" s="4">
        <v>369.94274167759033</v>
      </c>
      <c r="U207">
        <f t="shared" si="188"/>
        <v>3.6994274167759031</v>
      </c>
      <c r="V207">
        <f t="shared" ref="V207:W207" si="201">V183</f>
        <v>3.1</v>
      </c>
      <c r="W207">
        <f t="shared" si="201"/>
        <v>2.9</v>
      </c>
      <c r="X207" s="9">
        <v>3.2054119000000001</v>
      </c>
    </row>
    <row r="208" spans="1:24" x14ac:dyDescent="0.2">
      <c r="A208" s="41">
        <f t="shared" si="190"/>
        <v>45847.541666666169</v>
      </c>
      <c r="B208" s="42">
        <f t="shared" si="144"/>
        <v>8000</v>
      </c>
      <c r="C208" s="8">
        <v>25000</v>
      </c>
      <c r="D208" s="8">
        <v>0</v>
      </c>
      <c r="E208" s="8">
        <v>700</v>
      </c>
      <c r="F208" s="8">
        <v>7500</v>
      </c>
      <c r="G208" s="42">
        <f t="shared" si="145"/>
        <v>2400</v>
      </c>
      <c r="H208" s="8">
        <v>25000</v>
      </c>
      <c r="I208" s="42">
        <f t="shared" si="146"/>
        <v>8000</v>
      </c>
      <c r="J208" s="8">
        <v>25000</v>
      </c>
      <c r="K208" s="42">
        <f t="shared" si="147"/>
        <v>8000</v>
      </c>
      <c r="L208" s="8">
        <v>25000</v>
      </c>
      <c r="M208" s="9">
        <v>9</v>
      </c>
      <c r="N208" s="9">
        <v>16.100000000000001</v>
      </c>
      <c r="O208" s="9">
        <v>14</v>
      </c>
      <c r="P208" s="9">
        <v>19.5</v>
      </c>
      <c r="Q208" s="92">
        <v>3.0184039999999999</v>
      </c>
      <c r="R208">
        <v>10</v>
      </c>
      <c r="S208">
        <v>1000</v>
      </c>
      <c r="T208" s="4">
        <v>402.40414847292726</v>
      </c>
      <c r="U208">
        <f t="shared" si="188"/>
        <v>4.0240414847292723</v>
      </c>
      <c r="V208">
        <f t="shared" ref="V208:W208" si="202">V184</f>
        <v>3.2</v>
      </c>
      <c r="W208">
        <f t="shared" si="202"/>
        <v>2.9</v>
      </c>
      <c r="X208" s="9">
        <v>3.0184039999999999</v>
      </c>
    </row>
    <row r="209" spans="1:24" x14ac:dyDescent="0.2">
      <c r="A209" s="41">
        <f t="shared" si="190"/>
        <v>45847.583333332834</v>
      </c>
      <c r="B209" s="42">
        <f t="shared" si="144"/>
        <v>8000</v>
      </c>
      <c r="C209" s="8">
        <v>25000</v>
      </c>
      <c r="D209" s="8">
        <v>0</v>
      </c>
      <c r="E209" s="8">
        <v>700</v>
      </c>
      <c r="F209" s="8">
        <v>7500</v>
      </c>
      <c r="G209" s="42">
        <f t="shared" si="145"/>
        <v>2400</v>
      </c>
      <c r="H209" s="8">
        <v>25000</v>
      </c>
      <c r="I209" s="42">
        <f t="shared" si="146"/>
        <v>8000</v>
      </c>
      <c r="J209" s="8">
        <v>25000</v>
      </c>
      <c r="K209" s="42">
        <f t="shared" si="147"/>
        <v>8000</v>
      </c>
      <c r="L209" s="8">
        <v>25000</v>
      </c>
      <c r="M209" s="9">
        <v>9</v>
      </c>
      <c r="N209" s="9">
        <v>16.100000000000001</v>
      </c>
      <c r="O209" s="9">
        <v>14</v>
      </c>
      <c r="P209" s="9">
        <v>19.5</v>
      </c>
      <c r="Q209" s="92">
        <v>2.9870279000000002</v>
      </c>
      <c r="R209">
        <v>10</v>
      </c>
      <c r="S209">
        <v>1000</v>
      </c>
      <c r="T209" s="4">
        <v>655.22245637658079</v>
      </c>
      <c r="U209">
        <f t="shared" si="188"/>
        <v>6.5522245637658081</v>
      </c>
      <c r="V209">
        <f t="shared" ref="V209:W209" si="203">V185</f>
        <v>3.5</v>
      </c>
      <c r="W209">
        <f t="shared" si="203"/>
        <v>2.9</v>
      </c>
      <c r="X209" s="9">
        <v>2.9870279000000002</v>
      </c>
    </row>
    <row r="210" spans="1:24" x14ac:dyDescent="0.2">
      <c r="A210" s="41">
        <f t="shared" si="190"/>
        <v>45847.624999999498</v>
      </c>
      <c r="B210" s="42">
        <f t="shared" si="144"/>
        <v>8000</v>
      </c>
      <c r="C210" s="8">
        <v>25000</v>
      </c>
      <c r="D210" s="8">
        <v>0</v>
      </c>
      <c r="E210" s="8">
        <v>700</v>
      </c>
      <c r="F210" s="8">
        <v>7500</v>
      </c>
      <c r="G210" s="42">
        <f t="shared" si="145"/>
        <v>2400</v>
      </c>
      <c r="H210" s="8">
        <v>25000</v>
      </c>
      <c r="I210" s="42">
        <f t="shared" si="146"/>
        <v>8000</v>
      </c>
      <c r="J210" s="8">
        <v>25000</v>
      </c>
      <c r="K210" s="42">
        <f t="shared" si="147"/>
        <v>8000</v>
      </c>
      <c r="L210" s="8">
        <v>25000</v>
      </c>
      <c r="M210" s="9">
        <v>9</v>
      </c>
      <c r="N210" s="9">
        <v>16.100000000000001</v>
      </c>
      <c r="O210" s="9">
        <v>14</v>
      </c>
      <c r="P210" s="9">
        <v>19.5</v>
      </c>
      <c r="Q210" s="92">
        <v>3.3114333</v>
      </c>
      <c r="R210">
        <v>10</v>
      </c>
      <c r="S210">
        <v>1000</v>
      </c>
      <c r="T210" s="4">
        <v>753.54117275252679</v>
      </c>
      <c r="U210">
        <f t="shared" si="188"/>
        <v>7.5354117275252683</v>
      </c>
      <c r="V210">
        <f t="shared" ref="V210:W210" si="204">V186</f>
        <v>3.2</v>
      </c>
      <c r="W210">
        <f t="shared" si="204"/>
        <v>2.9</v>
      </c>
      <c r="X210" s="9">
        <v>3.3114333</v>
      </c>
    </row>
    <row r="211" spans="1:24" x14ac:dyDescent="0.2">
      <c r="A211" s="41">
        <f t="shared" si="190"/>
        <v>45847.666666666162</v>
      </c>
      <c r="B211" s="42">
        <f t="shared" si="144"/>
        <v>8000</v>
      </c>
      <c r="C211" s="8">
        <v>25000</v>
      </c>
      <c r="D211" s="8">
        <v>0</v>
      </c>
      <c r="E211" s="8">
        <v>700</v>
      </c>
      <c r="F211" s="8">
        <v>7500</v>
      </c>
      <c r="G211" s="42">
        <f t="shared" si="145"/>
        <v>2400</v>
      </c>
      <c r="H211" s="8">
        <v>25000</v>
      </c>
      <c r="I211" s="42">
        <f t="shared" si="146"/>
        <v>8000</v>
      </c>
      <c r="J211" s="8">
        <v>25000</v>
      </c>
      <c r="K211" s="42">
        <f t="shared" si="147"/>
        <v>8000</v>
      </c>
      <c r="L211" s="8">
        <v>25000</v>
      </c>
      <c r="M211" s="9">
        <v>9</v>
      </c>
      <c r="N211" s="9">
        <v>16.100000000000001</v>
      </c>
      <c r="O211" s="9">
        <v>14</v>
      </c>
      <c r="P211" s="9">
        <v>19.5</v>
      </c>
      <c r="Q211" s="92">
        <v>3.1992010999999998</v>
      </c>
      <c r="R211">
        <v>10</v>
      </c>
      <c r="S211">
        <v>1000</v>
      </c>
      <c r="T211" s="4">
        <v>974.21206950742805</v>
      </c>
      <c r="U211">
        <f t="shared" si="188"/>
        <v>9.7421206950742807</v>
      </c>
      <c r="V211">
        <f t="shared" ref="V211:W211" si="205">V187</f>
        <v>3.5</v>
      </c>
      <c r="W211">
        <f t="shared" si="205"/>
        <v>3</v>
      </c>
      <c r="X211" s="9">
        <v>3.1992010999999998</v>
      </c>
    </row>
    <row r="212" spans="1:24" x14ac:dyDescent="0.2">
      <c r="A212" s="41">
        <f t="shared" si="190"/>
        <v>45847.708333332826</v>
      </c>
      <c r="B212" s="42">
        <f t="shared" si="144"/>
        <v>8000</v>
      </c>
      <c r="C212" s="8">
        <v>25000</v>
      </c>
      <c r="D212" s="8">
        <v>0</v>
      </c>
      <c r="E212" s="8">
        <v>700</v>
      </c>
      <c r="F212" s="8">
        <v>7500</v>
      </c>
      <c r="G212" s="42">
        <f t="shared" si="145"/>
        <v>2400</v>
      </c>
      <c r="H212" s="8">
        <v>25000</v>
      </c>
      <c r="I212" s="42">
        <f t="shared" si="146"/>
        <v>8000</v>
      </c>
      <c r="J212" s="8">
        <v>25000</v>
      </c>
      <c r="K212" s="42">
        <f t="shared" si="147"/>
        <v>8000</v>
      </c>
      <c r="L212" s="8">
        <v>25000</v>
      </c>
      <c r="M212" s="9">
        <v>9</v>
      </c>
      <c r="N212" s="9">
        <v>16.100000000000001</v>
      </c>
      <c r="O212" s="9">
        <v>14</v>
      </c>
      <c r="P212" s="9">
        <v>19.5</v>
      </c>
      <c r="Q212" s="92">
        <v>3.1127064</v>
      </c>
      <c r="R212">
        <v>10</v>
      </c>
      <c r="S212">
        <v>1000</v>
      </c>
      <c r="T212" s="4">
        <v>1241.0771568135674</v>
      </c>
      <c r="U212">
        <f t="shared" si="188"/>
        <v>12.410771568135674</v>
      </c>
      <c r="V212">
        <f t="shared" ref="V212:W212" si="206">V188</f>
        <v>3.6</v>
      </c>
      <c r="W212">
        <f t="shared" si="206"/>
        <v>3</v>
      </c>
      <c r="X212" s="9">
        <v>3.1127064</v>
      </c>
    </row>
    <row r="213" spans="1:24" x14ac:dyDescent="0.2">
      <c r="A213" s="41">
        <f t="shared" si="190"/>
        <v>45847.749999999491</v>
      </c>
      <c r="B213" s="42">
        <f t="shared" si="144"/>
        <v>5000</v>
      </c>
      <c r="C213" s="8">
        <v>25000</v>
      </c>
      <c r="D213" s="8">
        <v>0</v>
      </c>
      <c r="E213" s="8">
        <v>700</v>
      </c>
      <c r="F213" s="8">
        <v>7500</v>
      </c>
      <c r="G213" s="42">
        <f t="shared" si="145"/>
        <v>2400</v>
      </c>
      <c r="H213" s="8">
        <v>25000</v>
      </c>
      <c r="I213" s="42">
        <f t="shared" si="146"/>
        <v>5000</v>
      </c>
      <c r="J213" s="8">
        <v>25000</v>
      </c>
      <c r="K213" s="42">
        <f t="shared" si="147"/>
        <v>5000</v>
      </c>
      <c r="L213" s="8">
        <v>25000</v>
      </c>
      <c r="M213" s="9">
        <v>9</v>
      </c>
      <c r="N213" s="9">
        <v>16.100000000000001</v>
      </c>
      <c r="O213" s="9">
        <v>14</v>
      </c>
      <c r="P213" s="9">
        <v>19.5</v>
      </c>
      <c r="Q213" s="92">
        <v>3.0936666000000002</v>
      </c>
      <c r="R213">
        <v>10</v>
      </c>
      <c r="S213">
        <v>1000</v>
      </c>
      <c r="T213" s="4">
        <v>1284.7743640917656</v>
      </c>
      <c r="U213">
        <f t="shared" si="188"/>
        <v>12.847743640917656</v>
      </c>
      <c r="V213">
        <f t="shared" ref="V213:W213" si="207">V189</f>
        <v>2.9</v>
      </c>
      <c r="W213">
        <f t="shared" si="207"/>
        <v>3</v>
      </c>
      <c r="X213" s="9">
        <v>3.0936666000000002</v>
      </c>
    </row>
    <row r="214" spans="1:24" x14ac:dyDescent="0.2">
      <c r="A214" s="41">
        <f t="shared" si="190"/>
        <v>45847.791666666155</v>
      </c>
      <c r="B214" s="42">
        <f t="shared" si="144"/>
        <v>5000</v>
      </c>
      <c r="C214" s="8">
        <v>25000</v>
      </c>
      <c r="D214" s="8">
        <v>0</v>
      </c>
      <c r="E214" s="8">
        <v>700</v>
      </c>
      <c r="F214" s="8">
        <v>7500</v>
      </c>
      <c r="G214" s="42">
        <f t="shared" si="145"/>
        <v>2400</v>
      </c>
      <c r="H214" s="8">
        <v>25000</v>
      </c>
      <c r="I214" s="42">
        <f t="shared" si="146"/>
        <v>5000</v>
      </c>
      <c r="J214" s="8">
        <v>25000</v>
      </c>
      <c r="K214" s="42">
        <f t="shared" si="147"/>
        <v>5000</v>
      </c>
      <c r="L214" s="8">
        <v>25000</v>
      </c>
      <c r="M214" s="9">
        <v>9</v>
      </c>
      <c r="N214" s="9">
        <v>16.100000000000001</v>
      </c>
      <c r="O214" s="9">
        <v>14</v>
      </c>
      <c r="P214" s="9">
        <v>19.5</v>
      </c>
      <c r="Q214" s="92">
        <v>3.0556473999999998</v>
      </c>
      <c r="R214">
        <v>10</v>
      </c>
      <c r="S214">
        <v>1000</v>
      </c>
      <c r="T214" s="4">
        <v>1281.6531350004659</v>
      </c>
      <c r="U214">
        <f t="shared" si="188"/>
        <v>12.816531350004659</v>
      </c>
      <c r="V214">
        <f t="shared" ref="V214:W214" si="208">V190</f>
        <v>3</v>
      </c>
      <c r="W214">
        <f t="shared" si="208"/>
        <v>3</v>
      </c>
      <c r="X214" s="9">
        <v>3.0556473999999998</v>
      </c>
    </row>
    <row r="215" spans="1:24" x14ac:dyDescent="0.2">
      <c r="A215" s="41">
        <f t="shared" si="190"/>
        <v>45847.833333332819</v>
      </c>
      <c r="B215" s="42">
        <f t="shared" si="144"/>
        <v>5000</v>
      </c>
      <c r="C215" s="8">
        <v>25000</v>
      </c>
      <c r="D215" s="8">
        <v>0</v>
      </c>
      <c r="E215" s="8">
        <v>700</v>
      </c>
      <c r="F215" s="8">
        <v>7500</v>
      </c>
      <c r="G215" s="42">
        <f t="shared" si="145"/>
        <v>2400</v>
      </c>
      <c r="H215" s="8">
        <v>25000</v>
      </c>
      <c r="I215" s="42">
        <f t="shared" si="146"/>
        <v>5000</v>
      </c>
      <c r="J215" s="8">
        <v>25000</v>
      </c>
      <c r="K215" s="42">
        <f t="shared" si="147"/>
        <v>5000</v>
      </c>
      <c r="L215" s="8">
        <v>25000</v>
      </c>
      <c r="M215" s="9">
        <v>9</v>
      </c>
      <c r="N215" s="9">
        <v>16.100000000000001</v>
      </c>
      <c r="O215" s="9">
        <v>14</v>
      </c>
      <c r="P215" s="9">
        <v>19.5</v>
      </c>
      <c r="Q215" s="92">
        <v>3.0189952999999998</v>
      </c>
      <c r="R215">
        <v>10</v>
      </c>
      <c r="S215">
        <v>1000</v>
      </c>
      <c r="T215" s="4">
        <v>1237.9559277222675</v>
      </c>
      <c r="U215">
        <f t="shared" si="188"/>
        <v>12.379559277222675</v>
      </c>
      <c r="V215">
        <f t="shared" ref="V215:W215" si="209">V191</f>
        <v>2.8</v>
      </c>
      <c r="W215">
        <f t="shared" si="209"/>
        <v>3.1</v>
      </c>
      <c r="X215" s="9">
        <v>3.0189952999999998</v>
      </c>
    </row>
    <row r="216" spans="1:24" x14ac:dyDescent="0.2">
      <c r="A216" s="41">
        <f t="shared" si="190"/>
        <v>45847.874999999483</v>
      </c>
      <c r="B216" s="42">
        <f t="shared" si="144"/>
        <v>5000</v>
      </c>
      <c r="C216" s="8">
        <v>25000</v>
      </c>
      <c r="D216" s="8">
        <v>0</v>
      </c>
      <c r="E216" s="8">
        <v>700</v>
      </c>
      <c r="F216" s="8">
        <v>7500</v>
      </c>
      <c r="G216" s="42">
        <f t="shared" si="145"/>
        <v>2400</v>
      </c>
      <c r="H216" s="8">
        <v>25000</v>
      </c>
      <c r="I216" s="42">
        <f t="shared" si="146"/>
        <v>5000</v>
      </c>
      <c r="J216" s="8">
        <v>25000</v>
      </c>
      <c r="K216" s="42">
        <f t="shared" si="147"/>
        <v>5000</v>
      </c>
      <c r="L216" s="8">
        <v>25000</v>
      </c>
      <c r="M216" s="9">
        <v>9</v>
      </c>
      <c r="N216" s="9">
        <v>16.100000000000001</v>
      </c>
      <c r="O216" s="9">
        <v>14</v>
      </c>
      <c r="P216" s="9">
        <v>19.5</v>
      </c>
      <c r="Q216" s="92">
        <v>2.9855119999999999</v>
      </c>
      <c r="R216">
        <v>10</v>
      </c>
      <c r="S216">
        <v>1000</v>
      </c>
      <c r="T216" s="4">
        <v>1142.7584404376212</v>
      </c>
      <c r="U216">
        <f t="shared" si="188"/>
        <v>11.427584404376212</v>
      </c>
      <c r="V216">
        <f t="shared" ref="V216:W216" si="210">V192</f>
        <v>3.5</v>
      </c>
      <c r="W216">
        <f t="shared" si="210"/>
        <v>3.1</v>
      </c>
      <c r="X216" s="9">
        <v>2.9855119999999999</v>
      </c>
    </row>
    <row r="217" spans="1:24" x14ac:dyDescent="0.2">
      <c r="A217" s="41">
        <f t="shared" si="190"/>
        <v>45847.916666666148</v>
      </c>
      <c r="B217" s="42">
        <f t="shared" si="144"/>
        <v>5000</v>
      </c>
      <c r="C217" s="8">
        <v>25000</v>
      </c>
      <c r="D217" s="8">
        <v>0</v>
      </c>
      <c r="E217" s="8">
        <v>700</v>
      </c>
      <c r="F217" s="8">
        <v>7500</v>
      </c>
      <c r="G217" s="42">
        <f t="shared" si="145"/>
        <v>2400</v>
      </c>
      <c r="H217" s="8">
        <v>25000</v>
      </c>
      <c r="I217" s="42">
        <f t="shared" si="146"/>
        <v>5000</v>
      </c>
      <c r="J217" s="8">
        <v>25000</v>
      </c>
      <c r="K217" s="42">
        <f t="shared" si="147"/>
        <v>5000</v>
      </c>
      <c r="L217" s="8">
        <v>25000</v>
      </c>
      <c r="M217" s="9">
        <v>9</v>
      </c>
      <c r="N217" s="9">
        <v>16.100000000000001</v>
      </c>
      <c r="O217" s="9">
        <v>14</v>
      </c>
      <c r="P217" s="9">
        <v>19.5</v>
      </c>
      <c r="Q217" s="92">
        <v>2.9519297999999998</v>
      </c>
      <c r="R217">
        <v>10</v>
      </c>
      <c r="S217">
        <v>1000</v>
      </c>
      <c r="T217" s="4">
        <v>918.02994586403031</v>
      </c>
      <c r="U217">
        <f t="shared" si="188"/>
        <v>9.1802994586403024</v>
      </c>
      <c r="V217">
        <f t="shared" ref="V217:W217" si="211">V193</f>
        <v>2.9</v>
      </c>
      <c r="W217">
        <f t="shared" si="211"/>
        <v>3.1</v>
      </c>
      <c r="X217" s="9">
        <v>2.9519297999999998</v>
      </c>
    </row>
    <row r="218" spans="1:24" x14ac:dyDescent="0.2">
      <c r="A218" s="41">
        <f t="shared" si="190"/>
        <v>45847.958333332812</v>
      </c>
      <c r="B218" s="42">
        <f t="shared" si="144"/>
        <v>5000</v>
      </c>
      <c r="C218" s="8">
        <v>25000</v>
      </c>
      <c r="D218" s="8">
        <v>0</v>
      </c>
      <c r="E218" s="8">
        <v>700</v>
      </c>
      <c r="F218" s="8">
        <v>7500</v>
      </c>
      <c r="G218" s="42">
        <f t="shared" si="145"/>
        <v>2400</v>
      </c>
      <c r="H218" s="8">
        <v>25000</v>
      </c>
      <c r="I218" s="42">
        <f t="shared" si="146"/>
        <v>5000</v>
      </c>
      <c r="J218" s="8">
        <v>25000</v>
      </c>
      <c r="K218" s="42">
        <f t="shared" si="147"/>
        <v>5000</v>
      </c>
      <c r="L218" s="8">
        <v>25000</v>
      </c>
      <c r="M218" s="9">
        <v>9</v>
      </c>
      <c r="N218" s="9">
        <v>16.100000000000001</v>
      </c>
      <c r="O218" s="9">
        <v>14</v>
      </c>
      <c r="P218" s="9">
        <v>19.5</v>
      </c>
      <c r="Q218" s="92">
        <v>2.8495512000000001</v>
      </c>
      <c r="R218">
        <v>10</v>
      </c>
      <c r="S218">
        <v>1000</v>
      </c>
      <c r="T218" s="4">
        <v>562.52257661079261</v>
      </c>
      <c r="U218">
        <f t="shared" si="188"/>
        <v>5.6252257661079259</v>
      </c>
      <c r="V218">
        <f t="shared" ref="V218:W218" si="212">V194</f>
        <v>3.6</v>
      </c>
      <c r="W218">
        <f t="shared" si="212"/>
        <v>3.1</v>
      </c>
      <c r="X218" s="9">
        <v>2.8495512000000001</v>
      </c>
    </row>
    <row r="219" spans="1:24" x14ac:dyDescent="0.2">
      <c r="A219" s="41">
        <f t="shared" si="190"/>
        <v>45847.999999999476</v>
      </c>
      <c r="B219" s="42">
        <f t="shared" si="144"/>
        <v>5000</v>
      </c>
      <c r="C219" s="8">
        <v>25000</v>
      </c>
      <c r="D219" s="8">
        <v>0</v>
      </c>
      <c r="E219" s="8">
        <v>700</v>
      </c>
      <c r="F219" s="8">
        <v>7500</v>
      </c>
      <c r="G219" s="42">
        <f t="shared" si="145"/>
        <v>2400</v>
      </c>
      <c r="H219" s="8">
        <v>25000</v>
      </c>
      <c r="I219" s="42">
        <f t="shared" si="146"/>
        <v>5000</v>
      </c>
      <c r="J219" s="8">
        <v>25000</v>
      </c>
      <c r="K219" s="42">
        <f t="shared" si="147"/>
        <v>5000</v>
      </c>
      <c r="L219" s="8">
        <v>25000</v>
      </c>
      <c r="M219" s="9">
        <v>9</v>
      </c>
      <c r="N219" s="9">
        <v>16.100000000000001</v>
      </c>
      <c r="O219" s="9">
        <v>14</v>
      </c>
      <c r="P219" s="9">
        <v>19.5</v>
      </c>
      <c r="Q219" s="92">
        <v>2.7738941000000001</v>
      </c>
      <c r="R219">
        <v>10</v>
      </c>
      <c r="S219">
        <v>1000</v>
      </c>
      <c r="T219" s="4">
        <v>328.43039476330199</v>
      </c>
      <c r="U219">
        <f t="shared" si="188"/>
        <v>3.28430394763302</v>
      </c>
      <c r="V219">
        <f t="shared" ref="V219:W219" si="213">V195</f>
        <v>3</v>
      </c>
      <c r="W219">
        <f t="shared" si="213"/>
        <v>3.2</v>
      </c>
      <c r="X219" s="9">
        <v>2.7738941000000001</v>
      </c>
    </row>
    <row r="220" spans="1:24" x14ac:dyDescent="0.2">
      <c r="A220" s="41">
        <f t="shared" si="190"/>
        <v>45848.04166666614</v>
      </c>
      <c r="B220" s="42">
        <f t="shared" ref="B220:B283" si="214">B196</f>
        <v>5000</v>
      </c>
      <c r="C220" s="8">
        <v>25000</v>
      </c>
      <c r="D220" s="8">
        <v>0</v>
      </c>
      <c r="E220" s="8">
        <v>700</v>
      </c>
      <c r="F220" s="8">
        <v>7500</v>
      </c>
      <c r="G220" s="42">
        <f t="shared" ref="G220:G283" si="215">G196</f>
        <v>2400</v>
      </c>
      <c r="H220" s="8">
        <v>25000</v>
      </c>
      <c r="I220" s="42">
        <f t="shared" ref="I220:I283" si="216">I196</f>
        <v>5000</v>
      </c>
      <c r="J220" s="8">
        <v>25000</v>
      </c>
      <c r="K220" s="42">
        <f t="shared" ref="K220:K283" si="217">K196</f>
        <v>5000</v>
      </c>
      <c r="L220" s="8">
        <v>25000</v>
      </c>
      <c r="M220" s="9">
        <v>9</v>
      </c>
      <c r="N220" s="9">
        <v>16.100000000000001</v>
      </c>
      <c r="O220" s="9">
        <v>14</v>
      </c>
      <c r="P220" s="9">
        <v>19.5</v>
      </c>
      <c r="Q220" s="92">
        <v>2.7284918</v>
      </c>
      <c r="R220">
        <v>10</v>
      </c>
      <c r="S220">
        <v>1000</v>
      </c>
      <c r="T220" s="4">
        <v>318.44246167114238</v>
      </c>
      <c r="U220">
        <f t="shared" si="188"/>
        <v>3.1844246167114236</v>
      </c>
      <c r="V220">
        <f t="shared" ref="V220:W220" si="218">V196</f>
        <v>2.6</v>
      </c>
      <c r="W220">
        <f t="shared" si="218"/>
        <v>3.2</v>
      </c>
      <c r="X220" s="9">
        <v>2.7284918</v>
      </c>
    </row>
    <row r="221" spans="1:24" x14ac:dyDescent="0.2">
      <c r="A221" s="41">
        <f t="shared" si="190"/>
        <v>45848.083333332805</v>
      </c>
      <c r="B221" s="42">
        <f t="shared" si="214"/>
        <v>5000</v>
      </c>
      <c r="C221" s="8">
        <v>25000</v>
      </c>
      <c r="D221" s="8">
        <v>0</v>
      </c>
      <c r="E221" s="8">
        <v>700</v>
      </c>
      <c r="F221" s="8">
        <v>7500</v>
      </c>
      <c r="G221" s="42">
        <f t="shared" si="215"/>
        <v>2400</v>
      </c>
      <c r="H221" s="8">
        <v>25000</v>
      </c>
      <c r="I221" s="42">
        <f t="shared" si="216"/>
        <v>5000</v>
      </c>
      <c r="J221" s="8">
        <v>25000</v>
      </c>
      <c r="K221" s="42">
        <f t="shared" si="217"/>
        <v>5000</v>
      </c>
      <c r="L221" s="8">
        <v>25000</v>
      </c>
      <c r="M221" s="9">
        <v>9</v>
      </c>
      <c r="N221" s="9">
        <v>16.100000000000001</v>
      </c>
      <c r="O221" s="9">
        <v>14</v>
      </c>
      <c r="P221" s="9">
        <v>19.5</v>
      </c>
      <c r="Q221" s="92">
        <v>2.8093944</v>
      </c>
      <c r="R221">
        <v>10</v>
      </c>
      <c r="S221">
        <v>1000</v>
      </c>
      <c r="T221" s="4">
        <v>318.44246167114238</v>
      </c>
      <c r="U221">
        <f t="shared" si="188"/>
        <v>3.1844246167114236</v>
      </c>
      <c r="V221">
        <f t="shared" ref="V221:W221" si="219">V197</f>
        <v>2.8</v>
      </c>
      <c r="W221">
        <f t="shared" si="219"/>
        <v>3.2</v>
      </c>
      <c r="X221" s="9">
        <v>2.8093944</v>
      </c>
    </row>
    <row r="222" spans="1:24" x14ac:dyDescent="0.2">
      <c r="A222" s="41">
        <f t="shared" si="190"/>
        <v>45848.124999999469</v>
      </c>
      <c r="B222" s="42">
        <f t="shared" si="214"/>
        <v>5000</v>
      </c>
      <c r="C222" s="8">
        <v>25000</v>
      </c>
      <c r="D222" s="8">
        <v>0</v>
      </c>
      <c r="E222" s="8">
        <v>700</v>
      </c>
      <c r="F222" s="8">
        <v>7500</v>
      </c>
      <c r="G222" s="42">
        <f t="shared" si="215"/>
        <v>2400</v>
      </c>
      <c r="H222" s="8">
        <v>25000</v>
      </c>
      <c r="I222" s="42">
        <f t="shared" si="216"/>
        <v>5000</v>
      </c>
      <c r="J222" s="8">
        <v>25000</v>
      </c>
      <c r="K222" s="42">
        <f t="shared" si="217"/>
        <v>5000</v>
      </c>
      <c r="L222" s="8">
        <v>25000</v>
      </c>
      <c r="M222" s="9">
        <v>9</v>
      </c>
      <c r="N222" s="9">
        <v>16.100000000000001</v>
      </c>
      <c r="O222" s="9">
        <v>14</v>
      </c>
      <c r="P222" s="9">
        <v>19.5</v>
      </c>
      <c r="Q222" s="92">
        <v>2.8659735</v>
      </c>
      <c r="R222">
        <v>10</v>
      </c>
      <c r="S222">
        <v>1000</v>
      </c>
      <c r="T222" s="4">
        <v>396.47318895363924</v>
      </c>
      <c r="U222">
        <f t="shared" si="188"/>
        <v>3.9647318895363926</v>
      </c>
      <c r="V222">
        <f t="shared" ref="V222:W222" si="220">V198</f>
        <v>2.7</v>
      </c>
      <c r="W222">
        <f t="shared" si="220"/>
        <v>3.2</v>
      </c>
      <c r="X222" s="9">
        <v>2.8659735</v>
      </c>
    </row>
    <row r="223" spans="1:24" x14ac:dyDescent="0.2">
      <c r="A223" s="41">
        <f t="shared" si="190"/>
        <v>45848.166666666133</v>
      </c>
      <c r="B223" s="42">
        <f t="shared" si="214"/>
        <v>5000</v>
      </c>
      <c r="C223" s="8">
        <v>25000</v>
      </c>
      <c r="D223" s="8">
        <v>0</v>
      </c>
      <c r="E223" s="8">
        <v>700</v>
      </c>
      <c r="F223" s="8">
        <v>7500</v>
      </c>
      <c r="G223" s="42">
        <f t="shared" si="215"/>
        <v>2400</v>
      </c>
      <c r="H223" s="8">
        <v>25000</v>
      </c>
      <c r="I223" s="42">
        <f t="shared" si="216"/>
        <v>5000</v>
      </c>
      <c r="J223" s="8">
        <v>25000</v>
      </c>
      <c r="K223" s="42">
        <f t="shared" si="217"/>
        <v>5000</v>
      </c>
      <c r="L223" s="8">
        <v>25000</v>
      </c>
      <c r="M223" s="9">
        <v>9</v>
      </c>
      <c r="N223" s="9">
        <v>16.100000000000001</v>
      </c>
      <c r="O223" s="9">
        <v>14</v>
      </c>
      <c r="P223" s="9">
        <v>19.5</v>
      </c>
      <c r="Q223" s="92">
        <v>2.8984714</v>
      </c>
      <c r="R223">
        <v>10</v>
      </c>
      <c r="S223">
        <v>1000</v>
      </c>
      <c r="T223" s="4">
        <v>466.70084350788647</v>
      </c>
      <c r="U223">
        <f t="shared" si="188"/>
        <v>4.6670084350788645</v>
      </c>
      <c r="V223">
        <f t="shared" ref="V223:W223" si="221">V199</f>
        <v>3</v>
      </c>
      <c r="W223">
        <f t="shared" si="221"/>
        <v>3.1</v>
      </c>
      <c r="X223" s="9">
        <v>2.8984714</v>
      </c>
    </row>
    <row r="224" spans="1:24" x14ac:dyDescent="0.2">
      <c r="A224" s="41">
        <f t="shared" si="190"/>
        <v>45848.208333332797</v>
      </c>
      <c r="B224" s="42">
        <f t="shared" si="214"/>
        <v>5000</v>
      </c>
      <c r="C224" s="8">
        <v>25000</v>
      </c>
      <c r="D224" s="8">
        <v>0</v>
      </c>
      <c r="E224" s="8">
        <v>700</v>
      </c>
      <c r="F224" s="8">
        <v>7500</v>
      </c>
      <c r="G224" s="42">
        <f t="shared" si="215"/>
        <v>2400</v>
      </c>
      <c r="H224" s="8">
        <v>25000</v>
      </c>
      <c r="I224" s="42">
        <f t="shared" si="216"/>
        <v>5000</v>
      </c>
      <c r="J224" s="8">
        <v>25000</v>
      </c>
      <c r="K224" s="42">
        <f t="shared" si="217"/>
        <v>5000</v>
      </c>
      <c r="L224" s="8">
        <v>25000</v>
      </c>
      <c r="M224" s="9">
        <v>9</v>
      </c>
      <c r="N224" s="9">
        <v>16.100000000000001</v>
      </c>
      <c r="O224" s="9">
        <v>14</v>
      </c>
      <c r="P224" s="9">
        <v>19.5</v>
      </c>
      <c r="Q224" s="92">
        <v>2.9780566999999998</v>
      </c>
      <c r="R224">
        <v>10</v>
      </c>
      <c r="S224">
        <v>1000</v>
      </c>
      <c r="T224" s="4">
        <v>466.70084350788647</v>
      </c>
      <c r="U224">
        <f t="shared" si="188"/>
        <v>4.6670084350788645</v>
      </c>
      <c r="V224">
        <f t="shared" ref="V224:W224" si="222">V200</f>
        <v>2.9</v>
      </c>
      <c r="W224">
        <f t="shared" si="222"/>
        <v>3.1</v>
      </c>
      <c r="X224" s="9">
        <v>2.9780566999999998</v>
      </c>
    </row>
    <row r="225" spans="1:24" x14ac:dyDescent="0.2">
      <c r="A225" s="41">
        <f t="shared" si="190"/>
        <v>45848.249999999462</v>
      </c>
      <c r="B225" s="42">
        <f t="shared" si="214"/>
        <v>8000</v>
      </c>
      <c r="C225" s="8">
        <v>25000</v>
      </c>
      <c r="D225" s="8">
        <v>0</v>
      </c>
      <c r="E225" s="8">
        <v>700</v>
      </c>
      <c r="F225" s="8">
        <v>7500</v>
      </c>
      <c r="G225" s="42">
        <f t="shared" si="215"/>
        <v>2400</v>
      </c>
      <c r="H225" s="8">
        <v>25000</v>
      </c>
      <c r="I225" s="42">
        <f t="shared" si="216"/>
        <v>8000</v>
      </c>
      <c r="J225" s="8">
        <v>25000</v>
      </c>
      <c r="K225" s="42">
        <f t="shared" si="217"/>
        <v>8000</v>
      </c>
      <c r="L225" s="8">
        <v>25000</v>
      </c>
      <c r="M225" s="9">
        <v>9</v>
      </c>
      <c r="N225" s="9">
        <v>16.100000000000001</v>
      </c>
      <c r="O225" s="9">
        <v>14</v>
      </c>
      <c r="P225" s="9">
        <v>19.5</v>
      </c>
      <c r="Q225" s="92">
        <v>3.0996250999999999</v>
      </c>
      <c r="R225">
        <v>10</v>
      </c>
      <c r="S225">
        <v>1000</v>
      </c>
      <c r="T225" s="4">
        <v>362.76391476760062</v>
      </c>
      <c r="U225">
        <f t="shared" si="188"/>
        <v>3.6276391476760064</v>
      </c>
      <c r="V225">
        <f t="shared" ref="V225:W225" si="223">V201</f>
        <v>2.5</v>
      </c>
      <c r="W225">
        <f t="shared" si="223"/>
        <v>3.1</v>
      </c>
      <c r="X225" s="9">
        <v>3.0996250999999999</v>
      </c>
    </row>
    <row r="226" spans="1:24" x14ac:dyDescent="0.2">
      <c r="A226" s="41">
        <f t="shared" si="190"/>
        <v>45848.291666666126</v>
      </c>
      <c r="B226" s="42">
        <f t="shared" si="214"/>
        <v>8000</v>
      </c>
      <c r="C226" s="8">
        <v>25000</v>
      </c>
      <c r="D226" s="8">
        <v>0</v>
      </c>
      <c r="E226" s="8">
        <v>700</v>
      </c>
      <c r="F226" s="8">
        <v>7500</v>
      </c>
      <c r="G226" s="42">
        <f t="shared" si="215"/>
        <v>2400</v>
      </c>
      <c r="H226" s="8">
        <v>25000</v>
      </c>
      <c r="I226" s="42">
        <f t="shared" si="216"/>
        <v>8000</v>
      </c>
      <c r="J226" s="8">
        <v>25000</v>
      </c>
      <c r="K226" s="42">
        <f t="shared" si="217"/>
        <v>8000</v>
      </c>
      <c r="L226" s="8">
        <v>25000</v>
      </c>
      <c r="M226" s="9">
        <v>9</v>
      </c>
      <c r="N226" s="9">
        <v>16.100000000000001</v>
      </c>
      <c r="O226" s="9">
        <v>14</v>
      </c>
      <c r="P226" s="9">
        <v>19.5</v>
      </c>
      <c r="Q226" s="92">
        <v>3.2352257</v>
      </c>
      <c r="R226">
        <v>10</v>
      </c>
      <c r="S226">
        <v>1000</v>
      </c>
      <c r="T226" s="4">
        <v>369.00637295020039</v>
      </c>
      <c r="U226">
        <f t="shared" si="188"/>
        <v>3.690063729502004</v>
      </c>
      <c r="V226">
        <f t="shared" ref="V226:W226" si="224">V202</f>
        <v>2.5</v>
      </c>
      <c r="W226">
        <f t="shared" si="224"/>
        <v>3.1</v>
      </c>
      <c r="X226" s="9">
        <v>3.2352257</v>
      </c>
    </row>
    <row r="227" spans="1:24" x14ac:dyDescent="0.2">
      <c r="A227" s="41">
        <f t="shared" si="190"/>
        <v>45848.33333333279</v>
      </c>
      <c r="B227" s="42">
        <f t="shared" si="214"/>
        <v>8000</v>
      </c>
      <c r="C227" s="8">
        <v>25000</v>
      </c>
      <c r="D227" s="8">
        <v>0</v>
      </c>
      <c r="E227" s="8">
        <v>700</v>
      </c>
      <c r="F227" s="8">
        <v>7500</v>
      </c>
      <c r="G227" s="42">
        <f t="shared" si="215"/>
        <v>2400</v>
      </c>
      <c r="H227" s="8">
        <v>25000</v>
      </c>
      <c r="I227" s="42">
        <f t="shared" si="216"/>
        <v>8000</v>
      </c>
      <c r="J227" s="8">
        <v>25000</v>
      </c>
      <c r="K227" s="42">
        <f t="shared" si="217"/>
        <v>8000</v>
      </c>
      <c r="L227" s="8">
        <v>25000</v>
      </c>
      <c r="M227" s="9">
        <v>9</v>
      </c>
      <c r="N227" s="9">
        <v>16.100000000000001</v>
      </c>
      <c r="O227" s="9">
        <v>14</v>
      </c>
      <c r="P227" s="9">
        <v>19.5</v>
      </c>
      <c r="Q227" s="92">
        <v>3.3067875</v>
      </c>
      <c r="R227">
        <v>10</v>
      </c>
      <c r="S227">
        <v>1000</v>
      </c>
      <c r="T227" s="4">
        <v>386.17313295234976</v>
      </c>
      <c r="U227">
        <f t="shared" si="188"/>
        <v>3.8617313295234976</v>
      </c>
      <c r="V227">
        <f t="shared" ref="V227:W227" si="225">V203</f>
        <v>3.2</v>
      </c>
      <c r="W227">
        <f t="shared" si="225"/>
        <v>3</v>
      </c>
      <c r="X227" s="9">
        <v>3.3067875</v>
      </c>
    </row>
    <row r="228" spans="1:24" x14ac:dyDescent="0.2">
      <c r="A228" s="41">
        <f t="shared" si="190"/>
        <v>45848.374999999454</v>
      </c>
      <c r="B228" s="42">
        <f t="shared" si="214"/>
        <v>8000</v>
      </c>
      <c r="C228" s="8">
        <v>25000</v>
      </c>
      <c r="D228" s="8">
        <v>0</v>
      </c>
      <c r="E228" s="8">
        <v>700</v>
      </c>
      <c r="F228" s="8">
        <v>7500</v>
      </c>
      <c r="G228" s="42">
        <f t="shared" si="215"/>
        <v>2400</v>
      </c>
      <c r="H228" s="8">
        <v>25000</v>
      </c>
      <c r="I228" s="42">
        <f t="shared" si="216"/>
        <v>8000</v>
      </c>
      <c r="J228" s="8">
        <v>25000</v>
      </c>
      <c r="K228" s="42">
        <f t="shared" si="217"/>
        <v>8000</v>
      </c>
      <c r="L228" s="8">
        <v>25000</v>
      </c>
      <c r="M228" s="9">
        <v>9</v>
      </c>
      <c r="N228" s="9">
        <v>16.100000000000001</v>
      </c>
      <c r="O228" s="9">
        <v>14</v>
      </c>
      <c r="P228" s="9">
        <v>19.5</v>
      </c>
      <c r="Q228" s="92">
        <v>3.3325128999999998</v>
      </c>
      <c r="R228">
        <v>10</v>
      </c>
      <c r="S228">
        <v>1000</v>
      </c>
      <c r="T228" s="4">
        <v>364.32452931325059</v>
      </c>
      <c r="U228">
        <f t="shared" si="188"/>
        <v>3.6432452931325061</v>
      </c>
      <c r="V228">
        <f t="shared" ref="V228:W228" si="226">V204</f>
        <v>2.9</v>
      </c>
      <c r="W228">
        <f t="shared" si="226"/>
        <v>3</v>
      </c>
      <c r="X228" s="9">
        <v>3.3325128999999998</v>
      </c>
    </row>
    <row r="229" spans="1:24" x14ac:dyDescent="0.2">
      <c r="A229" s="41">
        <f t="shared" si="190"/>
        <v>45848.416666666119</v>
      </c>
      <c r="B229" s="42">
        <f t="shared" si="214"/>
        <v>8000</v>
      </c>
      <c r="C229" s="8">
        <v>25000</v>
      </c>
      <c r="D229" s="8">
        <v>0</v>
      </c>
      <c r="E229" s="8">
        <v>700</v>
      </c>
      <c r="F229" s="8">
        <v>7500</v>
      </c>
      <c r="G229" s="42">
        <f t="shared" si="215"/>
        <v>2400</v>
      </c>
      <c r="H229" s="8">
        <v>25000</v>
      </c>
      <c r="I229" s="42">
        <f t="shared" si="216"/>
        <v>8000</v>
      </c>
      <c r="J229" s="8">
        <v>25000</v>
      </c>
      <c r="K229" s="42">
        <f t="shared" si="217"/>
        <v>8000</v>
      </c>
      <c r="L229" s="8">
        <v>25000</v>
      </c>
      <c r="M229" s="9">
        <v>9</v>
      </c>
      <c r="N229" s="9">
        <v>16.100000000000001</v>
      </c>
      <c r="O229" s="9">
        <v>14</v>
      </c>
      <c r="P229" s="9">
        <v>19.5</v>
      </c>
      <c r="Q229" s="92">
        <v>3.3907573000000002</v>
      </c>
      <c r="R229">
        <v>10</v>
      </c>
      <c r="S229">
        <v>1000</v>
      </c>
      <c r="T229" s="4">
        <v>343.41229440154143</v>
      </c>
      <c r="U229">
        <f t="shared" si="188"/>
        <v>3.4341229440154142</v>
      </c>
      <c r="V229">
        <f t="shared" ref="V229:W229" si="227">V205</f>
        <v>2.9</v>
      </c>
      <c r="W229">
        <f t="shared" si="227"/>
        <v>3</v>
      </c>
      <c r="X229" s="9">
        <v>3.3907573000000002</v>
      </c>
    </row>
    <row r="230" spans="1:24" x14ac:dyDescent="0.2">
      <c r="A230" s="41">
        <f t="shared" si="190"/>
        <v>45848.458333332783</v>
      </c>
      <c r="B230" s="42">
        <f t="shared" si="214"/>
        <v>8000</v>
      </c>
      <c r="C230" s="8">
        <v>25000</v>
      </c>
      <c r="D230" s="8">
        <v>0</v>
      </c>
      <c r="E230" s="8">
        <v>700</v>
      </c>
      <c r="F230" s="8">
        <v>7500</v>
      </c>
      <c r="G230" s="42">
        <f t="shared" si="215"/>
        <v>2400</v>
      </c>
      <c r="H230" s="8">
        <v>25000</v>
      </c>
      <c r="I230" s="42">
        <f t="shared" si="216"/>
        <v>8000</v>
      </c>
      <c r="J230" s="8">
        <v>25000</v>
      </c>
      <c r="K230" s="42">
        <f t="shared" si="217"/>
        <v>8000</v>
      </c>
      <c r="L230" s="8">
        <v>25000</v>
      </c>
      <c r="M230" s="9">
        <v>9</v>
      </c>
      <c r="N230" s="9">
        <v>16.100000000000001</v>
      </c>
      <c r="O230" s="9">
        <v>14</v>
      </c>
      <c r="P230" s="9">
        <v>19.5</v>
      </c>
      <c r="Q230" s="92">
        <v>3.3392776999999998</v>
      </c>
      <c r="R230">
        <v>10</v>
      </c>
      <c r="S230">
        <v>1000</v>
      </c>
      <c r="T230" s="4">
        <v>340.29106531024155</v>
      </c>
      <c r="U230">
        <f t="shared" si="188"/>
        <v>3.4029106531024156</v>
      </c>
      <c r="V230">
        <f t="shared" ref="V230:W230" si="228">V206</f>
        <v>3.4</v>
      </c>
      <c r="W230">
        <f t="shared" si="228"/>
        <v>3</v>
      </c>
      <c r="X230" s="9">
        <v>3.3392776999999998</v>
      </c>
    </row>
    <row r="231" spans="1:24" x14ac:dyDescent="0.2">
      <c r="A231" s="41">
        <f t="shared" si="190"/>
        <v>45848.499999999447</v>
      </c>
      <c r="B231" s="42">
        <f t="shared" si="214"/>
        <v>8000</v>
      </c>
      <c r="C231" s="8">
        <v>25000</v>
      </c>
      <c r="D231" s="8">
        <v>0</v>
      </c>
      <c r="E231" s="8">
        <v>700</v>
      </c>
      <c r="F231" s="8">
        <v>7500</v>
      </c>
      <c r="G231" s="42">
        <f t="shared" si="215"/>
        <v>2400</v>
      </c>
      <c r="H231" s="8">
        <v>25000</v>
      </c>
      <c r="I231" s="42">
        <f t="shared" si="216"/>
        <v>8000</v>
      </c>
      <c r="J231" s="8">
        <v>25000</v>
      </c>
      <c r="K231" s="42">
        <f t="shared" si="217"/>
        <v>8000</v>
      </c>
      <c r="L231" s="8">
        <v>25000</v>
      </c>
      <c r="M231" s="9">
        <v>9</v>
      </c>
      <c r="N231" s="9">
        <v>16.100000000000001</v>
      </c>
      <c r="O231" s="9">
        <v>14</v>
      </c>
      <c r="P231" s="9">
        <v>19.5</v>
      </c>
      <c r="Q231" s="92">
        <v>3.2109475000000001</v>
      </c>
      <c r="R231">
        <v>10</v>
      </c>
      <c r="S231">
        <v>1000</v>
      </c>
      <c r="T231" s="4">
        <v>369.94274167759033</v>
      </c>
      <c r="U231">
        <f t="shared" si="188"/>
        <v>3.6994274167759031</v>
      </c>
      <c r="V231">
        <f t="shared" ref="V231:W231" si="229">V207</f>
        <v>3.1</v>
      </c>
      <c r="W231">
        <f t="shared" si="229"/>
        <v>2.9</v>
      </c>
      <c r="X231" s="9">
        <v>3.2109475000000001</v>
      </c>
    </row>
    <row r="232" spans="1:24" x14ac:dyDescent="0.2">
      <c r="A232" s="41">
        <f t="shared" si="190"/>
        <v>45848.541666666111</v>
      </c>
      <c r="B232" s="42">
        <f t="shared" si="214"/>
        <v>8000</v>
      </c>
      <c r="C232" s="8">
        <v>25000</v>
      </c>
      <c r="D232" s="8">
        <v>0</v>
      </c>
      <c r="E232" s="8">
        <v>700</v>
      </c>
      <c r="F232" s="8">
        <v>7500</v>
      </c>
      <c r="G232" s="42">
        <f t="shared" si="215"/>
        <v>2400</v>
      </c>
      <c r="H232" s="8">
        <v>25000</v>
      </c>
      <c r="I232" s="42">
        <f t="shared" si="216"/>
        <v>8000</v>
      </c>
      <c r="J232" s="8">
        <v>25000</v>
      </c>
      <c r="K232" s="42">
        <f t="shared" si="217"/>
        <v>8000</v>
      </c>
      <c r="L232" s="8">
        <v>25000</v>
      </c>
      <c r="M232" s="9">
        <v>9</v>
      </c>
      <c r="N232" s="9">
        <v>16.100000000000001</v>
      </c>
      <c r="O232" s="9">
        <v>14</v>
      </c>
      <c r="P232" s="9">
        <v>19.5</v>
      </c>
      <c r="Q232" s="92">
        <v>3.0370046999999998</v>
      </c>
      <c r="R232">
        <v>10</v>
      </c>
      <c r="S232">
        <v>1000</v>
      </c>
      <c r="T232" s="4">
        <v>402.40414847292726</v>
      </c>
      <c r="U232">
        <f t="shared" si="188"/>
        <v>4.0240414847292723</v>
      </c>
      <c r="V232">
        <f t="shared" ref="V232:W232" si="230">V208</f>
        <v>3.2</v>
      </c>
      <c r="W232">
        <f t="shared" si="230"/>
        <v>2.9</v>
      </c>
      <c r="X232" s="9">
        <v>3.0370046999999998</v>
      </c>
    </row>
    <row r="233" spans="1:24" x14ac:dyDescent="0.2">
      <c r="A233" s="41">
        <f t="shared" si="190"/>
        <v>45848.583333332776</v>
      </c>
      <c r="B233" s="42">
        <f t="shared" si="214"/>
        <v>8000</v>
      </c>
      <c r="C233" s="8">
        <v>25000</v>
      </c>
      <c r="D233" s="8">
        <v>0</v>
      </c>
      <c r="E233" s="8">
        <v>700</v>
      </c>
      <c r="F233" s="8">
        <v>7500</v>
      </c>
      <c r="G233" s="42">
        <f t="shared" si="215"/>
        <v>2400</v>
      </c>
      <c r="H233" s="8">
        <v>25000</v>
      </c>
      <c r="I233" s="42">
        <f t="shared" si="216"/>
        <v>8000</v>
      </c>
      <c r="J233" s="8">
        <v>25000</v>
      </c>
      <c r="K233" s="42">
        <f t="shared" si="217"/>
        <v>8000</v>
      </c>
      <c r="L233" s="8">
        <v>25000</v>
      </c>
      <c r="M233" s="9">
        <v>9</v>
      </c>
      <c r="N233" s="9">
        <v>16.100000000000001</v>
      </c>
      <c r="O233" s="9">
        <v>14</v>
      </c>
      <c r="P233" s="9">
        <v>19.5</v>
      </c>
      <c r="Q233" s="92">
        <v>2.9776163000000002</v>
      </c>
      <c r="R233">
        <v>10</v>
      </c>
      <c r="S233">
        <v>1000</v>
      </c>
      <c r="T233" s="4">
        <v>655.22245637658079</v>
      </c>
      <c r="U233">
        <f t="shared" si="188"/>
        <v>6.5522245637658081</v>
      </c>
      <c r="V233">
        <f t="shared" ref="V233:W233" si="231">V209</f>
        <v>3.5</v>
      </c>
      <c r="W233">
        <f t="shared" si="231"/>
        <v>2.9</v>
      </c>
      <c r="X233" s="9">
        <v>2.9776163000000002</v>
      </c>
    </row>
    <row r="234" spans="1:24" x14ac:dyDescent="0.2">
      <c r="A234" s="41">
        <f t="shared" si="190"/>
        <v>45848.62499999944</v>
      </c>
      <c r="B234" s="42">
        <f t="shared" si="214"/>
        <v>8000</v>
      </c>
      <c r="C234" s="8">
        <v>25000</v>
      </c>
      <c r="D234" s="8">
        <v>0</v>
      </c>
      <c r="E234" s="8">
        <v>700</v>
      </c>
      <c r="F234" s="8">
        <v>7500</v>
      </c>
      <c r="G234" s="42">
        <f t="shared" si="215"/>
        <v>2400</v>
      </c>
      <c r="H234" s="8">
        <v>25000</v>
      </c>
      <c r="I234" s="42">
        <f t="shared" si="216"/>
        <v>8000</v>
      </c>
      <c r="J234" s="8">
        <v>25000</v>
      </c>
      <c r="K234" s="42">
        <f t="shared" si="217"/>
        <v>8000</v>
      </c>
      <c r="L234" s="8">
        <v>25000</v>
      </c>
      <c r="M234" s="9">
        <v>9</v>
      </c>
      <c r="N234" s="9">
        <v>16.100000000000001</v>
      </c>
      <c r="O234" s="9">
        <v>14</v>
      </c>
      <c r="P234" s="9">
        <v>19.5</v>
      </c>
      <c r="Q234" s="92">
        <v>3.2706523000000001</v>
      </c>
      <c r="R234">
        <v>10</v>
      </c>
      <c r="S234">
        <v>1000</v>
      </c>
      <c r="T234" s="4">
        <v>753.54117275252679</v>
      </c>
      <c r="U234">
        <f t="shared" si="188"/>
        <v>7.5354117275252683</v>
      </c>
      <c r="V234">
        <f t="shared" ref="V234:W234" si="232">V210</f>
        <v>3.2</v>
      </c>
      <c r="W234">
        <f t="shared" si="232"/>
        <v>2.9</v>
      </c>
      <c r="X234" s="9">
        <v>3.2706523000000001</v>
      </c>
    </row>
    <row r="235" spans="1:24" x14ac:dyDescent="0.2">
      <c r="A235" s="41">
        <f t="shared" si="190"/>
        <v>45848.666666666104</v>
      </c>
      <c r="B235" s="42">
        <f t="shared" si="214"/>
        <v>8000</v>
      </c>
      <c r="C235" s="8">
        <v>25000</v>
      </c>
      <c r="D235" s="8">
        <v>0</v>
      </c>
      <c r="E235" s="8">
        <v>700</v>
      </c>
      <c r="F235" s="8">
        <v>7500</v>
      </c>
      <c r="G235" s="42">
        <f t="shared" si="215"/>
        <v>2400</v>
      </c>
      <c r="H235" s="8">
        <v>25000</v>
      </c>
      <c r="I235" s="42">
        <f t="shared" si="216"/>
        <v>8000</v>
      </c>
      <c r="J235" s="8">
        <v>25000</v>
      </c>
      <c r="K235" s="42">
        <f t="shared" si="217"/>
        <v>8000</v>
      </c>
      <c r="L235" s="8">
        <v>25000</v>
      </c>
      <c r="M235" s="9">
        <v>9</v>
      </c>
      <c r="N235" s="9">
        <v>16.100000000000001</v>
      </c>
      <c r="O235" s="9">
        <v>14</v>
      </c>
      <c r="P235" s="9">
        <v>19.5</v>
      </c>
      <c r="Q235" s="92">
        <v>3.1909177</v>
      </c>
      <c r="R235">
        <v>10</v>
      </c>
      <c r="S235">
        <v>1000</v>
      </c>
      <c r="T235" s="4">
        <v>974.21206950742805</v>
      </c>
      <c r="U235">
        <f t="shared" si="188"/>
        <v>9.7421206950742807</v>
      </c>
      <c r="V235">
        <f t="shared" ref="V235:W235" si="233">V211</f>
        <v>3.5</v>
      </c>
      <c r="W235">
        <f t="shared" si="233"/>
        <v>3</v>
      </c>
      <c r="X235" s="9">
        <v>3.1909177</v>
      </c>
    </row>
    <row r="236" spans="1:24" x14ac:dyDescent="0.2">
      <c r="A236" s="41">
        <f t="shared" si="190"/>
        <v>45848.708333332768</v>
      </c>
      <c r="B236" s="42">
        <f t="shared" si="214"/>
        <v>8000</v>
      </c>
      <c r="C236" s="8">
        <v>25000</v>
      </c>
      <c r="D236" s="8">
        <v>0</v>
      </c>
      <c r="E236" s="8">
        <v>700</v>
      </c>
      <c r="F236" s="8">
        <v>7500</v>
      </c>
      <c r="G236" s="42">
        <f t="shared" si="215"/>
        <v>2400</v>
      </c>
      <c r="H236" s="8">
        <v>25000</v>
      </c>
      <c r="I236" s="42">
        <f t="shared" si="216"/>
        <v>8000</v>
      </c>
      <c r="J236" s="8">
        <v>25000</v>
      </c>
      <c r="K236" s="42">
        <f t="shared" si="217"/>
        <v>8000</v>
      </c>
      <c r="L236" s="8">
        <v>25000</v>
      </c>
      <c r="M236" s="9">
        <v>9</v>
      </c>
      <c r="N236" s="9">
        <v>16.100000000000001</v>
      </c>
      <c r="O236" s="9">
        <v>14</v>
      </c>
      <c r="P236" s="9">
        <v>19.5</v>
      </c>
      <c r="Q236" s="92">
        <v>3.1023567000000001</v>
      </c>
      <c r="R236">
        <v>10</v>
      </c>
      <c r="S236">
        <v>1000</v>
      </c>
      <c r="T236" s="4">
        <v>1241.0771568135674</v>
      </c>
      <c r="U236">
        <f t="shared" si="188"/>
        <v>12.410771568135674</v>
      </c>
      <c r="V236">
        <f t="shared" ref="V236:W236" si="234">V212</f>
        <v>3.6</v>
      </c>
      <c r="W236">
        <f t="shared" si="234"/>
        <v>3</v>
      </c>
      <c r="X236" s="9">
        <v>3.1023567000000001</v>
      </c>
    </row>
    <row r="237" spans="1:24" x14ac:dyDescent="0.2">
      <c r="A237" s="41">
        <f t="shared" si="190"/>
        <v>45848.749999999432</v>
      </c>
      <c r="B237" s="42">
        <f t="shared" si="214"/>
        <v>5000</v>
      </c>
      <c r="C237" s="8">
        <v>25000</v>
      </c>
      <c r="D237" s="8">
        <v>0</v>
      </c>
      <c r="E237" s="8">
        <v>700</v>
      </c>
      <c r="F237" s="8">
        <v>7500</v>
      </c>
      <c r="G237" s="42">
        <f t="shared" si="215"/>
        <v>2400</v>
      </c>
      <c r="H237" s="8">
        <v>25000</v>
      </c>
      <c r="I237" s="42">
        <f t="shared" si="216"/>
        <v>5000</v>
      </c>
      <c r="J237" s="8">
        <v>25000</v>
      </c>
      <c r="K237" s="42">
        <f t="shared" si="217"/>
        <v>5000</v>
      </c>
      <c r="L237" s="8">
        <v>25000</v>
      </c>
      <c r="M237" s="9">
        <v>9</v>
      </c>
      <c r="N237" s="9">
        <v>16.100000000000001</v>
      </c>
      <c r="O237" s="9">
        <v>14</v>
      </c>
      <c r="P237" s="9">
        <v>19.5</v>
      </c>
      <c r="Q237" s="92">
        <v>3.0752313</v>
      </c>
      <c r="R237">
        <v>10</v>
      </c>
      <c r="S237">
        <v>1000</v>
      </c>
      <c r="T237" s="4">
        <v>1284.7743640917656</v>
      </c>
      <c r="U237">
        <f t="shared" si="188"/>
        <v>12.847743640917656</v>
      </c>
      <c r="V237">
        <f t="shared" ref="V237:W237" si="235">V213</f>
        <v>2.9</v>
      </c>
      <c r="W237">
        <f t="shared" si="235"/>
        <v>3</v>
      </c>
      <c r="X237" s="9">
        <v>3.0752313</v>
      </c>
    </row>
    <row r="238" spans="1:24" x14ac:dyDescent="0.2">
      <c r="A238" s="41">
        <f t="shared" si="190"/>
        <v>45848.791666666097</v>
      </c>
      <c r="B238" s="42">
        <f t="shared" si="214"/>
        <v>5000</v>
      </c>
      <c r="C238" s="8">
        <v>25000</v>
      </c>
      <c r="D238" s="8">
        <v>0</v>
      </c>
      <c r="E238" s="8">
        <v>700</v>
      </c>
      <c r="F238" s="8">
        <v>7500</v>
      </c>
      <c r="G238" s="42">
        <f t="shared" si="215"/>
        <v>2400</v>
      </c>
      <c r="H238" s="8">
        <v>25000</v>
      </c>
      <c r="I238" s="42">
        <f t="shared" si="216"/>
        <v>5000</v>
      </c>
      <c r="J238" s="8">
        <v>25000</v>
      </c>
      <c r="K238" s="42">
        <f t="shared" si="217"/>
        <v>5000</v>
      </c>
      <c r="L238" s="8">
        <v>25000</v>
      </c>
      <c r="M238" s="9">
        <v>9</v>
      </c>
      <c r="N238" s="9">
        <v>16.100000000000001</v>
      </c>
      <c r="O238" s="9">
        <v>14</v>
      </c>
      <c r="P238" s="9">
        <v>19.5</v>
      </c>
      <c r="Q238" s="92">
        <v>3.0378926000000002</v>
      </c>
      <c r="R238">
        <v>10</v>
      </c>
      <c r="S238">
        <v>1000</v>
      </c>
      <c r="T238" s="4">
        <v>1281.6531350004659</v>
      </c>
      <c r="U238">
        <f t="shared" si="188"/>
        <v>12.816531350004659</v>
      </c>
      <c r="V238">
        <f t="shared" ref="V238:W238" si="236">V214</f>
        <v>3</v>
      </c>
      <c r="W238">
        <f t="shared" si="236"/>
        <v>3</v>
      </c>
      <c r="X238" s="9">
        <v>3.0378926000000002</v>
      </c>
    </row>
    <row r="239" spans="1:24" x14ac:dyDescent="0.2">
      <c r="A239" s="41">
        <f t="shared" si="190"/>
        <v>45848.833333332761</v>
      </c>
      <c r="B239" s="42">
        <f t="shared" si="214"/>
        <v>5000</v>
      </c>
      <c r="C239" s="8">
        <v>25000</v>
      </c>
      <c r="D239" s="8">
        <v>0</v>
      </c>
      <c r="E239" s="8">
        <v>700</v>
      </c>
      <c r="F239" s="8">
        <v>7500</v>
      </c>
      <c r="G239" s="42">
        <f t="shared" si="215"/>
        <v>2400</v>
      </c>
      <c r="H239" s="8">
        <v>25000</v>
      </c>
      <c r="I239" s="42">
        <f t="shared" si="216"/>
        <v>5000</v>
      </c>
      <c r="J239" s="8">
        <v>25000</v>
      </c>
      <c r="K239" s="42">
        <f t="shared" si="217"/>
        <v>5000</v>
      </c>
      <c r="L239" s="8">
        <v>25000</v>
      </c>
      <c r="M239" s="9">
        <v>9</v>
      </c>
      <c r="N239" s="9">
        <v>16.100000000000001</v>
      </c>
      <c r="O239" s="9">
        <v>14</v>
      </c>
      <c r="P239" s="9">
        <v>19.5</v>
      </c>
      <c r="Q239" s="92">
        <v>2.9987271</v>
      </c>
      <c r="R239">
        <v>10</v>
      </c>
      <c r="S239">
        <v>1000</v>
      </c>
      <c r="T239" s="4">
        <v>1237.9559277222675</v>
      </c>
      <c r="U239">
        <f t="shared" si="188"/>
        <v>12.379559277222675</v>
      </c>
      <c r="V239">
        <f t="shared" ref="V239:W239" si="237">V215</f>
        <v>2.8</v>
      </c>
      <c r="W239">
        <f t="shared" si="237"/>
        <v>3.1</v>
      </c>
      <c r="X239" s="9">
        <v>2.9987271</v>
      </c>
    </row>
    <row r="240" spans="1:24" x14ac:dyDescent="0.2">
      <c r="A240" s="41">
        <f t="shared" si="190"/>
        <v>45848.874999999425</v>
      </c>
      <c r="B240" s="42">
        <f t="shared" si="214"/>
        <v>5000</v>
      </c>
      <c r="C240" s="8">
        <v>25000</v>
      </c>
      <c r="D240" s="8">
        <v>0</v>
      </c>
      <c r="E240" s="8">
        <v>700</v>
      </c>
      <c r="F240" s="8">
        <v>7500</v>
      </c>
      <c r="G240" s="42">
        <f t="shared" si="215"/>
        <v>2400</v>
      </c>
      <c r="H240" s="8">
        <v>25000</v>
      </c>
      <c r="I240" s="42">
        <f t="shared" si="216"/>
        <v>5000</v>
      </c>
      <c r="J240" s="8">
        <v>25000</v>
      </c>
      <c r="K240" s="42">
        <f t="shared" si="217"/>
        <v>5000</v>
      </c>
      <c r="L240" s="8">
        <v>25000</v>
      </c>
      <c r="M240" s="9">
        <v>9</v>
      </c>
      <c r="N240" s="9">
        <v>16.100000000000001</v>
      </c>
      <c r="O240" s="9">
        <v>14</v>
      </c>
      <c r="P240" s="9">
        <v>19.5</v>
      </c>
      <c r="Q240" s="92">
        <v>2.9675555</v>
      </c>
      <c r="R240">
        <v>10</v>
      </c>
      <c r="S240">
        <v>1000</v>
      </c>
      <c r="T240" s="4">
        <v>1142.7584404376212</v>
      </c>
      <c r="U240">
        <f t="shared" si="188"/>
        <v>11.427584404376212</v>
      </c>
      <c r="V240">
        <f t="shared" ref="V240:W240" si="238">V216</f>
        <v>3.5</v>
      </c>
      <c r="W240">
        <f t="shared" si="238"/>
        <v>3.1</v>
      </c>
      <c r="X240" s="9">
        <v>2.9675555</v>
      </c>
    </row>
    <row r="241" spans="1:24" x14ac:dyDescent="0.2">
      <c r="A241" s="41">
        <f t="shared" si="190"/>
        <v>45848.916666666089</v>
      </c>
      <c r="B241" s="42">
        <f t="shared" si="214"/>
        <v>5000</v>
      </c>
      <c r="C241" s="8">
        <v>25000</v>
      </c>
      <c r="D241" s="8">
        <v>0</v>
      </c>
      <c r="E241" s="8">
        <v>700</v>
      </c>
      <c r="F241" s="8">
        <v>7500</v>
      </c>
      <c r="G241" s="42">
        <f t="shared" si="215"/>
        <v>2400</v>
      </c>
      <c r="H241" s="8">
        <v>25000</v>
      </c>
      <c r="I241" s="42">
        <f t="shared" si="216"/>
        <v>5000</v>
      </c>
      <c r="J241" s="8">
        <v>25000</v>
      </c>
      <c r="K241" s="42">
        <f t="shared" si="217"/>
        <v>5000</v>
      </c>
      <c r="L241" s="8">
        <v>25000</v>
      </c>
      <c r="M241" s="9">
        <v>9</v>
      </c>
      <c r="N241" s="9">
        <v>16.100000000000001</v>
      </c>
      <c r="O241" s="9">
        <v>14</v>
      </c>
      <c r="P241" s="9">
        <v>19.5</v>
      </c>
      <c r="Q241" s="92">
        <v>2.9375157000000001</v>
      </c>
      <c r="R241">
        <v>10</v>
      </c>
      <c r="S241">
        <v>1000</v>
      </c>
      <c r="T241" s="4">
        <v>918.02994586403031</v>
      </c>
      <c r="U241">
        <f t="shared" si="188"/>
        <v>9.1802994586403024</v>
      </c>
      <c r="V241">
        <f t="shared" ref="V241:W241" si="239">V217</f>
        <v>2.9</v>
      </c>
      <c r="W241">
        <f t="shared" si="239"/>
        <v>3.1</v>
      </c>
      <c r="X241" s="9">
        <v>2.9375157000000001</v>
      </c>
    </row>
    <row r="242" spans="1:24" x14ac:dyDescent="0.2">
      <c r="A242" s="41">
        <f t="shared" si="190"/>
        <v>45848.958333332754</v>
      </c>
      <c r="B242" s="42">
        <f t="shared" si="214"/>
        <v>5000</v>
      </c>
      <c r="C242" s="8">
        <v>25000</v>
      </c>
      <c r="D242" s="8">
        <v>0</v>
      </c>
      <c r="E242" s="8">
        <v>700</v>
      </c>
      <c r="F242" s="8">
        <v>7500</v>
      </c>
      <c r="G242" s="42">
        <f t="shared" si="215"/>
        <v>2400</v>
      </c>
      <c r="H242" s="8">
        <v>25000</v>
      </c>
      <c r="I242" s="42">
        <f t="shared" si="216"/>
        <v>5000</v>
      </c>
      <c r="J242" s="8">
        <v>25000</v>
      </c>
      <c r="K242" s="42">
        <f t="shared" si="217"/>
        <v>5000</v>
      </c>
      <c r="L242" s="8">
        <v>25000</v>
      </c>
      <c r="M242" s="9">
        <v>9</v>
      </c>
      <c r="N242" s="9">
        <v>16.100000000000001</v>
      </c>
      <c r="O242" s="9">
        <v>14</v>
      </c>
      <c r="P242" s="9">
        <v>19.5</v>
      </c>
      <c r="Q242" s="92">
        <v>2.8434271999999998</v>
      </c>
      <c r="R242">
        <v>10</v>
      </c>
      <c r="S242">
        <v>1000</v>
      </c>
      <c r="T242" s="4">
        <v>562.52257661079261</v>
      </c>
      <c r="U242">
        <f t="shared" si="188"/>
        <v>5.6252257661079259</v>
      </c>
      <c r="V242">
        <f t="shared" ref="V242:W242" si="240">V218</f>
        <v>3.6</v>
      </c>
      <c r="W242">
        <f t="shared" si="240"/>
        <v>3.1</v>
      </c>
      <c r="X242" s="9">
        <v>2.8434271999999998</v>
      </c>
    </row>
    <row r="243" spans="1:24" x14ac:dyDescent="0.2">
      <c r="A243" s="41">
        <f t="shared" si="190"/>
        <v>45848.999999999418</v>
      </c>
      <c r="B243" s="42">
        <f t="shared" si="214"/>
        <v>5000</v>
      </c>
      <c r="C243" s="8">
        <v>25000</v>
      </c>
      <c r="D243" s="8">
        <v>0</v>
      </c>
      <c r="E243" s="8">
        <v>700</v>
      </c>
      <c r="F243" s="8">
        <v>7500</v>
      </c>
      <c r="G243" s="42">
        <f t="shared" si="215"/>
        <v>2400</v>
      </c>
      <c r="H243" s="8">
        <v>25000</v>
      </c>
      <c r="I243" s="42">
        <f t="shared" si="216"/>
        <v>5000</v>
      </c>
      <c r="J243" s="8">
        <v>25000</v>
      </c>
      <c r="K243" s="42">
        <f t="shared" si="217"/>
        <v>5000</v>
      </c>
      <c r="L243" s="8">
        <v>25000</v>
      </c>
      <c r="M243" s="9">
        <v>9</v>
      </c>
      <c r="N243" s="9">
        <v>16.100000000000001</v>
      </c>
      <c r="O243" s="9">
        <v>14</v>
      </c>
      <c r="P243" s="9">
        <v>19.5</v>
      </c>
      <c r="Q243" s="92">
        <v>2.7516291000000002</v>
      </c>
      <c r="R243">
        <v>10</v>
      </c>
      <c r="S243">
        <v>1000</v>
      </c>
      <c r="T243" s="4">
        <v>328.43039476330199</v>
      </c>
      <c r="U243">
        <f t="shared" si="188"/>
        <v>3.28430394763302</v>
      </c>
      <c r="V243">
        <f t="shared" ref="V243:W243" si="241">V219</f>
        <v>3</v>
      </c>
      <c r="W243">
        <f t="shared" si="241"/>
        <v>3.2</v>
      </c>
      <c r="X243" s="9">
        <v>2.7516291000000002</v>
      </c>
    </row>
    <row r="244" spans="1:24" x14ac:dyDescent="0.2">
      <c r="A244" s="41">
        <f t="shared" si="190"/>
        <v>45849.041666666082</v>
      </c>
      <c r="B244" s="42">
        <f t="shared" si="214"/>
        <v>5000</v>
      </c>
      <c r="C244" s="8">
        <v>25000</v>
      </c>
      <c r="D244" s="8">
        <v>0</v>
      </c>
      <c r="E244" s="8">
        <v>700</v>
      </c>
      <c r="F244" s="8">
        <v>7500</v>
      </c>
      <c r="G244" s="42">
        <f t="shared" si="215"/>
        <v>2400</v>
      </c>
      <c r="H244" s="8">
        <v>25000</v>
      </c>
      <c r="I244" s="42">
        <f t="shared" si="216"/>
        <v>5000</v>
      </c>
      <c r="J244" s="8">
        <v>25000</v>
      </c>
      <c r="K244" s="42">
        <f t="shared" si="217"/>
        <v>5000</v>
      </c>
      <c r="L244" s="8">
        <v>25000</v>
      </c>
      <c r="M244" s="9">
        <v>9</v>
      </c>
      <c r="N244" s="9">
        <v>16.100000000000001</v>
      </c>
      <c r="O244" s="9">
        <v>14</v>
      </c>
      <c r="P244" s="9">
        <v>19.5</v>
      </c>
      <c r="Q244" s="92">
        <v>2.6794856</v>
      </c>
      <c r="R244">
        <v>10</v>
      </c>
      <c r="S244">
        <v>1000</v>
      </c>
      <c r="T244" s="4">
        <v>318.44246167114238</v>
      </c>
      <c r="U244">
        <f t="shared" si="188"/>
        <v>3.1844246167114236</v>
      </c>
      <c r="V244">
        <f t="shared" ref="V244:W244" si="242">V220</f>
        <v>2.6</v>
      </c>
      <c r="W244">
        <f t="shared" si="242"/>
        <v>3.2</v>
      </c>
      <c r="X244" s="9">
        <v>2.6794856</v>
      </c>
    </row>
    <row r="245" spans="1:24" x14ac:dyDescent="0.2">
      <c r="A245" s="41">
        <f t="shared" si="190"/>
        <v>45849.083333332746</v>
      </c>
      <c r="B245" s="42">
        <f t="shared" si="214"/>
        <v>5000</v>
      </c>
      <c r="C245" s="8">
        <v>25000</v>
      </c>
      <c r="D245" s="8">
        <v>0</v>
      </c>
      <c r="E245" s="8">
        <v>700</v>
      </c>
      <c r="F245" s="8">
        <v>7500</v>
      </c>
      <c r="G245" s="42">
        <f t="shared" si="215"/>
        <v>2400</v>
      </c>
      <c r="H245" s="8">
        <v>25000</v>
      </c>
      <c r="I245" s="42">
        <f t="shared" si="216"/>
        <v>5000</v>
      </c>
      <c r="J245" s="8">
        <v>25000</v>
      </c>
      <c r="K245" s="42">
        <f t="shared" si="217"/>
        <v>5000</v>
      </c>
      <c r="L245" s="8">
        <v>25000</v>
      </c>
      <c r="M245" s="9">
        <v>9</v>
      </c>
      <c r="N245" s="9">
        <v>16.100000000000001</v>
      </c>
      <c r="O245" s="9">
        <v>14</v>
      </c>
      <c r="P245" s="9">
        <v>19.5</v>
      </c>
      <c r="Q245" s="92">
        <v>2.7662244</v>
      </c>
      <c r="R245">
        <v>10</v>
      </c>
      <c r="S245">
        <v>1000</v>
      </c>
      <c r="T245" s="4">
        <v>318.44246167114238</v>
      </c>
      <c r="U245">
        <f t="shared" si="188"/>
        <v>3.1844246167114236</v>
      </c>
      <c r="V245">
        <f t="shared" ref="V245:W245" si="243">V221</f>
        <v>2.8</v>
      </c>
      <c r="W245">
        <f t="shared" si="243"/>
        <v>3.2</v>
      </c>
      <c r="X245" s="9">
        <v>2.7662244</v>
      </c>
    </row>
    <row r="246" spans="1:24" x14ac:dyDescent="0.2">
      <c r="A246" s="41">
        <f t="shared" si="190"/>
        <v>45849.124999999411</v>
      </c>
      <c r="B246" s="42">
        <f t="shared" si="214"/>
        <v>5000</v>
      </c>
      <c r="C246" s="8">
        <v>25000</v>
      </c>
      <c r="D246" s="8">
        <v>0</v>
      </c>
      <c r="E246" s="8">
        <v>700</v>
      </c>
      <c r="F246" s="8">
        <v>7500</v>
      </c>
      <c r="G246" s="42">
        <f t="shared" si="215"/>
        <v>2400</v>
      </c>
      <c r="H246" s="8">
        <v>25000</v>
      </c>
      <c r="I246" s="42">
        <f t="shared" si="216"/>
        <v>5000</v>
      </c>
      <c r="J246" s="8">
        <v>25000</v>
      </c>
      <c r="K246" s="42">
        <f t="shared" si="217"/>
        <v>5000</v>
      </c>
      <c r="L246" s="8">
        <v>25000</v>
      </c>
      <c r="M246" s="9">
        <v>9</v>
      </c>
      <c r="N246" s="9">
        <v>16.100000000000001</v>
      </c>
      <c r="O246" s="9">
        <v>14</v>
      </c>
      <c r="P246" s="9">
        <v>19.5</v>
      </c>
      <c r="Q246" s="92">
        <v>2.8359562999999999</v>
      </c>
      <c r="R246">
        <v>10</v>
      </c>
      <c r="S246">
        <v>1000</v>
      </c>
      <c r="T246" s="4">
        <v>396.47318895363924</v>
      </c>
      <c r="U246">
        <f t="shared" si="188"/>
        <v>3.9647318895363926</v>
      </c>
      <c r="V246">
        <f t="shared" ref="V246:W246" si="244">V222</f>
        <v>2.7</v>
      </c>
      <c r="W246">
        <f t="shared" si="244"/>
        <v>3.2</v>
      </c>
      <c r="X246" s="9">
        <v>2.8359562999999999</v>
      </c>
    </row>
    <row r="247" spans="1:24" x14ac:dyDescent="0.2">
      <c r="A247" s="41">
        <f t="shared" si="190"/>
        <v>45849.166666666075</v>
      </c>
      <c r="B247" s="42">
        <f t="shared" si="214"/>
        <v>5000</v>
      </c>
      <c r="C247" s="8">
        <v>25000</v>
      </c>
      <c r="D247" s="8">
        <v>0</v>
      </c>
      <c r="E247" s="8">
        <v>700</v>
      </c>
      <c r="F247" s="8">
        <v>7500</v>
      </c>
      <c r="G247" s="42">
        <f t="shared" si="215"/>
        <v>2400</v>
      </c>
      <c r="H247" s="8">
        <v>25000</v>
      </c>
      <c r="I247" s="42">
        <f t="shared" si="216"/>
        <v>5000</v>
      </c>
      <c r="J247" s="8">
        <v>25000</v>
      </c>
      <c r="K247" s="42">
        <f t="shared" si="217"/>
        <v>5000</v>
      </c>
      <c r="L247" s="8">
        <v>25000</v>
      </c>
      <c r="M247" s="9">
        <v>9</v>
      </c>
      <c r="N247" s="9">
        <v>16.100000000000001</v>
      </c>
      <c r="O247" s="9">
        <v>14</v>
      </c>
      <c r="P247" s="9">
        <v>19.5</v>
      </c>
      <c r="Q247" s="92">
        <v>2.8705478000000002</v>
      </c>
      <c r="R247">
        <v>10</v>
      </c>
      <c r="S247">
        <v>1000</v>
      </c>
      <c r="T247" s="4">
        <v>466.70084350788647</v>
      </c>
      <c r="U247">
        <f t="shared" si="188"/>
        <v>4.6670084350788645</v>
      </c>
      <c r="V247">
        <f t="shared" ref="V247:W247" si="245">V223</f>
        <v>3</v>
      </c>
      <c r="W247">
        <f t="shared" si="245"/>
        <v>3.1</v>
      </c>
      <c r="X247" s="9">
        <v>2.8705478000000002</v>
      </c>
    </row>
    <row r="248" spans="1:24" x14ac:dyDescent="0.2">
      <c r="A248" s="41">
        <f t="shared" si="190"/>
        <v>45849.208333332739</v>
      </c>
      <c r="B248" s="42">
        <f t="shared" si="214"/>
        <v>5000</v>
      </c>
      <c r="C248" s="8">
        <v>25000</v>
      </c>
      <c r="D248" s="8">
        <v>0</v>
      </c>
      <c r="E248" s="8">
        <v>700</v>
      </c>
      <c r="F248" s="8">
        <v>7500</v>
      </c>
      <c r="G248" s="42">
        <f t="shared" si="215"/>
        <v>2400</v>
      </c>
      <c r="H248" s="8">
        <v>25000</v>
      </c>
      <c r="I248" s="42">
        <f t="shared" si="216"/>
        <v>5000</v>
      </c>
      <c r="J248" s="8">
        <v>25000</v>
      </c>
      <c r="K248" s="42">
        <f t="shared" si="217"/>
        <v>5000</v>
      </c>
      <c r="L248" s="8">
        <v>25000</v>
      </c>
      <c r="M248" s="9">
        <v>9</v>
      </c>
      <c r="N248" s="9">
        <v>16.100000000000001</v>
      </c>
      <c r="O248" s="9">
        <v>14</v>
      </c>
      <c r="P248" s="9">
        <v>19.5</v>
      </c>
      <c r="Q248" s="92">
        <v>2.9514463000000002</v>
      </c>
      <c r="R248">
        <v>10</v>
      </c>
      <c r="S248">
        <v>1000</v>
      </c>
      <c r="T248" s="4">
        <v>466.70084350788647</v>
      </c>
      <c r="U248">
        <f t="shared" si="188"/>
        <v>4.6670084350788645</v>
      </c>
      <c r="V248">
        <f t="shared" ref="V248:W248" si="246">V224</f>
        <v>2.9</v>
      </c>
      <c r="W248">
        <f t="shared" si="246"/>
        <v>3.1</v>
      </c>
      <c r="X248" s="9">
        <v>2.9514463000000002</v>
      </c>
    </row>
    <row r="249" spans="1:24" x14ac:dyDescent="0.2">
      <c r="A249" s="41">
        <f t="shared" si="190"/>
        <v>45849.249999999403</v>
      </c>
      <c r="B249" s="42">
        <f t="shared" si="214"/>
        <v>8000</v>
      </c>
      <c r="C249" s="8">
        <v>25000</v>
      </c>
      <c r="D249" s="8">
        <v>0</v>
      </c>
      <c r="E249" s="8">
        <v>700</v>
      </c>
      <c r="F249" s="8">
        <v>7500</v>
      </c>
      <c r="G249" s="42">
        <f t="shared" si="215"/>
        <v>2400</v>
      </c>
      <c r="H249" s="8">
        <v>25000</v>
      </c>
      <c r="I249" s="42">
        <f t="shared" si="216"/>
        <v>8000</v>
      </c>
      <c r="J249" s="8">
        <v>25000</v>
      </c>
      <c r="K249" s="42">
        <f t="shared" si="217"/>
        <v>8000</v>
      </c>
      <c r="L249" s="8">
        <v>25000</v>
      </c>
      <c r="M249" s="9">
        <v>9</v>
      </c>
      <c r="N249" s="9">
        <v>16.100000000000001</v>
      </c>
      <c r="O249" s="9">
        <v>14</v>
      </c>
      <c r="P249" s="9">
        <v>19.5</v>
      </c>
      <c r="Q249" s="92">
        <v>3.0794852000000001</v>
      </c>
      <c r="R249">
        <v>10</v>
      </c>
      <c r="S249">
        <v>1000</v>
      </c>
      <c r="T249" s="4">
        <v>362.76391476760062</v>
      </c>
      <c r="U249">
        <f t="shared" si="188"/>
        <v>3.6276391476760064</v>
      </c>
      <c r="V249">
        <f t="shared" ref="V249:W249" si="247">V225</f>
        <v>2.5</v>
      </c>
      <c r="W249">
        <f t="shared" si="247"/>
        <v>3.1</v>
      </c>
      <c r="X249" s="9">
        <v>3.0794852000000001</v>
      </c>
    </row>
    <row r="250" spans="1:24" x14ac:dyDescent="0.2">
      <c r="A250" s="41">
        <f t="shared" si="190"/>
        <v>45849.291666666068</v>
      </c>
      <c r="B250" s="42">
        <f t="shared" si="214"/>
        <v>8000</v>
      </c>
      <c r="C250" s="8">
        <v>25000</v>
      </c>
      <c r="D250" s="8">
        <v>0</v>
      </c>
      <c r="E250" s="8">
        <v>700</v>
      </c>
      <c r="F250" s="8">
        <v>7500</v>
      </c>
      <c r="G250" s="42">
        <f t="shared" si="215"/>
        <v>2400</v>
      </c>
      <c r="H250" s="8">
        <v>25000</v>
      </c>
      <c r="I250" s="42">
        <f t="shared" si="216"/>
        <v>8000</v>
      </c>
      <c r="J250" s="8">
        <v>25000</v>
      </c>
      <c r="K250" s="42">
        <f t="shared" si="217"/>
        <v>8000</v>
      </c>
      <c r="L250" s="8">
        <v>25000</v>
      </c>
      <c r="M250" s="9">
        <v>9</v>
      </c>
      <c r="N250" s="9">
        <v>16.100000000000001</v>
      </c>
      <c r="O250" s="9">
        <v>14</v>
      </c>
      <c r="P250" s="9">
        <v>19.5</v>
      </c>
      <c r="Q250" s="92">
        <v>3.2254269</v>
      </c>
      <c r="R250">
        <v>10</v>
      </c>
      <c r="S250">
        <v>1000</v>
      </c>
      <c r="T250" s="4">
        <v>369.00637295020039</v>
      </c>
      <c r="U250">
        <f t="shared" si="188"/>
        <v>3.690063729502004</v>
      </c>
      <c r="V250">
        <f t="shared" ref="V250:W250" si="248">V226</f>
        <v>2.5</v>
      </c>
      <c r="W250">
        <f t="shared" si="248"/>
        <v>3.1</v>
      </c>
      <c r="X250" s="9">
        <v>3.2254269</v>
      </c>
    </row>
    <row r="251" spans="1:24" x14ac:dyDescent="0.2">
      <c r="A251" s="41">
        <f t="shared" si="190"/>
        <v>45849.333333332732</v>
      </c>
      <c r="B251" s="42">
        <f t="shared" si="214"/>
        <v>8000</v>
      </c>
      <c r="C251" s="8">
        <v>25000</v>
      </c>
      <c r="D251" s="8">
        <v>0</v>
      </c>
      <c r="E251" s="8">
        <v>700</v>
      </c>
      <c r="F251" s="8">
        <v>7500</v>
      </c>
      <c r="G251" s="42">
        <f t="shared" si="215"/>
        <v>2400</v>
      </c>
      <c r="H251" s="8">
        <v>25000</v>
      </c>
      <c r="I251" s="42">
        <f t="shared" si="216"/>
        <v>8000</v>
      </c>
      <c r="J251" s="8">
        <v>25000</v>
      </c>
      <c r="K251" s="42">
        <f t="shared" si="217"/>
        <v>8000</v>
      </c>
      <c r="L251" s="8">
        <v>25000</v>
      </c>
      <c r="M251" s="9">
        <v>9</v>
      </c>
      <c r="N251" s="9">
        <v>16.100000000000001</v>
      </c>
      <c r="O251" s="9">
        <v>14</v>
      </c>
      <c r="P251" s="9">
        <v>19.5</v>
      </c>
      <c r="Q251" s="92">
        <v>3.2895110000000001</v>
      </c>
      <c r="R251">
        <v>10</v>
      </c>
      <c r="S251">
        <v>1000</v>
      </c>
      <c r="T251" s="4">
        <v>386.17313295234976</v>
      </c>
      <c r="U251">
        <f t="shared" si="188"/>
        <v>3.8617313295234976</v>
      </c>
      <c r="V251">
        <f t="shared" ref="V251:W251" si="249">V227</f>
        <v>3.2</v>
      </c>
      <c r="W251">
        <f t="shared" si="249"/>
        <v>3</v>
      </c>
      <c r="X251" s="9">
        <v>3.2895110000000001</v>
      </c>
    </row>
    <row r="252" spans="1:24" x14ac:dyDescent="0.2">
      <c r="A252" s="41">
        <f t="shared" si="190"/>
        <v>45849.374999999396</v>
      </c>
      <c r="B252" s="42">
        <f t="shared" si="214"/>
        <v>8000</v>
      </c>
      <c r="C252" s="8">
        <v>25000</v>
      </c>
      <c r="D252" s="8">
        <v>0</v>
      </c>
      <c r="E252" s="8">
        <v>700</v>
      </c>
      <c r="F252" s="8">
        <v>7500</v>
      </c>
      <c r="G252" s="42">
        <f t="shared" si="215"/>
        <v>2400</v>
      </c>
      <c r="H252" s="8">
        <v>25000</v>
      </c>
      <c r="I252" s="42">
        <f t="shared" si="216"/>
        <v>8000</v>
      </c>
      <c r="J252" s="8">
        <v>25000</v>
      </c>
      <c r="K252" s="42">
        <f t="shared" si="217"/>
        <v>8000</v>
      </c>
      <c r="L252" s="8">
        <v>25000</v>
      </c>
      <c r="M252" s="9">
        <v>9</v>
      </c>
      <c r="N252" s="9">
        <v>16.100000000000001</v>
      </c>
      <c r="O252" s="9">
        <v>14</v>
      </c>
      <c r="P252" s="9">
        <v>19.5</v>
      </c>
      <c r="Q252" s="92">
        <v>3.3267321999999999</v>
      </c>
      <c r="R252">
        <v>10</v>
      </c>
      <c r="S252">
        <v>1000</v>
      </c>
      <c r="T252" s="4">
        <v>364.32452931325059</v>
      </c>
      <c r="U252">
        <f t="shared" si="188"/>
        <v>3.6432452931325061</v>
      </c>
      <c r="V252">
        <f t="shared" ref="V252:W252" si="250">V228</f>
        <v>2.9</v>
      </c>
      <c r="W252">
        <f t="shared" si="250"/>
        <v>3</v>
      </c>
      <c r="X252" s="9">
        <v>3.3267321999999999</v>
      </c>
    </row>
    <row r="253" spans="1:24" x14ac:dyDescent="0.2">
      <c r="A253" s="41">
        <f t="shared" si="190"/>
        <v>45849.41666666606</v>
      </c>
      <c r="B253" s="42">
        <f t="shared" si="214"/>
        <v>8000</v>
      </c>
      <c r="C253" s="8">
        <v>25000</v>
      </c>
      <c r="D253" s="8">
        <v>0</v>
      </c>
      <c r="E253" s="8">
        <v>700</v>
      </c>
      <c r="F253" s="8">
        <v>7500</v>
      </c>
      <c r="G253" s="42">
        <f t="shared" si="215"/>
        <v>2400</v>
      </c>
      <c r="H253" s="8">
        <v>25000</v>
      </c>
      <c r="I253" s="42">
        <f t="shared" si="216"/>
        <v>8000</v>
      </c>
      <c r="J253" s="8">
        <v>25000</v>
      </c>
      <c r="K253" s="42">
        <f t="shared" si="217"/>
        <v>8000</v>
      </c>
      <c r="L253" s="8">
        <v>25000</v>
      </c>
      <c r="M253" s="9">
        <v>9</v>
      </c>
      <c r="N253" s="9">
        <v>16.100000000000001</v>
      </c>
      <c r="O253" s="9">
        <v>14</v>
      </c>
      <c r="P253" s="9">
        <v>19.5</v>
      </c>
      <c r="Q253" s="92">
        <v>3.3964669999999999</v>
      </c>
      <c r="R253">
        <v>10</v>
      </c>
      <c r="S253">
        <v>1000</v>
      </c>
      <c r="T253" s="4">
        <v>343.41229440154143</v>
      </c>
      <c r="U253">
        <f t="shared" si="188"/>
        <v>3.4341229440154142</v>
      </c>
      <c r="V253">
        <f t="shared" ref="V253:W253" si="251">V229</f>
        <v>2.9</v>
      </c>
      <c r="W253">
        <f t="shared" si="251"/>
        <v>3</v>
      </c>
      <c r="X253" s="9">
        <v>3.3964669999999999</v>
      </c>
    </row>
    <row r="254" spans="1:24" x14ac:dyDescent="0.2">
      <c r="A254" s="41">
        <f t="shared" si="190"/>
        <v>45849.458333332725</v>
      </c>
      <c r="B254" s="42">
        <f t="shared" si="214"/>
        <v>8000</v>
      </c>
      <c r="C254" s="8">
        <v>25000</v>
      </c>
      <c r="D254" s="8">
        <v>0</v>
      </c>
      <c r="E254" s="8">
        <v>700</v>
      </c>
      <c r="F254" s="8">
        <v>7500</v>
      </c>
      <c r="G254" s="42">
        <f t="shared" si="215"/>
        <v>2400</v>
      </c>
      <c r="H254" s="8">
        <v>25000</v>
      </c>
      <c r="I254" s="42">
        <f t="shared" si="216"/>
        <v>8000</v>
      </c>
      <c r="J254" s="8">
        <v>25000</v>
      </c>
      <c r="K254" s="42">
        <f t="shared" si="217"/>
        <v>8000</v>
      </c>
      <c r="L254" s="8">
        <v>25000</v>
      </c>
      <c r="M254" s="9">
        <v>9</v>
      </c>
      <c r="N254" s="9">
        <v>16.100000000000001</v>
      </c>
      <c r="O254" s="9">
        <v>14</v>
      </c>
      <c r="P254" s="9">
        <v>19.5</v>
      </c>
      <c r="Q254" s="92">
        <v>3.3461916</v>
      </c>
      <c r="R254">
        <v>10</v>
      </c>
      <c r="S254">
        <v>1000</v>
      </c>
      <c r="T254" s="4">
        <v>340.29106531024155</v>
      </c>
      <c r="U254">
        <f t="shared" si="188"/>
        <v>3.4029106531024156</v>
      </c>
      <c r="V254">
        <f t="shared" ref="V254:W254" si="252">V230</f>
        <v>3.4</v>
      </c>
      <c r="W254">
        <f t="shared" si="252"/>
        <v>3</v>
      </c>
      <c r="X254" s="9">
        <v>3.3461916</v>
      </c>
    </row>
    <row r="255" spans="1:24" x14ac:dyDescent="0.2">
      <c r="A255" s="41">
        <f t="shared" si="190"/>
        <v>45849.499999999389</v>
      </c>
      <c r="B255" s="42">
        <f t="shared" si="214"/>
        <v>8000</v>
      </c>
      <c r="C255" s="8">
        <v>25000</v>
      </c>
      <c r="D255" s="8">
        <v>0</v>
      </c>
      <c r="E255" s="8">
        <v>700</v>
      </c>
      <c r="F255" s="8">
        <v>7500</v>
      </c>
      <c r="G255" s="42">
        <f t="shared" si="215"/>
        <v>2400</v>
      </c>
      <c r="H255" s="8">
        <v>25000</v>
      </c>
      <c r="I255" s="42">
        <f t="shared" si="216"/>
        <v>8000</v>
      </c>
      <c r="J255" s="8">
        <v>25000</v>
      </c>
      <c r="K255" s="42">
        <f t="shared" si="217"/>
        <v>8000</v>
      </c>
      <c r="L255" s="8">
        <v>25000</v>
      </c>
      <c r="M255" s="9">
        <v>9</v>
      </c>
      <c r="N255" s="9">
        <v>16.100000000000001</v>
      </c>
      <c r="O255" s="9">
        <v>14</v>
      </c>
      <c r="P255" s="9">
        <v>19.5</v>
      </c>
      <c r="Q255" s="92">
        <v>3.2189212</v>
      </c>
      <c r="R255">
        <v>10</v>
      </c>
      <c r="S255">
        <v>1000</v>
      </c>
      <c r="T255" s="4">
        <v>369.94274167759033</v>
      </c>
      <c r="U255">
        <f t="shared" si="188"/>
        <v>3.6994274167759031</v>
      </c>
      <c r="V255">
        <f t="shared" ref="V255:W255" si="253">V231</f>
        <v>3.1</v>
      </c>
      <c r="W255">
        <f t="shared" si="253"/>
        <v>2.9</v>
      </c>
      <c r="X255" s="9">
        <v>3.2189212</v>
      </c>
    </row>
    <row r="256" spans="1:24" x14ac:dyDescent="0.2">
      <c r="A256" s="41">
        <f t="shared" si="190"/>
        <v>45849.541666666053</v>
      </c>
      <c r="B256" s="42">
        <f t="shared" si="214"/>
        <v>8000</v>
      </c>
      <c r="C256" s="8">
        <v>25000</v>
      </c>
      <c r="D256" s="8">
        <v>0</v>
      </c>
      <c r="E256" s="8">
        <v>700</v>
      </c>
      <c r="F256" s="8">
        <v>7500</v>
      </c>
      <c r="G256" s="42">
        <f t="shared" si="215"/>
        <v>2400</v>
      </c>
      <c r="H256" s="8">
        <v>25000</v>
      </c>
      <c r="I256" s="42">
        <f t="shared" si="216"/>
        <v>8000</v>
      </c>
      <c r="J256" s="8">
        <v>25000</v>
      </c>
      <c r="K256" s="42">
        <f t="shared" si="217"/>
        <v>8000</v>
      </c>
      <c r="L256" s="8">
        <v>25000</v>
      </c>
      <c r="M256" s="9">
        <v>9</v>
      </c>
      <c r="N256" s="9">
        <v>16.100000000000001</v>
      </c>
      <c r="O256" s="9">
        <v>14</v>
      </c>
      <c r="P256" s="9">
        <v>19.5</v>
      </c>
      <c r="Q256" s="92">
        <v>3.0349246999999999</v>
      </c>
      <c r="R256">
        <v>10</v>
      </c>
      <c r="S256">
        <v>1000</v>
      </c>
      <c r="T256" s="4">
        <v>402.40414847292726</v>
      </c>
      <c r="U256">
        <f t="shared" si="188"/>
        <v>4.0240414847292723</v>
      </c>
      <c r="V256">
        <f t="shared" ref="V256:W256" si="254">V232</f>
        <v>3.2</v>
      </c>
      <c r="W256">
        <f t="shared" si="254"/>
        <v>2.9</v>
      </c>
      <c r="X256" s="9">
        <v>3.0349246999999999</v>
      </c>
    </row>
    <row r="257" spans="1:24" x14ac:dyDescent="0.2">
      <c r="A257" s="41">
        <f t="shared" si="190"/>
        <v>45849.583333332717</v>
      </c>
      <c r="B257" s="42">
        <f t="shared" si="214"/>
        <v>8000</v>
      </c>
      <c r="C257" s="8">
        <v>25000</v>
      </c>
      <c r="D257" s="8">
        <v>0</v>
      </c>
      <c r="E257" s="8">
        <v>700</v>
      </c>
      <c r="F257" s="8">
        <v>7500</v>
      </c>
      <c r="G257" s="42">
        <f t="shared" si="215"/>
        <v>2400</v>
      </c>
      <c r="H257" s="8">
        <v>25000</v>
      </c>
      <c r="I257" s="42">
        <f t="shared" si="216"/>
        <v>8000</v>
      </c>
      <c r="J257" s="8">
        <v>25000</v>
      </c>
      <c r="K257" s="42">
        <f t="shared" si="217"/>
        <v>8000</v>
      </c>
      <c r="L257" s="8">
        <v>25000</v>
      </c>
      <c r="M257" s="9">
        <v>9</v>
      </c>
      <c r="N257" s="9">
        <v>16.100000000000001</v>
      </c>
      <c r="O257" s="9">
        <v>14</v>
      </c>
      <c r="P257" s="9">
        <v>19.5</v>
      </c>
      <c r="Q257" s="92">
        <v>3.0114291</v>
      </c>
      <c r="R257">
        <v>10</v>
      </c>
      <c r="S257">
        <v>1000</v>
      </c>
      <c r="T257" s="4">
        <v>655.22245637658079</v>
      </c>
      <c r="U257">
        <f t="shared" si="188"/>
        <v>6.5522245637658081</v>
      </c>
      <c r="V257">
        <f t="shared" ref="V257:W257" si="255">V233</f>
        <v>3.5</v>
      </c>
      <c r="W257">
        <f t="shared" si="255"/>
        <v>2.9</v>
      </c>
      <c r="X257" s="9">
        <v>3.0114291</v>
      </c>
    </row>
    <row r="258" spans="1:24" x14ac:dyDescent="0.2">
      <c r="A258" s="41">
        <f t="shared" si="190"/>
        <v>45849.624999999382</v>
      </c>
      <c r="B258" s="42">
        <f t="shared" si="214"/>
        <v>8000</v>
      </c>
      <c r="C258" s="8">
        <v>25000</v>
      </c>
      <c r="D258" s="8">
        <v>0</v>
      </c>
      <c r="E258" s="8">
        <v>700</v>
      </c>
      <c r="F258" s="8">
        <v>7500</v>
      </c>
      <c r="G258" s="42">
        <f t="shared" si="215"/>
        <v>2400</v>
      </c>
      <c r="H258" s="8">
        <v>25000</v>
      </c>
      <c r="I258" s="42">
        <f t="shared" si="216"/>
        <v>8000</v>
      </c>
      <c r="J258" s="8">
        <v>25000</v>
      </c>
      <c r="K258" s="42">
        <f t="shared" si="217"/>
        <v>8000</v>
      </c>
      <c r="L258" s="8">
        <v>25000</v>
      </c>
      <c r="M258" s="9">
        <v>9</v>
      </c>
      <c r="N258" s="9">
        <v>16.100000000000001</v>
      </c>
      <c r="O258" s="9">
        <v>14</v>
      </c>
      <c r="P258" s="9">
        <v>19.5</v>
      </c>
      <c r="Q258" s="92">
        <v>3.3230886000000002</v>
      </c>
      <c r="R258">
        <v>10</v>
      </c>
      <c r="S258">
        <v>1000</v>
      </c>
      <c r="T258" s="4">
        <v>753.54117275252679</v>
      </c>
      <c r="U258">
        <f t="shared" si="188"/>
        <v>7.5354117275252683</v>
      </c>
      <c r="V258">
        <f t="shared" ref="V258:W258" si="256">V234</f>
        <v>3.2</v>
      </c>
      <c r="W258">
        <f t="shared" si="256"/>
        <v>2.9</v>
      </c>
      <c r="X258" s="9">
        <v>3.3230886000000002</v>
      </c>
    </row>
    <row r="259" spans="1:24" x14ac:dyDescent="0.2">
      <c r="A259" s="41">
        <f t="shared" si="190"/>
        <v>45849.666666666046</v>
      </c>
      <c r="B259" s="42">
        <f t="shared" si="214"/>
        <v>8000</v>
      </c>
      <c r="C259" s="8">
        <v>25000</v>
      </c>
      <c r="D259" s="8">
        <v>0</v>
      </c>
      <c r="E259" s="8">
        <v>700</v>
      </c>
      <c r="F259" s="8">
        <v>7500</v>
      </c>
      <c r="G259" s="42">
        <f t="shared" si="215"/>
        <v>2400</v>
      </c>
      <c r="H259" s="8">
        <v>25000</v>
      </c>
      <c r="I259" s="42">
        <f t="shared" si="216"/>
        <v>8000</v>
      </c>
      <c r="J259" s="8">
        <v>25000</v>
      </c>
      <c r="K259" s="42">
        <f t="shared" si="217"/>
        <v>8000</v>
      </c>
      <c r="L259" s="8">
        <v>25000</v>
      </c>
      <c r="M259" s="9">
        <v>9</v>
      </c>
      <c r="N259" s="9">
        <v>16.100000000000001</v>
      </c>
      <c r="O259" s="9">
        <v>14</v>
      </c>
      <c r="P259" s="9">
        <v>19.5</v>
      </c>
      <c r="Q259" s="92">
        <v>3.2168329</v>
      </c>
      <c r="R259">
        <v>10</v>
      </c>
      <c r="S259">
        <v>1000</v>
      </c>
      <c r="T259" s="4">
        <v>974.21206950742805</v>
      </c>
      <c r="U259">
        <f t="shared" si="188"/>
        <v>9.7421206950742807</v>
      </c>
      <c r="V259">
        <f t="shared" ref="V259:W259" si="257">V235</f>
        <v>3.5</v>
      </c>
      <c r="W259">
        <f t="shared" si="257"/>
        <v>3</v>
      </c>
      <c r="X259" s="9">
        <v>3.2168329</v>
      </c>
    </row>
    <row r="260" spans="1:24" x14ac:dyDescent="0.2">
      <c r="A260" s="41">
        <f t="shared" si="190"/>
        <v>45849.70833333271</v>
      </c>
      <c r="B260" s="42">
        <f t="shared" si="214"/>
        <v>8000</v>
      </c>
      <c r="C260" s="8">
        <v>25000</v>
      </c>
      <c r="D260" s="8">
        <v>0</v>
      </c>
      <c r="E260" s="8">
        <v>700</v>
      </c>
      <c r="F260" s="8">
        <v>7500</v>
      </c>
      <c r="G260" s="42">
        <f t="shared" si="215"/>
        <v>2400</v>
      </c>
      <c r="H260" s="8">
        <v>25000</v>
      </c>
      <c r="I260" s="42">
        <f t="shared" si="216"/>
        <v>8000</v>
      </c>
      <c r="J260" s="8">
        <v>25000</v>
      </c>
      <c r="K260" s="42">
        <f t="shared" si="217"/>
        <v>8000</v>
      </c>
      <c r="L260" s="8">
        <v>25000</v>
      </c>
      <c r="M260" s="9">
        <v>9</v>
      </c>
      <c r="N260" s="9">
        <v>16.100000000000001</v>
      </c>
      <c r="O260" s="9">
        <v>14</v>
      </c>
      <c r="P260" s="9">
        <v>19.5</v>
      </c>
      <c r="Q260" s="92">
        <v>3.1348509999999998</v>
      </c>
      <c r="R260">
        <v>10</v>
      </c>
      <c r="S260">
        <v>1000</v>
      </c>
      <c r="T260" s="4">
        <v>1241.0771568135674</v>
      </c>
      <c r="U260">
        <f t="shared" ref="U260:U323" si="258">T260/100</f>
        <v>12.410771568135674</v>
      </c>
      <c r="V260">
        <f t="shared" ref="V260:W260" si="259">V236</f>
        <v>3.6</v>
      </c>
      <c r="W260">
        <f t="shared" si="259"/>
        <v>3</v>
      </c>
      <c r="X260" s="9">
        <v>3.1348509999999998</v>
      </c>
    </row>
    <row r="261" spans="1:24" x14ac:dyDescent="0.2">
      <c r="A261" s="41">
        <f t="shared" ref="A261:A324" si="260">A260+TIME(1,0,0)</f>
        <v>45849.749999999374</v>
      </c>
      <c r="B261" s="42">
        <f t="shared" si="214"/>
        <v>5000</v>
      </c>
      <c r="C261" s="8">
        <v>25000</v>
      </c>
      <c r="D261" s="8">
        <v>0</v>
      </c>
      <c r="E261" s="8">
        <v>700</v>
      </c>
      <c r="F261" s="8">
        <v>7500</v>
      </c>
      <c r="G261" s="42">
        <f t="shared" si="215"/>
        <v>2400</v>
      </c>
      <c r="H261" s="8">
        <v>25000</v>
      </c>
      <c r="I261" s="42">
        <f t="shared" si="216"/>
        <v>5000</v>
      </c>
      <c r="J261" s="8">
        <v>25000</v>
      </c>
      <c r="K261" s="42">
        <f t="shared" si="217"/>
        <v>5000</v>
      </c>
      <c r="L261" s="8">
        <v>25000</v>
      </c>
      <c r="M261" s="9">
        <v>9</v>
      </c>
      <c r="N261" s="9">
        <v>16.100000000000001</v>
      </c>
      <c r="O261" s="9">
        <v>14</v>
      </c>
      <c r="P261" s="9">
        <v>19.5</v>
      </c>
      <c r="Q261" s="92">
        <v>3.1115615000000001</v>
      </c>
      <c r="R261">
        <v>10</v>
      </c>
      <c r="S261">
        <v>1000</v>
      </c>
      <c r="T261" s="4">
        <v>1284.7743640917656</v>
      </c>
      <c r="U261">
        <f t="shared" si="258"/>
        <v>12.847743640917656</v>
      </c>
      <c r="V261">
        <f t="shared" ref="V261:W261" si="261">V237</f>
        <v>2.9</v>
      </c>
      <c r="W261">
        <f t="shared" si="261"/>
        <v>3</v>
      </c>
      <c r="X261" s="9">
        <v>3.1115615000000001</v>
      </c>
    </row>
    <row r="262" spans="1:24" x14ac:dyDescent="0.2">
      <c r="A262" s="41">
        <f t="shared" si="260"/>
        <v>45849.791666666039</v>
      </c>
      <c r="B262" s="42">
        <f t="shared" si="214"/>
        <v>5000</v>
      </c>
      <c r="C262" s="8">
        <v>25000</v>
      </c>
      <c r="D262" s="8">
        <v>0</v>
      </c>
      <c r="E262" s="8">
        <v>700</v>
      </c>
      <c r="F262" s="8">
        <v>7500</v>
      </c>
      <c r="G262" s="42">
        <f t="shared" si="215"/>
        <v>2400</v>
      </c>
      <c r="H262" s="8">
        <v>25000</v>
      </c>
      <c r="I262" s="42">
        <f t="shared" si="216"/>
        <v>5000</v>
      </c>
      <c r="J262" s="8">
        <v>25000</v>
      </c>
      <c r="K262" s="42">
        <f t="shared" si="217"/>
        <v>5000</v>
      </c>
      <c r="L262" s="8">
        <v>25000</v>
      </c>
      <c r="M262" s="9">
        <v>9</v>
      </c>
      <c r="N262" s="9">
        <v>16.100000000000001</v>
      </c>
      <c r="O262" s="9">
        <v>14</v>
      </c>
      <c r="P262" s="9">
        <v>19.5</v>
      </c>
      <c r="Q262" s="92">
        <v>3.0701896999999998</v>
      </c>
      <c r="R262">
        <v>10</v>
      </c>
      <c r="S262">
        <v>1000</v>
      </c>
      <c r="T262" s="4">
        <v>1281.6531350004659</v>
      </c>
      <c r="U262">
        <f t="shared" si="258"/>
        <v>12.816531350004659</v>
      </c>
      <c r="V262">
        <f t="shared" ref="V262:W262" si="262">V238</f>
        <v>3</v>
      </c>
      <c r="W262">
        <f t="shared" si="262"/>
        <v>3</v>
      </c>
      <c r="X262" s="9">
        <v>3.0701896999999998</v>
      </c>
    </row>
    <row r="263" spans="1:24" x14ac:dyDescent="0.2">
      <c r="A263" s="41">
        <f t="shared" si="260"/>
        <v>45849.833333332703</v>
      </c>
      <c r="B263" s="42">
        <f t="shared" si="214"/>
        <v>5000</v>
      </c>
      <c r="C263" s="8">
        <v>25000</v>
      </c>
      <c r="D263" s="8">
        <v>0</v>
      </c>
      <c r="E263" s="8">
        <v>700</v>
      </c>
      <c r="F263" s="8">
        <v>7500</v>
      </c>
      <c r="G263" s="42">
        <f t="shared" si="215"/>
        <v>2400</v>
      </c>
      <c r="H263" s="8">
        <v>25000</v>
      </c>
      <c r="I263" s="42">
        <f t="shared" si="216"/>
        <v>5000</v>
      </c>
      <c r="J263" s="8">
        <v>25000</v>
      </c>
      <c r="K263" s="42">
        <f t="shared" si="217"/>
        <v>5000</v>
      </c>
      <c r="L263" s="8">
        <v>25000</v>
      </c>
      <c r="M263" s="9">
        <v>9</v>
      </c>
      <c r="N263" s="9">
        <v>16.100000000000001</v>
      </c>
      <c r="O263" s="9">
        <v>14</v>
      </c>
      <c r="P263" s="9">
        <v>19.5</v>
      </c>
      <c r="Q263" s="92">
        <v>3.0306313</v>
      </c>
      <c r="R263">
        <v>10</v>
      </c>
      <c r="S263">
        <v>1000</v>
      </c>
      <c r="T263" s="4">
        <v>1237.9559277222675</v>
      </c>
      <c r="U263">
        <f t="shared" si="258"/>
        <v>12.379559277222675</v>
      </c>
      <c r="V263">
        <f t="shared" ref="V263:W263" si="263">V239</f>
        <v>2.8</v>
      </c>
      <c r="W263">
        <f t="shared" si="263"/>
        <v>3.1</v>
      </c>
      <c r="X263" s="9">
        <v>3.0306313</v>
      </c>
    </row>
    <row r="264" spans="1:24" x14ac:dyDescent="0.2">
      <c r="A264" s="41">
        <f t="shared" si="260"/>
        <v>45849.874999999367</v>
      </c>
      <c r="B264" s="42">
        <f t="shared" si="214"/>
        <v>5000</v>
      </c>
      <c r="C264" s="8">
        <v>25000</v>
      </c>
      <c r="D264" s="8">
        <v>0</v>
      </c>
      <c r="E264" s="8">
        <v>700</v>
      </c>
      <c r="F264" s="8">
        <v>7500</v>
      </c>
      <c r="G264" s="42">
        <f t="shared" si="215"/>
        <v>2400</v>
      </c>
      <c r="H264" s="8">
        <v>25000</v>
      </c>
      <c r="I264" s="42">
        <f t="shared" si="216"/>
        <v>5000</v>
      </c>
      <c r="J264" s="8">
        <v>25000</v>
      </c>
      <c r="K264" s="42">
        <f t="shared" si="217"/>
        <v>5000</v>
      </c>
      <c r="L264" s="8">
        <v>25000</v>
      </c>
      <c r="M264" s="9">
        <v>9</v>
      </c>
      <c r="N264" s="9">
        <v>16.100000000000001</v>
      </c>
      <c r="O264" s="9">
        <v>14</v>
      </c>
      <c r="P264" s="9">
        <v>19.5</v>
      </c>
      <c r="Q264" s="92">
        <v>2.9950855000000001</v>
      </c>
      <c r="R264">
        <v>10</v>
      </c>
      <c r="S264">
        <v>1000</v>
      </c>
      <c r="T264" s="4">
        <v>1142.7584404376212</v>
      </c>
      <c r="U264">
        <f t="shared" si="258"/>
        <v>11.427584404376212</v>
      </c>
      <c r="V264">
        <f t="shared" ref="V264:W264" si="264">V240</f>
        <v>3.5</v>
      </c>
      <c r="W264">
        <f t="shared" si="264"/>
        <v>3.1</v>
      </c>
      <c r="X264" s="9">
        <v>2.9950855000000001</v>
      </c>
    </row>
    <row r="265" spans="1:24" x14ac:dyDescent="0.2">
      <c r="A265" s="41">
        <f t="shared" si="260"/>
        <v>45849.916666666031</v>
      </c>
      <c r="B265" s="42">
        <f t="shared" si="214"/>
        <v>5000</v>
      </c>
      <c r="C265" s="8">
        <v>25000</v>
      </c>
      <c r="D265" s="8">
        <v>0</v>
      </c>
      <c r="E265" s="8">
        <v>700</v>
      </c>
      <c r="F265" s="8">
        <v>7500</v>
      </c>
      <c r="G265" s="42">
        <f t="shared" si="215"/>
        <v>2400</v>
      </c>
      <c r="H265" s="8">
        <v>25000</v>
      </c>
      <c r="I265" s="42">
        <f t="shared" si="216"/>
        <v>5000</v>
      </c>
      <c r="J265" s="8">
        <v>25000</v>
      </c>
      <c r="K265" s="42">
        <f t="shared" si="217"/>
        <v>5000</v>
      </c>
      <c r="L265" s="8">
        <v>25000</v>
      </c>
      <c r="M265" s="9">
        <v>9</v>
      </c>
      <c r="N265" s="9">
        <v>16.100000000000001</v>
      </c>
      <c r="O265" s="9">
        <v>14</v>
      </c>
      <c r="P265" s="9">
        <v>19.5</v>
      </c>
      <c r="Q265" s="92">
        <v>2.9554318999999998</v>
      </c>
      <c r="R265">
        <v>10</v>
      </c>
      <c r="S265">
        <v>1000</v>
      </c>
      <c r="T265" s="4">
        <v>918.02994586403031</v>
      </c>
      <c r="U265">
        <f t="shared" si="258"/>
        <v>9.1802994586403024</v>
      </c>
      <c r="V265">
        <f t="shared" ref="V265:W265" si="265">V241</f>
        <v>2.9</v>
      </c>
      <c r="W265">
        <f t="shared" si="265"/>
        <v>3.1</v>
      </c>
      <c r="X265" s="9">
        <v>2.9554318999999998</v>
      </c>
    </row>
    <row r="266" spans="1:24" x14ac:dyDescent="0.2">
      <c r="A266" s="41">
        <f t="shared" si="260"/>
        <v>45849.958333332695</v>
      </c>
      <c r="B266" s="42">
        <f t="shared" si="214"/>
        <v>5000</v>
      </c>
      <c r="C266" s="8">
        <v>25000</v>
      </c>
      <c r="D266" s="8">
        <v>0</v>
      </c>
      <c r="E266" s="8">
        <v>700</v>
      </c>
      <c r="F266" s="8">
        <v>7500</v>
      </c>
      <c r="G266" s="42">
        <f t="shared" si="215"/>
        <v>2400</v>
      </c>
      <c r="H266" s="8">
        <v>25000</v>
      </c>
      <c r="I266" s="42">
        <f t="shared" si="216"/>
        <v>5000</v>
      </c>
      <c r="J266" s="8">
        <v>25000</v>
      </c>
      <c r="K266" s="42">
        <f t="shared" si="217"/>
        <v>5000</v>
      </c>
      <c r="L266" s="8">
        <v>25000</v>
      </c>
      <c r="M266" s="9">
        <v>9</v>
      </c>
      <c r="N266" s="9">
        <v>16.100000000000001</v>
      </c>
      <c r="O266" s="9">
        <v>14</v>
      </c>
      <c r="P266" s="9">
        <v>19.5</v>
      </c>
      <c r="Q266" s="92">
        <v>2.8544234999999998</v>
      </c>
      <c r="R266">
        <v>10</v>
      </c>
      <c r="S266">
        <v>1000</v>
      </c>
      <c r="T266" s="4">
        <v>562.52257661079261</v>
      </c>
      <c r="U266">
        <f t="shared" si="258"/>
        <v>5.6252257661079259</v>
      </c>
      <c r="V266">
        <f t="shared" ref="V266:W266" si="266">V242</f>
        <v>3.6</v>
      </c>
      <c r="W266">
        <f t="shared" si="266"/>
        <v>3.1</v>
      </c>
      <c r="X266" s="9">
        <v>2.8544234999999998</v>
      </c>
    </row>
    <row r="267" spans="1:24" x14ac:dyDescent="0.2">
      <c r="A267" s="41">
        <f t="shared" si="260"/>
        <v>45849.99999999936</v>
      </c>
      <c r="B267" s="42">
        <f t="shared" si="214"/>
        <v>5000</v>
      </c>
      <c r="C267" s="8">
        <v>25000</v>
      </c>
      <c r="D267" s="8">
        <v>0</v>
      </c>
      <c r="E267" s="8">
        <v>700</v>
      </c>
      <c r="F267" s="8">
        <v>7500</v>
      </c>
      <c r="G267" s="42">
        <f t="shared" si="215"/>
        <v>2400</v>
      </c>
      <c r="H267" s="8">
        <v>25000</v>
      </c>
      <c r="I267" s="42">
        <f t="shared" si="216"/>
        <v>5000</v>
      </c>
      <c r="J267" s="8">
        <v>25000</v>
      </c>
      <c r="K267" s="42">
        <f t="shared" si="217"/>
        <v>5000</v>
      </c>
      <c r="L267" s="8">
        <v>25000</v>
      </c>
      <c r="M267" s="9">
        <v>9</v>
      </c>
      <c r="N267" s="9">
        <v>16.100000000000001</v>
      </c>
      <c r="O267" s="9">
        <v>14</v>
      </c>
      <c r="P267" s="9">
        <v>19.5</v>
      </c>
      <c r="Q267" s="92">
        <v>2.7743682999999999</v>
      </c>
      <c r="R267">
        <v>10</v>
      </c>
      <c r="S267">
        <v>1000</v>
      </c>
      <c r="T267" s="4">
        <v>393.97934309477978</v>
      </c>
      <c r="U267">
        <f t="shared" si="258"/>
        <v>3.9397934309477978</v>
      </c>
      <c r="V267">
        <f t="shared" ref="V267:W267" si="267">V243</f>
        <v>3</v>
      </c>
      <c r="W267">
        <f t="shared" si="267"/>
        <v>3.2</v>
      </c>
      <c r="X267" s="9">
        <v>2.7743682999999999</v>
      </c>
    </row>
    <row r="268" spans="1:24" x14ac:dyDescent="0.2">
      <c r="A268" s="41">
        <f t="shared" si="260"/>
        <v>45850.041666666024</v>
      </c>
      <c r="B268" s="42">
        <f t="shared" si="214"/>
        <v>5000</v>
      </c>
      <c r="C268" s="8">
        <v>25000</v>
      </c>
      <c r="D268" s="8">
        <v>0</v>
      </c>
      <c r="E268" s="8">
        <v>700</v>
      </c>
      <c r="F268" s="8">
        <v>7500</v>
      </c>
      <c r="G268" s="42">
        <f t="shared" si="215"/>
        <v>2400</v>
      </c>
      <c r="H268" s="8">
        <v>25000</v>
      </c>
      <c r="I268" s="42">
        <f t="shared" si="216"/>
        <v>5000</v>
      </c>
      <c r="J268" s="8">
        <v>25000</v>
      </c>
      <c r="K268" s="42">
        <f t="shared" si="217"/>
        <v>5000</v>
      </c>
      <c r="L268" s="8">
        <v>25000</v>
      </c>
      <c r="M268" s="9">
        <v>9</v>
      </c>
      <c r="N268" s="9">
        <v>16.100000000000001</v>
      </c>
      <c r="O268" s="9">
        <v>14</v>
      </c>
      <c r="P268" s="9">
        <v>19.5</v>
      </c>
      <c r="Q268" s="92">
        <v>2.7243881000000001</v>
      </c>
      <c r="R268">
        <v>10</v>
      </c>
      <c r="S268">
        <v>1000</v>
      </c>
      <c r="T268" s="4">
        <v>384.29812364944195</v>
      </c>
      <c r="U268">
        <f t="shared" si="258"/>
        <v>3.8429812364944196</v>
      </c>
      <c r="V268">
        <f t="shared" ref="V268:W268" si="268">V244</f>
        <v>2.6</v>
      </c>
      <c r="W268">
        <f t="shared" si="268"/>
        <v>3.2</v>
      </c>
      <c r="X268" s="9">
        <v>2.7243881000000001</v>
      </c>
    </row>
    <row r="269" spans="1:24" x14ac:dyDescent="0.2">
      <c r="A269" s="41">
        <f t="shared" si="260"/>
        <v>45850.083333332688</v>
      </c>
      <c r="B269" s="42">
        <f t="shared" si="214"/>
        <v>5000</v>
      </c>
      <c r="C269" s="8">
        <v>25000</v>
      </c>
      <c r="D269" s="8">
        <v>0</v>
      </c>
      <c r="E269" s="8">
        <v>700</v>
      </c>
      <c r="F269" s="8">
        <v>7500</v>
      </c>
      <c r="G269" s="42">
        <f t="shared" si="215"/>
        <v>2400</v>
      </c>
      <c r="H269" s="8">
        <v>25000</v>
      </c>
      <c r="I269" s="42">
        <f t="shared" si="216"/>
        <v>5000</v>
      </c>
      <c r="J269" s="8">
        <v>25000</v>
      </c>
      <c r="K269" s="42">
        <f t="shared" si="217"/>
        <v>5000</v>
      </c>
      <c r="L269" s="8">
        <v>25000</v>
      </c>
      <c r="M269" s="9">
        <v>9</v>
      </c>
      <c r="N269" s="9">
        <v>16.100000000000001</v>
      </c>
      <c r="O269" s="9">
        <v>14</v>
      </c>
      <c r="P269" s="9">
        <v>19.5</v>
      </c>
      <c r="Q269" s="92">
        <v>2.7982368000000002</v>
      </c>
      <c r="R269">
        <v>10</v>
      </c>
      <c r="S269">
        <v>1000</v>
      </c>
      <c r="T269" s="4">
        <v>384.29812364944195</v>
      </c>
      <c r="U269">
        <f t="shared" si="258"/>
        <v>3.8429812364944196</v>
      </c>
      <c r="V269">
        <f t="shared" ref="V269:W269" si="269">V245</f>
        <v>2.8</v>
      </c>
      <c r="W269">
        <f t="shared" si="269"/>
        <v>3.2</v>
      </c>
      <c r="X269" s="9">
        <v>2.7982368000000002</v>
      </c>
    </row>
    <row r="270" spans="1:24" x14ac:dyDescent="0.2">
      <c r="A270" s="41">
        <f t="shared" si="260"/>
        <v>45850.124999999352</v>
      </c>
      <c r="B270" s="42">
        <f t="shared" si="214"/>
        <v>5000</v>
      </c>
      <c r="C270" s="8">
        <v>25000</v>
      </c>
      <c r="D270" s="8">
        <v>0</v>
      </c>
      <c r="E270" s="8">
        <v>700</v>
      </c>
      <c r="F270" s="8">
        <v>7500</v>
      </c>
      <c r="G270" s="42">
        <f t="shared" si="215"/>
        <v>2400</v>
      </c>
      <c r="H270" s="8">
        <v>25000</v>
      </c>
      <c r="I270" s="42">
        <f t="shared" si="216"/>
        <v>5000</v>
      </c>
      <c r="J270" s="8">
        <v>25000</v>
      </c>
      <c r="K270" s="42">
        <f t="shared" si="217"/>
        <v>5000</v>
      </c>
      <c r="L270" s="8">
        <v>25000</v>
      </c>
      <c r="M270" s="9">
        <v>9</v>
      </c>
      <c r="N270" s="9">
        <v>16.100000000000001</v>
      </c>
      <c r="O270" s="9">
        <v>14</v>
      </c>
      <c r="P270" s="9">
        <v>19.5</v>
      </c>
      <c r="Q270" s="92">
        <v>2.8541786999999998</v>
      </c>
      <c r="R270">
        <v>10</v>
      </c>
      <c r="S270">
        <v>1000</v>
      </c>
      <c r="T270" s="4">
        <v>452.36919787447414</v>
      </c>
      <c r="U270">
        <f t="shared" si="258"/>
        <v>4.5236919787447416</v>
      </c>
      <c r="V270">
        <f t="shared" ref="V270:W270" si="270">V246</f>
        <v>2.7</v>
      </c>
      <c r="W270">
        <f t="shared" si="270"/>
        <v>3.2</v>
      </c>
      <c r="X270" s="9">
        <v>2.8541786999999998</v>
      </c>
    </row>
    <row r="271" spans="1:24" x14ac:dyDescent="0.2">
      <c r="A271" s="41">
        <f t="shared" si="260"/>
        <v>45850.166666666017</v>
      </c>
      <c r="B271" s="42">
        <f t="shared" si="214"/>
        <v>5000</v>
      </c>
      <c r="C271" s="8">
        <v>25000</v>
      </c>
      <c r="D271" s="8">
        <v>0</v>
      </c>
      <c r="E271" s="8">
        <v>700</v>
      </c>
      <c r="F271" s="8">
        <v>7500</v>
      </c>
      <c r="G271" s="42">
        <f t="shared" si="215"/>
        <v>2400</v>
      </c>
      <c r="H271" s="8">
        <v>25000</v>
      </c>
      <c r="I271" s="42">
        <f t="shared" si="216"/>
        <v>5000</v>
      </c>
      <c r="J271" s="8">
        <v>25000</v>
      </c>
      <c r="K271" s="42">
        <f t="shared" si="217"/>
        <v>5000</v>
      </c>
      <c r="L271" s="8">
        <v>25000</v>
      </c>
      <c r="M271" s="9">
        <v>9</v>
      </c>
      <c r="N271" s="9">
        <v>16.100000000000001</v>
      </c>
      <c r="O271" s="9">
        <v>14</v>
      </c>
      <c r="P271" s="9">
        <v>19.5</v>
      </c>
      <c r="Q271" s="92">
        <v>2.8852183999999998</v>
      </c>
      <c r="R271">
        <v>10</v>
      </c>
      <c r="S271">
        <v>1000</v>
      </c>
      <c r="T271" s="4">
        <v>452.36919787447414</v>
      </c>
      <c r="U271">
        <f t="shared" si="258"/>
        <v>4.5236919787447416</v>
      </c>
      <c r="V271">
        <f t="shared" ref="V271:W271" si="271">V247</f>
        <v>3</v>
      </c>
      <c r="W271">
        <f t="shared" si="271"/>
        <v>3.1</v>
      </c>
      <c r="X271" s="9">
        <v>2.8852183999999998</v>
      </c>
    </row>
    <row r="272" spans="1:24" x14ac:dyDescent="0.2">
      <c r="A272" s="41">
        <f t="shared" si="260"/>
        <v>45850.208333332681</v>
      </c>
      <c r="B272" s="42">
        <f t="shared" si="214"/>
        <v>5000</v>
      </c>
      <c r="C272" s="8">
        <v>25000</v>
      </c>
      <c r="D272" s="8">
        <v>0</v>
      </c>
      <c r="E272" s="8">
        <v>700</v>
      </c>
      <c r="F272" s="8">
        <v>7500</v>
      </c>
      <c r="G272" s="42">
        <f t="shared" si="215"/>
        <v>2400</v>
      </c>
      <c r="H272" s="8">
        <v>25000</v>
      </c>
      <c r="I272" s="42">
        <f t="shared" si="216"/>
        <v>5000</v>
      </c>
      <c r="J272" s="8">
        <v>25000</v>
      </c>
      <c r="K272" s="42">
        <f t="shared" si="217"/>
        <v>5000</v>
      </c>
      <c r="L272" s="8">
        <v>25000</v>
      </c>
      <c r="M272" s="9">
        <v>9</v>
      </c>
      <c r="N272" s="9">
        <v>16.100000000000001</v>
      </c>
      <c r="O272" s="9">
        <v>14</v>
      </c>
      <c r="P272" s="9">
        <v>19.5</v>
      </c>
      <c r="Q272" s="92">
        <v>2.9639698999999999</v>
      </c>
      <c r="R272">
        <v>10</v>
      </c>
      <c r="S272">
        <v>1000</v>
      </c>
      <c r="T272" s="4">
        <v>452.36919787447414</v>
      </c>
      <c r="U272">
        <f t="shared" si="258"/>
        <v>4.5236919787447416</v>
      </c>
      <c r="V272">
        <f t="shared" ref="V272:W272" si="272">V248</f>
        <v>2.9</v>
      </c>
      <c r="W272">
        <f t="shared" si="272"/>
        <v>3.1</v>
      </c>
      <c r="X272" s="9">
        <v>2.9639698999999999</v>
      </c>
    </row>
    <row r="273" spans="1:24" x14ac:dyDescent="0.2">
      <c r="A273" s="41">
        <f t="shared" si="260"/>
        <v>45850.249999999345</v>
      </c>
      <c r="B273" s="42">
        <f t="shared" si="214"/>
        <v>8000</v>
      </c>
      <c r="C273" s="8">
        <v>25000</v>
      </c>
      <c r="D273" s="8">
        <v>0</v>
      </c>
      <c r="E273" s="8">
        <v>700</v>
      </c>
      <c r="F273" s="8">
        <v>7500</v>
      </c>
      <c r="G273" s="42">
        <f t="shared" si="215"/>
        <v>2400</v>
      </c>
      <c r="H273" s="8">
        <v>25000</v>
      </c>
      <c r="I273" s="42">
        <f t="shared" si="216"/>
        <v>8000</v>
      </c>
      <c r="J273" s="8">
        <v>25000</v>
      </c>
      <c r="K273" s="42">
        <f t="shared" si="217"/>
        <v>8000</v>
      </c>
      <c r="L273" s="8">
        <v>25000</v>
      </c>
      <c r="M273" s="9">
        <v>9</v>
      </c>
      <c r="N273" s="9">
        <v>16.100000000000001</v>
      </c>
      <c r="O273" s="9">
        <v>14</v>
      </c>
      <c r="P273" s="9">
        <v>19.5</v>
      </c>
      <c r="Q273" s="92">
        <v>3.0895195000000002</v>
      </c>
      <c r="R273">
        <v>10</v>
      </c>
      <c r="S273">
        <v>1000</v>
      </c>
      <c r="T273" s="4">
        <v>344.06055532975626</v>
      </c>
      <c r="U273">
        <f t="shared" si="258"/>
        <v>3.4406055532975626</v>
      </c>
      <c r="V273">
        <f t="shared" ref="V273:W273" si="273">V249</f>
        <v>2.5</v>
      </c>
      <c r="W273">
        <f t="shared" si="273"/>
        <v>3.1</v>
      </c>
      <c r="X273" s="9">
        <v>3.0895195000000002</v>
      </c>
    </row>
    <row r="274" spans="1:24" x14ac:dyDescent="0.2">
      <c r="A274" s="41">
        <f t="shared" si="260"/>
        <v>45850.291666666009</v>
      </c>
      <c r="B274" s="42">
        <f t="shared" si="214"/>
        <v>8000</v>
      </c>
      <c r="C274" s="8">
        <v>25000</v>
      </c>
      <c r="D274" s="8">
        <v>0</v>
      </c>
      <c r="E274" s="8">
        <v>700</v>
      </c>
      <c r="F274" s="8">
        <v>7500</v>
      </c>
      <c r="G274" s="42">
        <f t="shared" si="215"/>
        <v>2400</v>
      </c>
      <c r="H274" s="8">
        <v>25000</v>
      </c>
      <c r="I274" s="42">
        <f t="shared" si="216"/>
        <v>8000</v>
      </c>
      <c r="J274" s="8">
        <v>25000</v>
      </c>
      <c r="K274" s="42">
        <f t="shared" si="217"/>
        <v>8000</v>
      </c>
      <c r="L274" s="8">
        <v>25000</v>
      </c>
      <c r="M274" s="9">
        <v>9</v>
      </c>
      <c r="N274" s="9">
        <v>16.100000000000001</v>
      </c>
      <c r="O274" s="9">
        <v>14</v>
      </c>
      <c r="P274" s="9">
        <v>19.5</v>
      </c>
      <c r="Q274" s="92">
        <v>3.2322595000000001</v>
      </c>
      <c r="R274">
        <v>10</v>
      </c>
      <c r="S274">
        <v>1000</v>
      </c>
      <c r="T274" s="4">
        <v>351.6240080214265</v>
      </c>
      <c r="U274">
        <f t="shared" si="258"/>
        <v>3.5162400802142653</v>
      </c>
      <c r="V274">
        <f t="shared" ref="V274:W274" si="274">V250</f>
        <v>2.5</v>
      </c>
      <c r="W274">
        <f t="shared" si="274"/>
        <v>3.1</v>
      </c>
      <c r="X274" s="9">
        <v>3.2322595000000001</v>
      </c>
    </row>
    <row r="275" spans="1:24" x14ac:dyDescent="0.2">
      <c r="A275" s="41">
        <f t="shared" si="260"/>
        <v>45850.333333332674</v>
      </c>
      <c r="B275" s="42">
        <f t="shared" si="214"/>
        <v>8000</v>
      </c>
      <c r="C275" s="8">
        <v>25000</v>
      </c>
      <c r="D275" s="8">
        <v>0</v>
      </c>
      <c r="E275" s="8">
        <v>700</v>
      </c>
      <c r="F275" s="8">
        <v>7500</v>
      </c>
      <c r="G275" s="42">
        <f t="shared" si="215"/>
        <v>2400</v>
      </c>
      <c r="H275" s="8">
        <v>25000</v>
      </c>
      <c r="I275" s="42">
        <f t="shared" si="216"/>
        <v>8000</v>
      </c>
      <c r="J275" s="8">
        <v>25000</v>
      </c>
      <c r="K275" s="42">
        <f t="shared" si="217"/>
        <v>8000</v>
      </c>
      <c r="L275" s="8">
        <v>25000</v>
      </c>
      <c r="M275" s="9">
        <v>9</v>
      </c>
      <c r="N275" s="9">
        <v>16.100000000000001</v>
      </c>
      <c r="O275" s="9">
        <v>14</v>
      </c>
      <c r="P275" s="9">
        <v>19.5</v>
      </c>
      <c r="Q275" s="92">
        <v>3.2918707999999999</v>
      </c>
      <c r="R275">
        <v>10</v>
      </c>
      <c r="S275">
        <v>1000</v>
      </c>
      <c r="T275" s="4">
        <v>366.750913404767</v>
      </c>
      <c r="U275">
        <f t="shared" si="258"/>
        <v>3.6675091340476702</v>
      </c>
      <c r="V275">
        <f t="shared" ref="V275:W275" si="275">V251</f>
        <v>3.2</v>
      </c>
      <c r="W275">
        <f t="shared" si="275"/>
        <v>3</v>
      </c>
      <c r="X275" s="9">
        <v>3.2918707999999999</v>
      </c>
    </row>
    <row r="276" spans="1:24" x14ac:dyDescent="0.2">
      <c r="A276" s="41">
        <f t="shared" si="260"/>
        <v>45850.374999999338</v>
      </c>
      <c r="B276" s="42">
        <f t="shared" si="214"/>
        <v>8000</v>
      </c>
      <c r="C276" s="8">
        <v>25000</v>
      </c>
      <c r="D276" s="8">
        <v>0</v>
      </c>
      <c r="E276" s="8">
        <v>700</v>
      </c>
      <c r="F276" s="8">
        <v>7500</v>
      </c>
      <c r="G276" s="42">
        <f t="shared" si="215"/>
        <v>2400</v>
      </c>
      <c r="H276" s="8">
        <v>25000</v>
      </c>
      <c r="I276" s="42">
        <f t="shared" si="216"/>
        <v>8000</v>
      </c>
      <c r="J276" s="8">
        <v>25000</v>
      </c>
      <c r="K276" s="42">
        <f t="shared" si="217"/>
        <v>8000</v>
      </c>
      <c r="L276" s="8">
        <v>25000</v>
      </c>
      <c r="M276" s="9">
        <v>9</v>
      </c>
      <c r="N276" s="9">
        <v>16.100000000000001</v>
      </c>
      <c r="O276" s="9">
        <v>14</v>
      </c>
      <c r="P276" s="9">
        <v>19.5</v>
      </c>
      <c r="Q276" s="92">
        <v>3.3311231000000001</v>
      </c>
      <c r="R276">
        <v>10</v>
      </c>
      <c r="S276">
        <v>1000</v>
      </c>
      <c r="T276" s="4">
        <v>345.57324586809034</v>
      </c>
      <c r="U276">
        <f t="shared" si="258"/>
        <v>3.4557324586809033</v>
      </c>
      <c r="V276">
        <f t="shared" ref="V276:W276" si="276">V252</f>
        <v>2.9</v>
      </c>
      <c r="W276">
        <f t="shared" si="276"/>
        <v>3</v>
      </c>
      <c r="X276" s="9">
        <v>3.3311231000000001</v>
      </c>
    </row>
    <row r="277" spans="1:24" x14ac:dyDescent="0.2">
      <c r="A277" s="41">
        <f t="shared" si="260"/>
        <v>45850.416666666002</v>
      </c>
      <c r="B277" s="42">
        <f t="shared" si="214"/>
        <v>8000</v>
      </c>
      <c r="C277" s="8">
        <v>25000</v>
      </c>
      <c r="D277" s="8">
        <v>0</v>
      </c>
      <c r="E277" s="8">
        <v>700</v>
      </c>
      <c r="F277" s="8">
        <v>7500</v>
      </c>
      <c r="G277" s="42">
        <f t="shared" si="215"/>
        <v>2400</v>
      </c>
      <c r="H277" s="8">
        <v>25000</v>
      </c>
      <c r="I277" s="42">
        <f t="shared" si="216"/>
        <v>8000</v>
      </c>
      <c r="J277" s="8">
        <v>25000</v>
      </c>
      <c r="K277" s="42">
        <f t="shared" si="217"/>
        <v>8000</v>
      </c>
      <c r="L277" s="8">
        <v>25000</v>
      </c>
      <c r="M277" s="9">
        <v>9</v>
      </c>
      <c r="N277" s="9">
        <v>16.100000000000001</v>
      </c>
      <c r="O277" s="9">
        <v>14</v>
      </c>
      <c r="P277" s="9">
        <v>19.5</v>
      </c>
      <c r="Q277" s="92">
        <v>3.3978062000000002</v>
      </c>
      <c r="R277">
        <v>10</v>
      </c>
      <c r="S277">
        <v>1000</v>
      </c>
      <c r="T277" s="4">
        <v>326.81588319274812</v>
      </c>
      <c r="U277">
        <f t="shared" si="258"/>
        <v>3.2681588319274812</v>
      </c>
      <c r="V277">
        <f t="shared" ref="V277:W277" si="277">V253</f>
        <v>2.9</v>
      </c>
      <c r="W277">
        <f t="shared" si="277"/>
        <v>3</v>
      </c>
      <c r="X277" s="9">
        <v>3.3978062000000002</v>
      </c>
    </row>
    <row r="278" spans="1:24" x14ac:dyDescent="0.2">
      <c r="A278" s="41">
        <f t="shared" si="260"/>
        <v>45850.458333332666</v>
      </c>
      <c r="B278" s="42">
        <f t="shared" si="214"/>
        <v>8000</v>
      </c>
      <c r="C278" s="8">
        <v>25000</v>
      </c>
      <c r="D278" s="8">
        <v>0</v>
      </c>
      <c r="E278" s="8">
        <v>700</v>
      </c>
      <c r="F278" s="8">
        <v>7500</v>
      </c>
      <c r="G278" s="42">
        <f t="shared" si="215"/>
        <v>2400</v>
      </c>
      <c r="H278" s="8">
        <v>25000</v>
      </c>
      <c r="I278" s="42">
        <f t="shared" si="216"/>
        <v>8000</v>
      </c>
      <c r="J278" s="8">
        <v>25000</v>
      </c>
      <c r="K278" s="42">
        <f t="shared" si="217"/>
        <v>8000</v>
      </c>
      <c r="L278" s="8">
        <v>25000</v>
      </c>
      <c r="M278" s="9">
        <v>9</v>
      </c>
      <c r="N278" s="9">
        <v>16.100000000000001</v>
      </c>
      <c r="O278" s="9">
        <v>14</v>
      </c>
      <c r="P278" s="9">
        <v>19.5</v>
      </c>
      <c r="Q278" s="92">
        <v>3.3477643000000001</v>
      </c>
      <c r="R278">
        <v>10</v>
      </c>
      <c r="S278">
        <v>1000</v>
      </c>
      <c r="T278" s="4">
        <v>322.27781157774598</v>
      </c>
      <c r="U278">
        <f t="shared" si="258"/>
        <v>3.22277811577746</v>
      </c>
      <c r="V278">
        <f t="shared" ref="V278:W278" si="278">V254</f>
        <v>3.4</v>
      </c>
      <c r="W278">
        <f t="shared" si="278"/>
        <v>3</v>
      </c>
      <c r="X278" s="9">
        <v>3.3477643000000001</v>
      </c>
    </row>
    <row r="279" spans="1:24" x14ac:dyDescent="0.2">
      <c r="A279" s="41">
        <f t="shared" si="260"/>
        <v>45850.499999999331</v>
      </c>
      <c r="B279" s="42">
        <f t="shared" si="214"/>
        <v>8000</v>
      </c>
      <c r="C279" s="8">
        <v>25000</v>
      </c>
      <c r="D279" s="8">
        <v>0</v>
      </c>
      <c r="E279" s="8">
        <v>700</v>
      </c>
      <c r="F279" s="8">
        <v>7500</v>
      </c>
      <c r="G279" s="42">
        <f t="shared" si="215"/>
        <v>2400</v>
      </c>
      <c r="H279" s="8">
        <v>25000</v>
      </c>
      <c r="I279" s="42">
        <f t="shared" si="216"/>
        <v>8000</v>
      </c>
      <c r="J279" s="8">
        <v>25000</v>
      </c>
      <c r="K279" s="42">
        <f t="shared" si="217"/>
        <v>8000</v>
      </c>
      <c r="L279" s="8">
        <v>25000</v>
      </c>
      <c r="M279" s="9">
        <v>9</v>
      </c>
      <c r="N279" s="9">
        <v>16.100000000000001</v>
      </c>
      <c r="O279" s="9">
        <v>14</v>
      </c>
      <c r="P279" s="9">
        <v>19.5</v>
      </c>
      <c r="Q279" s="92">
        <v>3.2187998000000002</v>
      </c>
      <c r="R279">
        <v>10</v>
      </c>
      <c r="S279">
        <v>1000</v>
      </c>
      <c r="T279" s="4">
        <v>322.27781157774598</v>
      </c>
      <c r="U279">
        <f t="shared" si="258"/>
        <v>3.22277811577746</v>
      </c>
      <c r="V279">
        <f t="shared" ref="V279:W279" si="279">V255</f>
        <v>3.1</v>
      </c>
      <c r="W279">
        <f t="shared" si="279"/>
        <v>2.9</v>
      </c>
      <c r="X279" s="9">
        <v>3.2187998000000002</v>
      </c>
    </row>
    <row r="280" spans="1:24" x14ac:dyDescent="0.2">
      <c r="A280" s="41">
        <f t="shared" si="260"/>
        <v>45850.541666665995</v>
      </c>
      <c r="B280" s="42">
        <f t="shared" si="214"/>
        <v>8000</v>
      </c>
      <c r="C280" s="8">
        <v>25000</v>
      </c>
      <c r="D280" s="8">
        <v>0</v>
      </c>
      <c r="E280" s="8">
        <v>700</v>
      </c>
      <c r="F280" s="8">
        <v>7500</v>
      </c>
      <c r="G280" s="42">
        <f t="shared" si="215"/>
        <v>2400</v>
      </c>
      <c r="H280" s="8">
        <v>25000</v>
      </c>
      <c r="I280" s="42">
        <f t="shared" si="216"/>
        <v>8000</v>
      </c>
      <c r="J280" s="8">
        <v>25000</v>
      </c>
      <c r="K280" s="42">
        <f t="shared" si="217"/>
        <v>8000</v>
      </c>
      <c r="L280" s="8">
        <v>25000</v>
      </c>
      <c r="M280" s="9">
        <v>9</v>
      </c>
      <c r="N280" s="9">
        <v>16.100000000000001</v>
      </c>
      <c r="O280" s="9">
        <v>14</v>
      </c>
      <c r="P280" s="9">
        <v>19.5</v>
      </c>
      <c r="Q280" s="92">
        <v>3.0315371</v>
      </c>
      <c r="R280">
        <v>10</v>
      </c>
      <c r="S280">
        <v>1000</v>
      </c>
      <c r="T280" s="4">
        <v>371.89466631131808</v>
      </c>
      <c r="U280">
        <f t="shared" si="258"/>
        <v>3.7189466631131807</v>
      </c>
      <c r="V280">
        <f t="shared" ref="V280:W280" si="280">V256</f>
        <v>3.2</v>
      </c>
      <c r="W280">
        <f t="shared" si="280"/>
        <v>2.9</v>
      </c>
      <c r="X280" s="9">
        <v>3.0315371</v>
      </c>
    </row>
    <row r="281" spans="1:24" x14ac:dyDescent="0.2">
      <c r="A281" s="41">
        <f t="shared" si="260"/>
        <v>45850.583333332659</v>
      </c>
      <c r="B281" s="42">
        <f t="shared" si="214"/>
        <v>8000</v>
      </c>
      <c r="C281" s="8">
        <v>25000</v>
      </c>
      <c r="D281" s="8">
        <v>0</v>
      </c>
      <c r="E281" s="8">
        <v>700</v>
      </c>
      <c r="F281" s="8">
        <v>7500</v>
      </c>
      <c r="G281" s="42">
        <f t="shared" si="215"/>
        <v>2400</v>
      </c>
      <c r="H281" s="8">
        <v>25000</v>
      </c>
      <c r="I281" s="42">
        <f t="shared" si="216"/>
        <v>8000</v>
      </c>
      <c r="J281" s="8">
        <v>25000</v>
      </c>
      <c r="K281" s="42">
        <f t="shared" si="217"/>
        <v>8000</v>
      </c>
      <c r="L281" s="8">
        <v>25000</v>
      </c>
      <c r="M281" s="9">
        <v>9</v>
      </c>
      <c r="N281" s="9">
        <v>16.100000000000001</v>
      </c>
      <c r="O281" s="9">
        <v>14</v>
      </c>
      <c r="P281" s="9">
        <v>19.5</v>
      </c>
      <c r="Q281" s="92">
        <v>2.9215453</v>
      </c>
      <c r="R281">
        <v>10</v>
      </c>
      <c r="S281">
        <v>1000</v>
      </c>
      <c r="T281" s="4">
        <v>626.02546659900759</v>
      </c>
      <c r="U281">
        <f t="shared" si="258"/>
        <v>6.2602546659900762</v>
      </c>
      <c r="V281">
        <f t="shared" ref="V281:W281" si="281">V257</f>
        <v>3.5</v>
      </c>
      <c r="W281">
        <f t="shared" si="281"/>
        <v>2.9</v>
      </c>
      <c r="X281" s="9">
        <v>2.9215453</v>
      </c>
    </row>
    <row r="282" spans="1:24" x14ac:dyDescent="0.2">
      <c r="A282" s="41">
        <f t="shared" si="260"/>
        <v>45850.624999999323</v>
      </c>
      <c r="B282" s="42">
        <f t="shared" si="214"/>
        <v>8000</v>
      </c>
      <c r="C282" s="8">
        <v>25000</v>
      </c>
      <c r="D282" s="8">
        <v>0</v>
      </c>
      <c r="E282" s="8">
        <v>700</v>
      </c>
      <c r="F282" s="8">
        <v>7500</v>
      </c>
      <c r="G282" s="42">
        <f t="shared" si="215"/>
        <v>2400</v>
      </c>
      <c r="H282" s="8">
        <v>25000</v>
      </c>
      <c r="I282" s="42">
        <f t="shared" si="216"/>
        <v>8000</v>
      </c>
      <c r="J282" s="8">
        <v>25000</v>
      </c>
      <c r="K282" s="42">
        <f t="shared" si="217"/>
        <v>8000</v>
      </c>
      <c r="L282" s="8">
        <v>25000</v>
      </c>
      <c r="M282" s="9">
        <v>9</v>
      </c>
      <c r="N282" s="9">
        <v>16.100000000000001</v>
      </c>
      <c r="O282" s="9">
        <v>14</v>
      </c>
      <c r="P282" s="9">
        <v>19.5</v>
      </c>
      <c r="Q282" s="92">
        <v>3.0448556</v>
      </c>
      <c r="R282">
        <v>10</v>
      </c>
      <c r="S282">
        <v>1000</v>
      </c>
      <c r="T282" s="4">
        <v>645.69044359735017</v>
      </c>
      <c r="U282">
        <f t="shared" si="258"/>
        <v>6.4569044359735015</v>
      </c>
      <c r="V282">
        <f t="shared" ref="V282:W282" si="282">V258</f>
        <v>3.2</v>
      </c>
      <c r="W282">
        <f t="shared" si="282"/>
        <v>2.9</v>
      </c>
      <c r="X282" s="9">
        <v>3.0448556</v>
      </c>
    </row>
    <row r="283" spans="1:24" x14ac:dyDescent="0.2">
      <c r="A283" s="41">
        <f t="shared" si="260"/>
        <v>45850.666666665988</v>
      </c>
      <c r="B283" s="42">
        <f t="shared" si="214"/>
        <v>8000</v>
      </c>
      <c r="C283" s="8">
        <v>25000</v>
      </c>
      <c r="D283" s="8">
        <v>0</v>
      </c>
      <c r="E283" s="8">
        <v>700</v>
      </c>
      <c r="F283" s="8">
        <v>7500</v>
      </c>
      <c r="G283" s="42">
        <f t="shared" si="215"/>
        <v>2400</v>
      </c>
      <c r="H283" s="8">
        <v>25000</v>
      </c>
      <c r="I283" s="42">
        <f t="shared" si="216"/>
        <v>8000</v>
      </c>
      <c r="J283" s="8">
        <v>25000</v>
      </c>
      <c r="K283" s="42">
        <f t="shared" si="217"/>
        <v>8000</v>
      </c>
      <c r="L283" s="8">
        <v>25000</v>
      </c>
      <c r="M283" s="9">
        <v>9</v>
      </c>
      <c r="N283" s="9">
        <v>16.100000000000001</v>
      </c>
      <c r="O283" s="9">
        <v>14</v>
      </c>
      <c r="P283" s="9">
        <v>19.5</v>
      </c>
      <c r="Q283" s="92">
        <v>3.3181381000000001</v>
      </c>
      <c r="R283">
        <v>10</v>
      </c>
      <c r="S283">
        <v>1000</v>
      </c>
      <c r="T283" s="4">
        <v>929.16865048115073</v>
      </c>
      <c r="U283">
        <f t="shared" si="258"/>
        <v>9.2916865048115067</v>
      </c>
      <c r="V283">
        <f t="shared" ref="V283:W283" si="283">V259</f>
        <v>3.5</v>
      </c>
      <c r="W283">
        <f t="shared" si="283"/>
        <v>3</v>
      </c>
      <c r="X283" s="9">
        <v>3.3181381000000001</v>
      </c>
    </row>
    <row r="284" spans="1:24" x14ac:dyDescent="0.2">
      <c r="A284" s="41">
        <f t="shared" si="260"/>
        <v>45850.708333332652</v>
      </c>
      <c r="B284" s="42">
        <f t="shared" ref="B284:B347" si="284">B260</f>
        <v>8000</v>
      </c>
      <c r="C284" s="8">
        <v>25000</v>
      </c>
      <c r="D284" s="8">
        <v>0</v>
      </c>
      <c r="E284" s="8">
        <v>700</v>
      </c>
      <c r="F284" s="8">
        <v>7500</v>
      </c>
      <c r="G284" s="42">
        <f t="shared" ref="G284:G347" si="285">G260</f>
        <v>2400</v>
      </c>
      <c r="H284" s="8">
        <v>25000</v>
      </c>
      <c r="I284" s="42">
        <f t="shared" ref="I284:I347" si="286">I260</f>
        <v>8000</v>
      </c>
      <c r="J284" s="8">
        <v>25000</v>
      </c>
      <c r="K284" s="42">
        <f t="shared" ref="K284:K347" si="287">K260</f>
        <v>8000</v>
      </c>
      <c r="L284" s="8">
        <v>25000</v>
      </c>
      <c r="M284" s="9">
        <v>9</v>
      </c>
      <c r="N284" s="9">
        <v>16.100000000000001</v>
      </c>
      <c r="O284" s="9">
        <v>14</v>
      </c>
      <c r="P284" s="9">
        <v>19.5</v>
      </c>
      <c r="Q284" s="92">
        <v>3.2049278999999999</v>
      </c>
      <c r="R284">
        <v>10</v>
      </c>
      <c r="S284">
        <v>1000</v>
      </c>
      <c r="T284" s="4">
        <v>1109.1788245429025</v>
      </c>
      <c r="U284">
        <f t="shared" si="258"/>
        <v>11.091788245429024</v>
      </c>
      <c r="V284">
        <f t="shared" ref="V284:W284" si="288">V260</f>
        <v>3.6</v>
      </c>
      <c r="W284">
        <f t="shared" si="288"/>
        <v>3</v>
      </c>
      <c r="X284" s="9">
        <v>3.2049278999999999</v>
      </c>
    </row>
    <row r="285" spans="1:24" x14ac:dyDescent="0.2">
      <c r="A285" s="41">
        <f t="shared" si="260"/>
        <v>45850.749999999316</v>
      </c>
      <c r="B285" s="42">
        <f t="shared" si="284"/>
        <v>5000</v>
      </c>
      <c r="C285" s="8">
        <v>25000</v>
      </c>
      <c r="D285" s="8">
        <v>0</v>
      </c>
      <c r="E285" s="8">
        <v>700</v>
      </c>
      <c r="F285" s="8">
        <v>7500</v>
      </c>
      <c r="G285" s="42">
        <f t="shared" si="285"/>
        <v>2400</v>
      </c>
      <c r="H285" s="8">
        <v>25000</v>
      </c>
      <c r="I285" s="42">
        <f t="shared" si="286"/>
        <v>5000</v>
      </c>
      <c r="J285" s="8">
        <v>25000</v>
      </c>
      <c r="K285" s="42">
        <f t="shared" si="287"/>
        <v>5000</v>
      </c>
      <c r="L285" s="8">
        <v>25000</v>
      </c>
      <c r="M285" s="9">
        <v>9</v>
      </c>
      <c r="N285" s="9">
        <v>16.100000000000001</v>
      </c>
      <c r="O285" s="9">
        <v>14</v>
      </c>
      <c r="P285" s="9">
        <v>19.5</v>
      </c>
      <c r="Q285" s="92">
        <v>3.1469518999999999</v>
      </c>
      <c r="R285">
        <v>10</v>
      </c>
      <c r="S285">
        <v>1000</v>
      </c>
      <c r="T285" s="4">
        <v>1192.3768041512753</v>
      </c>
      <c r="U285">
        <f t="shared" si="258"/>
        <v>11.923768041512753</v>
      </c>
      <c r="V285">
        <f t="shared" ref="V285:W285" si="289">V261</f>
        <v>2.9</v>
      </c>
      <c r="W285">
        <f t="shared" si="289"/>
        <v>3</v>
      </c>
      <c r="X285" s="9">
        <v>3.1469518999999999</v>
      </c>
    </row>
    <row r="286" spans="1:24" x14ac:dyDescent="0.2">
      <c r="A286" s="41">
        <f t="shared" si="260"/>
        <v>45850.79166666598</v>
      </c>
      <c r="B286" s="42">
        <f t="shared" si="284"/>
        <v>5000</v>
      </c>
      <c r="C286" s="8">
        <v>25000</v>
      </c>
      <c r="D286" s="8">
        <v>0</v>
      </c>
      <c r="E286" s="8">
        <v>700</v>
      </c>
      <c r="F286" s="8">
        <v>7500</v>
      </c>
      <c r="G286" s="42">
        <f t="shared" si="285"/>
        <v>2400</v>
      </c>
      <c r="H286" s="8">
        <v>25000</v>
      </c>
      <c r="I286" s="42">
        <f t="shared" si="286"/>
        <v>5000</v>
      </c>
      <c r="J286" s="8">
        <v>25000</v>
      </c>
      <c r="K286" s="42">
        <f t="shared" si="287"/>
        <v>5000</v>
      </c>
      <c r="L286" s="8">
        <v>25000</v>
      </c>
      <c r="M286" s="9">
        <v>9</v>
      </c>
      <c r="N286" s="9">
        <v>16.100000000000001</v>
      </c>
      <c r="O286" s="9">
        <v>14</v>
      </c>
      <c r="P286" s="9">
        <v>19.5</v>
      </c>
      <c r="Q286" s="92">
        <v>3.1699370999999998</v>
      </c>
      <c r="R286">
        <v>10</v>
      </c>
      <c r="S286">
        <v>1000</v>
      </c>
      <c r="T286" s="4">
        <v>1227.1686865329582</v>
      </c>
      <c r="U286">
        <f t="shared" si="258"/>
        <v>12.271686865329581</v>
      </c>
      <c r="V286">
        <f t="shared" ref="V286:W286" si="290">V262</f>
        <v>3</v>
      </c>
      <c r="W286">
        <f t="shared" si="290"/>
        <v>3</v>
      </c>
      <c r="X286" s="9">
        <v>3.1699370999999998</v>
      </c>
    </row>
    <row r="287" spans="1:24" x14ac:dyDescent="0.2">
      <c r="A287" s="41">
        <f t="shared" si="260"/>
        <v>45850.833333332645</v>
      </c>
      <c r="B287" s="42">
        <f t="shared" si="284"/>
        <v>5000</v>
      </c>
      <c r="C287" s="8">
        <v>25000</v>
      </c>
      <c r="D287" s="8">
        <v>0</v>
      </c>
      <c r="E287" s="8">
        <v>700</v>
      </c>
      <c r="F287" s="8">
        <v>7500</v>
      </c>
      <c r="G287" s="42">
        <f t="shared" si="285"/>
        <v>2400</v>
      </c>
      <c r="H287" s="8">
        <v>25000</v>
      </c>
      <c r="I287" s="42">
        <f t="shared" si="286"/>
        <v>5000</v>
      </c>
      <c r="J287" s="8">
        <v>25000</v>
      </c>
      <c r="K287" s="42">
        <f t="shared" si="287"/>
        <v>5000</v>
      </c>
      <c r="L287" s="8">
        <v>25000</v>
      </c>
      <c r="M287" s="9">
        <v>9</v>
      </c>
      <c r="N287" s="9">
        <v>16.100000000000001</v>
      </c>
      <c r="O287" s="9">
        <v>14</v>
      </c>
      <c r="P287" s="9">
        <v>19.5</v>
      </c>
      <c r="Q287" s="92">
        <v>3.1801414000000001</v>
      </c>
      <c r="R287">
        <v>10</v>
      </c>
      <c r="S287">
        <v>1000</v>
      </c>
      <c r="T287" s="4">
        <v>1180.2752798446029</v>
      </c>
      <c r="U287">
        <f t="shared" si="258"/>
        <v>11.802752798446029</v>
      </c>
      <c r="V287">
        <f t="shared" ref="V287:W287" si="291">V263</f>
        <v>2.8</v>
      </c>
      <c r="W287">
        <f t="shared" si="291"/>
        <v>3.1</v>
      </c>
      <c r="X287" s="9">
        <v>3.1801414000000001</v>
      </c>
    </row>
    <row r="288" spans="1:24" x14ac:dyDescent="0.2">
      <c r="A288" s="41">
        <f t="shared" si="260"/>
        <v>45850.874999999309</v>
      </c>
      <c r="B288" s="42">
        <f t="shared" si="284"/>
        <v>5000</v>
      </c>
      <c r="C288" s="8">
        <v>25000</v>
      </c>
      <c r="D288" s="8">
        <v>0</v>
      </c>
      <c r="E288" s="8">
        <v>700</v>
      </c>
      <c r="F288" s="8">
        <v>7500</v>
      </c>
      <c r="G288" s="42">
        <f t="shared" si="285"/>
        <v>2400</v>
      </c>
      <c r="H288" s="8">
        <v>25000</v>
      </c>
      <c r="I288" s="42">
        <f t="shared" si="286"/>
        <v>5000</v>
      </c>
      <c r="J288" s="8">
        <v>25000</v>
      </c>
      <c r="K288" s="42">
        <f t="shared" si="287"/>
        <v>5000</v>
      </c>
      <c r="L288" s="8">
        <v>25000</v>
      </c>
      <c r="M288" s="9">
        <v>9</v>
      </c>
      <c r="N288" s="9">
        <v>16.100000000000001</v>
      </c>
      <c r="O288" s="9">
        <v>14</v>
      </c>
      <c r="P288" s="9">
        <v>19.5</v>
      </c>
      <c r="Q288" s="92">
        <v>3.1592965</v>
      </c>
      <c r="R288">
        <v>10</v>
      </c>
      <c r="S288">
        <v>1000</v>
      </c>
      <c r="T288" s="4">
        <v>1098.5899907745643</v>
      </c>
      <c r="U288">
        <f t="shared" si="258"/>
        <v>10.985899907745642</v>
      </c>
      <c r="V288">
        <f t="shared" ref="V288:W288" si="292">V264</f>
        <v>3.5</v>
      </c>
      <c r="W288">
        <f t="shared" si="292"/>
        <v>3.1</v>
      </c>
      <c r="X288" s="9">
        <v>3.1592965</v>
      </c>
    </row>
    <row r="289" spans="1:24" x14ac:dyDescent="0.2">
      <c r="A289" s="41">
        <f t="shared" si="260"/>
        <v>45850.916666665973</v>
      </c>
      <c r="B289" s="42">
        <f t="shared" si="284"/>
        <v>5000</v>
      </c>
      <c r="C289" s="8">
        <v>25000</v>
      </c>
      <c r="D289" s="8">
        <v>0</v>
      </c>
      <c r="E289" s="8">
        <v>700</v>
      </c>
      <c r="F289" s="8">
        <v>7500</v>
      </c>
      <c r="G289" s="42">
        <f t="shared" si="285"/>
        <v>2400</v>
      </c>
      <c r="H289" s="8">
        <v>25000</v>
      </c>
      <c r="I289" s="42">
        <f t="shared" si="286"/>
        <v>5000</v>
      </c>
      <c r="J289" s="8">
        <v>25000</v>
      </c>
      <c r="K289" s="42">
        <f t="shared" si="287"/>
        <v>5000</v>
      </c>
      <c r="L289" s="8">
        <v>25000</v>
      </c>
      <c r="M289" s="9">
        <v>9</v>
      </c>
      <c r="N289" s="9">
        <v>16.100000000000001</v>
      </c>
      <c r="O289" s="9">
        <v>14</v>
      </c>
      <c r="P289" s="9">
        <v>19.5</v>
      </c>
      <c r="Q289" s="92">
        <v>3.1159954000000001</v>
      </c>
      <c r="R289">
        <v>10</v>
      </c>
      <c r="S289">
        <v>1000</v>
      </c>
      <c r="T289" s="4">
        <v>889.83869648446557</v>
      </c>
      <c r="U289">
        <f t="shared" si="258"/>
        <v>8.8983869648446561</v>
      </c>
      <c r="V289">
        <f t="shared" ref="V289:W289" si="293">V265</f>
        <v>2.9</v>
      </c>
      <c r="W289">
        <f t="shared" si="293"/>
        <v>3.1</v>
      </c>
      <c r="X289" s="9">
        <v>3.1159954000000001</v>
      </c>
    </row>
    <row r="290" spans="1:24" x14ac:dyDescent="0.2">
      <c r="A290" s="41">
        <f t="shared" si="260"/>
        <v>45850.958333332637</v>
      </c>
      <c r="B290" s="42">
        <f t="shared" si="284"/>
        <v>5000</v>
      </c>
      <c r="C290" s="8">
        <v>25000</v>
      </c>
      <c r="D290" s="8">
        <v>0</v>
      </c>
      <c r="E290" s="8">
        <v>700</v>
      </c>
      <c r="F290" s="8">
        <v>7500</v>
      </c>
      <c r="G290" s="42">
        <f t="shared" si="285"/>
        <v>2400</v>
      </c>
      <c r="H290" s="8">
        <v>25000</v>
      </c>
      <c r="I290" s="42">
        <f t="shared" si="286"/>
        <v>5000</v>
      </c>
      <c r="J290" s="8">
        <v>25000</v>
      </c>
      <c r="K290" s="42">
        <f t="shared" si="287"/>
        <v>5000</v>
      </c>
      <c r="L290" s="8">
        <v>25000</v>
      </c>
      <c r="M290" s="9">
        <v>9</v>
      </c>
      <c r="N290" s="9">
        <v>16.100000000000001</v>
      </c>
      <c r="O290" s="9">
        <v>14</v>
      </c>
      <c r="P290" s="9">
        <v>19.5</v>
      </c>
      <c r="Q290" s="92">
        <v>3.0428242999999999</v>
      </c>
      <c r="R290">
        <v>10</v>
      </c>
      <c r="S290">
        <v>1000</v>
      </c>
      <c r="T290" s="4">
        <v>620.88292384488705</v>
      </c>
      <c r="U290">
        <f t="shared" si="258"/>
        <v>6.2088292384488701</v>
      </c>
      <c r="V290">
        <f t="shared" ref="V290:W290" si="294">V266</f>
        <v>3.6</v>
      </c>
      <c r="W290">
        <f t="shared" si="294"/>
        <v>3.1</v>
      </c>
      <c r="X290" s="9">
        <v>3.0428242999999999</v>
      </c>
    </row>
    <row r="291" spans="1:24" x14ac:dyDescent="0.2">
      <c r="A291" s="41">
        <f t="shared" si="260"/>
        <v>45850.999999999302</v>
      </c>
      <c r="B291" s="42">
        <f t="shared" si="284"/>
        <v>5000</v>
      </c>
      <c r="C291" s="8">
        <v>25000</v>
      </c>
      <c r="D291" s="8">
        <v>0</v>
      </c>
      <c r="E291" s="8">
        <v>700</v>
      </c>
      <c r="F291" s="8">
        <v>7500</v>
      </c>
      <c r="G291" s="42">
        <f t="shared" si="285"/>
        <v>2400</v>
      </c>
      <c r="H291" s="8">
        <v>25000</v>
      </c>
      <c r="I291" s="42">
        <f t="shared" si="286"/>
        <v>5000</v>
      </c>
      <c r="J291" s="8">
        <v>25000</v>
      </c>
      <c r="K291" s="42">
        <f t="shared" si="287"/>
        <v>5000</v>
      </c>
      <c r="L291" s="8">
        <v>25000</v>
      </c>
      <c r="M291" s="9">
        <v>9</v>
      </c>
      <c r="N291" s="9">
        <v>16.100000000000001</v>
      </c>
      <c r="O291" s="9">
        <v>14</v>
      </c>
      <c r="P291" s="9">
        <v>19.5</v>
      </c>
      <c r="Q291" s="92">
        <v>2.9793097999999998</v>
      </c>
      <c r="R291">
        <v>10</v>
      </c>
      <c r="S291">
        <v>1000</v>
      </c>
      <c r="T291" s="4">
        <v>442.69657292841788</v>
      </c>
      <c r="U291">
        <f t="shared" si="258"/>
        <v>4.4269657292841789</v>
      </c>
      <c r="V291">
        <f t="shared" ref="V291:W291" si="295">V267</f>
        <v>3</v>
      </c>
      <c r="W291">
        <f t="shared" si="295"/>
        <v>3.2</v>
      </c>
      <c r="X291" s="9">
        <v>2.9793097999999998</v>
      </c>
    </row>
    <row r="292" spans="1:24" x14ac:dyDescent="0.2">
      <c r="A292" s="41">
        <f t="shared" si="260"/>
        <v>45851.041666665966</v>
      </c>
      <c r="B292" s="42">
        <f t="shared" si="284"/>
        <v>5000</v>
      </c>
      <c r="C292" s="8">
        <v>25000</v>
      </c>
      <c r="D292" s="8">
        <v>0</v>
      </c>
      <c r="E292" s="8">
        <v>700</v>
      </c>
      <c r="F292" s="8">
        <v>7500</v>
      </c>
      <c r="G292" s="42">
        <f t="shared" si="285"/>
        <v>2400</v>
      </c>
      <c r="H292" s="8">
        <v>25000</v>
      </c>
      <c r="I292" s="42">
        <f t="shared" si="286"/>
        <v>5000</v>
      </c>
      <c r="J292" s="8">
        <v>25000</v>
      </c>
      <c r="K292" s="42">
        <f t="shared" si="287"/>
        <v>5000</v>
      </c>
      <c r="L292" s="8">
        <v>25000</v>
      </c>
      <c r="M292" s="9">
        <v>9</v>
      </c>
      <c r="N292" s="9">
        <v>16.100000000000001</v>
      </c>
      <c r="O292" s="9">
        <v>14</v>
      </c>
      <c r="P292" s="9">
        <v>19.5</v>
      </c>
      <c r="Q292" s="92">
        <v>3.0009489</v>
      </c>
      <c r="R292">
        <v>10</v>
      </c>
      <c r="S292">
        <v>1000</v>
      </c>
      <c r="T292" s="4">
        <v>362.27094893570683</v>
      </c>
      <c r="U292">
        <f t="shared" si="258"/>
        <v>3.6227094893570682</v>
      </c>
      <c r="V292">
        <f t="shared" ref="V292:W292" si="296">V268</f>
        <v>2.6</v>
      </c>
      <c r="W292">
        <f t="shared" si="296"/>
        <v>3.2</v>
      </c>
      <c r="X292" s="9">
        <v>3.0009489</v>
      </c>
    </row>
    <row r="293" spans="1:24" x14ac:dyDescent="0.2">
      <c r="A293" s="41">
        <f t="shared" si="260"/>
        <v>45851.08333333263</v>
      </c>
      <c r="B293" s="42">
        <f t="shared" si="284"/>
        <v>5000</v>
      </c>
      <c r="C293" s="8">
        <v>25000</v>
      </c>
      <c r="D293" s="8">
        <v>0</v>
      </c>
      <c r="E293" s="8">
        <v>700</v>
      </c>
      <c r="F293" s="8">
        <v>7500</v>
      </c>
      <c r="G293" s="42">
        <f t="shared" si="285"/>
        <v>2400</v>
      </c>
      <c r="H293" s="8">
        <v>25000</v>
      </c>
      <c r="I293" s="42">
        <f t="shared" si="286"/>
        <v>5000</v>
      </c>
      <c r="J293" s="8">
        <v>25000</v>
      </c>
      <c r="K293" s="42">
        <f t="shared" si="287"/>
        <v>5000</v>
      </c>
      <c r="L293" s="8">
        <v>25000</v>
      </c>
      <c r="M293" s="9">
        <v>9</v>
      </c>
      <c r="N293" s="9">
        <v>16.100000000000001</v>
      </c>
      <c r="O293" s="9">
        <v>14</v>
      </c>
      <c r="P293" s="9">
        <v>19.5</v>
      </c>
      <c r="Q293" s="92">
        <v>3.0577922000000002</v>
      </c>
      <c r="R293">
        <v>10</v>
      </c>
      <c r="S293">
        <v>1000</v>
      </c>
      <c r="T293" s="4">
        <v>362.27094893570683</v>
      </c>
      <c r="U293">
        <f t="shared" si="258"/>
        <v>3.6227094893570682</v>
      </c>
      <c r="V293">
        <f t="shared" ref="V293:W293" si="297">V269</f>
        <v>2.8</v>
      </c>
      <c r="W293">
        <f t="shared" si="297"/>
        <v>3.2</v>
      </c>
      <c r="X293" s="9">
        <v>3.0577922000000002</v>
      </c>
    </row>
    <row r="294" spans="1:24" x14ac:dyDescent="0.2">
      <c r="A294" s="41">
        <f t="shared" si="260"/>
        <v>45851.124999999294</v>
      </c>
      <c r="B294" s="42">
        <f t="shared" si="284"/>
        <v>5000</v>
      </c>
      <c r="C294" s="8">
        <v>25000</v>
      </c>
      <c r="D294" s="8">
        <v>0</v>
      </c>
      <c r="E294" s="8">
        <v>700</v>
      </c>
      <c r="F294" s="8">
        <v>7500</v>
      </c>
      <c r="G294" s="42">
        <f t="shared" si="285"/>
        <v>2400</v>
      </c>
      <c r="H294" s="8">
        <v>25000</v>
      </c>
      <c r="I294" s="42">
        <f t="shared" si="286"/>
        <v>5000</v>
      </c>
      <c r="J294" s="8">
        <v>25000</v>
      </c>
      <c r="K294" s="42">
        <f t="shared" si="287"/>
        <v>5000</v>
      </c>
      <c r="L294" s="8">
        <v>25000</v>
      </c>
      <c r="M294" s="9">
        <v>9</v>
      </c>
      <c r="N294" s="9">
        <v>16.100000000000001</v>
      </c>
      <c r="O294" s="9">
        <v>14</v>
      </c>
      <c r="P294" s="9">
        <v>19.5</v>
      </c>
      <c r="Q294" s="92">
        <v>3.1338026999999999</v>
      </c>
      <c r="R294">
        <v>10</v>
      </c>
      <c r="S294">
        <v>1000</v>
      </c>
      <c r="T294" s="4">
        <v>362.27094893570683</v>
      </c>
      <c r="U294">
        <f t="shared" si="258"/>
        <v>3.6227094893570682</v>
      </c>
      <c r="V294">
        <f t="shared" ref="V294:W294" si="298">V270</f>
        <v>2.7</v>
      </c>
      <c r="W294">
        <f t="shared" si="298"/>
        <v>3.2</v>
      </c>
      <c r="X294" s="9">
        <v>3.1338026999999999</v>
      </c>
    </row>
    <row r="295" spans="1:24" x14ac:dyDescent="0.2">
      <c r="A295" s="41">
        <f t="shared" si="260"/>
        <v>45851.166666665958</v>
      </c>
      <c r="B295" s="42">
        <f t="shared" si="284"/>
        <v>5000</v>
      </c>
      <c r="C295" s="8">
        <v>25000</v>
      </c>
      <c r="D295" s="8">
        <v>0</v>
      </c>
      <c r="E295" s="8">
        <v>700</v>
      </c>
      <c r="F295" s="8">
        <v>7500</v>
      </c>
      <c r="G295" s="42">
        <f t="shared" si="285"/>
        <v>2400</v>
      </c>
      <c r="H295" s="8">
        <v>25000</v>
      </c>
      <c r="I295" s="42">
        <f t="shared" si="286"/>
        <v>5000</v>
      </c>
      <c r="J295" s="8">
        <v>25000</v>
      </c>
      <c r="K295" s="42">
        <f t="shared" si="287"/>
        <v>5000</v>
      </c>
      <c r="L295" s="8">
        <v>25000</v>
      </c>
      <c r="M295" s="9">
        <v>9</v>
      </c>
      <c r="N295" s="9">
        <v>16.100000000000001</v>
      </c>
      <c r="O295" s="9">
        <v>14</v>
      </c>
      <c r="P295" s="9">
        <v>19.5</v>
      </c>
      <c r="Q295" s="92">
        <v>3.1713555000000002</v>
      </c>
      <c r="R295">
        <v>10</v>
      </c>
      <c r="S295">
        <v>1000</v>
      </c>
      <c r="T295" s="4">
        <v>426.44032978095498</v>
      </c>
      <c r="U295">
        <f t="shared" si="258"/>
        <v>4.2644032978095501</v>
      </c>
      <c r="V295">
        <f t="shared" ref="V295:W295" si="299">V271</f>
        <v>3</v>
      </c>
      <c r="W295">
        <f t="shared" si="299"/>
        <v>3.1</v>
      </c>
      <c r="X295" s="9">
        <v>3.1713555000000002</v>
      </c>
    </row>
    <row r="296" spans="1:24" x14ac:dyDescent="0.2">
      <c r="A296" s="41">
        <f t="shared" si="260"/>
        <v>45851.208333332623</v>
      </c>
      <c r="B296" s="42">
        <f t="shared" si="284"/>
        <v>5000</v>
      </c>
      <c r="C296" s="8">
        <v>25000</v>
      </c>
      <c r="D296" s="8">
        <v>0</v>
      </c>
      <c r="E296" s="8">
        <v>700</v>
      </c>
      <c r="F296" s="8">
        <v>7500</v>
      </c>
      <c r="G296" s="42">
        <f t="shared" si="285"/>
        <v>2400</v>
      </c>
      <c r="H296" s="8">
        <v>25000</v>
      </c>
      <c r="I296" s="42">
        <f t="shared" si="286"/>
        <v>5000</v>
      </c>
      <c r="J296" s="8">
        <v>25000</v>
      </c>
      <c r="K296" s="42">
        <f t="shared" si="287"/>
        <v>5000</v>
      </c>
      <c r="L296" s="8">
        <v>25000</v>
      </c>
      <c r="M296" s="9">
        <v>9</v>
      </c>
      <c r="N296" s="9">
        <v>16.100000000000001</v>
      </c>
      <c r="O296" s="9">
        <v>14</v>
      </c>
      <c r="P296" s="9">
        <v>19.5</v>
      </c>
      <c r="Q296" s="92">
        <v>3.2439000999999998</v>
      </c>
      <c r="R296">
        <v>10</v>
      </c>
      <c r="S296">
        <v>1000</v>
      </c>
      <c r="T296" s="4">
        <v>362.27094893570683</v>
      </c>
      <c r="U296">
        <f t="shared" si="258"/>
        <v>3.6227094893570682</v>
      </c>
      <c r="V296">
        <f t="shared" ref="V296:W296" si="300">V272</f>
        <v>2.9</v>
      </c>
      <c r="W296">
        <f t="shared" si="300"/>
        <v>3.1</v>
      </c>
      <c r="X296" s="9">
        <v>3.2439000999999998</v>
      </c>
    </row>
    <row r="297" spans="1:24" x14ac:dyDescent="0.2">
      <c r="A297" s="41">
        <f t="shared" si="260"/>
        <v>45851.249999999287</v>
      </c>
      <c r="B297" s="42">
        <f t="shared" si="284"/>
        <v>8000</v>
      </c>
      <c r="C297" s="8">
        <v>25000</v>
      </c>
      <c r="D297" s="8">
        <v>0</v>
      </c>
      <c r="E297" s="8">
        <v>700</v>
      </c>
      <c r="F297" s="8">
        <v>7500</v>
      </c>
      <c r="G297" s="42">
        <f t="shared" si="285"/>
        <v>2400</v>
      </c>
      <c r="H297" s="8">
        <v>25000</v>
      </c>
      <c r="I297" s="42">
        <f t="shared" si="286"/>
        <v>8000</v>
      </c>
      <c r="J297" s="8">
        <v>25000</v>
      </c>
      <c r="K297" s="42">
        <f t="shared" si="287"/>
        <v>8000</v>
      </c>
      <c r="L297" s="8">
        <v>25000</v>
      </c>
      <c r="M297" s="9">
        <v>9</v>
      </c>
      <c r="N297" s="9">
        <v>16.100000000000001</v>
      </c>
      <c r="O297" s="9">
        <v>14</v>
      </c>
      <c r="P297" s="9">
        <v>19.5</v>
      </c>
      <c r="Q297" s="92">
        <v>3.3412061</v>
      </c>
      <c r="R297">
        <v>10</v>
      </c>
      <c r="S297">
        <v>1000</v>
      </c>
      <c r="T297" s="4">
        <v>304.3759075508828</v>
      </c>
      <c r="U297">
        <f t="shared" si="258"/>
        <v>3.0437590755088282</v>
      </c>
      <c r="V297">
        <f t="shared" ref="V297:W297" si="301">V273</f>
        <v>2.5</v>
      </c>
      <c r="W297">
        <f t="shared" si="301"/>
        <v>3.1</v>
      </c>
      <c r="X297" s="9">
        <v>3.3412061</v>
      </c>
    </row>
    <row r="298" spans="1:24" x14ac:dyDescent="0.2">
      <c r="A298" s="41">
        <f t="shared" si="260"/>
        <v>45851.291666665951</v>
      </c>
      <c r="B298" s="42">
        <f t="shared" si="284"/>
        <v>8000</v>
      </c>
      <c r="C298" s="8">
        <v>25000</v>
      </c>
      <c r="D298" s="8">
        <v>0</v>
      </c>
      <c r="E298" s="8">
        <v>700</v>
      </c>
      <c r="F298" s="8">
        <v>7500</v>
      </c>
      <c r="G298" s="42">
        <f t="shared" si="285"/>
        <v>2400</v>
      </c>
      <c r="H298" s="8">
        <v>25000</v>
      </c>
      <c r="I298" s="42">
        <f t="shared" si="286"/>
        <v>8000</v>
      </c>
      <c r="J298" s="8">
        <v>25000</v>
      </c>
      <c r="K298" s="42">
        <f t="shared" si="287"/>
        <v>8000</v>
      </c>
      <c r="L298" s="8">
        <v>25000</v>
      </c>
      <c r="M298" s="9">
        <v>9</v>
      </c>
      <c r="N298" s="9">
        <v>16.100000000000001</v>
      </c>
      <c r="O298" s="9">
        <v>14</v>
      </c>
      <c r="P298" s="9">
        <v>19.5</v>
      </c>
      <c r="Q298" s="92">
        <v>3.3431375000000001</v>
      </c>
      <c r="R298">
        <v>10</v>
      </c>
      <c r="S298">
        <v>1000</v>
      </c>
      <c r="T298" s="4">
        <v>280.13414145378908</v>
      </c>
      <c r="U298">
        <f t="shared" si="258"/>
        <v>2.801341414537891</v>
      </c>
      <c r="V298">
        <f t="shared" ref="V298:W298" si="302">V274</f>
        <v>2.5</v>
      </c>
      <c r="W298">
        <f t="shared" si="302"/>
        <v>3.1</v>
      </c>
      <c r="X298" s="9">
        <v>3.3431375000000001</v>
      </c>
    </row>
    <row r="299" spans="1:24" x14ac:dyDescent="0.2">
      <c r="A299" s="41">
        <f t="shared" si="260"/>
        <v>45851.333333332615</v>
      </c>
      <c r="B299" s="42">
        <f t="shared" si="284"/>
        <v>8000</v>
      </c>
      <c r="C299" s="8">
        <v>25000</v>
      </c>
      <c r="D299" s="8">
        <v>0</v>
      </c>
      <c r="E299" s="8">
        <v>700</v>
      </c>
      <c r="F299" s="8">
        <v>7500</v>
      </c>
      <c r="G299" s="42">
        <f t="shared" si="285"/>
        <v>2400</v>
      </c>
      <c r="H299" s="8">
        <v>25000</v>
      </c>
      <c r="I299" s="42">
        <f t="shared" si="286"/>
        <v>8000</v>
      </c>
      <c r="J299" s="8">
        <v>25000</v>
      </c>
      <c r="K299" s="42">
        <f t="shared" si="287"/>
        <v>8000</v>
      </c>
      <c r="L299" s="8">
        <v>25000</v>
      </c>
      <c r="M299" s="9">
        <v>9</v>
      </c>
      <c r="N299" s="9">
        <v>16.100000000000001</v>
      </c>
      <c r="O299" s="9">
        <v>14</v>
      </c>
      <c r="P299" s="9">
        <v>19.5</v>
      </c>
      <c r="Q299" s="92">
        <v>3.4276195</v>
      </c>
      <c r="R299">
        <v>10</v>
      </c>
      <c r="S299">
        <v>1000</v>
      </c>
      <c r="T299" s="4">
        <v>294.39400386384426</v>
      </c>
      <c r="U299">
        <f t="shared" si="258"/>
        <v>2.9439400386384427</v>
      </c>
      <c r="V299">
        <f t="shared" ref="V299:W299" si="303">V275</f>
        <v>3.2</v>
      </c>
      <c r="W299">
        <f t="shared" si="303"/>
        <v>3</v>
      </c>
      <c r="X299" s="9">
        <v>3.4276195</v>
      </c>
    </row>
    <row r="300" spans="1:24" x14ac:dyDescent="0.2">
      <c r="A300" s="41">
        <f t="shared" si="260"/>
        <v>45851.37499999928</v>
      </c>
      <c r="B300" s="42">
        <f t="shared" si="284"/>
        <v>8000</v>
      </c>
      <c r="C300" s="8">
        <v>25000</v>
      </c>
      <c r="D300" s="8">
        <v>0</v>
      </c>
      <c r="E300" s="8">
        <v>700</v>
      </c>
      <c r="F300" s="8">
        <v>7500</v>
      </c>
      <c r="G300" s="42">
        <f t="shared" si="285"/>
        <v>2400</v>
      </c>
      <c r="H300" s="8">
        <v>25000</v>
      </c>
      <c r="I300" s="42">
        <f t="shared" si="286"/>
        <v>8000</v>
      </c>
      <c r="J300" s="8">
        <v>25000</v>
      </c>
      <c r="K300" s="42">
        <f t="shared" si="287"/>
        <v>8000</v>
      </c>
      <c r="L300" s="8">
        <v>25000</v>
      </c>
      <c r="M300" s="9">
        <v>9</v>
      </c>
      <c r="N300" s="9">
        <v>16.100000000000001</v>
      </c>
      <c r="O300" s="9">
        <v>14</v>
      </c>
      <c r="P300" s="9">
        <v>19.5</v>
      </c>
      <c r="Q300" s="92">
        <v>3.5394589999999999</v>
      </c>
      <c r="R300">
        <v>10</v>
      </c>
      <c r="S300">
        <v>1000</v>
      </c>
      <c r="T300" s="4">
        <v>317.20978371993255</v>
      </c>
      <c r="U300">
        <f t="shared" si="258"/>
        <v>3.1720978371993254</v>
      </c>
      <c r="V300">
        <f t="shared" ref="V300:W300" si="304">V276</f>
        <v>2.9</v>
      </c>
      <c r="W300">
        <f t="shared" si="304"/>
        <v>3</v>
      </c>
      <c r="X300" s="9">
        <v>3.5394589999999999</v>
      </c>
    </row>
    <row r="301" spans="1:24" x14ac:dyDescent="0.2">
      <c r="A301" s="41">
        <f t="shared" si="260"/>
        <v>45851.416666665944</v>
      </c>
      <c r="B301" s="42">
        <f t="shared" si="284"/>
        <v>8000</v>
      </c>
      <c r="C301" s="8">
        <v>25000</v>
      </c>
      <c r="D301" s="8">
        <v>0</v>
      </c>
      <c r="E301" s="8">
        <v>700</v>
      </c>
      <c r="F301" s="8">
        <v>7500</v>
      </c>
      <c r="G301" s="42">
        <f t="shared" si="285"/>
        <v>2400</v>
      </c>
      <c r="H301" s="8">
        <v>25000</v>
      </c>
      <c r="I301" s="42">
        <f t="shared" si="286"/>
        <v>8000</v>
      </c>
      <c r="J301" s="8">
        <v>25000</v>
      </c>
      <c r="K301" s="42">
        <f t="shared" si="287"/>
        <v>8000</v>
      </c>
      <c r="L301" s="8">
        <v>25000</v>
      </c>
      <c r="M301" s="9">
        <v>9</v>
      </c>
      <c r="N301" s="9">
        <v>16.100000000000001</v>
      </c>
      <c r="O301" s="9">
        <v>14</v>
      </c>
      <c r="P301" s="9">
        <v>19.5</v>
      </c>
      <c r="Q301" s="92">
        <v>3.5276109999999998</v>
      </c>
      <c r="R301">
        <v>10</v>
      </c>
      <c r="S301">
        <v>1000</v>
      </c>
      <c r="T301" s="4">
        <v>308.08347177749721</v>
      </c>
      <c r="U301">
        <f t="shared" si="258"/>
        <v>3.0808347177749722</v>
      </c>
      <c r="V301">
        <f t="shared" ref="V301:W301" si="305">V277</f>
        <v>2.9</v>
      </c>
      <c r="W301">
        <f t="shared" si="305"/>
        <v>3</v>
      </c>
      <c r="X301" s="9">
        <v>3.5276109999999998</v>
      </c>
    </row>
    <row r="302" spans="1:24" x14ac:dyDescent="0.2">
      <c r="A302" s="41">
        <f t="shared" si="260"/>
        <v>45851.458333332608</v>
      </c>
      <c r="B302" s="42">
        <f t="shared" si="284"/>
        <v>8000</v>
      </c>
      <c r="C302" s="8">
        <v>25000</v>
      </c>
      <c r="D302" s="8">
        <v>0</v>
      </c>
      <c r="E302" s="8">
        <v>700</v>
      </c>
      <c r="F302" s="8">
        <v>7500</v>
      </c>
      <c r="G302" s="42">
        <f t="shared" si="285"/>
        <v>2400</v>
      </c>
      <c r="H302" s="8">
        <v>25000</v>
      </c>
      <c r="I302" s="42">
        <f t="shared" si="286"/>
        <v>8000</v>
      </c>
      <c r="J302" s="8">
        <v>25000</v>
      </c>
      <c r="K302" s="42">
        <f t="shared" si="287"/>
        <v>8000</v>
      </c>
      <c r="L302" s="8">
        <v>25000</v>
      </c>
      <c r="M302" s="9">
        <v>9</v>
      </c>
      <c r="N302" s="9">
        <v>16.100000000000001</v>
      </c>
      <c r="O302" s="9">
        <v>14</v>
      </c>
      <c r="P302" s="9">
        <v>19.5</v>
      </c>
      <c r="Q302" s="92">
        <v>3.3490825000000002</v>
      </c>
      <c r="R302">
        <v>10</v>
      </c>
      <c r="S302">
        <v>1000</v>
      </c>
      <c r="T302" s="4">
        <v>303.80551305448063</v>
      </c>
      <c r="U302">
        <f t="shared" si="258"/>
        <v>3.0380551305448065</v>
      </c>
      <c r="V302">
        <f t="shared" ref="V302:W302" si="306">V278</f>
        <v>3.4</v>
      </c>
      <c r="W302">
        <f t="shared" si="306"/>
        <v>3</v>
      </c>
      <c r="X302" s="9">
        <v>3.3490825000000002</v>
      </c>
    </row>
    <row r="303" spans="1:24" x14ac:dyDescent="0.2">
      <c r="A303" s="41">
        <f t="shared" si="260"/>
        <v>45851.499999999272</v>
      </c>
      <c r="B303" s="42">
        <f t="shared" si="284"/>
        <v>8000</v>
      </c>
      <c r="C303" s="8">
        <v>25000</v>
      </c>
      <c r="D303" s="8">
        <v>0</v>
      </c>
      <c r="E303" s="8">
        <v>700</v>
      </c>
      <c r="F303" s="8">
        <v>7500</v>
      </c>
      <c r="G303" s="42">
        <f t="shared" si="285"/>
        <v>2400</v>
      </c>
      <c r="H303" s="8">
        <v>25000</v>
      </c>
      <c r="I303" s="42">
        <f t="shared" si="286"/>
        <v>8000</v>
      </c>
      <c r="J303" s="8">
        <v>25000</v>
      </c>
      <c r="K303" s="42">
        <f t="shared" si="287"/>
        <v>8000</v>
      </c>
      <c r="L303" s="8">
        <v>25000</v>
      </c>
      <c r="M303" s="9">
        <v>9</v>
      </c>
      <c r="N303" s="9">
        <v>16.100000000000001</v>
      </c>
      <c r="O303" s="9">
        <v>14</v>
      </c>
      <c r="P303" s="9">
        <v>19.5</v>
      </c>
      <c r="Q303" s="92">
        <v>3.1523023000000001</v>
      </c>
      <c r="R303">
        <v>10</v>
      </c>
      <c r="S303">
        <v>1000</v>
      </c>
      <c r="T303" s="4">
        <v>303.80551305448063</v>
      </c>
      <c r="U303">
        <f t="shared" si="258"/>
        <v>3.0380551305448065</v>
      </c>
      <c r="V303">
        <f t="shared" ref="V303:W303" si="307">V279</f>
        <v>3.1</v>
      </c>
      <c r="W303">
        <f t="shared" si="307"/>
        <v>2.9</v>
      </c>
      <c r="X303" s="9">
        <v>3.1523023000000001</v>
      </c>
    </row>
    <row r="304" spans="1:24" x14ac:dyDescent="0.2">
      <c r="A304" s="41">
        <f t="shared" si="260"/>
        <v>45851.541666665937</v>
      </c>
      <c r="B304" s="42">
        <f t="shared" si="284"/>
        <v>8000</v>
      </c>
      <c r="C304" s="8">
        <v>25000</v>
      </c>
      <c r="D304" s="8">
        <v>0</v>
      </c>
      <c r="E304" s="8">
        <v>700</v>
      </c>
      <c r="F304" s="8">
        <v>7500</v>
      </c>
      <c r="G304" s="42">
        <f t="shared" si="285"/>
        <v>2400</v>
      </c>
      <c r="H304" s="8">
        <v>25000</v>
      </c>
      <c r="I304" s="42">
        <f t="shared" si="286"/>
        <v>8000</v>
      </c>
      <c r="J304" s="8">
        <v>25000</v>
      </c>
      <c r="K304" s="42">
        <f t="shared" si="287"/>
        <v>8000</v>
      </c>
      <c r="L304" s="8">
        <v>25000</v>
      </c>
      <c r="M304" s="9">
        <v>9</v>
      </c>
      <c r="N304" s="9">
        <v>16.100000000000001</v>
      </c>
      <c r="O304" s="9">
        <v>14</v>
      </c>
      <c r="P304" s="9">
        <v>19.5</v>
      </c>
      <c r="Q304" s="92">
        <v>3.0271238999999999</v>
      </c>
      <c r="R304">
        <v>10</v>
      </c>
      <c r="S304">
        <v>1000</v>
      </c>
      <c r="T304" s="4">
        <v>353.43040463596901</v>
      </c>
      <c r="U304">
        <f t="shared" si="258"/>
        <v>3.53430404635969</v>
      </c>
      <c r="V304">
        <f t="shared" ref="V304:W304" si="308">V280</f>
        <v>3.2</v>
      </c>
      <c r="W304">
        <f t="shared" si="308"/>
        <v>2.9</v>
      </c>
      <c r="X304" s="9">
        <v>3.0271238999999999</v>
      </c>
    </row>
    <row r="305" spans="1:24" x14ac:dyDescent="0.2">
      <c r="A305" s="41">
        <f t="shared" si="260"/>
        <v>45851.583333332601</v>
      </c>
      <c r="B305" s="42">
        <f t="shared" si="284"/>
        <v>8000</v>
      </c>
      <c r="C305" s="8">
        <v>25000</v>
      </c>
      <c r="D305" s="8">
        <v>0</v>
      </c>
      <c r="E305" s="8">
        <v>700</v>
      </c>
      <c r="F305" s="8">
        <v>7500</v>
      </c>
      <c r="G305" s="42">
        <f t="shared" si="285"/>
        <v>2400</v>
      </c>
      <c r="H305" s="8">
        <v>25000</v>
      </c>
      <c r="I305" s="42">
        <f t="shared" si="286"/>
        <v>8000</v>
      </c>
      <c r="J305" s="8">
        <v>25000</v>
      </c>
      <c r="K305" s="42">
        <f t="shared" si="287"/>
        <v>8000</v>
      </c>
      <c r="L305" s="8">
        <v>25000</v>
      </c>
      <c r="M305" s="9">
        <v>9</v>
      </c>
      <c r="N305" s="9">
        <v>16.100000000000001</v>
      </c>
      <c r="O305" s="9">
        <v>14</v>
      </c>
      <c r="P305" s="9">
        <v>19.5</v>
      </c>
      <c r="Q305" s="92">
        <v>3.0941228999999999</v>
      </c>
      <c r="R305">
        <v>10</v>
      </c>
      <c r="S305">
        <v>1000</v>
      </c>
      <c r="T305" s="4">
        <v>587.29100737188094</v>
      </c>
      <c r="U305">
        <f t="shared" si="258"/>
        <v>5.8729100737188098</v>
      </c>
      <c r="V305">
        <f t="shared" ref="V305:W305" si="309">V281</f>
        <v>3.5</v>
      </c>
      <c r="W305">
        <f t="shared" si="309"/>
        <v>2.9</v>
      </c>
      <c r="X305" s="9">
        <v>3.0941228999999999</v>
      </c>
    </row>
    <row r="306" spans="1:24" x14ac:dyDescent="0.2">
      <c r="A306" s="41">
        <f t="shared" si="260"/>
        <v>45851.624999999265</v>
      </c>
      <c r="B306" s="42">
        <f t="shared" si="284"/>
        <v>8000</v>
      </c>
      <c r="C306" s="8">
        <v>25000</v>
      </c>
      <c r="D306" s="8">
        <v>0</v>
      </c>
      <c r="E306" s="8">
        <v>700</v>
      </c>
      <c r="F306" s="8">
        <v>7500</v>
      </c>
      <c r="G306" s="42">
        <f t="shared" si="285"/>
        <v>2400</v>
      </c>
      <c r="H306" s="8">
        <v>25000</v>
      </c>
      <c r="I306" s="42">
        <f t="shared" si="286"/>
        <v>8000</v>
      </c>
      <c r="J306" s="8">
        <v>25000</v>
      </c>
      <c r="K306" s="42">
        <f t="shared" si="287"/>
        <v>8000</v>
      </c>
      <c r="L306" s="8">
        <v>25000</v>
      </c>
      <c r="M306" s="9">
        <v>9</v>
      </c>
      <c r="N306" s="9">
        <v>16.100000000000001</v>
      </c>
      <c r="O306" s="9">
        <v>14</v>
      </c>
      <c r="P306" s="9">
        <v>19.5</v>
      </c>
      <c r="Q306" s="92">
        <v>3.4793935</v>
      </c>
      <c r="R306">
        <v>10</v>
      </c>
      <c r="S306">
        <v>1000</v>
      </c>
      <c r="T306" s="4">
        <v>604.40284226394715</v>
      </c>
      <c r="U306">
        <f t="shared" si="258"/>
        <v>6.0440284226394718</v>
      </c>
      <c r="V306">
        <f t="shared" ref="V306:W306" si="310">V282</f>
        <v>3.2</v>
      </c>
      <c r="W306">
        <f t="shared" si="310"/>
        <v>2.9</v>
      </c>
      <c r="X306" s="9">
        <v>3.4793935</v>
      </c>
    </row>
    <row r="307" spans="1:24" x14ac:dyDescent="0.2">
      <c r="A307" s="41">
        <f t="shared" si="260"/>
        <v>45851.666666665929</v>
      </c>
      <c r="B307" s="42">
        <f t="shared" si="284"/>
        <v>8000</v>
      </c>
      <c r="C307" s="8">
        <v>25000</v>
      </c>
      <c r="D307" s="8">
        <v>0</v>
      </c>
      <c r="E307" s="8">
        <v>700</v>
      </c>
      <c r="F307" s="8">
        <v>7500</v>
      </c>
      <c r="G307" s="42">
        <f t="shared" si="285"/>
        <v>2400</v>
      </c>
      <c r="H307" s="8">
        <v>25000</v>
      </c>
      <c r="I307" s="42">
        <f t="shared" si="286"/>
        <v>8000</v>
      </c>
      <c r="J307" s="8">
        <v>25000</v>
      </c>
      <c r="K307" s="42">
        <f t="shared" si="287"/>
        <v>8000</v>
      </c>
      <c r="L307" s="8">
        <v>25000</v>
      </c>
      <c r="M307" s="9">
        <v>9</v>
      </c>
      <c r="N307" s="9">
        <v>16.100000000000001</v>
      </c>
      <c r="O307" s="9">
        <v>14</v>
      </c>
      <c r="P307" s="9">
        <v>19.5</v>
      </c>
      <c r="Q307" s="92">
        <v>3.4132712000000001</v>
      </c>
      <c r="R307">
        <v>10</v>
      </c>
      <c r="S307">
        <v>1000</v>
      </c>
      <c r="T307" s="4">
        <v>875.91062255139741</v>
      </c>
      <c r="U307">
        <f t="shared" si="258"/>
        <v>8.7591062255139747</v>
      </c>
      <c r="V307">
        <f t="shared" ref="V307:W307" si="311">V283</f>
        <v>3.5</v>
      </c>
      <c r="W307">
        <f t="shared" si="311"/>
        <v>3</v>
      </c>
      <c r="X307" s="9">
        <v>3.4132712000000001</v>
      </c>
    </row>
    <row r="308" spans="1:24" x14ac:dyDescent="0.2">
      <c r="A308" s="41">
        <f t="shared" si="260"/>
        <v>45851.708333332594</v>
      </c>
      <c r="B308" s="42">
        <f t="shared" si="284"/>
        <v>8000</v>
      </c>
      <c r="C308" s="8">
        <v>25000</v>
      </c>
      <c r="D308" s="8">
        <v>0</v>
      </c>
      <c r="E308" s="8">
        <v>700</v>
      </c>
      <c r="F308" s="8">
        <v>7500</v>
      </c>
      <c r="G308" s="42">
        <f t="shared" si="285"/>
        <v>2400</v>
      </c>
      <c r="H308" s="8">
        <v>25000</v>
      </c>
      <c r="I308" s="42">
        <f t="shared" si="286"/>
        <v>8000</v>
      </c>
      <c r="J308" s="8">
        <v>25000</v>
      </c>
      <c r="K308" s="42">
        <f t="shared" si="287"/>
        <v>8000</v>
      </c>
      <c r="L308" s="8">
        <v>25000</v>
      </c>
      <c r="M308" s="9">
        <v>9</v>
      </c>
      <c r="N308" s="9">
        <v>16.100000000000001</v>
      </c>
      <c r="O308" s="9">
        <v>14</v>
      </c>
      <c r="P308" s="9">
        <v>19.5</v>
      </c>
      <c r="Q308" s="92">
        <v>3.2989286999999998</v>
      </c>
      <c r="R308">
        <v>10</v>
      </c>
      <c r="S308">
        <v>1000</v>
      </c>
      <c r="T308" s="4">
        <v>1116.9022972813298</v>
      </c>
      <c r="U308">
        <f t="shared" si="258"/>
        <v>11.169022972813298</v>
      </c>
      <c r="V308">
        <f t="shared" ref="V308:W308" si="312">V284</f>
        <v>3.6</v>
      </c>
      <c r="W308">
        <f t="shared" si="312"/>
        <v>3</v>
      </c>
      <c r="X308" s="9">
        <v>3.2989286999999998</v>
      </c>
    </row>
    <row r="309" spans="1:24" x14ac:dyDescent="0.2">
      <c r="A309" s="41">
        <f t="shared" si="260"/>
        <v>45851.749999999258</v>
      </c>
      <c r="B309" s="42">
        <f t="shared" si="284"/>
        <v>5000</v>
      </c>
      <c r="C309" s="8">
        <v>25000</v>
      </c>
      <c r="D309" s="8">
        <v>0</v>
      </c>
      <c r="E309" s="8">
        <v>700</v>
      </c>
      <c r="F309" s="8">
        <v>7500</v>
      </c>
      <c r="G309" s="42">
        <f t="shared" si="285"/>
        <v>2400</v>
      </c>
      <c r="H309" s="8">
        <v>25000</v>
      </c>
      <c r="I309" s="42">
        <f t="shared" si="286"/>
        <v>5000</v>
      </c>
      <c r="J309" s="8">
        <v>25000</v>
      </c>
      <c r="K309" s="42">
        <f t="shared" si="287"/>
        <v>5000</v>
      </c>
      <c r="L309" s="8">
        <v>25000</v>
      </c>
      <c r="M309" s="9">
        <v>9</v>
      </c>
      <c r="N309" s="9">
        <v>16.100000000000001</v>
      </c>
      <c r="O309" s="9">
        <v>14</v>
      </c>
      <c r="P309" s="9">
        <v>19.5</v>
      </c>
      <c r="Q309" s="92">
        <v>3.2721518999999999</v>
      </c>
      <c r="R309">
        <v>10</v>
      </c>
      <c r="S309">
        <v>1000</v>
      </c>
      <c r="T309" s="4">
        <v>1156.8299120294841</v>
      </c>
      <c r="U309">
        <f t="shared" si="258"/>
        <v>11.568299120294842</v>
      </c>
      <c r="V309">
        <f t="shared" ref="V309:W309" si="313">V285</f>
        <v>2.9</v>
      </c>
      <c r="W309">
        <f t="shared" si="313"/>
        <v>3</v>
      </c>
      <c r="X309" s="9">
        <v>3.2721518999999999</v>
      </c>
    </row>
    <row r="310" spans="1:24" x14ac:dyDescent="0.2">
      <c r="A310" s="41">
        <f t="shared" si="260"/>
        <v>45851.791666665922</v>
      </c>
      <c r="B310" s="42">
        <f t="shared" si="284"/>
        <v>5000</v>
      </c>
      <c r="C310" s="8">
        <v>25000</v>
      </c>
      <c r="D310" s="8">
        <v>0</v>
      </c>
      <c r="E310" s="8">
        <v>700</v>
      </c>
      <c r="F310" s="8">
        <v>7500</v>
      </c>
      <c r="G310" s="42">
        <f t="shared" si="285"/>
        <v>2400</v>
      </c>
      <c r="H310" s="8">
        <v>25000</v>
      </c>
      <c r="I310" s="42">
        <f t="shared" si="286"/>
        <v>5000</v>
      </c>
      <c r="J310" s="8">
        <v>25000</v>
      </c>
      <c r="K310" s="42">
        <f t="shared" si="287"/>
        <v>5000</v>
      </c>
      <c r="L310" s="8">
        <v>25000</v>
      </c>
      <c r="M310" s="9">
        <v>9</v>
      </c>
      <c r="N310" s="9">
        <v>16.100000000000001</v>
      </c>
      <c r="O310" s="9">
        <v>14</v>
      </c>
      <c r="P310" s="9">
        <v>19.5</v>
      </c>
      <c r="Q310" s="92">
        <v>3.2928169</v>
      </c>
      <c r="R310">
        <v>10</v>
      </c>
      <c r="S310">
        <v>1000</v>
      </c>
      <c r="T310" s="4">
        <v>1156.8299120294841</v>
      </c>
      <c r="U310">
        <f t="shared" si="258"/>
        <v>11.568299120294842</v>
      </c>
      <c r="V310">
        <f t="shared" ref="V310:W310" si="314">V286</f>
        <v>3</v>
      </c>
      <c r="W310">
        <f t="shared" si="314"/>
        <v>3</v>
      </c>
      <c r="X310" s="9">
        <v>3.2928169</v>
      </c>
    </row>
    <row r="311" spans="1:24" x14ac:dyDescent="0.2">
      <c r="A311" s="41">
        <f t="shared" si="260"/>
        <v>45851.833333332586</v>
      </c>
      <c r="B311" s="42">
        <f t="shared" si="284"/>
        <v>5000</v>
      </c>
      <c r="C311" s="8">
        <v>25000</v>
      </c>
      <c r="D311" s="8">
        <v>0</v>
      </c>
      <c r="E311" s="8">
        <v>700</v>
      </c>
      <c r="F311" s="8">
        <v>7500</v>
      </c>
      <c r="G311" s="42">
        <f t="shared" si="285"/>
        <v>2400</v>
      </c>
      <c r="H311" s="8">
        <v>25000</v>
      </c>
      <c r="I311" s="42">
        <f t="shared" si="286"/>
        <v>5000</v>
      </c>
      <c r="J311" s="8">
        <v>25000</v>
      </c>
      <c r="K311" s="42">
        <f t="shared" si="287"/>
        <v>5000</v>
      </c>
      <c r="L311" s="8">
        <v>25000</v>
      </c>
      <c r="M311" s="9">
        <v>9</v>
      </c>
      <c r="N311" s="9">
        <v>16.100000000000001</v>
      </c>
      <c r="O311" s="9">
        <v>14</v>
      </c>
      <c r="P311" s="9">
        <v>19.5</v>
      </c>
      <c r="Q311" s="92">
        <v>3.278883</v>
      </c>
      <c r="R311">
        <v>10</v>
      </c>
      <c r="S311">
        <v>1000</v>
      </c>
      <c r="T311" s="4">
        <v>1114.0503247993186</v>
      </c>
      <c r="U311">
        <f t="shared" si="258"/>
        <v>11.140503247993186</v>
      </c>
      <c r="V311">
        <f t="shared" ref="V311:W311" si="315">V287</f>
        <v>2.8</v>
      </c>
      <c r="W311">
        <f t="shared" si="315"/>
        <v>3.1</v>
      </c>
      <c r="X311" s="9">
        <v>3.278883</v>
      </c>
    </row>
    <row r="312" spans="1:24" x14ac:dyDescent="0.2">
      <c r="A312" s="41">
        <f t="shared" si="260"/>
        <v>45851.874999999251</v>
      </c>
      <c r="B312" s="42">
        <f t="shared" si="284"/>
        <v>5000</v>
      </c>
      <c r="C312" s="8">
        <v>25000</v>
      </c>
      <c r="D312" s="8">
        <v>0</v>
      </c>
      <c r="E312" s="8">
        <v>700</v>
      </c>
      <c r="F312" s="8">
        <v>7500</v>
      </c>
      <c r="G312" s="42">
        <f t="shared" si="285"/>
        <v>2400</v>
      </c>
      <c r="H312" s="8">
        <v>25000</v>
      </c>
      <c r="I312" s="42">
        <f t="shared" si="286"/>
        <v>5000</v>
      </c>
      <c r="J312" s="8">
        <v>25000</v>
      </c>
      <c r="K312" s="42">
        <f t="shared" si="287"/>
        <v>5000</v>
      </c>
      <c r="L312" s="8">
        <v>25000</v>
      </c>
      <c r="M312" s="9">
        <v>9</v>
      </c>
      <c r="N312" s="9">
        <v>16.100000000000001</v>
      </c>
      <c r="O312" s="9">
        <v>14</v>
      </c>
      <c r="P312" s="9">
        <v>19.5</v>
      </c>
      <c r="Q312" s="92">
        <v>3.1985253999999999</v>
      </c>
      <c r="R312">
        <v>10</v>
      </c>
      <c r="S312">
        <v>1000</v>
      </c>
      <c r="T312" s="4">
        <v>1034.1950953030096</v>
      </c>
      <c r="U312">
        <f t="shared" si="258"/>
        <v>10.341950953030096</v>
      </c>
      <c r="V312">
        <f t="shared" ref="V312:W312" si="316">V288</f>
        <v>3.5</v>
      </c>
      <c r="W312">
        <f t="shared" si="316"/>
        <v>3.1</v>
      </c>
      <c r="X312" s="9">
        <v>3.1985253999999999</v>
      </c>
    </row>
    <row r="313" spans="1:24" x14ac:dyDescent="0.2">
      <c r="A313" s="41">
        <f t="shared" si="260"/>
        <v>45851.916666665915</v>
      </c>
      <c r="B313" s="42">
        <f t="shared" si="284"/>
        <v>5000</v>
      </c>
      <c r="C313" s="8">
        <v>25000</v>
      </c>
      <c r="D313" s="8">
        <v>0</v>
      </c>
      <c r="E313" s="8">
        <v>700</v>
      </c>
      <c r="F313" s="8">
        <v>7500</v>
      </c>
      <c r="G313" s="42">
        <f t="shared" si="285"/>
        <v>2400</v>
      </c>
      <c r="H313" s="8">
        <v>25000</v>
      </c>
      <c r="I313" s="42">
        <f t="shared" si="286"/>
        <v>5000</v>
      </c>
      <c r="J313" s="8">
        <v>25000</v>
      </c>
      <c r="K313" s="42">
        <f t="shared" si="287"/>
        <v>5000</v>
      </c>
      <c r="L313" s="8">
        <v>25000</v>
      </c>
      <c r="M313" s="9">
        <v>9</v>
      </c>
      <c r="N313" s="9">
        <v>16.100000000000001</v>
      </c>
      <c r="O313" s="9">
        <v>14</v>
      </c>
      <c r="P313" s="9">
        <v>19.5</v>
      </c>
      <c r="Q313" s="92">
        <v>3.1214426</v>
      </c>
      <c r="R313">
        <v>10</v>
      </c>
      <c r="S313">
        <v>1000</v>
      </c>
      <c r="T313" s="4">
        <v>807.46328298313267</v>
      </c>
      <c r="U313">
        <f t="shared" si="258"/>
        <v>8.0746328298313266</v>
      </c>
      <c r="V313">
        <f t="shared" ref="V313:W313" si="317">V289</f>
        <v>2.9</v>
      </c>
      <c r="W313">
        <f t="shared" si="317"/>
        <v>3.1</v>
      </c>
      <c r="X313" s="9">
        <v>3.1214426</v>
      </c>
    </row>
    <row r="314" spans="1:24" x14ac:dyDescent="0.2">
      <c r="A314" s="41">
        <f t="shared" si="260"/>
        <v>45851.958333332579</v>
      </c>
      <c r="B314" s="42">
        <f t="shared" si="284"/>
        <v>5000</v>
      </c>
      <c r="C314" s="8">
        <v>25000</v>
      </c>
      <c r="D314" s="8">
        <v>0</v>
      </c>
      <c r="E314" s="8">
        <v>700</v>
      </c>
      <c r="F314" s="8">
        <v>7500</v>
      </c>
      <c r="G314" s="42">
        <f t="shared" si="285"/>
        <v>2400</v>
      </c>
      <c r="H314" s="8">
        <v>25000</v>
      </c>
      <c r="I314" s="42">
        <f t="shared" si="286"/>
        <v>5000</v>
      </c>
      <c r="J314" s="8">
        <v>25000</v>
      </c>
      <c r="K314" s="42">
        <f t="shared" si="287"/>
        <v>5000</v>
      </c>
      <c r="L314" s="8">
        <v>25000</v>
      </c>
      <c r="M314" s="9">
        <v>9</v>
      </c>
      <c r="N314" s="9">
        <v>16.100000000000001</v>
      </c>
      <c r="O314" s="9">
        <v>14</v>
      </c>
      <c r="P314" s="9">
        <v>19.5</v>
      </c>
      <c r="Q314" s="92">
        <v>3.0629621</v>
      </c>
      <c r="R314">
        <v>10</v>
      </c>
      <c r="S314">
        <v>1000</v>
      </c>
      <c r="T314" s="4">
        <v>578.16526582394192</v>
      </c>
      <c r="U314">
        <f t="shared" si="258"/>
        <v>5.7816526582394197</v>
      </c>
      <c r="V314">
        <f t="shared" ref="V314:W314" si="318">V290</f>
        <v>3.6</v>
      </c>
      <c r="W314">
        <f t="shared" si="318"/>
        <v>3.1</v>
      </c>
      <c r="X314" s="9">
        <v>3.0629621</v>
      </c>
    </row>
    <row r="315" spans="1:24" x14ac:dyDescent="0.2">
      <c r="A315" s="41">
        <f t="shared" si="260"/>
        <v>45851.999999999243</v>
      </c>
      <c r="B315" s="42">
        <f t="shared" si="284"/>
        <v>5000</v>
      </c>
      <c r="C315" s="8">
        <v>25000</v>
      </c>
      <c r="D315" s="8">
        <v>0</v>
      </c>
      <c r="E315" s="8">
        <v>700</v>
      </c>
      <c r="F315" s="8">
        <v>7500</v>
      </c>
      <c r="G315" s="42">
        <f t="shared" si="285"/>
        <v>2400</v>
      </c>
      <c r="H315" s="8">
        <v>25000</v>
      </c>
      <c r="I315" s="42">
        <f t="shared" si="286"/>
        <v>5000</v>
      </c>
      <c r="J315" s="8">
        <v>25000</v>
      </c>
      <c r="K315" s="42">
        <f t="shared" si="287"/>
        <v>5000</v>
      </c>
      <c r="L315" s="8">
        <v>25000</v>
      </c>
      <c r="M315" s="9">
        <v>9</v>
      </c>
      <c r="N315" s="9">
        <v>16.100000000000001</v>
      </c>
      <c r="O315" s="9">
        <v>14</v>
      </c>
      <c r="P315" s="9">
        <v>19.5</v>
      </c>
      <c r="Q315" s="92">
        <v>3.0725033000000002</v>
      </c>
      <c r="R315">
        <v>10</v>
      </c>
      <c r="S315">
        <v>1000</v>
      </c>
      <c r="T315" s="4">
        <v>328.43039476330199</v>
      </c>
      <c r="U315">
        <f t="shared" si="258"/>
        <v>3.28430394763302</v>
      </c>
      <c r="V315">
        <f t="shared" ref="V315:W315" si="319">V291</f>
        <v>3</v>
      </c>
      <c r="W315">
        <f t="shared" si="319"/>
        <v>3.2</v>
      </c>
      <c r="X315" s="9">
        <v>3.0725033000000002</v>
      </c>
    </row>
    <row r="316" spans="1:24" x14ac:dyDescent="0.2">
      <c r="A316" s="41">
        <f t="shared" si="260"/>
        <v>45852.041666665908</v>
      </c>
      <c r="B316" s="42">
        <f t="shared" si="284"/>
        <v>5000</v>
      </c>
      <c r="C316" s="8">
        <v>25000</v>
      </c>
      <c r="D316" s="8">
        <v>0</v>
      </c>
      <c r="E316" s="8">
        <v>700</v>
      </c>
      <c r="F316" s="8">
        <v>7500</v>
      </c>
      <c r="G316" s="42">
        <f t="shared" si="285"/>
        <v>2400</v>
      </c>
      <c r="H316" s="8">
        <v>25000</v>
      </c>
      <c r="I316" s="42">
        <f t="shared" si="286"/>
        <v>5000</v>
      </c>
      <c r="J316" s="8">
        <v>25000</v>
      </c>
      <c r="K316" s="42">
        <f t="shared" si="287"/>
        <v>5000</v>
      </c>
      <c r="L316" s="8">
        <v>25000</v>
      </c>
      <c r="M316" s="9">
        <v>9</v>
      </c>
      <c r="N316" s="9">
        <v>16.100000000000001</v>
      </c>
      <c r="O316" s="9">
        <v>14</v>
      </c>
      <c r="P316" s="9">
        <v>19.5</v>
      </c>
      <c r="Q316" s="92">
        <v>3.1082033999999998</v>
      </c>
      <c r="R316">
        <v>10</v>
      </c>
      <c r="S316">
        <v>1000</v>
      </c>
      <c r="T316" s="4">
        <v>318.44246167114238</v>
      </c>
      <c r="U316">
        <f t="shared" si="258"/>
        <v>3.1844246167114236</v>
      </c>
      <c r="V316">
        <f t="shared" ref="V316:W316" si="320">V292</f>
        <v>2.6</v>
      </c>
      <c r="W316">
        <f t="shared" si="320"/>
        <v>3.2</v>
      </c>
      <c r="X316" s="9">
        <v>3.1082033999999998</v>
      </c>
    </row>
    <row r="317" spans="1:24" x14ac:dyDescent="0.2">
      <c r="A317" s="41">
        <f t="shared" si="260"/>
        <v>45852.083333332572</v>
      </c>
      <c r="B317" s="42">
        <f t="shared" si="284"/>
        <v>5000</v>
      </c>
      <c r="C317" s="8">
        <v>25000</v>
      </c>
      <c r="D317" s="8">
        <v>0</v>
      </c>
      <c r="E317" s="8">
        <v>700</v>
      </c>
      <c r="F317" s="8">
        <v>7500</v>
      </c>
      <c r="G317" s="42">
        <f t="shared" si="285"/>
        <v>2400</v>
      </c>
      <c r="H317" s="8">
        <v>25000</v>
      </c>
      <c r="I317" s="42">
        <f t="shared" si="286"/>
        <v>5000</v>
      </c>
      <c r="J317" s="8">
        <v>25000</v>
      </c>
      <c r="K317" s="42">
        <f t="shared" si="287"/>
        <v>5000</v>
      </c>
      <c r="L317" s="8">
        <v>25000</v>
      </c>
      <c r="M317" s="9">
        <v>9</v>
      </c>
      <c r="N317" s="9">
        <v>16.100000000000001</v>
      </c>
      <c r="O317" s="9">
        <v>14</v>
      </c>
      <c r="P317" s="9">
        <v>19.5</v>
      </c>
      <c r="Q317" s="92">
        <v>3.1520370999999998</v>
      </c>
      <c r="R317">
        <v>10</v>
      </c>
      <c r="S317">
        <v>1000</v>
      </c>
      <c r="T317" s="4">
        <v>318.44246167114238</v>
      </c>
      <c r="U317">
        <f t="shared" si="258"/>
        <v>3.1844246167114236</v>
      </c>
      <c r="V317">
        <f t="shared" ref="V317:W317" si="321">V293</f>
        <v>2.8</v>
      </c>
      <c r="W317">
        <f t="shared" si="321"/>
        <v>3.2</v>
      </c>
      <c r="X317" s="9">
        <v>3.1520370999999998</v>
      </c>
    </row>
    <row r="318" spans="1:24" x14ac:dyDescent="0.2">
      <c r="A318" s="41">
        <f t="shared" si="260"/>
        <v>45852.124999999236</v>
      </c>
      <c r="B318" s="42">
        <f t="shared" si="284"/>
        <v>5000</v>
      </c>
      <c r="C318" s="8">
        <v>25000</v>
      </c>
      <c r="D318" s="8">
        <v>0</v>
      </c>
      <c r="E318" s="8">
        <v>700</v>
      </c>
      <c r="F318" s="8">
        <v>7500</v>
      </c>
      <c r="G318" s="42">
        <f t="shared" si="285"/>
        <v>2400</v>
      </c>
      <c r="H318" s="8">
        <v>25000</v>
      </c>
      <c r="I318" s="42">
        <f t="shared" si="286"/>
        <v>5000</v>
      </c>
      <c r="J318" s="8">
        <v>25000</v>
      </c>
      <c r="K318" s="42">
        <f t="shared" si="287"/>
        <v>5000</v>
      </c>
      <c r="L318" s="8">
        <v>25000</v>
      </c>
      <c r="M318" s="9">
        <v>9</v>
      </c>
      <c r="N318" s="9">
        <v>16.100000000000001</v>
      </c>
      <c r="O318" s="9">
        <v>14</v>
      </c>
      <c r="P318" s="9">
        <v>19.5</v>
      </c>
      <c r="Q318" s="92">
        <v>3.1877488999999999</v>
      </c>
      <c r="R318">
        <v>10</v>
      </c>
      <c r="S318">
        <v>1000</v>
      </c>
      <c r="T318" s="4">
        <v>396.47318895363924</v>
      </c>
      <c r="U318">
        <f t="shared" si="258"/>
        <v>3.9647318895363926</v>
      </c>
      <c r="V318">
        <f t="shared" ref="V318:W318" si="322">V294</f>
        <v>2.7</v>
      </c>
      <c r="W318">
        <f t="shared" si="322"/>
        <v>3.2</v>
      </c>
      <c r="X318" s="9">
        <v>3.1877488999999999</v>
      </c>
    </row>
    <row r="319" spans="1:24" x14ac:dyDescent="0.2">
      <c r="A319" s="41">
        <f t="shared" si="260"/>
        <v>45852.1666666659</v>
      </c>
      <c r="B319" s="42">
        <f t="shared" si="284"/>
        <v>5000</v>
      </c>
      <c r="C319" s="8">
        <v>25000</v>
      </c>
      <c r="D319" s="8">
        <v>0</v>
      </c>
      <c r="E319" s="8">
        <v>700</v>
      </c>
      <c r="F319" s="8">
        <v>7500</v>
      </c>
      <c r="G319" s="42">
        <f t="shared" si="285"/>
        <v>2400</v>
      </c>
      <c r="H319" s="8">
        <v>25000</v>
      </c>
      <c r="I319" s="42">
        <f t="shared" si="286"/>
        <v>5000</v>
      </c>
      <c r="J319" s="8">
        <v>25000</v>
      </c>
      <c r="K319" s="42">
        <f t="shared" si="287"/>
        <v>5000</v>
      </c>
      <c r="L319" s="8">
        <v>25000</v>
      </c>
      <c r="M319" s="9">
        <v>9</v>
      </c>
      <c r="N319" s="9">
        <v>16.100000000000001</v>
      </c>
      <c r="O319" s="9">
        <v>14</v>
      </c>
      <c r="P319" s="9">
        <v>19.5</v>
      </c>
      <c r="Q319" s="92">
        <v>3.2085164000000002</v>
      </c>
      <c r="R319">
        <v>10</v>
      </c>
      <c r="S319">
        <v>1000</v>
      </c>
      <c r="T319" s="4">
        <v>466.70084350788647</v>
      </c>
      <c r="U319">
        <f t="shared" si="258"/>
        <v>4.6670084350788645</v>
      </c>
      <c r="V319">
        <f t="shared" ref="V319:W319" si="323">V295</f>
        <v>3</v>
      </c>
      <c r="W319">
        <f t="shared" si="323"/>
        <v>3.1</v>
      </c>
      <c r="X319" s="9">
        <v>3.2085164000000002</v>
      </c>
    </row>
    <row r="320" spans="1:24" x14ac:dyDescent="0.2">
      <c r="A320" s="41">
        <f t="shared" si="260"/>
        <v>45852.208333332565</v>
      </c>
      <c r="B320" s="42">
        <f t="shared" si="284"/>
        <v>5000</v>
      </c>
      <c r="C320" s="8">
        <v>25000</v>
      </c>
      <c r="D320" s="8">
        <v>0</v>
      </c>
      <c r="E320" s="8">
        <v>700</v>
      </c>
      <c r="F320" s="8">
        <v>7500</v>
      </c>
      <c r="G320" s="42">
        <f t="shared" si="285"/>
        <v>2400</v>
      </c>
      <c r="H320" s="8">
        <v>25000</v>
      </c>
      <c r="I320" s="42">
        <f t="shared" si="286"/>
        <v>5000</v>
      </c>
      <c r="J320" s="8">
        <v>25000</v>
      </c>
      <c r="K320" s="42">
        <f t="shared" si="287"/>
        <v>5000</v>
      </c>
      <c r="L320" s="8">
        <v>25000</v>
      </c>
      <c r="M320" s="9">
        <v>9</v>
      </c>
      <c r="N320" s="9">
        <v>16.100000000000001</v>
      </c>
      <c r="O320" s="9">
        <v>14</v>
      </c>
      <c r="P320" s="9">
        <v>19.5</v>
      </c>
      <c r="Q320" s="92">
        <v>3.2694032000000002</v>
      </c>
      <c r="R320">
        <v>10</v>
      </c>
      <c r="S320">
        <v>1000</v>
      </c>
      <c r="T320" s="4">
        <v>466.70084350788647</v>
      </c>
      <c r="U320">
        <f t="shared" si="258"/>
        <v>4.6670084350788645</v>
      </c>
      <c r="V320">
        <f t="shared" ref="V320:W320" si="324">V296</f>
        <v>2.9</v>
      </c>
      <c r="W320">
        <f t="shared" si="324"/>
        <v>3.1</v>
      </c>
      <c r="X320" s="9">
        <v>3.2694032000000002</v>
      </c>
    </row>
    <row r="321" spans="1:24" x14ac:dyDescent="0.2">
      <c r="A321" s="41">
        <f t="shared" si="260"/>
        <v>45852.249999999229</v>
      </c>
      <c r="B321" s="42">
        <f t="shared" si="284"/>
        <v>8000</v>
      </c>
      <c r="C321" s="8">
        <v>25000</v>
      </c>
      <c r="D321" s="8">
        <v>0</v>
      </c>
      <c r="E321" s="8">
        <v>700</v>
      </c>
      <c r="F321" s="8">
        <v>7500</v>
      </c>
      <c r="G321" s="42">
        <f t="shared" si="285"/>
        <v>2400</v>
      </c>
      <c r="H321" s="8">
        <v>25000</v>
      </c>
      <c r="I321" s="42">
        <f t="shared" si="286"/>
        <v>8000</v>
      </c>
      <c r="J321" s="8">
        <v>25000</v>
      </c>
      <c r="K321" s="42">
        <f t="shared" si="287"/>
        <v>8000</v>
      </c>
      <c r="L321" s="8">
        <v>25000</v>
      </c>
      <c r="M321" s="9">
        <v>9</v>
      </c>
      <c r="N321" s="9">
        <v>16.100000000000001</v>
      </c>
      <c r="O321" s="9">
        <v>14</v>
      </c>
      <c r="P321" s="9">
        <v>19.5</v>
      </c>
      <c r="Q321" s="92">
        <v>3.3373686999999999</v>
      </c>
      <c r="R321">
        <v>10</v>
      </c>
      <c r="S321">
        <v>1000</v>
      </c>
      <c r="T321" s="4">
        <v>362.76391476760062</v>
      </c>
      <c r="U321">
        <f t="shared" si="258"/>
        <v>3.6276391476760064</v>
      </c>
      <c r="V321">
        <f t="shared" ref="V321:W321" si="325">V297</f>
        <v>2.5</v>
      </c>
      <c r="W321">
        <f t="shared" si="325"/>
        <v>3.1</v>
      </c>
      <c r="X321" s="9">
        <v>3.3373686999999999</v>
      </c>
    </row>
    <row r="322" spans="1:24" x14ac:dyDescent="0.2">
      <c r="A322" s="41">
        <f t="shared" si="260"/>
        <v>45852.291666665893</v>
      </c>
      <c r="B322" s="42">
        <f t="shared" si="284"/>
        <v>8000</v>
      </c>
      <c r="C322" s="8">
        <v>25000</v>
      </c>
      <c r="D322" s="8">
        <v>0</v>
      </c>
      <c r="E322" s="8">
        <v>700</v>
      </c>
      <c r="F322" s="8">
        <v>7500</v>
      </c>
      <c r="G322" s="42">
        <f t="shared" si="285"/>
        <v>2400</v>
      </c>
      <c r="H322" s="8">
        <v>25000</v>
      </c>
      <c r="I322" s="42">
        <f t="shared" si="286"/>
        <v>8000</v>
      </c>
      <c r="J322" s="8">
        <v>25000</v>
      </c>
      <c r="K322" s="42">
        <f t="shared" si="287"/>
        <v>8000</v>
      </c>
      <c r="L322" s="8">
        <v>25000</v>
      </c>
      <c r="M322" s="9">
        <v>9</v>
      </c>
      <c r="N322" s="9">
        <v>16.100000000000001</v>
      </c>
      <c r="O322" s="9">
        <v>14</v>
      </c>
      <c r="P322" s="9">
        <v>19.5</v>
      </c>
      <c r="Q322" s="92">
        <v>3.3441931999999999</v>
      </c>
      <c r="R322">
        <v>10</v>
      </c>
      <c r="S322">
        <v>1000</v>
      </c>
      <c r="T322" s="4">
        <v>369.00637295020039</v>
      </c>
      <c r="U322">
        <f t="shared" si="258"/>
        <v>3.690063729502004</v>
      </c>
      <c r="V322">
        <f t="shared" ref="V322:W322" si="326">V298</f>
        <v>2.5</v>
      </c>
      <c r="W322">
        <f t="shared" si="326"/>
        <v>3.1</v>
      </c>
      <c r="X322" s="9">
        <v>3.3441931999999999</v>
      </c>
    </row>
    <row r="323" spans="1:24" x14ac:dyDescent="0.2">
      <c r="A323" s="41">
        <f t="shared" si="260"/>
        <v>45852.333333332557</v>
      </c>
      <c r="B323" s="42">
        <f t="shared" si="284"/>
        <v>8000</v>
      </c>
      <c r="C323" s="8">
        <v>25000</v>
      </c>
      <c r="D323" s="8">
        <v>0</v>
      </c>
      <c r="E323" s="8">
        <v>700</v>
      </c>
      <c r="F323" s="8">
        <v>7500</v>
      </c>
      <c r="G323" s="42">
        <f t="shared" si="285"/>
        <v>2400</v>
      </c>
      <c r="H323" s="8">
        <v>25000</v>
      </c>
      <c r="I323" s="42">
        <f t="shared" si="286"/>
        <v>8000</v>
      </c>
      <c r="J323" s="8">
        <v>25000</v>
      </c>
      <c r="K323" s="42">
        <f t="shared" si="287"/>
        <v>8000</v>
      </c>
      <c r="L323" s="8">
        <v>25000</v>
      </c>
      <c r="M323" s="9">
        <v>9</v>
      </c>
      <c r="N323" s="9">
        <v>16.100000000000001</v>
      </c>
      <c r="O323" s="9">
        <v>14</v>
      </c>
      <c r="P323" s="9">
        <v>19.5</v>
      </c>
      <c r="Q323" s="92">
        <v>3.3921986</v>
      </c>
      <c r="R323">
        <v>10</v>
      </c>
      <c r="S323">
        <v>1000</v>
      </c>
      <c r="T323" s="4">
        <v>386.17313295234976</v>
      </c>
      <c r="U323">
        <f t="shared" si="258"/>
        <v>3.8617313295234976</v>
      </c>
      <c r="V323">
        <f t="shared" ref="V323:W323" si="327">V299</f>
        <v>3.2</v>
      </c>
      <c r="W323">
        <f t="shared" si="327"/>
        <v>3</v>
      </c>
      <c r="X323" s="9">
        <v>3.3921986</v>
      </c>
    </row>
    <row r="324" spans="1:24" x14ac:dyDescent="0.2">
      <c r="A324" s="41">
        <f t="shared" si="260"/>
        <v>45852.374999999221</v>
      </c>
      <c r="B324" s="42">
        <f t="shared" si="284"/>
        <v>8000</v>
      </c>
      <c r="C324" s="8">
        <v>25000</v>
      </c>
      <c r="D324" s="8">
        <v>0</v>
      </c>
      <c r="E324" s="8">
        <v>700</v>
      </c>
      <c r="F324" s="8">
        <v>7500</v>
      </c>
      <c r="G324" s="42">
        <f t="shared" si="285"/>
        <v>2400</v>
      </c>
      <c r="H324" s="8">
        <v>25000</v>
      </c>
      <c r="I324" s="42">
        <f t="shared" si="286"/>
        <v>8000</v>
      </c>
      <c r="J324" s="8">
        <v>25000</v>
      </c>
      <c r="K324" s="42">
        <f t="shared" si="287"/>
        <v>8000</v>
      </c>
      <c r="L324" s="8">
        <v>25000</v>
      </c>
      <c r="M324" s="9">
        <v>9</v>
      </c>
      <c r="N324" s="9">
        <v>16.100000000000001</v>
      </c>
      <c r="O324" s="9">
        <v>14</v>
      </c>
      <c r="P324" s="9">
        <v>19.5</v>
      </c>
      <c r="Q324" s="92">
        <v>3.4679739000000001</v>
      </c>
      <c r="R324">
        <v>10</v>
      </c>
      <c r="S324">
        <v>1000</v>
      </c>
      <c r="T324" s="4">
        <v>364.32452931325059</v>
      </c>
      <c r="U324">
        <f t="shared" ref="U324:U387" si="328">T324/100</f>
        <v>3.6432452931325061</v>
      </c>
      <c r="V324">
        <f t="shared" ref="V324:W324" si="329">V300</f>
        <v>2.9</v>
      </c>
      <c r="W324">
        <f t="shared" si="329"/>
        <v>3</v>
      </c>
      <c r="X324" s="9">
        <v>3.4679739000000001</v>
      </c>
    </row>
    <row r="325" spans="1:24" x14ac:dyDescent="0.2">
      <c r="A325" s="41">
        <f t="shared" ref="A325:A388" si="330">A324+TIME(1,0,0)</f>
        <v>45852.416666665886</v>
      </c>
      <c r="B325" s="42">
        <f t="shared" si="284"/>
        <v>8000</v>
      </c>
      <c r="C325" s="8">
        <v>25000</v>
      </c>
      <c r="D325" s="8">
        <v>0</v>
      </c>
      <c r="E325" s="8">
        <v>700</v>
      </c>
      <c r="F325" s="8">
        <v>7500</v>
      </c>
      <c r="G325" s="42">
        <f t="shared" si="285"/>
        <v>2400</v>
      </c>
      <c r="H325" s="8">
        <v>25000</v>
      </c>
      <c r="I325" s="42">
        <f t="shared" si="286"/>
        <v>8000</v>
      </c>
      <c r="J325" s="8">
        <v>25000</v>
      </c>
      <c r="K325" s="42">
        <f t="shared" si="287"/>
        <v>8000</v>
      </c>
      <c r="L325" s="8">
        <v>25000</v>
      </c>
      <c r="M325" s="9">
        <v>9</v>
      </c>
      <c r="N325" s="9">
        <v>16.100000000000001</v>
      </c>
      <c r="O325" s="9">
        <v>14</v>
      </c>
      <c r="P325" s="9">
        <v>19.5</v>
      </c>
      <c r="Q325" s="92">
        <v>3.4776688</v>
      </c>
      <c r="R325">
        <v>10</v>
      </c>
      <c r="S325">
        <v>1000</v>
      </c>
      <c r="T325" s="4">
        <v>343.41229440154143</v>
      </c>
      <c r="U325">
        <f t="shared" si="328"/>
        <v>3.4341229440154142</v>
      </c>
      <c r="V325">
        <f t="shared" ref="V325:W325" si="331">V301</f>
        <v>2.9</v>
      </c>
      <c r="W325">
        <f t="shared" si="331"/>
        <v>3</v>
      </c>
      <c r="X325" s="9">
        <v>3.4776688</v>
      </c>
    </row>
    <row r="326" spans="1:24" x14ac:dyDescent="0.2">
      <c r="A326" s="41">
        <f t="shared" si="330"/>
        <v>45852.45833333255</v>
      </c>
      <c r="B326" s="42">
        <f t="shared" si="284"/>
        <v>8000</v>
      </c>
      <c r="C326" s="8">
        <v>25000</v>
      </c>
      <c r="D326" s="8">
        <v>0</v>
      </c>
      <c r="E326" s="8">
        <v>700</v>
      </c>
      <c r="F326" s="8">
        <v>7500</v>
      </c>
      <c r="G326" s="42">
        <f t="shared" si="285"/>
        <v>2400</v>
      </c>
      <c r="H326" s="8">
        <v>25000</v>
      </c>
      <c r="I326" s="42">
        <f t="shared" si="286"/>
        <v>8000</v>
      </c>
      <c r="J326" s="8">
        <v>25000</v>
      </c>
      <c r="K326" s="42">
        <f t="shared" si="287"/>
        <v>8000</v>
      </c>
      <c r="L326" s="8">
        <v>25000</v>
      </c>
      <c r="M326" s="9">
        <v>9</v>
      </c>
      <c r="N326" s="9">
        <v>16.100000000000001</v>
      </c>
      <c r="O326" s="9">
        <v>14</v>
      </c>
      <c r="P326" s="9">
        <v>19.5</v>
      </c>
      <c r="Q326" s="92">
        <v>3.3313291</v>
      </c>
      <c r="R326">
        <v>10</v>
      </c>
      <c r="S326">
        <v>1000</v>
      </c>
      <c r="T326" s="4">
        <v>340.29106531024155</v>
      </c>
      <c r="U326">
        <f t="shared" si="328"/>
        <v>3.4029106531024156</v>
      </c>
      <c r="V326">
        <f t="shared" ref="V326:W326" si="332">V302</f>
        <v>3.4</v>
      </c>
      <c r="W326">
        <f t="shared" si="332"/>
        <v>3</v>
      </c>
      <c r="X326" s="9">
        <v>3.3313291</v>
      </c>
    </row>
    <row r="327" spans="1:24" x14ac:dyDescent="0.2">
      <c r="A327" s="41">
        <f t="shared" si="330"/>
        <v>45852.499999999214</v>
      </c>
      <c r="B327" s="42">
        <f t="shared" si="284"/>
        <v>8000</v>
      </c>
      <c r="C327" s="8">
        <v>25000</v>
      </c>
      <c r="D327" s="8">
        <v>0</v>
      </c>
      <c r="E327" s="8">
        <v>700</v>
      </c>
      <c r="F327" s="8">
        <v>7500</v>
      </c>
      <c r="G327" s="42">
        <f t="shared" si="285"/>
        <v>2400</v>
      </c>
      <c r="H327" s="8">
        <v>25000</v>
      </c>
      <c r="I327" s="42">
        <f t="shared" si="286"/>
        <v>8000</v>
      </c>
      <c r="J327" s="8">
        <v>25000</v>
      </c>
      <c r="K327" s="42">
        <f t="shared" si="287"/>
        <v>8000</v>
      </c>
      <c r="L327" s="8">
        <v>25000</v>
      </c>
      <c r="M327" s="9">
        <v>9</v>
      </c>
      <c r="N327" s="9">
        <v>16.100000000000001</v>
      </c>
      <c r="O327" s="9">
        <v>14</v>
      </c>
      <c r="P327" s="9">
        <v>19.5</v>
      </c>
      <c r="Q327" s="92">
        <v>3.1521602</v>
      </c>
      <c r="R327">
        <v>10</v>
      </c>
      <c r="S327">
        <v>1000</v>
      </c>
      <c r="T327" s="4">
        <v>369.94274167759033</v>
      </c>
      <c r="U327">
        <f t="shared" si="328"/>
        <v>3.6994274167759031</v>
      </c>
      <c r="V327">
        <f t="shared" ref="V327:W327" si="333">V303</f>
        <v>3.1</v>
      </c>
      <c r="W327">
        <f t="shared" si="333"/>
        <v>2.9</v>
      </c>
      <c r="X327" s="9">
        <v>3.1521602</v>
      </c>
    </row>
    <row r="328" spans="1:24" x14ac:dyDescent="0.2">
      <c r="A328" s="41">
        <f t="shared" si="330"/>
        <v>45852.541666665878</v>
      </c>
      <c r="B328" s="42">
        <f t="shared" si="284"/>
        <v>8000</v>
      </c>
      <c r="C328" s="8">
        <v>25000</v>
      </c>
      <c r="D328" s="8">
        <v>0</v>
      </c>
      <c r="E328" s="8">
        <v>700</v>
      </c>
      <c r="F328" s="8">
        <v>7500</v>
      </c>
      <c r="G328" s="42">
        <f t="shared" si="285"/>
        <v>2400</v>
      </c>
      <c r="H328" s="8">
        <v>25000</v>
      </c>
      <c r="I328" s="42">
        <f t="shared" si="286"/>
        <v>8000</v>
      </c>
      <c r="J328" s="8">
        <v>25000</v>
      </c>
      <c r="K328" s="42">
        <f t="shared" si="287"/>
        <v>8000</v>
      </c>
      <c r="L328" s="8">
        <v>25000</v>
      </c>
      <c r="M328" s="9">
        <v>9</v>
      </c>
      <c r="N328" s="9">
        <v>16.100000000000001</v>
      </c>
      <c r="O328" s="9">
        <v>14</v>
      </c>
      <c r="P328" s="9">
        <v>19.5</v>
      </c>
      <c r="Q328" s="92">
        <v>2.9717932</v>
      </c>
      <c r="R328">
        <v>10</v>
      </c>
      <c r="S328">
        <v>1000</v>
      </c>
      <c r="T328" s="4">
        <v>402.40414847292726</v>
      </c>
      <c r="U328">
        <f t="shared" si="328"/>
        <v>4.0240414847292723</v>
      </c>
      <c r="V328">
        <f t="shared" ref="V328:W328" si="334">V304</f>
        <v>3.2</v>
      </c>
      <c r="W328">
        <f t="shared" si="334"/>
        <v>2.9</v>
      </c>
      <c r="X328" s="9">
        <v>2.9717932</v>
      </c>
    </row>
    <row r="329" spans="1:24" x14ac:dyDescent="0.2">
      <c r="A329" s="41">
        <f t="shared" si="330"/>
        <v>45852.583333332543</v>
      </c>
      <c r="B329" s="42">
        <f t="shared" si="284"/>
        <v>8000</v>
      </c>
      <c r="C329" s="8">
        <v>25000</v>
      </c>
      <c r="D329" s="8">
        <v>0</v>
      </c>
      <c r="E329" s="8">
        <v>700</v>
      </c>
      <c r="F329" s="8">
        <v>7500</v>
      </c>
      <c r="G329" s="42">
        <f t="shared" si="285"/>
        <v>2400</v>
      </c>
      <c r="H329" s="8">
        <v>25000</v>
      </c>
      <c r="I329" s="42">
        <f t="shared" si="286"/>
        <v>8000</v>
      </c>
      <c r="J329" s="8">
        <v>25000</v>
      </c>
      <c r="K329" s="42">
        <f t="shared" si="287"/>
        <v>8000</v>
      </c>
      <c r="L329" s="8">
        <v>25000</v>
      </c>
      <c r="M329" s="9">
        <v>9</v>
      </c>
      <c r="N329" s="9">
        <v>16.100000000000001</v>
      </c>
      <c r="O329" s="9">
        <v>14</v>
      </c>
      <c r="P329" s="9">
        <v>19.5</v>
      </c>
      <c r="Q329" s="92">
        <v>3.0162488999999999</v>
      </c>
      <c r="R329">
        <v>10</v>
      </c>
      <c r="S329">
        <v>1000</v>
      </c>
      <c r="T329" s="4">
        <v>655.22245637658079</v>
      </c>
      <c r="U329">
        <f t="shared" si="328"/>
        <v>6.5522245637658081</v>
      </c>
      <c r="V329">
        <f t="shared" ref="V329:W329" si="335">V305</f>
        <v>3.5</v>
      </c>
      <c r="W329">
        <f t="shared" si="335"/>
        <v>2.9</v>
      </c>
      <c r="X329" s="9">
        <v>3.0162488999999999</v>
      </c>
    </row>
    <row r="330" spans="1:24" x14ac:dyDescent="0.2">
      <c r="A330" s="41">
        <f t="shared" si="330"/>
        <v>45852.624999999207</v>
      </c>
      <c r="B330" s="42">
        <f t="shared" si="284"/>
        <v>8000</v>
      </c>
      <c r="C330" s="8">
        <v>25000</v>
      </c>
      <c r="D330" s="8">
        <v>0</v>
      </c>
      <c r="E330" s="8">
        <v>700</v>
      </c>
      <c r="F330" s="8">
        <v>7500</v>
      </c>
      <c r="G330" s="42">
        <f t="shared" si="285"/>
        <v>2400</v>
      </c>
      <c r="H330" s="8">
        <v>25000</v>
      </c>
      <c r="I330" s="42">
        <f t="shared" si="286"/>
        <v>8000</v>
      </c>
      <c r="J330" s="8">
        <v>25000</v>
      </c>
      <c r="K330" s="42">
        <f t="shared" si="287"/>
        <v>8000</v>
      </c>
      <c r="L330" s="8">
        <v>25000</v>
      </c>
      <c r="M330" s="9">
        <v>9</v>
      </c>
      <c r="N330" s="9">
        <v>16.100000000000001</v>
      </c>
      <c r="O330" s="9">
        <v>14</v>
      </c>
      <c r="P330" s="9">
        <v>19.5</v>
      </c>
      <c r="Q330" s="92">
        <v>3.3406085999999999</v>
      </c>
      <c r="R330">
        <v>10</v>
      </c>
      <c r="S330">
        <v>1000</v>
      </c>
      <c r="T330" s="4">
        <v>753.54117275252679</v>
      </c>
      <c r="U330">
        <f t="shared" si="328"/>
        <v>7.5354117275252683</v>
      </c>
      <c r="V330">
        <f t="shared" ref="V330:W330" si="336">V306</f>
        <v>3.2</v>
      </c>
      <c r="W330">
        <f t="shared" si="336"/>
        <v>2.9</v>
      </c>
      <c r="X330" s="9">
        <v>3.3406085999999999</v>
      </c>
    </row>
    <row r="331" spans="1:24" x14ac:dyDescent="0.2">
      <c r="A331" s="41">
        <f t="shared" si="330"/>
        <v>45852.666666665871</v>
      </c>
      <c r="B331" s="42">
        <f t="shared" si="284"/>
        <v>8000</v>
      </c>
      <c r="C331" s="8">
        <v>25000</v>
      </c>
      <c r="D331" s="8">
        <v>0</v>
      </c>
      <c r="E331" s="8">
        <v>700</v>
      </c>
      <c r="F331" s="8">
        <v>7500</v>
      </c>
      <c r="G331" s="42">
        <f t="shared" si="285"/>
        <v>2400</v>
      </c>
      <c r="H331" s="8">
        <v>25000</v>
      </c>
      <c r="I331" s="42">
        <f t="shared" si="286"/>
        <v>8000</v>
      </c>
      <c r="J331" s="8">
        <v>25000</v>
      </c>
      <c r="K331" s="42">
        <f t="shared" si="287"/>
        <v>8000</v>
      </c>
      <c r="L331" s="8">
        <v>25000</v>
      </c>
      <c r="M331" s="9">
        <v>9</v>
      </c>
      <c r="N331" s="9">
        <v>16.100000000000001</v>
      </c>
      <c r="O331" s="9">
        <v>14</v>
      </c>
      <c r="P331" s="9">
        <v>19.5</v>
      </c>
      <c r="Q331" s="92">
        <v>3.2092195000000001</v>
      </c>
      <c r="R331">
        <v>10</v>
      </c>
      <c r="S331">
        <v>1000</v>
      </c>
      <c r="T331" s="4">
        <v>974.21206950742805</v>
      </c>
      <c r="U331">
        <f t="shared" si="328"/>
        <v>9.7421206950742807</v>
      </c>
      <c r="V331">
        <f t="shared" ref="V331:W331" si="337">V307</f>
        <v>3.5</v>
      </c>
      <c r="W331">
        <f t="shared" si="337"/>
        <v>3</v>
      </c>
      <c r="X331" s="9">
        <v>3.2092195000000001</v>
      </c>
    </row>
    <row r="332" spans="1:24" x14ac:dyDescent="0.2">
      <c r="A332" s="41">
        <f t="shared" si="330"/>
        <v>45852.708333332535</v>
      </c>
      <c r="B332" s="42">
        <f t="shared" si="284"/>
        <v>8000</v>
      </c>
      <c r="C332" s="8">
        <v>25000</v>
      </c>
      <c r="D332" s="8">
        <v>0</v>
      </c>
      <c r="E332" s="8">
        <v>700</v>
      </c>
      <c r="F332" s="8">
        <v>7500</v>
      </c>
      <c r="G332" s="42">
        <f t="shared" si="285"/>
        <v>2400</v>
      </c>
      <c r="H332" s="8">
        <v>25000</v>
      </c>
      <c r="I332" s="42">
        <f t="shared" si="286"/>
        <v>8000</v>
      </c>
      <c r="J332" s="8">
        <v>25000</v>
      </c>
      <c r="K332" s="42">
        <f t="shared" si="287"/>
        <v>8000</v>
      </c>
      <c r="L332" s="8">
        <v>25000</v>
      </c>
      <c r="M332" s="9">
        <v>9</v>
      </c>
      <c r="N332" s="9">
        <v>16.100000000000001</v>
      </c>
      <c r="O332" s="9">
        <v>14</v>
      </c>
      <c r="P332" s="9">
        <v>19.5</v>
      </c>
      <c r="Q332" s="92">
        <v>3.1362424</v>
      </c>
      <c r="R332">
        <v>10</v>
      </c>
      <c r="S332">
        <v>1000</v>
      </c>
      <c r="T332" s="4">
        <v>1241.0771568135674</v>
      </c>
      <c r="U332">
        <f t="shared" si="328"/>
        <v>12.410771568135674</v>
      </c>
      <c r="V332">
        <f t="shared" ref="V332:W332" si="338">V308</f>
        <v>3.6</v>
      </c>
      <c r="W332">
        <f t="shared" si="338"/>
        <v>3</v>
      </c>
      <c r="X332" s="9">
        <v>3.1362424</v>
      </c>
    </row>
    <row r="333" spans="1:24" x14ac:dyDescent="0.2">
      <c r="A333" s="41">
        <f t="shared" si="330"/>
        <v>45852.7499999992</v>
      </c>
      <c r="B333" s="42">
        <f t="shared" si="284"/>
        <v>5000</v>
      </c>
      <c r="C333" s="8">
        <v>25000</v>
      </c>
      <c r="D333" s="8">
        <v>0</v>
      </c>
      <c r="E333" s="8">
        <v>700</v>
      </c>
      <c r="F333" s="8">
        <v>7500</v>
      </c>
      <c r="G333" s="42">
        <f t="shared" si="285"/>
        <v>2400</v>
      </c>
      <c r="H333" s="8">
        <v>25000</v>
      </c>
      <c r="I333" s="42">
        <f t="shared" si="286"/>
        <v>5000</v>
      </c>
      <c r="J333" s="8">
        <v>25000</v>
      </c>
      <c r="K333" s="42">
        <f t="shared" si="287"/>
        <v>5000</v>
      </c>
      <c r="L333" s="8">
        <v>25000</v>
      </c>
      <c r="M333" s="9">
        <v>9</v>
      </c>
      <c r="N333" s="9">
        <v>16.100000000000001</v>
      </c>
      <c r="O333" s="9">
        <v>14</v>
      </c>
      <c r="P333" s="9">
        <v>19.5</v>
      </c>
      <c r="Q333" s="92">
        <v>3.1206634000000002</v>
      </c>
      <c r="R333">
        <v>10</v>
      </c>
      <c r="S333">
        <v>1000</v>
      </c>
      <c r="T333" s="4">
        <v>1284.7743640917656</v>
      </c>
      <c r="U333">
        <f t="shared" si="328"/>
        <v>12.847743640917656</v>
      </c>
      <c r="V333">
        <f t="shared" ref="V333:W333" si="339">V309</f>
        <v>2.9</v>
      </c>
      <c r="W333">
        <f t="shared" si="339"/>
        <v>3</v>
      </c>
      <c r="X333" s="9">
        <v>3.1206634000000002</v>
      </c>
    </row>
    <row r="334" spans="1:24" x14ac:dyDescent="0.2">
      <c r="A334" s="41">
        <f t="shared" si="330"/>
        <v>45852.791666665864</v>
      </c>
      <c r="B334" s="42">
        <f t="shared" si="284"/>
        <v>5000</v>
      </c>
      <c r="C334" s="8">
        <v>25000</v>
      </c>
      <c r="D334" s="8">
        <v>0</v>
      </c>
      <c r="E334" s="8">
        <v>700</v>
      </c>
      <c r="F334" s="8">
        <v>7500</v>
      </c>
      <c r="G334" s="42">
        <f t="shared" si="285"/>
        <v>2400</v>
      </c>
      <c r="H334" s="8">
        <v>25000</v>
      </c>
      <c r="I334" s="42">
        <f t="shared" si="286"/>
        <v>5000</v>
      </c>
      <c r="J334" s="8">
        <v>25000</v>
      </c>
      <c r="K334" s="42">
        <f t="shared" si="287"/>
        <v>5000</v>
      </c>
      <c r="L334" s="8">
        <v>25000</v>
      </c>
      <c r="M334" s="9">
        <v>9</v>
      </c>
      <c r="N334" s="9">
        <v>16.100000000000001</v>
      </c>
      <c r="O334" s="9">
        <v>14</v>
      </c>
      <c r="P334" s="9">
        <v>19.5</v>
      </c>
      <c r="Q334" s="92">
        <v>3.0767430999999998</v>
      </c>
      <c r="R334">
        <v>10</v>
      </c>
      <c r="S334">
        <v>1000</v>
      </c>
      <c r="T334" s="4">
        <v>1281.6531350004659</v>
      </c>
      <c r="U334">
        <f t="shared" si="328"/>
        <v>12.816531350004659</v>
      </c>
      <c r="V334">
        <f t="shared" ref="V334:W334" si="340">V310</f>
        <v>3</v>
      </c>
      <c r="W334">
        <f t="shared" si="340"/>
        <v>3</v>
      </c>
      <c r="X334" s="9">
        <v>3.0767430999999998</v>
      </c>
    </row>
    <row r="335" spans="1:24" x14ac:dyDescent="0.2">
      <c r="A335" s="41">
        <f t="shared" si="330"/>
        <v>45852.833333332528</v>
      </c>
      <c r="B335" s="42">
        <f t="shared" si="284"/>
        <v>5000</v>
      </c>
      <c r="C335" s="8">
        <v>25000</v>
      </c>
      <c r="D335" s="8">
        <v>0</v>
      </c>
      <c r="E335" s="8">
        <v>700</v>
      </c>
      <c r="F335" s="8">
        <v>7500</v>
      </c>
      <c r="G335" s="42">
        <f t="shared" si="285"/>
        <v>2400</v>
      </c>
      <c r="H335" s="8">
        <v>25000</v>
      </c>
      <c r="I335" s="42">
        <f t="shared" si="286"/>
        <v>5000</v>
      </c>
      <c r="J335" s="8">
        <v>25000</v>
      </c>
      <c r="K335" s="42">
        <f t="shared" si="287"/>
        <v>5000</v>
      </c>
      <c r="L335" s="8">
        <v>25000</v>
      </c>
      <c r="M335" s="9">
        <v>9</v>
      </c>
      <c r="N335" s="9">
        <v>16.100000000000001</v>
      </c>
      <c r="O335" s="9">
        <v>14</v>
      </c>
      <c r="P335" s="9">
        <v>19.5</v>
      </c>
      <c r="Q335" s="92">
        <v>3.0372484000000002</v>
      </c>
      <c r="R335">
        <v>10</v>
      </c>
      <c r="S335">
        <v>1000</v>
      </c>
      <c r="T335" s="4">
        <v>1237.9559277222675</v>
      </c>
      <c r="U335">
        <f t="shared" si="328"/>
        <v>12.379559277222675</v>
      </c>
      <c r="V335">
        <f t="shared" ref="V335:W335" si="341">V311</f>
        <v>2.8</v>
      </c>
      <c r="W335">
        <f t="shared" si="341"/>
        <v>3.1</v>
      </c>
      <c r="X335" s="9">
        <v>3.0372484000000002</v>
      </c>
    </row>
    <row r="336" spans="1:24" x14ac:dyDescent="0.2">
      <c r="A336" s="41">
        <f t="shared" si="330"/>
        <v>45852.874999999192</v>
      </c>
      <c r="B336" s="42">
        <f t="shared" si="284"/>
        <v>5000</v>
      </c>
      <c r="C336" s="8">
        <v>25000</v>
      </c>
      <c r="D336" s="8">
        <v>0</v>
      </c>
      <c r="E336" s="8">
        <v>700</v>
      </c>
      <c r="F336" s="8">
        <v>7500</v>
      </c>
      <c r="G336" s="42">
        <f t="shared" si="285"/>
        <v>2400</v>
      </c>
      <c r="H336" s="8">
        <v>25000</v>
      </c>
      <c r="I336" s="42">
        <f t="shared" si="286"/>
        <v>5000</v>
      </c>
      <c r="J336" s="8">
        <v>25000</v>
      </c>
      <c r="K336" s="42">
        <f t="shared" si="287"/>
        <v>5000</v>
      </c>
      <c r="L336" s="8">
        <v>25000</v>
      </c>
      <c r="M336" s="9">
        <v>9</v>
      </c>
      <c r="N336" s="9">
        <v>16.100000000000001</v>
      </c>
      <c r="O336" s="9">
        <v>14</v>
      </c>
      <c r="P336" s="9">
        <v>19.5</v>
      </c>
      <c r="Q336" s="92">
        <v>2.9969695000000001</v>
      </c>
      <c r="R336">
        <v>10</v>
      </c>
      <c r="S336">
        <v>1000</v>
      </c>
      <c r="T336" s="4">
        <v>1142.7584404376212</v>
      </c>
      <c r="U336">
        <f t="shared" si="328"/>
        <v>11.427584404376212</v>
      </c>
      <c r="V336">
        <f t="shared" ref="V336:W336" si="342">V312</f>
        <v>3.5</v>
      </c>
      <c r="W336">
        <f t="shared" si="342"/>
        <v>3.1</v>
      </c>
      <c r="X336" s="9">
        <v>2.9969695000000001</v>
      </c>
    </row>
    <row r="337" spans="1:24" x14ac:dyDescent="0.2">
      <c r="A337" s="41">
        <f t="shared" si="330"/>
        <v>45852.916666665857</v>
      </c>
      <c r="B337" s="42">
        <f t="shared" si="284"/>
        <v>5000</v>
      </c>
      <c r="C337" s="8">
        <v>25000</v>
      </c>
      <c r="D337" s="8">
        <v>0</v>
      </c>
      <c r="E337" s="8">
        <v>700</v>
      </c>
      <c r="F337" s="8">
        <v>7500</v>
      </c>
      <c r="G337" s="42">
        <f t="shared" si="285"/>
        <v>2400</v>
      </c>
      <c r="H337" s="8">
        <v>25000</v>
      </c>
      <c r="I337" s="42">
        <f t="shared" si="286"/>
        <v>5000</v>
      </c>
      <c r="J337" s="8">
        <v>25000</v>
      </c>
      <c r="K337" s="42">
        <f t="shared" si="287"/>
        <v>5000</v>
      </c>
      <c r="L337" s="8">
        <v>25000</v>
      </c>
      <c r="M337" s="9">
        <v>9</v>
      </c>
      <c r="N337" s="9">
        <v>16.100000000000001</v>
      </c>
      <c r="O337" s="9">
        <v>14</v>
      </c>
      <c r="P337" s="9">
        <v>19.5</v>
      </c>
      <c r="Q337" s="92">
        <v>2.9482148000000001</v>
      </c>
      <c r="R337">
        <v>10</v>
      </c>
      <c r="S337">
        <v>1000</v>
      </c>
      <c r="T337" s="4">
        <v>918.02994586403031</v>
      </c>
      <c r="U337">
        <f t="shared" si="328"/>
        <v>9.1802994586403024</v>
      </c>
      <c r="V337">
        <f t="shared" ref="V337:W337" si="343">V313</f>
        <v>2.9</v>
      </c>
      <c r="W337">
        <f t="shared" si="343"/>
        <v>3.1</v>
      </c>
      <c r="X337" s="9">
        <v>2.9482148000000001</v>
      </c>
    </row>
    <row r="338" spans="1:24" x14ac:dyDescent="0.2">
      <c r="A338" s="41">
        <f t="shared" si="330"/>
        <v>45852.958333332521</v>
      </c>
      <c r="B338" s="42">
        <f t="shared" si="284"/>
        <v>5000</v>
      </c>
      <c r="C338" s="8">
        <v>25000</v>
      </c>
      <c r="D338" s="8">
        <v>0</v>
      </c>
      <c r="E338" s="8">
        <v>700</v>
      </c>
      <c r="F338" s="8">
        <v>7500</v>
      </c>
      <c r="G338" s="42">
        <f t="shared" si="285"/>
        <v>2400</v>
      </c>
      <c r="H338" s="8">
        <v>25000</v>
      </c>
      <c r="I338" s="42">
        <f t="shared" si="286"/>
        <v>5000</v>
      </c>
      <c r="J338" s="8">
        <v>25000</v>
      </c>
      <c r="K338" s="42">
        <f t="shared" si="287"/>
        <v>5000</v>
      </c>
      <c r="L338" s="8">
        <v>25000</v>
      </c>
      <c r="M338" s="9">
        <v>9</v>
      </c>
      <c r="N338" s="9">
        <v>16.100000000000001</v>
      </c>
      <c r="O338" s="9">
        <v>14</v>
      </c>
      <c r="P338" s="9">
        <v>19.5</v>
      </c>
      <c r="Q338" s="92">
        <v>2.8418713000000002</v>
      </c>
      <c r="R338">
        <v>10</v>
      </c>
      <c r="S338">
        <v>1000</v>
      </c>
      <c r="T338" s="4">
        <v>562.52257661079261</v>
      </c>
      <c r="U338">
        <f t="shared" si="328"/>
        <v>5.6252257661079259</v>
      </c>
      <c r="V338">
        <f t="shared" ref="V338:W338" si="344">V314</f>
        <v>3.6</v>
      </c>
      <c r="W338">
        <f t="shared" si="344"/>
        <v>3.1</v>
      </c>
      <c r="X338" s="9">
        <v>2.8418713000000002</v>
      </c>
    </row>
    <row r="339" spans="1:24" x14ac:dyDescent="0.2">
      <c r="A339" s="41">
        <f t="shared" si="330"/>
        <v>45852.999999999185</v>
      </c>
      <c r="B339" s="42">
        <f t="shared" si="284"/>
        <v>5000</v>
      </c>
      <c r="C339" s="8">
        <v>25000</v>
      </c>
      <c r="D339" s="8">
        <v>0</v>
      </c>
      <c r="E339" s="8">
        <v>700</v>
      </c>
      <c r="F339" s="8">
        <v>7500</v>
      </c>
      <c r="G339" s="42">
        <f t="shared" si="285"/>
        <v>2400</v>
      </c>
      <c r="H339" s="8">
        <v>25000</v>
      </c>
      <c r="I339" s="42">
        <f t="shared" si="286"/>
        <v>5000</v>
      </c>
      <c r="J339" s="8">
        <v>25000</v>
      </c>
      <c r="K339" s="42">
        <f t="shared" si="287"/>
        <v>5000</v>
      </c>
      <c r="L339" s="8">
        <v>25000</v>
      </c>
      <c r="M339" s="9">
        <v>9</v>
      </c>
      <c r="N339" s="9">
        <v>16.100000000000001</v>
      </c>
      <c r="O339" s="9">
        <v>14</v>
      </c>
      <c r="P339" s="9">
        <v>19.5</v>
      </c>
      <c r="Q339" s="92">
        <v>2.7763301999999999</v>
      </c>
      <c r="R339">
        <v>10</v>
      </c>
      <c r="S339">
        <v>1000</v>
      </c>
      <c r="T339" s="4">
        <v>328.43039476330199</v>
      </c>
      <c r="U339">
        <f t="shared" si="328"/>
        <v>3.28430394763302</v>
      </c>
      <c r="V339">
        <f t="shared" ref="V339:W339" si="345">V315</f>
        <v>3</v>
      </c>
      <c r="W339">
        <f t="shared" si="345"/>
        <v>3.2</v>
      </c>
      <c r="X339" s="9">
        <v>2.7763301999999999</v>
      </c>
    </row>
    <row r="340" spans="1:24" x14ac:dyDescent="0.2">
      <c r="A340" s="41">
        <f t="shared" si="330"/>
        <v>45853.041666665849</v>
      </c>
      <c r="B340" s="42">
        <f t="shared" si="284"/>
        <v>5000</v>
      </c>
      <c r="C340" s="8">
        <v>25000</v>
      </c>
      <c r="D340" s="8">
        <v>0</v>
      </c>
      <c r="E340" s="8">
        <v>700</v>
      </c>
      <c r="F340" s="8">
        <v>7500</v>
      </c>
      <c r="G340" s="42">
        <f t="shared" si="285"/>
        <v>2400</v>
      </c>
      <c r="H340" s="8">
        <v>25000</v>
      </c>
      <c r="I340" s="42">
        <f t="shared" si="286"/>
        <v>5000</v>
      </c>
      <c r="J340" s="8">
        <v>25000</v>
      </c>
      <c r="K340" s="42">
        <f t="shared" si="287"/>
        <v>5000</v>
      </c>
      <c r="L340" s="8">
        <v>25000</v>
      </c>
      <c r="M340" s="9">
        <v>9</v>
      </c>
      <c r="N340" s="9">
        <v>16.100000000000001</v>
      </c>
      <c r="O340" s="9">
        <v>14</v>
      </c>
      <c r="P340" s="9">
        <v>19.5</v>
      </c>
      <c r="Q340" s="92">
        <v>2.7514932000000001</v>
      </c>
      <c r="R340">
        <v>10</v>
      </c>
      <c r="S340">
        <v>1000</v>
      </c>
      <c r="T340" s="4">
        <v>318.44246167114238</v>
      </c>
      <c r="U340">
        <f t="shared" si="328"/>
        <v>3.1844246167114236</v>
      </c>
      <c r="V340">
        <f t="shared" ref="V340:W340" si="346">V316</f>
        <v>2.6</v>
      </c>
      <c r="W340">
        <f t="shared" si="346"/>
        <v>3.2</v>
      </c>
      <c r="X340" s="9">
        <v>2.7514932000000001</v>
      </c>
    </row>
    <row r="341" spans="1:24" x14ac:dyDescent="0.2">
      <c r="A341" s="41">
        <f t="shared" si="330"/>
        <v>45853.083333332514</v>
      </c>
      <c r="B341" s="42">
        <f t="shared" si="284"/>
        <v>5000</v>
      </c>
      <c r="C341" s="8">
        <v>25000</v>
      </c>
      <c r="D341" s="8">
        <v>0</v>
      </c>
      <c r="E341" s="8">
        <v>700</v>
      </c>
      <c r="F341" s="8">
        <v>7500</v>
      </c>
      <c r="G341" s="42">
        <f t="shared" si="285"/>
        <v>2400</v>
      </c>
      <c r="H341" s="8">
        <v>25000</v>
      </c>
      <c r="I341" s="42">
        <f t="shared" si="286"/>
        <v>5000</v>
      </c>
      <c r="J341" s="8">
        <v>25000</v>
      </c>
      <c r="K341" s="42">
        <f t="shared" si="287"/>
        <v>5000</v>
      </c>
      <c r="L341" s="8">
        <v>25000</v>
      </c>
      <c r="M341" s="9">
        <v>9</v>
      </c>
      <c r="N341" s="9">
        <v>16.100000000000001</v>
      </c>
      <c r="O341" s="9">
        <v>14</v>
      </c>
      <c r="P341" s="9">
        <v>19.5</v>
      </c>
      <c r="Q341" s="92">
        <v>2.8041955999999999</v>
      </c>
      <c r="R341">
        <v>10</v>
      </c>
      <c r="S341">
        <v>1000</v>
      </c>
      <c r="T341" s="4">
        <v>318.44246167114238</v>
      </c>
      <c r="U341">
        <f t="shared" si="328"/>
        <v>3.1844246167114236</v>
      </c>
      <c r="V341">
        <f t="shared" ref="V341:W341" si="347">V317</f>
        <v>2.8</v>
      </c>
      <c r="W341">
        <f t="shared" si="347"/>
        <v>3.2</v>
      </c>
      <c r="X341" s="9">
        <v>2.8041955999999999</v>
      </c>
    </row>
    <row r="342" spans="1:24" x14ac:dyDescent="0.2">
      <c r="A342" s="41">
        <f t="shared" si="330"/>
        <v>45853.124999999178</v>
      </c>
      <c r="B342" s="42">
        <f t="shared" si="284"/>
        <v>5000</v>
      </c>
      <c r="C342" s="8">
        <v>25000</v>
      </c>
      <c r="D342" s="8">
        <v>0</v>
      </c>
      <c r="E342" s="8">
        <v>700</v>
      </c>
      <c r="F342" s="8">
        <v>7500</v>
      </c>
      <c r="G342" s="42">
        <f t="shared" si="285"/>
        <v>2400</v>
      </c>
      <c r="H342" s="8">
        <v>25000</v>
      </c>
      <c r="I342" s="42">
        <f t="shared" si="286"/>
        <v>5000</v>
      </c>
      <c r="J342" s="8">
        <v>25000</v>
      </c>
      <c r="K342" s="42">
        <f t="shared" si="287"/>
        <v>5000</v>
      </c>
      <c r="L342" s="8">
        <v>25000</v>
      </c>
      <c r="M342" s="9">
        <v>9</v>
      </c>
      <c r="N342" s="9">
        <v>16.100000000000001</v>
      </c>
      <c r="O342" s="9">
        <v>14</v>
      </c>
      <c r="P342" s="9">
        <v>19.5</v>
      </c>
      <c r="Q342" s="92">
        <v>2.8453822</v>
      </c>
      <c r="R342">
        <v>10</v>
      </c>
      <c r="S342">
        <v>1000</v>
      </c>
      <c r="T342" s="4">
        <v>396.47318895363924</v>
      </c>
      <c r="U342">
        <f t="shared" si="328"/>
        <v>3.9647318895363926</v>
      </c>
      <c r="V342">
        <f t="shared" ref="V342:W342" si="348">V318</f>
        <v>2.7</v>
      </c>
      <c r="W342">
        <f t="shared" si="348"/>
        <v>3.2</v>
      </c>
      <c r="X342" s="9">
        <v>2.8453822</v>
      </c>
    </row>
    <row r="343" spans="1:24" x14ac:dyDescent="0.2">
      <c r="A343" s="41">
        <f t="shared" si="330"/>
        <v>45853.166666665842</v>
      </c>
      <c r="B343" s="42">
        <f t="shared" si="284"/>
        <v>5000</v>
      </c>
      <c r="C343" s="8">
        <v>25000</v>
      </c>
      <c r="D343" s="8">
        <v>0</v>
      </c>
      <c r="E343" s="8">
        <v>700</v>
      </c>
      <c r="F343" s="8">
        <v>7500</v>
      </c>
      <c r="G343" s="42">
        <f t="shared" si="285"/>
        <v>2400</v>
      </c>
      <c r="H343" s="8">
        <v>25000</v>
      </c>
      <c r="I343" s="42">
        <f t="shared" si="286"/>
        <v>5000</v>
      </c>
      <c r="J343" s="8">
        <v>25000</v>
      </c>
      <c r="K343" s="42">
        <f t="shared" si="287"/>
        <v>5000</v>
      </c>
      <c r="L343" s="8">
        <v>25000</v>
      </c>
      <c r="M343" s="9">
        <v>9</v>
      </c>
      <c r="N343" s="9">
        <v>16.100000000000001</v>
      </c>
      <c r="O343" s="9">
        <v>14</v>
      </c>
      <c r="P343" s="9">
        <v>19.5</v>
      </c>
      <c r="Q343" s="92">
        <v>2.8731703999999998</v>
      </c>
      <c r="R343">
        <v>10</v>
      </c>
      <c r="S343">
        <v>1000</v>
      </c>
      <c r="T343" s="4">
        <v>466.70084350788647</v>
      </c>
      <c r="U343">
        <f t="shared" si="328"/>
        <v>4.6670084350788645</v>
      </c>
      <c r="V343">
        <f t="shared" ref="V343:W343" si="349">V319</f>
        <v>3</v>
      </c>
      <c r="W343">
        <f t="shared" si="349"/>
        <v>3.1</v>
      </c>
      <c r="X343" s="9">
        <v>2.8731703999999998</v>
      </c>
    </row>
    <row r="344" spans="1:24" x14ac:dyDescent="0.2">
      <c r="A344" s="41">
        <f t="shared" si="330"/>
        <v>45853.208333332506</v>
      </c>
      <c r="B344" s="42">
        <f t="shared" si="284"/>
        <v>5000</v>
      </c>
      <c r="C344" s="8">
        <v>25000</v>
      </c>
      <c r="D344" s="8">
        <v>0</v>
      </c>
      <c r="E344" s="8">
        <v>700</v>
      </c>
      <c r="F344" s="8">
        <v>7500</v>
      </c>
      <c r="G344" s="42">
        <f t="shared" si="285"/>
        <v>2400</v>
      </c>
      <c r="H344" s="8">
        <v>25000</v>
      </c>
      <c r="I344" s="42">
        <f t="shared" si="286"/>
        <v>5000</v>
      </c>
      <c r="J344" s="8">
        <v>25000</v>
      </c>
      <c r="K344" s="42">
        <f t="shared" si="287"/>
        <v>5000</v>
      </c>
      <c r="L344" s="8">
        <v>25000</v>
      </c>
      <c r="M344" s="9">
        <v>9</v>
      </c>
      <c r="N344" s="9">
        <v>16.100000000000001</v>
      </c>
      <c r="O344" s="9">
        <v>14</v>
      </c>
      <c r="P344" s="9">
        <v>19.5</v>
      </c>
      <c r="Q344" s="92">
        <v>2.951308</v>
      </c>
      <c r="R344">
        <v>10</v>
      </c>
      <c r="S344">
        <v>1000</v>
      </c>
      <c r="T344" s="4">
        <v>466.70084350788647</v>
      </c>
      <c r="U344">
        <f t="shared" si="328"/>
        <v>4.6670084350788645</v>
      </c>
      <c r="V344">
        <f t="shared" ref="V344:W344" si="350">V320</f>
        <v>2.9</v>
      </c>
      <c r="W344">
        <f t="shared" si="350"/>
        <v>3.1</v>
      </c>
      <c r="X344" s="9">
        <v>2.951308</v>
      </c>
    </row>
    <row r="345" spans="1:24" x14ac:dyDescent="0.2">
      <c r="A345" s="41">
        <f t="shared" si="330"/>
        <v>45853.249999999171</v>
      </c>
      <c r="B345" s="42">
        <f t="shared" si="284"/>
        <v>8000</v>
      </c>
      <c r="C345" s="8">
        <v>25000</v>
      </c>
      <c r="D345" s="8">
        <v>0</v>
      </c>
      <c r="E345" s="8">
        <v>700</v>
      </c>
      <c r="F345" s="8">
        <v>7500</v>
      </c>
      <c r="G345" s="42">
        <f t="shared" si="285"/>
        <v>2400</v>
      </c>
      <c r="H345" s="8">
        <v>25000</v>
      </c>
      <c r="I345" s="42">
        <f t="shared" si="286"/>
        <v>8000</v>
      </c>
      <c r="J345" s="8">
        <v>25000</v>
      </c>
      <c r="K345" s="42">
        <f t="shared" si="287"/>
        <v>8000</v>
      </c>
      <c r="L345" s="8">
        <v>25000</v>
      </c>
      <c r="M345" s="9">
        <v>9</v>
      </c>
      <c r="N345" s="9">
        <v>16.100000000000001</v>
      </c>
      <c r="O345" s="9">
        <v>14</v>
      </c>
      <c r="P345" s="9">
        <v>19.5</v>
      </c>
      <c r="Q345" s="92">
        <v>3.0756201999999999</v>
      </c>
      <c r="R345">
        <v>10</v>
      </c>
      <c r="S345">
        <v>1000</v>
      </c>
      <c r="T345" s="4">
        <v>362.76391476760062</v>
      </c>
      <c r="U345">
        <f t="shared" si="328"/>
        <v>3.6276391476760064</v>
      </c>
      <c r="V345">
        <f t="shared" ref="V345:W345" si="351">V321</f>
        <v>2.5</v>
      </c>
      <c r="W345">
        <f t="shared" si="351"/>
        <v>3.1</v>
      </c>
      <c r="X345" s="9">
        <v>3.0756201999999999</v>
      </c>
    </row>
    <row r="346" spans="1:24" x14ac:dyDescent="0.2">
      <c r="A346" s="41">
        <f t="shared" si="330"/>
        <v>45853.291666665835</v>
      </c>
      <c r="B346" s="42">
        <f t="shared" si="284"/>
        <v>8000</v>
      </c>
      <c r="C346" s="8">
        <v>25000</v>
      </c>
      <c r="D346" s="8">
        <v>0</v>
      </c>
      <c r="E346" s="8">
        <v>700</v>
      </c>
      <c r="F346" s="8">
        <v>7500</v>
      </c>
      <c r="G346" s="42">
        <f t="shared" si="285"/>
        <v>2400</v>
      </c>
      <c r="H346" s="8">
        <v>25000</v>
      </c>
      <c r="I346" s="42">
        <f t="shared" si="286"/>
        <v>8000</v>
      </c>
      <c r="J346" s="8">
        <v>25000</v>
      </c>
      <c r="K346" s="42">
        <f t="shared" si="287"/>
        <v>8000</v>
      </c>
      <c r="L346" s="8">
        <v>25000</v>
      </c>
      <c r="M346" s="9">
        <v>9</v>
      </c>
      <c r="N346" s="9">
        <v>16.100000000000001</v>
      </c>
      <c r="O346" s="9">
        <v>14</v>
      </c>
      <c r="P346" s="9">
        <v>19.5</v>
      </c>
      <c r="Q346" s="92">
        <v>3.2184951000000002</v>
      </c>
      <c r="R346">
        <v>10</v>
      </c>
      <c r="S346">
        <v>1000</v>
      </c>
      <c r="T346" s="4">
        <v>369.00637295020039</v>
      </c>
      <c r="U346">
        <f t="shared" si="328"/>
        <v>3.690063729502004</v>
      </c>
      <c r="V346">
        <f t="shared" ref="V346:W346" si="352">V322</f>
        <v>2.5</v>
      </c>
      <c r="W346">
        <f t="shared" si="352"/>
        <v>3.1</v>
      </c>
      <c r="X346" s="9">
        <v>3.2184951000000002</v>
      </c>
    </row>
    <row r="347" spans="1:24" x14ac:dyDescent="0.2">
      <c r="A347" s="41">
        <f t="shared" si="330"/>
        <v>45853.333333332499</v>
      </c>
      <c r="B347" s="42">
        <f t="shared" si="284"/>
        <v>8000</v>
      </c>
      <c r="C347" s="8">
        <v>25000</v>
      </c>
      <c r="D347" s="8">
        <v>0</v>
      </c>
      <c r="E347" s="8">
        <v>700</v>
      </c>
      <c r="F347" s="8">
        <v>7500</v>
      </c>
      <c r="G347" s="42">
        <f t="shared" si="285"/>
        <v>2400</v>
      </c>
      <c r="H347" s="8">
        <v>25000</v>
      </c>
      <c r="I347" s="42">
        <f t="shared" si="286"/>
        <v>8000</v>
      </c>
      <c r="J347" s="8">
        <v>25000</v>
      </c>
      <c r="K347" s="42">
        <f t="shared" si="287"/>
        <v>8000</v>
      </c>
      <c r="L347" s="8">
        <v>25000</v>
      </c>
      <c r="M347" s="9">
        <v>9</v>
      </c>
      <c r="N347" s="9">
        <v>16.100000000000001</v>
      </c>
      <c r="O347" s="9">
        <v>14</v>
      </c>
      <c r="P347" s="9">
        <v>19.5</v>
      </c>
      <c r="Q347" s="92">
        <v>3.2753575000000001</v>
      </c>
      <c r="R347">
        <v>10</v>
      </c>
      <c r="S347">
        <v>1000</v>
      </c>
      <c r="T347" s="4">
        <v>386.17313295234976</v>
      </c>
      <c r="U347">
        <f t="shared" si="328"/>
        <v>3.8617313295234976</v>
      </c>
      <c r="V347">
        <f t="shared" ref="V347:W347" si="353">V323</f>
        <v>3.2</v>
      </c>
      <c r="W347">
        <f t="shared" si="353"/>
        <v>3</v>
      </c>
      <c r="X347" s="9">
        <v>3.2753575000000001</v>
      </c>
    </row>
    <row r="348" spans="1:24" x14ac:dyDescent="0.2">
      <c r="A348" s="41">
        <f t="shared" si="330"/>
        <v>45853.374999999163</v>
      </c>
      <c r="B348" s="42">
        <f t="shared" ref="B348:B411" si="354">B324</f>
        <v>8000</v>
      </c>
      <c r="C348" s="8">
        <v>25000</v>
      </c>
      <c r="D348" s="8">
        <v>0</v>
      </c>
      <c r="E348" s="8">
        <v>700</v>
      </c>
      <c r="F348" s="8">
        <v>7500</v>
      </c>
      <c r="G348" s="42">
        <f t="shared" ref="G348:G411" si="355">G324</f>
        <v>2400</v>
      </c>
      <c r="H348" s="8">
        <v>25000</v>
      </c>
      <c r="I348" s="42">
        <f t="shared" ref="I348:I411" si="356">I324</f>
        <v>8000</v>
      </c>
      <c r="J348" s="8">
        <v>25000</v>
      </c>
      <c r="K348" s="42">
        <f t="shared" ref="K348:K411" si="357">K324</f>
        <v>8000</v>
      </c>
      <c r="L348" s="8">
        <v>25000</v>
      </c>
      <c r="M348" s="9">
        <v>9</v>
      </c>
      <c r="N348" s="9">
        <v>16.100000000000001</v>
      </c>
      <c r="O348" s="9">
        <v>14</v>
      </c>
      <c r="P348" s="9">
        <v>19.5</v>
      </c>
      <c r="Q348" s="92">
        <v>3.3213987</v>
      </c>
      <c r="R348">
        <v>10</v>
      </c>
      <c r="S348">
        <v>1000</v>
      </c>
      <c r="T348" s="4">
        <v>364.32452931325059</v>
      </c>
      <c r="U348">
        <f t="shared" si="328"/>
        <v>3.6432452931325061</v>
      </c>
      <c r="V348">
        <f t="shared" ref="V348:W348" si="358">V324</f>
        <v>2.9</v>
      </c>
      <c r="W348">
        <f t="shared" si="358"/>
        <v>3</v>
      </c>
      <c r="X348" s="9">
        <v>3.3213987</v>
      </c>
    </row>
    <row r="349" spans="1:24" x14ac:dyDescent="0.2">
      <c r="A349" s="41">
        <f t="shared" si="330"/>
        <v>45853.416666665828</v>
      </c>
      <c r="B349" s="42">
        <f t="shared" si="354"/>
        <v>8000</v>
      </c>
      <c r="C349" s="8">
        <v>25000</v>
      </c>
      <c r="D349" s="8">
        <v>0</v>
      </c>
      <c r="E349" s="8">
        <v>700</v>
      </c>
      <c r="F349" s="8">
        <v>7500</v>
      </c>
      <c r="G349" s="42">
        <f t="shared" si="355"/>
        <v>2400</v>
      </c>
      <c r="H349" s="8">
        <v>25000</v>
      </c>
      <c r="I349" s="42">
        <f t="shared" si="356"/>
        <v>8000</v>
      </c>
      <c r="J349" s="8">
        <v>25000</v>
      </c>
      <c r="K349" s="42">
        <f t="shared" si="357"/>
        <v>8000</v>
      </c>
      <c r="L349" s="8">
        <v>25000</v>
      </c>
      <c r="M349" s="9">
        <v>9</v>
      </c>
      <c r="N349" s="9">
        <v>16.100000000000001</v>
      </c>
      <c r="O349" s="9">
        <v>14</v>
      </c>
      <c r="P349" s="9">
        <v>19.5</v>
      </c>
      <c r="Q349" s="92">
        <v>3.3834605</v>
      </c>
      <c r="R349">
        <v>10</v>
      </c>
      <c r="S349">
        <v>1000</v>
      </c>
      <c r="T349" s="4">
        <v>343.41229440154143</v>
      </c>
      <c r="U349">
        <f t="shared" si="328"/>
        <v>3.4341229440154142</v>
      </c>
      <c r="V349">
        <f t="shared" ref="V349:W349" si="359">V325</f>
        <v>2.9</v>
      </c>
      <c r="W349">
        <f t="shared" si="359"/>
        <v>3</v>
      </c>
      <c r="X349" s="9">
        <v>3.3834605</v>
      </c>
    </row>
    <row r="350" spans="1:24" x14ac:dyDescent="0.2">
      <c r="A350" s="41">
        <f t="shared" si="330"/>
        <v>45853.458333332492</v>
      </c>
      <c r="B350" s="42">
        <f t="shared" si="354"/>
        <v>8000</v>
      </c>
      <c r="C350" s="8">
        <v>25000</v>
      </c>
      <c r="D350" s="8">
        <v>0</v>
      </c>
      <c r="E350" s="8">
        <v>700</v>
      </c>
      <c r="F350" s="8">
        <v>7500</v>
      </c>
      <c r="G350" s="42">
        <f t="shared" si="355"/>
        <v>2400</v>
      </c>
      <c r="H350" s="8">
        <v>25000</v>
      </c>
      <c r="I350" s="42">
        <f t="shared" si="356"/>
        <v>8000</v>
      </c>
      <c r="J350" s="8">
        <v>25000</v>
      </c>
      <c r="K350" s="42">
        <f t="shared" si="357"/>
        <v>8000</v>
      </c>
      <c r="L350" s="8">
        <v>25000</v>
      </c>
      <c r="M350" s="9">
        <v>9</v>
      </c>
      <c r="N350" s="9">
        <v>16.100000000000001</v>
      </c>
      <c r="O350" s="9">
        <v>14</v>
      </c>
      <c r="P350" s="9">
        <v>19.5</v>
      </c>
      <c r="Q350" s="92">
        <v>3.3357329</v>
      </c>
      <c r="R350">
        <v>10</v>
      </c>
      <c r="S350">
        <v>1000</v>
      </c>
      <c r="T350" s="4">
        <v>340.29106531024155</v>
      </c>
      <c r="U350">
        <f t="shared" si="328"/>
        <v>3.4029106531024156</v>
      </c>
      <c r="V350">
        <f t="shared" ref="V350:W350" si="360">V326</f>
        <v>3.4</v>
      </c>
      <c r="W350">
        <f t="shared" si="360"/>
        <v>3</v>
      </c>
      <c r="X350" s="9">
        <v>3.3357329</v>
      </c>
    </row>
    <row r="351" spans="1:24" x14ac:dyDescent="0.2">
      <c r="A351" s="41">
        <f t="shared" si="330"/>
        <v>45853.499999999156</v>
      </c>
      <c r="B351" s="42">
        <f t="shared" si="354"/>
        <v>8000</v>
      </c>
      <c r="C351" s="8">
        <v>25000</v>
      </c>
      <c r="D351" s="8">
        <v>0</v>
      </c>
      <c r="E351" s="8">
        <v>700</v>
      </c>
      <c r="F351" s="8">
        <v>7500</v>
      </c>
      <c r="G351" s="42">
        <f t="shared" si="355"/>
        <v>2400</v>
      </c>
      <c r="H351" s="8">
        <v>25000</v>
      </c>
      <c r="I351" s="42">
        <f t="shared" si="356"/>
        <v>8000</v>
      </c>
      <c r="J351" s="8">
        <v>25000</v>
      </c>
      <c r="K351" s="42">
        <f t="shared" si="357"/>
        <v>8000</v>
      </c>
      <c r="L351" s="8">
        <v>25000</v>
      </c>
      <c r="M351" s="9">
        <v>9</v>
      </c>
      <c r="N351" s="9">
        <v>16.100000000000001</v>
      </c>
      <c r="O351" s="9">
        <v>14</v>
      </c>
      <c r="P351" s="9">
        <v>19.5</v>
      </c>
      <c r="Q351" s="92">
        <v>3.2028327000000001</v>
      </c>
      <c r="R351">
        <v>10</v>
      </c>
      <c r="S351">
        <v>1000</v>
      </c>
      <c r="T351" s="4">
        <v>369.94274167759033</v>
      </c>
      <c r="U351">
        <f t="shared" si="328"/>
        <v>3.6994274167759031</v>
      </c>
      <c r="V351">
        <f t="shared" ref="V351:W351" si="361">V327</f>
        <v>3.1</v>
      </c>
      <c r="W351">
        <f t="shared" si="361"/>
        <v>2.9</v>
      </c>
      <c r="X351" s="9">
        <v>3.2028327000000001</v>
      </c>
    </row>
    <row r="352" spans="1:24" x14ac:dyDescent="0.2">
      <c r="A352" s="41">
        <f t="shared" si="330"/>
        <v>45853.54166666582</v>
      </c>
      <c r="B352" s="42">
        <f t="shared" si="354"/>
        <v>8000</v>
      </c>
      <c r="C352" s="8">
        <v>25000</v>
      </c>
      <c r="D352" s="8">
        <v>0</v>
      </c>
      <c r="E352" s="8">
        <v>700</v>
      </c>
      <c r="F352" s="8">
        <v>7500</v>
      </c>
      <c r="G352" s="42">
        <f t="shared" si="355"/>
        <v>2400</v>
      </c>
      <c r="H352" s="8">
        <v>25000</v>
      </c>
      <c r="I352" s="42">
        <f t="shared" si="356"/>
        <v>8000</v>
      </c>
      <c r="J352" s="8">
        <v>25000</v>
      </c>
      <c r="K352" s="42">
        <f t="shared" si="357"/>
        <v>8000</v>
      </c>
      <c r="L352" s="8">
        <v>25000</v>
      </c>
      <c r="M352" s="9">
        <v>9</v>
      </c>
      <c r="N352" s="9">
        <v>16.100000000000001</v>
      </c>
      <c r="O352" s="9">
        <v>14</v>
      </c>
      <c r="P352" s="9">
        <v>19.5</v>
      </c>
      <c r="Q352" s="92">
        <v>3.0298736000000002</v>
      </c>
      <c r="R352">
        <v>10</v>
      </c>
      <c r="S352">
        <v>1000</v>
      </c>
      <c r="T352" s="4">
        <v>402.40414847292726</v>
      </c>
      <c r="U352">
        <f t="shared" si="328"/>
        <v>4.0240414847292723</v>
      </c>
      <c r="V352">
        <f t="shared" ref="V352:W352" si="362">V328</f>
        <v>3.2</v>
      </c>
      <c r="W352">
        <f t="shared" si="362"/>
        <v>2.9</v>
      </c>
      <c r="X352" s="9">
        <v>3.0298736000000002</v>
      </c>
    </row>
    <row r="353" spans="1:24" x14ac:dyDescent="0.2">
      <c r="A353" s="41">
        <f t="shared" si="330"/>
        <v>45853.583333332484</v>
      </c>
      <c r="B353" s="42">
        <f t="shared" si="354"/>
        <v>8000</v>
      </c>
      <c r="C353" s="8">
        <v>25000</v>
      </c>
      <c r="D353" s="8">
        <v>0</v>
      </c>
      <c r="E353" s="8">
        <v>700</v>
      </c>
      <c r="F353" s="8">
        <v>7500</v>
      </c>
      <c r="G353" s="42">
        <f t="shared" si="355"/>
        <v>2400</v>
      </c>
      <c r="H353" s="8">
        <v>25000</v>
      </c>
      <c r="I353" s="42">
        <f t="shared" si="356"/>
        <v>8000</v>
      </c>
      <c r="J353" s="8">
        <v>25000</v>
      </c>
      <c r="K353" s="42">
        <f t="shared" si="357"/>
        <v>8000</v>
      </c>
      <c r="L353" s="8">
        <v>25000</v>
      </c>
      <c r="M353" s="9">
        <v>9</v>
      </c>
      <c r="N353" s="9">
        <v>16.100000000000001</v>
      </c>
      <c r="O353" s="9">
        <v>14</v>
      </c>
      <c r="P353" s="9">
        <v>19.5</v>
      </c>
      <c r="Q353" s="92">
        <v>2.9732742000000001</v>
      </c>
      <c r="R353">
        <v>10</v>
      </c>
      <c r="S353">
        <v>1000</v>
      </c>
      <c r="T353" s="4">
        <v>655.22245637658079</v>
      </c>
      <c r="U353">
        <f t="shared" si="328"/>
        <v>6.5522245637658081</v>
      </c>
      <c r="V353">
        <f t="shared" ref="V353:W353" si="363">V329</f>
        <v>3.5</v>
      </c>
      <c r="W353">
        <f t="shared" si="363"/>
        <v>2.9</v>
      </c>
      <c r="X353" s="9">
        <v>2.9732742000000001</v>
      </c>
    </row>
    <row r="354" spans="1:24" x14ac:dyDescent="0.2">
      <c r="A354" s="41">
        <f t="shared" si="330"/>
        <v>45853.624999999149</v>
      </c>
      <c r="B354" s="42">
        <f t="shared" si="354"/>
        <v>8000</v>
      </c>
      <c r="C354" s="8">
        <v>25000</v>
      </c>
      <c r="D354" s="8">
        <v>0</v>
      </c>
      <c r="E354" s="8">
        <v>700</v>
      </c>
      <c r="F354" s="8">
        <v>7500</v>
      </c>
      <c r="G354" s="42">
        <f t="shared" si="355"/>
        <v>2400</v>
      </c>
      <c r="H354" s="8">
        <v>25000</v>
      </c>
      <c r="I354" s="42">
        <f t="shared" si="356"/>
        <v>8000</v>
      </c>
      <c r="J354" s="8">
        <v>25000</v>
      </c>
      <c r="K354" s="42">
        <f t="shared" si="357"/>
        <v>8000</v>
      </c>
      <c r="L354" s="8">
        <v>25000</v>
      </c>
      <c r="M354" s="9">
        <v>9</v>
      </c>
      <c r="N354" s="9">
        <v>16.100000000000001</v>
      </c>
      <c r="O354" s="9">
        <v>14</v>
      </c>
      <c r="P354" s="9">
        <v>19.5</v>
      </c>
      <c r="Q354" s="92">
        <v>3.2738404000000001</v>
      </c>
      <c r="R354">
        <v>10</v>
      </c>
      <c r="S354">
        <v>1000</v>
      </c>
      <c r="T354" s="4">
        <v>753.54117275252679</v>
      </c>
      <c r="U354">
        <f t="shared" si="328"/>
        <v>7.5354117275252683</v>
      </c>
      <c r="V354">
        <f t="shared" ref="V354:W354" si="364">V330</f>
        <v>3.2</v>
      </c>
      <c r="W354">
        <f t="shared" si="364"/>
        <v>2.9</v>
      </c>
      <c r="X354" s="9">
        <v>3.2738404000000001</v>
      </c>
    </row>
    <row r="355" spans="1:24" x14ac:dyDescent="0.2">
      <c r="A355" s="41">
        <f t="shared" si="330"/>
        <v>45853.666666665813</v>
      </c>
      <c r="B355" s="42">
        <f t="shared" si="354"/>
        <v>8000</v>
      </c>
      <c r="C355" s="8">
        <v>25000</v>
      </c>
      <c r="D355" s="8">
        <v>0</v>
      </c>
      <c r="E355" s="8">
        <v>700</v>
      </c>
      <c r="F355" s="8">
        <v>7500</v>
      </c>
      <c r="G355" s="42">
        <f t="shared" si="355"/>
        <v>2400</v>
      </c>
      <c r="H355" s="8">
        <v>25000</v>
      </c>
      <c r="I355" s="42">
        <f t="shared" si="356"/>
        <v>8000</v>
      </c>
      <c r="J355" s="8">
        <v>25000</v>
      </c>
      <c r="K355" s="42">
        <f t="shared" si="357"/>
        <v>8000</v>
      </c>
      <c r="L355" s="8">
        <v>25000</v>
      </c>
      <c r="M355" s="9">
        <v>9</v>
      </c>
      <c r="N355" s="9">
        <v>16.100000000000001</v>
      </c>
      <c r="O355" s="9">
        <v>14</v>
      </c>
      <c r="P355" s="9">
        <v>19.5</v>
      </c>
      <c r="Q355" s="92">
        <v>3.1982032999999999</v>
      </c>
      <c r="R355">
        <v>10</v>
      </c>
      <c r="S355">
        <v>1000</v>
      </c>
      <c r="T355" s="4">
        <v>974.21206950742805</v>
      </c>
      <c r="U355">
        <f t="shared" si="328"/>
        <v>9.7421206950742807</v>
      </c>
      <c r="V355">
        <f t="shared" ref="V355:W355" si="365">V331</f>
        <v>3.5</v>
      </c>
      <c r="W355">
        <f t="shared" si="365"/>
        <v>3</v>
      </c>
      <c r="X355" s="9">
        <v>3.1982032999999999</v>
      </c>
    </row>
    <row r="356" spans="1:24" x14ac:dyDescent="0.2">
      <c r="A356" s="41">
        <f t="shared" si="330"/>
        <v>45853.708333332477</v>
      </c>
      <c r="B356" s="42">
        <f t="shared" si="354"/>
        <v>8000</v>
      </c>
      <c r="C356" s="8">
        <v>25000</v>
      </c>
      <c r="D356" s="8">
        <v>0</v>
      </c>
      <c r="E356" s="8">
        <v>700</v>
      </c>
      <c r="F356" s="8">
        <v>7500</v>
      </c>
      <c r="G356" s="42">
        <f t="shared" si="355"/>
        <v>2400</v>
      </c>
      <c r="H356" s="8">
        <v>25000</v>
      </c>
      <c r="I356" s="42">
        <f t="shared" si="356"/>
        <v>8000</v>
      </c>
      <c r="J356" s="8">
        <v>25000</v>
      </c>
      <c r="K356" s="42">
        <f t="shared" si="357"/>
        <v>8000</v>
      </c>
      <c r="L356" s="8">
        <v>25000</v>
      </c>
      <c r="M356" s="9">
        <v>9</v>
      </c>
      <c r="N356" s="9">
        <v>16.100000000000001</v>
      </c>
      <c r="O356" s="9">
        <v>14</v>
      </c>
      <c r="P356" s="9">
        <v>19.5</v>
      </c>
      <c r="Q356" s="92">
        <v>3.1111456999999998</v>
      </c>
      <c r="R356">
        <v>10</v>
      </c>
      <c r="S356">
        <v>1000</v>
      </c>
      <c r="T356" s="4">
        <v>1241.0771568135674</v>
      </c>
      <c r="U356">
        <f t="shared" si="328"/>
        <v>12.410771568135674</v>
      </c>
      <c r="V356">
        <f t="shared" ref="V356:W356" si="366">V332</f>
        <v>3.6</v>
      </c>
      <c r="W356">
        <f t="shared" si="366"/>
        <v>3</v>
      </c>
      <c r="X356" s="9">
        <v>3.1111456999999998</v>
      </c>
    </row>
    <row r="357" spans="1:24" x14ac:dyDescent="0.2">
      <c r="A357" s="41">
        <f t="shared" si="330"/>
        <v>45853.749999999141</v>
      </c>
      <c r="B357" s="42">
        <f t="shared" si="354"/>
        <v>5000</v>
      </c>
      <c r="C357" s="8">
        <v>25000</v>
      </c>
      <c r="D357" s="8">
        <v>0</v>
      </c>
      <c r="E357" s="8">
        <v>700</v>
      </c>
      <c r="F357" s="8">
        <v>7500</v>
      </c>
      <c r="G357" s="42">
        <f t="shared" si="355"/>
        <v>2400</v>
      </c>
      <c r="H357" s="8">
        <v>25000</v>
      </c>
      <c r="I357" s="42">
        <f t="shared" si="356"/>
        <v>5000</v>
      </c>
      <c r="J357" s="8">
        <v>25000</v>
      </c>
      <c r="K357" s="42">
        <f t="shared" si="357"/>
        <v>5000</v>
      </c>
      <c r="L357" s="8">
        <v>25000</v>
      </c>
      <c r="M357" s="9">
        <v>9</v>
      </c>
      <c r="N357" s="9">
        <v>16.100000000000001</v>
      </c>
      <c r="O357" s="9">
        <v>14</v>
      </c>
      <c r="P357" s="9">
        <v>19.5</v>
      </c>
      <c r="Q357" s="92">
        <v>3.0862927</v>
      </c>
      <c r="R357">
        <v>10</v>
      </c>
      <c r="S357">
        <v>1000</v>
      </c>
      <c r="T357" s="4">
        <v>1284.7743640917656</v>
      </c>
      <c r="U357">
        <f t="shared" si="328"/>
        <v>12.847743640917656</v>
      </c>
      <c r="V357">
        <f t="shared" ref="V357:W357" si="367">V333</f>
        <v>2.9</v>
      </c>
      <c r="W357">
        <f t="shared" si="367"/>
        <v>3</v>
      </c>
      <c r="X357" s="9">
        <v>3.0862927</v>
      </c>
    </row>
    <row r="358" spans="1:24" x14ac:dyDescent="0.2">
      <c r="A358" s="41">
        <f t="shared" si="330"/>
        <v>45853.791666665806</v>
      </c>
      <c r="B358" s="42">
        <f t="shared" si="354"/>
        <v>5000</v>
      </c>
      <c r="C358" s="8">
        <v>25000</v>
      </c>
      <c r="D358" s="8">
        <v>0</v>
      </c>
      <c r="E358" s="8">
        <v>700</v>
      </c>
      <c r="F358" s="8">
        <v>7500</v>
      </c>
      <c r="G358" s="42">
        <f t="shared" si="355"/>
        <v>2400</v>
      </c>
      <c r="H358" s="8">
        <v>25000</v>
      </c>
      <c r="I358" s="42">
        <f t="shared" si="356"/>
        <v>5000</v>
      </c>
      <c r="J358" s="8">
        <v>25000</v>
      </c>
      <c r="K358" s="42">
        <f t="shared" si="357"/>
        <v>5000</v>
      </c>
      <c r="L358" s="8">
        <v>25000</v>
      </c>
      <c r="M358" s="9">
        <v>9</v>
      </c>
      <c r="N358" s="9">
        <v>16.100000000000001</v>
      </c>
      <c r="O358" s="9">
        <v>14</v>
      </c>
      <c r="P358" s="9">
        <v>19.5</v>
      </c>
      <c r="Q358" s="92">
        <v>3.0510640000000002</v>
      </c>
      <c r="R358">
        <v>10</v>
      </c>
      <c r="S358">
        <v>1000</v>
      </c>
      <c r="T358" s="4">
        <v>1281.6531350004659</v>
      </c>
      <c r="U358">
        <f t="shared" si="328"/>
        <v>12.816531350004659</v>
      </c>
      <c r="V358">
        <f t="shared" ref="V358:W358" si="368">V334</f>
        <v>3</v>
      </c>
      <c r="W358">
        <f t="shared" si="368"/>
        <v>3</v>
      </c>
      <c r="X358" s="9">
        <v>3.0510640000000002</v>
      </c>
    </row>
    <row r="359" spans="1:24" x14ac:dyDescent="0.2">
      <c r="A359" s="41">
        <f t="shared" si="330"/>
        <v>45853.83333333247</v>
      </c>
      <c r="B359" s="42">
        <f t="shared" si="354"/>
        <v>5000</v>
      </c>
      <c r="C359" s="8">
        <v>25000</v>
      </c>
      <c r="D359" s="8">
        <v>0</v>
      </c>
      <c r="E359" s="8">
        <v>700</v>
      </c>
      <c r="F359" s="8">
        <v>7500</v>
      </c>
      <c r="G359" s="42">
        <f t="shared" si="355"/>
        <v>2400</v>
      </c>
      <c r="H359" s="8">
        <v>25000</v>
      </c>
      <c r="I359" s="42">
        <f t="shared" si="356"/>
        <v>5000</v>
      </c>
      <c r="J359" s="8">
        <v>25000</v>
      </c>
      <c r="K359" s="42">
        <f t="shared" si="357"/>
        <v>5000</v>
      </c>
      <c r="L359" s="8">
        <v>25000</v>
      </c>
      <c r="M359" s="9">
        <v>9</v>
      </c>
      <c r="N359" s="9">
        <v>16.100000000000001</v>
      </c>
      <c r="O359" s="9">
        <v>14</v>
      </c>
      <c r="P359" s="9">
        <v>19.5</v>
      </c>
      <c r="Q359" s="92">
        <v>3.0132154999999998</v>
      </c>
      <c r="R359">
        <v>10</v>
      </c>
      <c r="S359">
        <v>1000</v>
      </c>
      <c r="T359" s="4">
        <v>1237.9559277222675</v>
      </c>
      <c r="U359">
        <f t="shared" si="328"/>
        <v>12.379559277222675</v>
      </c>
      <c r="V359">
        <f t="shared" ref="V359:W359" si="369">V335</f>
        <v>2.8</v>
      </c>
      <c r="W359">
        <f t="shared" si="369"/>
        <v>3.1</v>
      </c>
      <c r="X359" s="9">
        <v>3.0132154999999998</v>
      </c>
    </row>
    <row r="360" spans="1:24" x14ac:dyDescent="0.2">
      <c r="A360" s="41">
        <f t="shared" si="330"/>
        <v>45853.874999999134</v>
      </c>
      <c r="B360" s="42">
        <f t="shared" si="354"/>
        <v>5000</v>
      </c>
      <c r="C360" s="8">
        <v>25000</v>
      </c>
      <c r="D360" s="8">
        <v>0</v>
      </c>
      <c r="E360" s="8">
        <v>700</v>
      </c>
      <c r="F360" s="8">
        <v>7500</v>
      </c>
      <c r="G360" s="42">
        <f t="shared" si="355"/>
        <v>2400</v>
      </c>
      <c r="H360" s="8">
        <v>25000</v>
      </c>
      <c r="I360" s="42">
        <f t="shared" si="356"/>
        <v>5000</v>
      </c>
      <c r="J360" s="8">
        <v>25000</v>
      </c>
      <c r="K360" s="42">
        <f t="shared" si="357"/>
        <v>5000</v>
      </c>
      <c r="L360" s="8">
        <v>25000</v>
      </c>
      <c r="M360" s="9">
        <v>9</v>
      </c>
      <c r="N360" s="9">
        <v>16.100000000000001</v>
      </c>
      <c r="O360" s="9">
        <v>14</v>
      </c>
      <c r="P360" s="9">
        <v>19.5</v>
      </c>
      <c r="Q360" s="92">
        <v>2.9836257000000002</v>
      </c>
      <c r="R360">
        <v>10</v>
      </c>
      <c r="S360">
        <v>1000</v>
      </c>
      <c r="T360" s="4">
        <v>1142.7584404376212</v>
      </c>
      <c r="U360">
        <f t="shared" si="328"/>
        <v>11.427584404376212</v>
      </c>
      <c r="V360">
        <f t="shared" ref="V360:W360" si="370">V336</f>
        <v>3.5</v>
      </c>
      <c r="W360">
        <f t="shared" si="370"/>
        <v>3.1</v>
      </c>
      <c r="X360" s="9">
        <v>2.9836257000000002</v>
      </c>
    </row>
    <row r="361" spans="1:24" x14ac:dyDescent="0.2">
      <c r="A361" s="41">
        <f t="shared" si="330"/>
        <v>45853.916666665798</v>
      </c>
      <c r="B361" s="42">
        <f t="shared" si="354"/>
        <v>5000</v>
      </c>
      <c r="C361" s="8">
        <v>25000</v>
      </c>
      <c r="D361" s="8">
        <v>0</v>
      </c>
      <c r="E361" s="8">
        <v>700</v>
      </c>
      <c r="F361" s="8">
        <v>7500</v>
      </c>
      <c r="G361" s="42">
        <f t="shared" si="355"/>
        <v>2400</v>
      </c>
      <c r="H361" s="8">
        <v>25000</v>
      </c>
      <c r="I361" s="42">
        <f t="shared" si="356"/>
        <v>5000</v>
      </c>
      <c r="J361" s="8">
        <v>25000</v>
      </c>
      <c r="K361" s="42">
        <f t="shared" si="357"/>
        <v>5000</v>
      </c>
      <c r="L361" s="8">
        <v>25000</v>
      </c>
      <c r="M361" s="9">
        <v>9</v>
      </c>
      <c r="N361" s="9">
        <v>16.100000000000001</v>
      </c>
      <c r="O361" s="9">
        <v>14</v>
      </c>
      <c r="P361" s="9">
        <v>19.5</v>
      </c>
      <c r="Q361" s="92">
        <v>2.9536166000000001</v>
      </c>
      <c r="R361">
        <v>10</v>
      </c>
      <c r="S361">
        <v>1000</v>
      </c>
      <c r="T361" s="4">
        <v>918.02994586403031</v>
      </c>
      <c r="U361">
        <f t="shared" si="328"/>
        <v>9.1802994586403024</v>
      </c>
      <c r="V361">
        <f t="shared" ref="V361:W361" si="371">V337</f>
        <v>2.9</v>
      </c>
      <c r="W361">
        <f t="shared" si="371"/>
        <v>3.1</v>
      </c>
      <c r="X361" s="9">
        <v>2.9536166000000001</v>
      </c>
    </row>
    <row r="362" spans="1:24" x14ac:dyDescent="0.2">
      <c r="A362" s="41">
        <f t="shared" si="330"/>
        <v>45853.958333332463</v>
      </c>
      <c r="B362" s="42">
        <f t="shared" si="354"/>
        <v>5000</v>
      </c>
      <c r="C362" s="8">
        <v>25000</v>
      </c>
      <c r="D362" s="8">
        <v>0</v>
      </c>
      <c r="E362" s="8">
        <v>700</v>
      </c>
      <c r="F362" s="8">
        <v>7500</v>
      </c>
      <c r="G362" s="42">
        <f t="shared" si="355"/>
        <v>2400</v>
      </c>
      <c r="H362" s="8">
        <v>25000</v>
      </c>
      <c r="I362" s="42">
        <f t="shared" si="356"/>
        <v>5000</v>
      </c>
      <c r="J362" s="8">
        <v>25000</v>
      </c>
      <c r="K362" s="42">
        <f t="shared" si="357"/>
        <v>5000</v>
      </c>
      <c r="L362" s="8">
        <v>25000</v>
      </c>
      <c r="M362" s="9">
        <v>9</v>
      </c>
      <c r="N362" s="9">
        <v>16.100000000000001</v>
      </c>
      <c r="O362" s="9">
        <v>14</v>
      </c>
      <c r="P362" s="9">
        <v>19.5</v>
      </c>
      <c r="Q362" s="92">
        <v>2.8617743999999998</v>
      </c>
      <c r="R362">
        <v>10</v>
      </c>
      <c r="S362">
        <v>1000</v>
      </c>
      <c r="T362" s="4">
        <v>562.52257661079261</v>
      </c>
      <c r="U362">
        <f t="shared" si="328"/>
        <v>5.6252257661079259</v>
      </c>
      <c r="V362">
        <f t="shared" ref="V362:W362" si="372">V338</f>
        <v>3.6</v>
      </c>
      <c r="W362">
        <f t="shared" si="372"/>
        <v>3.1</v>
      </c>
      <c r="X362" s="9">
        <v>2.8617743999999998</v>
      </c>
    </row>
    <row r="363" spans="1:24" x14ac:dyDescent="0.2">
      <c r="A363" s="41">
        <f t="shared" si="330"/>
        <v>45853.999999999127</v>
      </c>
      <c r="B363" s="42">
        <f t="shared" si="354"/>
        <v>5000</v>
      </c>
      <c r="C363" s="8">
        <v>25000</v>
      </c>
      <c r="D363" s="8">
        <v>0</v>
      </c>
      <c r="E363" s="8">
        <v>700</v>
      </c>
      <c r="F363" s="8">
        <v>7500</v>
      </c>
      <c r="G363" s="42">
        <f t="shared" si="355"/>
        <v>2400</v>
      </c>
      <c r="H363" s="8">
        <v>25000</v>
      </c>
      <c r="I363" s="42">
        <f t="shared" si="356"/>
        <v>5000</v>
      </c>
      <c r="J363" s="8">
        <v>25000</v>
      </c>
      <c r="K363" s="42">
        <f t="shared" si="357"/>
        <v>5000</v>
      </c>
      <c r="L363" s="8">
        <v>25000</v>
      </c>
      <c r="M363" s="9">
        <v>9</v>
      </c>
      <c r="N363" s="9">
        <v>16.100000000000001</v>
      </c>
      <c r="O363" s="9">
        <v>14</v>
      </c>
      <c r="P363" s="9">
        <v>19.5</v>
      </c>
      <c r="Q363" s="92">
        <v>2.7708216000000001</v>
      </c>
      <c r="R363">
        <v>10</v>
      </c>
      <c r="S363">
        <v>1000</v>
      </c>
      <c r="T363" s="4">
        <v>328.43039476330199</v>
      </c>
      <c r="U363">
        <f t="shared" si="328"/>
        <v>3.28430394763302</v>
      </c>
      <c r="V363">
        <f t="shared" ref="V363:W363" si="373">V339</f>
        <v>3</v>
      </c>
      <c r="W363">
        <f t="shared" si="373"/>
        <v>3.2</v>
      </c>
      <c r="X363" s="9">
        <v>2.7708216000000001</v>
      </c>
    </row>
    <row r="364" spans="1:24" x14ac:dyDescent="0.2">
      <c r="A364" s="41">
        <f t="shared" si="330"/>
        <v>45854.041666665791</v>
      </c>
      <c r="B364" s="42">
        <f t="shared" si="354"/>
        <v>5000</v>
      </c>
      <c r="C364" s="8">
        <v>25000</v>
      </c>
      <c r="D364" s="8">
        <v>0</v>
      </c>
      <c r="E364" s="8">
        <v>700</v>
      </c>
      <c r="F364" s="8">
        <v>7500</v>
      </c>
      <c r="G364" s="42">
        <f t="shared" si="355"/>
        <v>2400</v>
      </c>
      <c r="H364" s="8">
        <v>25000</v>
      </c>
      <c r="I364" s="42">
        <f t="shared" si="356"/>
        <v>5000</v>
      </c>
      <c r="J364" s="8">
        <v>25000</v>
      </c>
      <c r="K364" s="42">
        <f t="shared" si="357"/>
        <v>5000</v>
      </c>
      <c r="L364" s="8">
        <v>25000</v>
      </c>
      <c r="M364" s="9">
        <v>9</v>
      </c>
      <c r="N364" s="9">
        <v>16.100000000000001</v>
      </c>
      <c r="O364" s="9">
        <v>14</v>
      </c>
      <c r="P364" s="9">
        <v>19.5</v>
      </c>
      <c r="Q364" s="92">
        <v>2.7003746</v>
      </c>
      <c r="R364">
        <v>10</v>
      </c>
      <c r="S364">
        <v>1000</v>
      </c>
      <c r="T364" s="4">
        <v>318.44246167114238</v>
      </c>
      <c r="U364">
        <f t="shared" si="328"/>
        <v>3.1844246167114236</v>
      </c>
      <c r="V364">
        <f t="shared" ref="V364:W364" si="374">V340</f>
        <v>2.6</v>
      </c>
      <c r="W364">
        <f t="shared" si="374"/>
        <v>3.2</v>
      </c>
      <c r="X364" s="9">
        <v>2.7003746</v>
      </c>
    </row>
    <row r="365" spans="1:24" x14ac:dyDescent="0.2">
      <c r="A365" s="41">
        <f t="shared" si="330"/>
        <v>45854.083333332455</v>
      </c>
      <c r="B365" s="42">
        <f t="shared" si="354"/>
        <v>5000</v>
      </c>
      <c r="C365" s="8">
        <v>25000</v>
      </c>
      <c r="D365" s="8">
        <v>0</v>
      </c>
      <c r="E365" s="8">
        <v>700</v>
      </c>
      <c r="F365" s="8">
        <v>7500</v>
      </c>
      <c r="G365" s="42">
        <f t="shared" si="355"/>
        <v>2400</v>
      </c>
      <c r="H365" s="8">
        <v>25000</v>
      </c>
      <c r="I365" s="42">
        <f t="shared" si="356"/>
        <v>5000</v>
      </c>
      <c r="J365" s="8">
        <v>25000</v>
      </c>
      <c r="K365" s="42">
        <f t="shared" si="357"/>
        <v>5000</v>
      </c>
      <c r="L365" s="8">
        <v>25000</v>
      </c>
      <c r="M365" s="9">
        <v>9</v>
      </c>
      <c r="N365" s="9">
        <v>16.100000000000001</v>
      </c>
      <c r="O365" s="9">
        <v>14</v>
      </c>
      <c r="P365" s="9">
        <v>19.5</v>
      </c>
      <c r="Q365" s="92">
        <v>2.7808714000000001</v>
      </c>
      <c r="R365">
        <v>10</v>
      </c>
      <c r="S365">
        <v>1000</v>
      </c>
      <c r="T365" s="4">
        <v>318.44246167114238</v>
      </c>
      <c r="U365">
        <f t="shared" si="328"/>
        <v>3.1844246167114236</v>
      </c>
      <c r="V365">
        <f t="shared" ref="V365:W365" si="375">V341</f>
        <v>2.8</v>
      </c>
      <c r="W365">
        <f t="shared" si="375"/>
        <v>3.2</v>
      </c>
      <c r="X365" s="9">
        <v>2.7808714000000001</v>
      </c>
    </row>
    <row r="366" spans="1:24" x14ac:dyDescent="0.2">
      <c r="A366" s="41">
        <f t="shared" si="330"/>
        <v>45854.12499999912</v>
      </c>
      <c r="B366" s="42">
        <f t="shared" si="354"/>
        <v>5000</v>
      </c>
      <c r="C366" s="8">
        <v>25000</v>
      </c>
      <c r="D366" s="8">
        <v>0</v>
      </c>
      <c r="E366" s="8">
        <v>700</v>
      </c>
      <c r="F366" s="8">
        <v>7500</v>
      </c>
      <c r="G366" s="42">
        <f t="shared" si="355"/>
        <v>2400</v>
      </c>
      <c r="H366" s="8">
        <v>25000</v>
      </c>
      <c r="I366" s="42">
        <f t="shared" si="356"/>
        <v>5000</v>
      </c>
      <c r="J366" s="8">
        <v>25000</v>
      </c>
      <c r="K366" s="42">
        <f t="shared" si="357"/>
        <v>5000</v>
      </c>
      <c r="L366" s="8">
        <v>25000</v>
      </c>
      <c r="M366" s="9">
        <v>9</v>
      </c>
      <c r="N366" s="9">
        <v>16.100000000000001</v>
      </c>
      <c r="O366" s="9">
        <v>14</v>
      </c>
      <c r="P366" s="9">
        <v>19.5</v>
      </c>
      <c r="Q366" s="92">
        <v>2.8494921</v>
      </c>
      <c r="R366">
        <v>10</v>
      </c>
      <c r="S366">
        <v>1000</v>
      </c>
      <c r="T366" s="4">
        <v>396.47318895363924</v>
      </c>
      <c r="U366">
        <f t="shared" si="328"/>
        <v>3.9647318895363926</v>
      </c>
      <c r="V366">
        <f t="shared" ref="V366:W366" si="376">V342</f>
        <v>2.7</v>
      </c>
      <c r="W366">
        <f t="shared" si="376"/>
        <v>3.2</v>
      </c>
      <c r="X366" s="9">
        <v>2.8494921</v>
      </c>
    </row>
    <row r="367" spans="1:24" x14ac:dyDescent="0.2">
      <c r="A367" s="41">
        <f t="shared" si="330"/>
        <v>45854.166666665784</v>
      </c>
      <c r="B367" s="42">
        <f t="shared" si="354"/>
        <v>5000</v>
      </c>
      <c r="C367" s="8">
        <v>25000</v>
      </c>
      <c r="D367" s="8">
        <v>0</v>
      </c>
      <c r="E367" s="8">
        <v>700</v>
      </c>
      <c r="F367" s="8">
        <v>7500</v>
      </c>
      <c r="G367" s="42">
        <f t="shared" si="355"/>
        <v>2400</v>
      </c>
      <c r="H367" s="8">
        <v>25000</v>
      </c>
      <c r="I367" s="42">
        <f t="shared" si="356"/>
        <v>5000</v>
      </c>
      <c r="J367" s="8">
        <v>25000</v>
      </c>
      <c r="K367" s="42">
        <f t="shared" si="357"/>
        <v>5000</v>
      </c>
      <c r="L367" s="8">
        <v>25000</v>
      </c>
      <c r="M367" s="9">
        <v>9</v>
      </c>
      <c r="N367" s="9">
        <v>16.100000000000001</v>
      </c>
      <c r="O367" s="9">
        <v>14</v>
      </c>
      <c r="P367" s="9">
        <v>19.5</v>
      </c>
      <c r="Q367" s="92">
        <v>2.8845282000000001</v>
      </c>
      <c r="R367">
        <v>10</v>
      </c>
      <c r="S367">
        <v>1000</v>
      </c>
      <c r="T367" s="4">
        <v>466.70084350788647</v>
      </c>
      <c r="U367">
        <f t="shared" si="328"/>
        <v>4.6670084350788645</v>
      </c>
      <c r="V367">
        <f t="shared" ref="V367:W367" si="377">V343</f>
        <v>3</v>
      </c>
      <c r="W367">
        <f t="shared" si="377"/>
        <v>3.1</v>
      </c>
      <c r="X367" s="9">
        <v>2.8845282000000001</v>
      </c>
    </row>
    <row r="368" spans="1:24" x14ac:dyDescent="0.2">
      <c r="A368" s="41">
        <f t="shared" si="330"/>
        <v>45854.208333332448</v>
      </c>
      <c r="B368" s="42">
        <f t="shared" si="354"/>
        <v>5000</v>
      </c>
      <c r="C368" s="8">
        <v>25000</v>
      </c>
      <c r="D368" s="8">
        <v>0</v>
      </c>
      <c r="E368" s="8">
        <v>700</v>
      </c>
      <c r="F368" s="8">
        <v>7500</v>
      </c>
      <c r="G368" s="42">
        <f t="shared" si="355"/>
        <v>2400</v>
      </c>
      <c r="H368" s="8">
        <v>25000</v>
      </c>
      <c r="I368" s="42">
        <f t="shared" si="356"/>
        <v>5000</v>
      </c>
      <c r="J368" s="8">
        <v>25000</v>
      </c>
      <c r="K368" s="42">
        <f t="shared" si="357"/>
        <v>5000</v>
      </c>
      <c r="L368" s="8">
        <v>25000</v>
      </c>
      <c r="M368" s="9">
        <v>9</v>
      </c>
      <c r="N368" s="9">
        <v>16.100000000000001</v>
      </c>
      <c r="O368" s="9">
        <v>14</v>
      </c>
      <c r="P368" s="9">
        <v>19.5</v>
      </c>
      <c r="Q368" s="92">
        <v>2.9651892000000002</v>
      </c>
      <c r="R368">
        <v>10</v>
      </c>
      <c r="S368">
        <v>1000</v>
      </c>
      <c r="T368" s="4">
        <v>466.70084350788647</v>
      </c>
      <c r="U368">
        <f t="shared" si="328"/>
        <v>4.6670084350788645</v>
      </c>
      <c r="V368">
        <f t="shared" ref="V368:W368" si="378">V344</f>
        <v>2.9</v>
      </c>
      <c r="W368">
        <f t="shared" si="378"/>
        <v>3.1</v>
      </c>
      <c r="X368" s="9">
        <v>2.9651892000000002</v>
      </c>
    </row>
    <row r="369" spans="1:24" x14ac:dyDescent="0.2">
      <c r="A369" s="41">
        <f t="shared" si="330"/>
        <v>45854.249999999112</v>
      </c>
      <c r="B369" s="42">
        <f t="shared" si="354"/>
        <v>8000</v>
      </c>
      <c r="C369" s="8">
        <v>25000</v>
      </c>
      <c r="D369" s="8">
        <v>0</v>
      </c>
      <c r="E369" s="8">
        <v>700</v>
      </c>
      <c r="F369" s="8">
        <v>7500</v>
      </c>
      <c r="G369" s="42">
        <f t="shared" si="355"/>
        <v>2400</v>
      </c>
      <c r="H369" s="8">
        <v>25000</v>
      </c>
      <c r="I369" s="42">
        <f t="shared" si="356"/>
        <v>8000</v>
      </c>
      <c r="J369" s="8">
        <v>25000</v>
      </c>
      <c r="K369" s="42">
        <f t="shared" si="357"/>
        <v>8000</v>
      </c>
      <c r="L369" s="8">
        <v>25000</v>
      </c>
      <c r="M369" s="9">
        <v>9</v>
      </c>
      <c r="N369" s="9">
        <v>16.100000000000001</v>
      </c>
      <c r="O369" s="9">
        <v>14</v>
      </c>
      <c r="P369" s="9">
        <v>19.5</v>
      </c>
      <c r="Q369" s="92">
        <v>3.0924415999999999</v>
      </c>
      <c r="R369">
        <v>10</v>
      </c>
      <c r="S369">
        <v>1000</v>
      </c>
      <c r="T369" s="4">
        <v>362.76391476760062</v>
      </c>
      <c r="U369">
        <f t="shared" si="328"/>
        <v>3.6276391476760064</v>
      </c>
      <c r="V369">
        <f t="shared" ref="V369:W369" si="379">V345</f>
        <v>2.5</v>
      </c>
      <c r="W369">
        <f t="shared" si="379"/>
        <v>3.1</v>
      </c>
      <c r="X369" s="9">
        <v>3.0924415999999999</v>
      </c>
    </row>
    <row r="370" spans="1:24" x14ac:dyDescent="0.2">
      <c r="A370" s="41">
        <f t="shared" si="330"/>
        <v>45854.291666665777</v>
      </c>
      <c r="B370" s="42">
        <f t="shared" si="354"/>
        <v>8000</v>
      </c>
      <c r="C370" s="8">
        <v>25000</v>
      </c>
      <c r="D370" s="8">
        <v>0</v>
      </c>
      <c r="E370" s="8">
        <v>700</v>
      </c>
      <c r="F370" s="8">
        <v>7500</v>
      </c>
      <c r="G370" s="42">
        <f t="shared" si="355"/>
        <v>2400</v>
      </c>
      <c r="H370" s="8">
        <v>25000</v>
      </c>
      <c r="I370" s="42">
        <f t="shared" si="356"/>
        <v>8000</v>
      </c>
      <c r="J370" s="8">
        <v>25000</v>
      </c>
      <c r="K370" s="42">
        <f t="shared" si="357"/>
        <v>8000</v>
      </c>
      <c r="L370" s="8">
        <v>25000</v>
      </c>
      <c r="M370" s="9">
        <v>9</v>
      </c>
      <c r="N370" s="9">
        <v>16.100000000000001</v>
      </c>
      <c r="O370" s="9">
        <v>14</v>
      </c>
      <c r="P370" s="9">
        <v>19.5</v>
      </c>
      <c r="Q370" s="92">
        <v>3.2397567999999999</v>
      </c>
      <c r="R370">
        <v>10</v>
      </c>
      <c r="S370">
        <v>1000</v>
      </c>
      <c r="T370" s="4">
        <v>369.00637295020039</v>
      </c>
      <c r="U370">
        <f t="shared" si="328"/>
        <v>3.690063729502004</v>
      </c>
      <c r="V370">
        <f t="shared" ref="V370:W370" si="380">V346</f>
        <v>2.5</v>
      </c>
      <c r="W370">
        <f t="shared" si="380"/>
        <v>3.1</v>
      </c>
      <c r="X370" s="9">
        <v>3.2397567999999999</v>
      </c>
    </row>
    <row r="371" spans="1:24" x14ac:dyDescent="0.2">
      <c r="A371" s="41">
        <f t="shared" si="330"/>
        <v>45854.333333332441</v>
      </c>
      <c r="B371" s="42">
        <f t="shared" si="354"/>
        <v>8000</v>
      </c>
      <c r="C371" s="8">
        <v>25000</v>
      </c>
      <c r="D371" s="8">
        <v>0</v>
      </c>
      <c r="E371" s="8">
        <v>700</v>
      </c>
      <c r="F371" s="8">
        <v>7500</v>
      </c>
      <c r="G371" s="42">
        <f t="shared" si="355"/>
        <v>2400</v>
      </c>
      <c r="H371" s="8">
        <v>25000</v>
      </c>
      <c r="I371" s="42">
        <f t="shared" si="356"/>
        <v>8000</v>
      </c>
      <c r="J371" s="8">
        <v>25000</v>
      </c>
      <c r="K371" s="42">
        <f t="shared" si="357"/>
        <v>8000</v>
      </c>
      <c r="L371" s="8">
        <v>25000</v>
      </c>
      <c r="M371" s="9">
        <v>9</v>
      </c>
      <c r="N371" s="9">
        <v>16.100000000000001</v>
      </c>
      <c r="O371" s="9">
        <v>14</v>
      </c>
      <c r="P371" s="9">
        <v>19.5</v>
      </c>
      <c r="Q371" s="92">
        <v>3.3043485000000001</v>
      </c>
      <c r="R371">
        <v>10</v>
      </c>
      <c r="S371">
        <v>1000</v>
      </c>
      <c r="T371" s="4">
        <v>386.17313295234976</v>
      </c>
      <c r="U371">
        <f t="shared" si="328"/>
        <v>3.8617313295234976</v>
      </c>
      <c r="V371">
        <f t="shared" ref="V371:W371" si="381">V347</f>
        <v>3.2</v>
      </c>
      <c r="W371">
        <f t="shared" si="381"/>
        <v>3</v>
      </c>
      <c r="X371" s="9">
        <v>3.3043485000000001</v>
      </c>
    </row>
    <row r="372" spans="1:24" x14ac:dyDescent="0.2">
      <c r="A372" s="41">
        <f t="shared" si="330"/>
        <v>45854.374999999105</v>
      </c>
      <c r="B372" s="42">
        <f t="shared" si="354"/>
        <v>8000</v>
      </c>
      <c r="C372" s="8">
        <v>25000</v>
      </c>
      <c r="D372" s="8">
        <v>0</v>
      </c>
      <c r="E372" s="8">
        <v>700</v>
      </c>
      <c r="F372" s="8">
        <v>7500</v>
      </c>
      <c r="G372" s="42">
        <f t="shared" si="355"/>
        <v>2400</v>
      </c>
      <c r="H372" s="8">
        <v>25000</v>
      </c>
      <c r="I372" s="42">
        <f t="shared" si="356"/>
        <v>8000</v>
      </c>
      <c r="J372" s="8">
        <v>25000</v>
      </c>
      <c r="K372" s="42">
        <f t="shared" si="357"/>
        <v>8000</v>
      </c>
      <c r="L372" s="8">
        <v>25000</v>
      </c>
      <c r="M372" s="9">
        <v>9</v>
      </c>
      <c r="N372" s="9">
        <v>16.100000000000001</v>
      </c>
      <c r="O372" s="9">
        <v>14</v>
      </c>
      <c r="P372" s="9">
        <v>19.5</v>
      </c>
      <c r="Q372" s="92">
        <v>3.3452565999999999</v>
      </c>
      <c r="R372">
        <v>10</v>
      </c>
      <c r="S372">
        <v>1000</v>
      </c>
      <c r="T372" s="4">
        <v>364.32452931325059</v>
      </c>
      <c r="U372">
        <f t="shared" si="328"/>
        <v>3.6432452931325061</v>
      </c>
      <c r="V372">
        <f t="shared" ref="V372:W372" si="382">V348</f>
        <v>2.9</v>
      </c>
      <c r="W372">
        <f t="shared" si="382"/>
        <v>3</v>
      </c>
      <c r="X372" s="9">
        <v>3.3452565999999999</v>
      </c>
    </row>
    <row r="373" spans="1:24" x14ac:dyDescent="0.2">
      <c r="A373" s="41">
        <f t="shared" si="330"/>
        <v>45854.416666665769</v>
      </c>
      <c r="B373" s="42">
        <f t="shared" si="354"/>
        <v>8000</v>
      </c>
      <c r="C373" s="8">
        <v>25000</v>
      </c>
      <c r="D373" s="8">
        <v>0</v>
      </c>
      <c r="E373" s="8">
        <v>700</v>
      </c>
      <c r="F373" s="8">
        <v>7500</v>
      </c>
      <c r="G373" s="42">
        <f t="shared" si="355"/>
        <v>2400</v>
      </c>
      <c r="H373" s="8">
        <v>25000</v>
      </c>
      <c r="I373" s="42">
        <f t="shared" si="356"/>
        <v>8000</v>
      </c>
      <c r="J373" s="8">
        <v>25000</v>
      </c>
      <c r="K373" s="42">
        <f t="shared" si="357"/>
        <v>8000</v>
      </c>
      <c r="L373" s="8">
        <v>25000</v>
      </c>
      <c r="M373" s="9">
        <v>9</v>
      </c>
      <c r="N373" s="9">
        <v>16.100000000000001</v>
      </c>
      <c r="O373" s="9">
        <v>14</v>
      </c>
      <c r="P373" s="9">
        <v>19.5</v>
      </c>
      <c r="Q373" s="92">
        <v>3.4172028999999999</v>
      </c>
      <c r="R373">
        <v>10</v>
      </c>
      <c r="S373">
        <v>1000</v>
      </c>
      <c r="T373" s="4">
        <v>343.41229440154143</v>
      </c>
      <c r="U373">
        <f t="shared" si="328"/>
        <v>3.4341229440154142</v>
      </c>
      <c r="V373">
        <f t="shared" ref="V373:W373" si="383">V349</f>
        <v>2.9</v>
      </c>
      <c r="W373">
        <f t="shared" si="383"/>
        <v>3</v>
      </c>
      <c r="X373" s="9">
        <v>3.4172028999999999</v>
      </c>
    </row>
    <row r="374" spans="1:24" x14ac:dyDescent="0.2">
      <c r="A374" s="41">
        <f t="shared" si="330"/>
        <v>45854.458333332434</v>
      </c>
      <c r="B374" s="42">
        <f t="shared" si="354"/>
        <v>8000</v>
      </c>
      <c r="C374" s="8">
        <v>25000</v>
      </c>
      <c r="D374" s="8">
        <v>0</v>
      </c>
      <c r="E374" s="8">
        <v>700</v>
      </c>
      <c r="F374" s="8">
        <v>7500</v>
      </c>
      <c r="G374" s="42">
        <f t="shared" si="355"/>
        <v>2400</v>
      </c>
      <c r="H374" s="8">
        <v>25000</v>
      </c>
      <c r="I374" s="42">
        <f t="shared" si="356"/>
        <v>8000</v>
      </c>
      <c r="J374" s="8">
        <v>25000</v>
      </c>
      <c r="K374" s="42">
        <f t="shared" si="357"/>
        <v>8000</v>
      </c>
      <c r="L374" s="8">
        <v>25000</v>
      </c>
      <c r="M374" s="9">
        <v>9</v>
      </c>
      <c r="N374" s="9">
        <v>16.100000000000001</v>
      </c>
      <c r="O374" s="9">
        <v>14</v>
      </c>
      <c r="P374" s="9">
        <v>19.5</v>
      </c>
      <c r="Q374" s="92">
        <v>3.3668075000000002</v>
      </c>
      <c r="R374">
        <v>10</v>
      </c>
      <c r="S374">
        <v>1000</v>
      </c>
      <c r="T374" s="4">
        <v>340.29106531024155</v>
      </c>
      <c r="U374">
        <f t="shared" si="328"/>
        <v>3.4029106531024156</v>
      </c>
      <c r="V374">
        <f t="shared" ref="V374:W374" si="384">V350</f>
        <v>3.4</v>
      </c>
      <c r="W374">
        <f t="shared" si="384"/>
        <v>3</v>
      </c>
      <c r="X374" s="9">
        <v>3.3668075000000002</v>
      </c>
    </row>
    <row r="375" spans="1:24" x14ac:dyDescent="0.2">
      <c r="A375" s="41">
        <f t="shared" si="330"/>
        <v>45854.499999999098</v>
      </c>
      <c r="B375" s="42">
        <f t="shared" si="354"/>
        <v>8000</v>
      </c>
      <c r="C375" s="8">
        <v>25000</v>
      </c>
      <c r="D375" s="8">
        <v>0</v>
      </c>
      <c r="E375" s="8">
        <v>700</v>
      </c>
      <c r="F375" s="8">
        <v>7500</v>
      </c>
      <c r="G375" s="42">
        <f t="shared" si="355"/>
        <v>2400</v>
      </c>
      <c r="H375" s="8">
        <v>25000</v>
      </c>
      <c r="I375" s="42">
        <f t="shared" si="356"/>
        <v>8000</v>
      </c>
      <c r="J375" s="8">
        <v>25000</v>
      </c>
      <c r="K375" s="42">
        <f t="shared" si="357"/>
        <v>8000</v>
      </c>
      <c r="L375" s="8">
        <v>25000</v>
      </c>
      <c r="M375" s="9">
        <v>9</v>
      </c>
      <c r="N375" s="9">
        <v>16.100000000000001</v>
      </c>
      <c r="O375" s="9">
        <v>14</v>
      </c>
      <c r="P375" s="9">
        <v>19.5</v>
      </c>
      <c r="Q375" s="92">
        <v>3.2368073000000002</v>
      </c>
      <c r="R375">
        <v>10</v>
      </c>
      <c r="S375">
        <v>1000</v>
      </c>
      <c r="T375" s="4">
        <v>369.94274167759033</v>
      </c>
      <c r="U375">
        <f t="shared" si="328"/>
        <v>3.6994274167759031</v>
      </c>
      <c r="V375">
        <f t="shared" ref="V375:W375" si="385">V351</f>
        <v>3.1</v>
      </c>
      <c r="W375">
        <f t="shared" si="385"/>
        <v>2.9</v>
      </c>
      <c r="X375" s="9">
        <v>3.2368073000000002</v>
      </c>
    </row>
    <row r="376" spans="1:24" x14ac:dyDescent="0.2">
      <c r="A376" s="41">
        <f t="shared" si="330"/>
        <v>45854.541666665762</v>
      </c>
      <c r="B376" s="42">
        <f t="shared" si="354"/>
        <v>8000</v>
      </c>
      <c r="C376" s="8">
        <v>25000</v>
      </c>
      <c r="D376" s="8">
        <v>0</v>
      </c>
      <c r="E376" s="8">
        <v>700</v>
      </c>
      <c r="F376" s="8">
        <v>7500</v>
      </c>
      <c r="G376" s="42">
        <f t="shared" si="355"/>
        <v>2400</v>
      </c>
      <c r="H376" s="8">
        <v>25000</v>
      </c>
      <c r="I376" s="42">
        <f t="shared" si="356"/>
        <v>8000</v>
      </c>
      <c r="J376" s="8">
        <v>25000</v>
      </c>
      <c r="K376" s="42">
        <f t="shared" si="357"/>
        <v>8000</v>
      </c>
      <c r="L376" s="8">
        <v>25000</v>
      </c>
      <c r="M376" s="9">
        <v>9</v>
      </c>
      <c r="N376" s="9">
        <v>16.100000000000001</v>
      </c>
      <c r="O376" s="9">
        <v>14</v>
      </c>
      <c r="P376" s="9">
        <v>19.5</v>
      </c>
      <c r="Q376" s="92">
        <v>3.0514443</v>
      </c>
      <c r="R376">
        <v>10</v>
      </c>
      <c r="S376">
        <v>1000</v>
      </c>
      <c r="T376" s="4">
        <v>402.40414847292726</v>
      </c>
      <c r="U376">
        <f t="shared" si="328"/>
        <v>4.0240414847292723</v>
      </c>
      <c r="V376">
        <f t="shared" ref="V376:W376" si="386">V352</f>
        <v>3.2</v>
      </c>
      <c r="W376">
        <f t="shared" si="386"/>
        <v>2.9</v>
      </c>
      <c r="X376" s="9">
        <v>3.0514443</v>
      </c>
    </row>
    <row r="377" spans="1:24" x14ac:dyDescent="0.2">
      <c r="A377" s="41">
        <f t="shared" si="330"/>
        <v>45854.583333332426</v>
      </c>
      <c r="B377" s="42">
        <f t="shared" si="354"/>
        <v>8000</v>
      </c>
      <c r="C377" s="8">
        <v>25000</v>
      </c>
      <c r="D377" s="8">
        <v>0</v>
      </c>
      <c r="E377" s="8">
        <v>700</v>
      </c>
      <c r="F377" s="8">
        <v>7500</v>
      </c>
      <c r="G377" s="42">
        <f t="shared" si="355"/>
        <v>2400</v>
      </c>
      <c r="H377" s="8">
        <v>25000</v>
      </c>
      <c r="I377" s="42">
        <f t="shared" si="356"/>
        <v>8000</v>
      </c>
      <c r="J377" s="8">
        <v>25000</v>
      </c>
      <c r="K377" s="42">
        <f t="shared" si="357"/>
        <v>8000</v>
      </c>
      <c r="L377" s="8">
        <v>25000</v>
      </c>
      <c r="M377" s="9">
        <v>9</v>
      </c>
      <c r="N377" s="9">
        <v>16.100000000000001</v>
      </c>
      <c r="O377" s="9">
        <v>14</v>
      </c>
      <c r="P377" s="9">
        <v>19.5</v>
      </c>
      <c r="Q377" s="92">
        <v>3.0247153999999998</v>
      </c>
      <c r="R377">
        <v>10</v>
      </c>
      <c r="S377">
        <v>1000</v>
      </c>
      <c r="T377" s="4">
        <v>655.22245637658079</v>
      </c>
      <c r="U377">
        <f t="shared" si="328"/>
        <v>6.5522245637658081</v>
      </c>
      <c r="V377">
        <f t="shared" ref="V377:W377" si="387">V353</f>
        <v>3.5</v>
      </c>
      <c r="W377">
        <f t="shared" si="387"/>
        <v>2.9</v>
      </c>
      <c r="X377" s="9">
        <v>3.0247153999999998</v>
      </c>
    </row>
    <row r="378" spans="1:24" x14ac:dyDescent="0.2">
      <c r="A378" s="41">
        <f t="shared" si="330"/>
        <v>45854.624999999091</v>
      </c>
      <c r="B378" s="42">
        <f t="shared" si="354"/>
        <v>8000</v>
      </c>
      <c r="C378" s="8">
        <v>25000</v>
      </c>
      <c r="D378" s="8">
        <v>0</v>
      </c>
      <c r="E378" s="8">
        <v>700</v>
      </c>
      <c r="F378" s="8">
        <v>7500</v>
      </c>
      <c r="G378" s="42">
        <f t="shared" si="355"/>
        <v>2400</v>
      </c>
      <c r="H378" s="8">
        <v>25000</v>
      </c>
      <c r="I378" s="42">
        <f t="shared" si="356"/>
        <v>8000</v>
      </c>
      <c r="J378" s="8">
        <v>25000</v>
      </c>
      <c r="K378" s="42">
        <f t="shared" si="357"/>
        <v>8000</v>
      </c>
      <c r="L378" s="8">
        <v>25000</v>
      </c>
      <c r="M378" s="9">
        <v>9</v>
      </c>
      <c r="N378" s="9">
        <v>16.100000000000001</v>
      </c>
      <c r="O378" s="9">
        <v>14</v>
      </c>
      <c r="P378" s="9">
        <v>19.5</v>
      </c>
      <c r="Q378" s="92">
        <v>3.3615200999999999</v>
      </c>
      <c r="R378">
        <v>10</v>
      </c>
      <c r="S378">
        <v>1000</v>
      </c>
      <c r="T378" s="4">
        <v>753.54117275252679</v>
      </c>
      <c r="U378">
        <f t="shared" si="328"/>
        <v>7.5354117275252683</v>
      </c>
      <c r="V378">
        <f t="shared" ref="V378:W378" si="388">V354</f>
        <v>3.2</v>
      </c>
      <c r="W378">
        <f t="shared" si="388"/>
        <v>2.9</v>
      </c>
      <c r="X378" s="9">
        <v>3.3615200999999999</v>
      </c>
    </row>
    <row r="379" spans="1:24" x14ac:dyDescent="0.2">
      <c r="A379" s="41">
        <f t="shared" si="330"/>
        <v>45854.666666665755</v>
      </c>
      <c r="B379" s="42">
        <f t="shared" si="354"/>
        <v>8000</v>
      </c>
      <c r="C379" s="8">
        <v>25000</v>
      </c>
      <c r="D379" s="8">
        <v>0</v>
      </c>
      <c r="E379" s="8">
        <v>700</v>
      </c>
      <c r="F379" s="8">
        <v>7500</v>
      </c>
      <c r="G379" s="42">
        <f t="shared" si="355"/>
        <v>2400</v>
      </c>
      <c r="H379" s="8">
        <v>25000</v>
      </c>
      <c r="I379" s="42">
        <f t="shared" si="356"/>
        <v>8000</v>
      </c>
      <c r="J379" s="8">
        <v>25000</v>
      </c>
      <c r="K379" s="42">
        <f t="shared" si="357"/>
        <v>8000</v>
      </c>
      <c r="L379" s="8">
        <v>25000</v>
      </c>
      <c r="M379" s="9">
        <v>9</v>
      </c>
      <c r="N379" s="9">
        <v>16.100000000000001</v>
      </c>
      <c r="O379" s="9">
        <v>14</v>
      </c>
      <c r="P379" s="9">
        <v>19.5</v>
      </c>
      <c r="Q379" s="92">
        <v>3.2561054</v>
      </c>
      <c r="R379">
        <v>10</v>
      </c>
      <c r="S379">
        <v>1000</v>
      </c>
      <c r="T379" s="4">
        <v>974.21206950742805</v>
      </c>
      <c r="U379">
        <f t="shared" si="328"/>
        <v>9.7421206950742807</v>
      </c>
      <c r="V379">
        <f t="shared" ref="V379:W379" si="389">V355</f>
        <v>3.5</v>
      </c>
      <c r="W379">
        <f t="shared" si="389"/>
        <v>3</v>
      </c>
      <c r="X379" s="9">
        <v>3.2561054</v>
      </c>
    </row>
    <row r="380" spans="1:24" x14ac:dyDescent="0.2">
      <c r="A380" s="41">
        <f t="shared" si="330"/>
        <v>45854.708333332419</v>
      </c>
      <c r="B380" s="42">
        <f t="shared" si="354"/>
        <v>8000</v>
      </c>
      <c r="C380" s="8">
        <v>25000</v>
      </c>
      <c r="D380" s="8">
        <v>0</v>
      </c>
      <c r="E380" s="8">
        <v>700</v>
      </c>
      <c r="F380" s="8">
        <v>7500</v>
      </c>
      <c r="G380" s="42">
        <f t="shared" si="355"/>
        <v>2400</v>
      </c>
      <c r="H380" s="8">
        <v>25000</v>
      </c>
      <c r="I380" s="42">
        <f t="shared" si="356"/>
        <v>8000</v>
      </c>
      <c r="J380" s="8">
        <v>25000</v>
      </c>
      <c r="K380" s="42">
        <f t="shared" si="357"/>
        <v>8000</v>
      </c>
      <c r="L380" s="8">
        <v>25000</v>
      </c>
      <c r="M380" s="9">
        <v>9</v>
      </c>
      <c r="N380" s="9">
        <v>16.100000000000001</v>
      </c>
      <c r="O380" s="9">
        <v>14</v>
      </c>
      <c r="P380" s="9">
        <v>19.5</v>
      </c>
      <c r="Q380" s="92">
        <v>3.1714692000000002</v>
      </c>
      <c r="R380">
        <v>10</v>
      </c>
      <c r="S380">
        <v>1000</v>
      </c>
      <c r="T380" s="4">
        <v>1241.0771568135674</v>
      </c>
      <c r="U380">
        <f t="shared" si="328"/>
        <v>12.410771568135674</v>
      </c>
      <c r="V380">
        <f t="shared" ref="V380:W380" si="390">V356</f>
        <v>3.6</v>
      </c>
      <c r="W380">
        <f t="shared" si="390"/>
        <v>3</v>
      </c>
      <c r="X380" s="9">
        <v>3.1714692000000002</v>
      </c>
    </row>
    <row r="381" spans="1:24" x14ac:dyDescent="0.2">
      <c r="A381" s="41">
        <f t="shared" si="330"/>
        <v>45854.749999999083</v>
      </c>
      <c r="B381" s="42">
        <f t="shared" si="354"/>
        <v>5000</v>
      </c>
      <c r="C381" s="8">
        <v>25000</v>
      </c>
      <c r="D381" s="8">
        <v>0</v>
      </c>
      <c r="E381" s="8">
        <v>700</v>
      </c>
      <c r="F381" s="8">
        <v>7500</v>
      </c>
      <c r="G381" s="42">
        <f t="shared" si="355"/>
        <v>2400</v>
      </c>
      <c r="H381" s="8">
        <v>25000</v>
      </c>
      <c r="I381" s="42">
        <f t="shared" si="356"/>
        <v>5000</v>
      </c>
      <c r="J381" s="8">
        <v>25000</v>
      </c>
      <c r="K381" s="42">
        <f t="shared" si="357"/>
        <v>5000</v>
      </c>
      <c r="L381" s="8">
        <v>25000</v>
      </c>
      <c r="M381" s="9">
        <v>9</v>
      </c>
      <c r="N381" s="9">
        <v>16.100000000000001</v>
      </c>
      <c r="O381" s="9">
        <v>14</v>
      </c>
      <c r="P381" s="9">
        <v>19.5</v>
      </c>
      <c r="Q381" s="92">
        <v>3.1544614000000002</v>
      </c>
      <c r="R381">
        <v>10</v>
      </c>
      <c r="S381">
        <v>1000</v>
      </c>
      <c r="T381" s="4">
        <v>1284.7743640917656</v>
      </c>
      <c r="U381">
        <f t="shared" si="328"/>
        <v>12.847743640917656</v>
      </c>
      <c r="V381">
        <f t="shared" ref="V381:W381" si="391">V357</f>
        <v>2.9</v>
      </c>
      <c r="W381">
        <f t="shared" si="391"/>
        <v>3</v>
      </c>
      <c r="X381" s="9">
        <v>3.1544614000000002</v>
      </c>
    </row>
    <row r="382" spans="1:24" x14ac:dyDescent="0.2">
      <c r="A382" s="41">
        <f t="shared" si="330"/>
        <v>45854.791666665747</v>
      </c>
      <c r="B382" s="42">
        <f t="shared" si="354"/>
        <v>5000</v>
      </c>
      <c r="C382" s="8">
        <v>25000</v>
      </c>
      <c r="D382" s="8">
        <v>0</v>
      </c>
      <c r="E382" s="8">
        <v>700</v>
      </c>
      <c r="F382" s="8">
        <v>7500</v>
      </c>
      <c r="G382" s="42">
        <f t="shared" si="355"/>
        <v>2400</v>
      </c>
      <c r="H382" s="8">
        <v>25000</v>
      </c>
      <c r="I382" s="42">
        <f t="shared" si="356"/>
        <v>5000</v>
      </c>
      <c r="J382" s="8">
        <v>25000</v>
      </c>
      <c r="K382" s="42">
        <f t="shared" si="357"/>
        <v>5000</v>
      </c>
      <c r="L382" s="8">
        <v>25000</v>
      </c>
      <c r="M382" s="9">
        <v>9</v>
      </c>
      <c r="N382" s="9">
        <v>16.100000000000001</v>
      </c>
      <c r="O382" s="9">
        <v>14</v>
      </c>
      <c r="P382" s="9">
        <v>19.5</v>
      </c>
      <c r="Q382" s="92">
        <v>3.1169446000000001</v>
      </c>
      <c r="R382">
        <v>10</v>
      </c>
      <c r="S382">
        <v>1000</v>
      </c>
      <c r="T382" s="4">
        <v>1281.6531350004659</v>
      </c>
      <c r="U382">
        <f t="shared" si="328"/>
        <v>12.816531350004659</v>
      </c>
      <c r="V382">
        <f t="shared" ref="V382:W382" si="392">V358</f>
        <v>3</v>
      </c>
      <c r="W382">
        <f t="shared" si="392"/>
        <v>3</v>
      </c>
      <c r="X382" s="9">
        <v>3.1169446000000001</v>
      </c>
    </row>
    <row r="383" spans="1:24" x14ac:dyDescent="0.2">
      <c r="A383" s="41">
        <f t="shared" si="330"/>
        <v>45854.833333332412</v>
      </c>
      <c r="B383" s="42">
        <f t="shared" si="354"/>
        <v>5000</v>
      </c>
      <c r="C383" s="8">
        <v>25000</v>
      </c>
      <c r="D383" s="8">
        <v>0</v>
      </c>
      <c r="E383" s="8">
        <v>700</v>
      </c>
      <c r="F383" s="8">
        <v>7500</v>
      </c>
      <c r="G383" s="42">
        <f t="shared" si="355"/>
        <v>2400</v>
      </c>
      <c r="H383" s="8">
        <v>25000</v>
      </c>
      <c r="I383" s="42">
        <f t="shared" si="356"/>
        <v>5000</v>
      </c>
      <c r="J383" s="8">
        <v>25000</v>
      </c>
      <c r="K383" s="42">
        <f t="shared" si="357"/>
        <v>5000</v>
      </c>
      <c r="L383" s="8">
        <v>25000</v>
      </c>
      <c r="M383" s="9">
        <v>9</v>
      </c>
      <c r="N383" s="9">
        <v>16.100000000000001</v>
      </c>
      <c r="O383" s="9">
        <v>14</v>
      </c>
      <c r="P383" s="9">
        <v>19.5</v>
      </c>
      <c r="Q383" s="92">
        <v>3.0799096000000001</v>
      </c>
      <c r="R383">
        <v>10</v>
      </c>
      <c r="S383">
        <v>1000</v>
      </c>
      <c r="T383" s="4">
        <v>1237.9559277222675</v>
      </c>
      <c r="U383">
        <f t="shared" si="328"/>
        <v>12.379559277222675</v>
      </c>
      <c r="V383">
        <f t="shared" ref="V383:W383" si="393">V359</f>
        <v>2.8</v>
      </c>
      <c r="W383">
        <f t="shared" si="393"/>
        <v>3.1</v>
      </c>
      <c r="X383" s="9">
        <v>3.0799096000000001</v>
      </c>
    </row>
    <row r="384" spans="1:24" x14ac:dyDescent="0.2">
      <c r="A384" s="41">
        <f t="shared" si="330"/>
        <v>45854.874999999076</v>
      </c>
      <c r="B384" s="42">
        <f t="shared" si="354"/>
        <v>5000</v>
      </c>
      <c r="C384" s="8">
        <v>25000</v>
      </c>
      <c r="D384" s="8">
        <v>0</v>
      </c>
      <c r="E384" s="8">
        <v>700</v>
      </c>
      <c r="F384" s="8">
        <v>7500</v>
      </c>
      <c r="G384" s="42">
        <f t="shared" si="355"/>
        <v>2400</v>
      </c>
      <c r="H384" s="8">
        <v>25000</v>
      </c>
      <c r="I384" s="42">
        <f t="shared" si="356"/>
        <v>5000</v>
      </c>
      <c r="J384" s="8">
        <v>25000</v>
      </c>
      <c r="K384" s="42">
        <f t="shared" si="357"/>
        <v>5000</v>
      </c>
      <c r="L384" s="8">
        <v>25000</v>
      </c>
      <c r="M384" s="9">
        <v>9</v>
      </c>
      <c r="N384" s="9">
        <v>16.100000000000001</v>
      </c>
      <c r="O384" s="9">
        <v>14</v>
      </c>
      <c r="P384" s="9">
        <v>19.5</v>
      </c>
      <c r="Q384" s="92">
        <v>3.0456197</v>
      </c>
      <c r="R384">
        <v>10</v>
      </c>
      <c r="S384">
        <v>1000</v>
      </c>
      <c r="T384" s="4">
        <v>1142.7584404376212</v>
      </c>
      <c r="U384">
        <f t="shared" si="328"/>
        <v>11.427584404376212</v>
      </c>
      <c r="V384">
        <f t="shared" ref="V384:W384" si="394">V360</f>
        <v>3.5</v>
      </c>
      <c r="W384">
        <f t="shared" si="394"/>
        <v>3.1</v>
      </c>
      <c r="X384" s="9">
        <v>3.0456197</v>
      </c>
    </row>
    <row r="385" spans="1:24" x14ac:dyDescent="0.2">
      <c r="A385" s="41">
        <f t="shared" si="330"/>
        <v>45854.91666666574</v>
      </c>
      <c r="B385" s="42">
        <f t="shared" si="354"/>
        <v>5000</v>
      </c>
      <c r="C385" s="8">
        <v>25000</v>
      </c>
      <c r="D385" s="8">
        <v>0</v>
      </c>
      <c r="E385" s="8">
        <v>700</v>
      </c>
      <c r="F385" s="8">
        <v>7500</v>
      </c>
      <c r="G385" s="42">
        <f t="shared" si="355"/>
        <v>2400</v>
      </c>
      <c r="H385" s="8">
        <v>25000</v>
      </c>
      <c r="I385" s="42">
        <f t="shared" si="356"/>
        <v>5000</v>
      </c>
      <c r="J385" s="8">
        <v>25000</v>
      </c>
      <c r="K385" s="42">
        <f t="shared" si="357"/>
        <v>5000</v>
      </c>
      <c r="L385" s="8">
        <v>25000</v>
      </c>
      <c r="M385" s="9">
        <v>9</v>
      </c>
      <c r="N385" s="9">
        <v>16.100000000000001</v>
      </c>
      <c r="O385" s="9">
        <v>14</v>
      </c>
      <c r="P385" s="9">
        <v>19.5</v>
      </c>
      <c r="Q385" s="92">
        <v>3.0097027000000001</v>
      </c>
      <c r="R385">
        <v>10</v>
      </c>
      <c r="S385">
        <v>1000</v>
      </c>
      <c r="T385" s="4">
        <v>918.02994586403031</v>
      </c>
      <c r="U385">
        <f t="shared" si="328"/>
        <v>9.1802994586403024</v>
      </c>
      <c r="V385">
        <f t="shared" ref="V385:W385" si="395">V361</f>
        <v>2.9</v>
      </c>
      <c r="W385">
        <f t="shared" si="395"/>
        <v>3.1</v>
      </c>
      <c r="X385" s="9">
        <v>3.0097027000000001</v>
      </c>
    </row>
    <row r="386" spans="1:24" x14ac:dyDescent="0.2">
      <c r="A386" s="41">
        <f t="shared" si="330"/>
        <v>45854.958333332404</v>
      </c>
      <c r="B386" s="42">
        <f t="shared" si="354"/>
        <v>5000</v>
      </c>
      <c r="C386" s="8">
        <v>25000</v>
      </c>
      <c r="D386" s="8">
        <v>0</v>
      </c>
      <c r="E386" s="8">
        <v>700</v>
      </c>
      <c r="F386" s="8">
        <v>7500</v>
      </c>
      <c r="G386" s="42">
        <f t="shared" si="355"/>
        <v>2400</v>
      </c>
      <c r="H386" s="8">
        <v>25000</v>
      </c>
      <c r="I386" s="42">
        <f t="shared" si="356"/>
        <v>5000</v>
      </c>
      <c r="J386" s="8">
        <v>25000</v>
      </c>
      <c r="K386" s="42">
        <f t="shared" si="357"/>
        <v>5000</v>
      </c>
      <c r="L386" s="8">
        <v>25000</v>
      </c>
      <c r="M386" s="9">
        <v>9</v>
      </c>
      <c r="N386" s="9">
        <v>16.100000000000001</v>
      </c>
      <c r="O386" s="9">
        <v>14</v>
      </c>
      <c r="P386" s="9">
        <v>19.5</v>
      </c>
      <c r="Q386" s="92">
        <v>2.9064643000000001</v>
      </c>
      <c r="R386">
        <v>10</v>
      </c>
      <c r="S386">
        <v>1000</v>
      </c>
      <c r="T386" s="4">
        <v>562.52257661079261</v>
      </c>
      <c r="U386">
        <f t="shared" si="328"/>
        <v>5.6252257661079259</v>
      </c>
      <c r="V386">
        <f t="shared" ref="V386:W386" si="396">V362</f>
        <v>3.6</v>
      </c>
      <c r="W386">
        <f t="shared" si="396"/>
        <v>3.1</v>
      </c>
      <c r="X386" s="9">
        <v>2.9064643000000001</v>
      </c>
    </row>
    <row r="387" spans="1:24" x14ac:dyDescent="0.2">
      <c r="A387" s="41">
        <f t="shared" si="330"/>
        <v>45854.999999999069</v>
      </c>
      <c r="B387" s="42">
        <f t="shared" si="354"/>
        <v>5000</v>
      </c>
      <c r="C387" s="8">
        <v>25000</v>
      </c>
      <c r="D387" s="8">
        <v>0</v>
      </c>
      <c r="E387" s="8">
        <v>700</v>
      </c>
      <c r="F387" s="8">
        <v>7500</v>
      </c>
      <c r="G387" s="42">
        <f t="shared" si="355"/>
        <v>2400</v>
      </c>
      <c r="H387" s="8">
        <v>25000</v>
      </c>
      <c r="I387" s="42">
        <f t="shared" si="356"/>
        <v>5000</v>
      </c>
      <c r="J387" s="8">
        <v>25000</v>
      </c>
      <c r="K387" s="42">
        <f t="shared" si="357"/>
        <v>5000</v>
      </c>
      <c r="L387" s="8">
        <v>25000</v>
      </c>
      <c r="M387" s="9">
        <v>9</v>
      </c>
      <c r="N387" s="9">
        <v>16.100000000000001</v>
      </c>
      <c r="O387" s="9">
        <v>14</v>
      </c>
      <c r="P387" s="9">
        <v>19.5</v>
      </c>
      <c r="Q387" s="92">
        <v>2.8267083</v>
      </c>
      <c r="R387">
        <v>10</v>
      </c>
      <c r="S387">
        <v>1000</v>
      </c>
      <c r="T387" s="4">
        <v>328.43039476330199</v>
      </c>
      <c r="U387">
        <f t="shared" si="328"/>
        <v>3.28430394763302</v>
      </c>
      <c r="V387">
        <f t="shared" ref="V387:W387" si="397">V363</f>
        <v>3</v>
      </c>
      <c r="W387">
        <f t="shared" si="397"/>
        <v>3.2</v>
      </c>
      <c r="X387" s="9">
        <v>2.8267083</v>
      </c>
    </row>
    <row r="388" spans="1:24" x14ac:dyDescent="0.2">
      <c r="A388" s="41">
        <f t="shared" si="330"/>
        <v>45855.041666665733</v>
      </c>
      <c r="B388" s="42">
        <f t="shared" si="354"/>
        <v>5000</v>
      </c>
      <c r="C388" s="8">
        <v>25000</v>
      </c>
      <c r="D388" s="8">
        <v>0</v>
      </c>
      <c r="E388" s="8">
        <v>700</v>
      </c>
      <c r="F388" s="8">
        <v>7500</v>
      </c>
      <c r="G388" s="42">
        <f t="shared" si="355"/>
        <v>2400</v>
      </c>
      <c r="H388" s="8">
        <v>25000</v>
      </c>
      <c r="I388" s="42">
        <f t="shared" si="356"/>
        <v>5000</v>
      </c>
      <c r="J388" s="8">
        <v>25000</v>
      </c>
      <c r="K388" s="42">
        <f t="shared" si="357"/>
        <v>5000</v>
      </c>
      <c r="L388" s="8">
        <v>25000</v>
      </c>
      <c r="M388" s="9">
        <v>9</v>
      </c>
      <c r="N388" s="9">
        <v>16.100000000000001</v>
      </c>
      <c r="O388" s="9">
        <v>14</v>
      </c>
      <c r="P388" s="9">
        <v>19.5</v>
      </c>
      <c r="Q388" s="92">
        <v>2.7748713</v>
      </c>
      <c r="R388">
        <v>10</v>
      </c>
      <c r="S388">
        <v>1000</v>
      </c>
      <c r="T388" s="4">
        <v>318.44246167114238</v>
      </c>
      <c r="U388">
        <f t="shared" ref="U388:U451" si="398">T388/100</f>
        <v>3.1844246167114236</v>
      </c>
      <c r="V388">
        <f t="shared" ref="V388:W388" si="399">V364</f>
        <v>2.6</v>
      </c>
      <c r="W388">
        <f t="shared" si="399"/>
        <v>3.2</v>
      </c>
      <c r="X388" s="9">
        <v>2.7748713</v>
      </c>
    </row>
    <row r="389" spans="1:24" x14ac:dyDescent="0.2">
      <c r="A389" s="41">
        <f t="shared" ref="A389:A452" si="400">A388+TIME(1,0,0)</f>
        <v>45855.083333332397</v>
      </c>
      <c r="B389" s="42">
        <f t="shared" si="354"/>
        <v>5000</v>
      </c>
      <c r="C389" s="8">
        <v>25000</v>
      </c>
      <c r="D389" s="8">
        <v>0</v>
      </c>
      <c r="E389" s="8">
        <v>700</v>
      </c>
      <c r="F389" s="8">
        <v>7500</v>
      </c>
      <c r="G389" s="42">
        <f t="shared" si="355"/>
        <v>2400</v>
      </c>
      <c r="H389" s="8">
        <v>25000</v>
      </c>
      <c r="I389" s="42">
        <f t="shared" si="356"/>
        <v>5000</v>
      </c>
      <c r="J389" s="8">
        <v>25000</v>
      </c>
      <c r="K389" s="42">
        <f t="shared" si="357"/>
        <v>5000</v>
      </c>
      <c r="L389" s="8">
        <v>25000</v>
      </c>
      <c r="M389" s="9">
        <v>9</v>
      </c>
      <c r="N389" s="9">
        <v>16.100000000000001</v>
      </c>
      <c r="O389" s="9">
        <v>14</v>
      </c>
      <c r="P389" s="9">
        <v>19.5</v>
      </c>
      <c r="Q389" s="92">
        <v>2.8488425999999998</v>
      </c>
      <c r="R389">
        <v>10</v>
      </c>
      <c r="S389">
        <v>1000</v>
      </c>
      <c r="T389" s="4">
        <v>318.44246167114238</v>
      </c>
      <c r="U389">
        <f t="shared" si="398"/>
        <v>3.1844246167114236</v>
      </c>
      <c r="V389">
        <f t="shared" ref="V389:W389" si="401">V365</f>
        <v>2.8</v>
      </c>
      <c r="W389">
        <f t="shared" si="401"/>
        <v>3.2</v>
      </c>
      <c r="X389" s="9">
        <v>2.8488425999999998</v>
      </c>
    </row>
    <row r="390" spans="1:24" x14ac:dyDescent="0.2">
      <c r="A390" s="41">
        <f t="shared" si="400"/>
        <v>45855.124999999061</v>
      </c>
      <c r="B390" s="42">
        <f t="shared" si="354"/>
        <v>5000</v>
      </c>
      <c r="C390" s="8">
        <v>25000</v>
      </c>
      <c r="D390" s="8">
        <v>0</v>
      </c>
      <c r="E390" s="8">
        <v>700</v>
      </c>
      <c r="F390" s="8">
        <v>7500</v>
      </c>
      <c r="G390" s="42">
        <f t="shared" si="355"/>
        <v>2400</v>
      </c>
      <c r="H390" s="8">
        <v>25000</v>
      </c>
      <c r="I390" s="42">
        <f t="shared" si="356"/>
        <v>5000</v>
      </c>
      <c r="J390" s="8">
        <v>25000</v>
      </c>
      <c r="K390" s="42">
        <f t="shared" si="357"/>
        <v>5000</v>
      </c>
      <c r="L390" s="8">
        <v>25000</v>
      </c>
      <c r="M390" s="9">
        <v>9</v>
      </c>
      <c r="N390" s="9">
        <v>16.100000000000001</v>
      </c>
      <c r="O390" s="9">
        <v>14</v>
      </c>
      <c r="P390" s="9">
        <v>19.5</v>
      </c>
      <c r="Q390" s="92">
        <v>2.9007998000000002</v>
      </c>
      <c r="R390">
        <v>10</v>
      </c>
      <c r="S390">
        <v>1000</v>
      </c>
      <c r="T390" s="4">
        <v>396.47318895363924</v>
      </c>
      <c r="U390">
        <f t="shared" si="398"/>
        <v>3.9647318895363926</v>
      </c>
      <c r="V390">
        <f t="shared" ref="V390:W390" si="402">V366</f>
        <v>2.7</v>
      </c>
      <c r="W390">
        <f t="shared" si="402"/>
        <v>3.2</v>
      </c>
      <c r="X390" s="9">
        <v>2.9007998000000002</v>
      </c>
    </row>
    <row r="391" spans="1:24" x14ac:dyDescent="0.2">
      <c r="A391" s="41">
        <f t="shared" si="400"/>
        <v>45855.166666665726</v>
      </c>
      <c r="B391" s="42">
        <f t="shared" si="354"/>
        <v>5000</v>
      </c>
      <c r="C391" s="8">
        <v>25000</v>
      </c>
      <c r="D391" s="8">
        <v>0</v>
      </c>
      <c r="E391" s="8">
        <v>700</v>
      </c>
      <c r="F391" s="8">
        <v>7500</v>
      </c>
      <c r="G391" s="42">
        <f t="shared" si="355"/>
        <v>2400</v>
      </c>
      <c r="H391" s="8">
        <v>25000</v>
      </c>
      <c r="I391" s="42">
        <f t="shared" si="356"/>
        <v>5000</v>
      </c>
      <c r="J391" s="8">
        <v>25000</v>
      </c>
      <c r="K391" s="42">
        <f t="shared" si="357"/>
        <v>5000</v>
      </c>
      <c r="L391" s="8">
        <v>25000</v>
      </c>
      <c r="M391" s="9">
        <v>9</v>
      </c>
      <c r="N391" s="9">
        <v>16.100000000000001</v>
      </c>
      <c r="O391" s="9">
        <v>14</v>
      </c>
      <c r="P391" s="9">
        <v>19.5</v>
      </c>
      <c r="Q391" s="92">
        <v>2.9294829</v>
      </c>
      <c r="R391">
        <v>10</v>
      </c>
      <c r="S391">
        <v>1000</v>
      </c>
      <c r="T391" s="4">
        <v>466.70084350788647</v>
      </c>
      <c r="U391">
        <f t="shared" si="398"/>
        <v>4.6670084350788645</v>
      </c>
      <c r="V391">
        <f t="shared" ref="V391:W391" si="403">V367</f>
        <v>3</v>
      </c>
      <c r="W391">
        <f t="shared" si="403"/>
        <v>3.1</v>
      </c>
      <c r="X391" s="9">
        <v>2.9294829</v>
      </c>
    </row>
    <row r="392" spans="1:24" x14ac:dyDescent="0.2">
      <c r="A392" s="41">
        <f t="shared" si="400"/>
        <v>45855.20833333239</v>
      </c>
      <c r="B392" s="42">
        <f t="shared" si="354"/>
        <v>5000</v>
      </c>
      <c r="C392" s="8">
        <v>25000</v>
      </c>
      <c r="D392" s="8">
        <v>0</v>
      </c>
      <c r="E392" s="8">
        <v>700</v>
      </c>
      <c r="F392" s="8">
        <v>7500</v>
      </c>
      <c r="G392" s="42">
        <f t="shared" si="355"/>
        <v>2400</v>
      </c>
      <c r="H392" s="8">
        <v>25000</v>
      </c>
      <c r="I392" s="42">
        <f t="shared" si="356"/>
        <v>5000</v>
      </c>
      <c r="J392" s="8">
        <v>25000</v>
      </c>
      <c r="K392" s="42">
        <f t="shared" si="357"/>
        <v>5000</v>
      </c>
      <c r="L392" s="8">
        <v>25000</v>
      </c>
      <c r="M392" s="9">
        <v>9</v>
      </c>
      <c r="N392" s="9">
        <v>16.100000000000001</v>
      </c>
      <c r="O392" s="9">
        <v>14</v>
      </c>
      <c r="P392" s="9">
        <v>19.5</v>
      </c>
      <c r="Q392" s="92">
        <v>3.0074700999999999</v>
      </c>
      <c r="R392">
        <v>10</v>
      </c>
      <c r="S392">
        <v>1000</v>
      </c>
      <c r="T392" s="4">
        <v>466.70084350788647</v>
      </c>
      <c r="U392">
        <f t="shared" si="398"/>
        <v>4.6670084350788645</v>
      </c>
      <c r="V392">
        <f t="shared" ref="V392:W392" si="404">V368</f>
        <v>2.9</v>
      </c>
      <c r="W392">
        <f t="shared" si="404"/>
        <v>3.1</v>
      </c>
      <c r="X392" s="9">
        <v>3.0074700999999999</v>
      </c>
    </row>
    <row r="393" spans="1:24" x14ac:dyDescent="0.2">
      <c r="A393" s="41">
        <f t="shared" si="400"/>
        <v>45855.249999999054</v>
      </c>
      <c r="B393" s="42">
        <f t="shared" si="354"/>
        <v>8000</v>
      </c>
      <c r="C393" s="8">
        <v>25000</v>
      </c>
      <c r="D393" s="8">
        <v>0</v>
      </c>
      <c r="E393" s="8">
        <v>700</v>
      </c>
      <c r="F393" s="8">
        <v>7500</v>
      </c>
      <c r="G393" s="42">
        <f t="shared" si="355"/>
        <v>2400</v>
      </c>
      <c r="H393" s="8">
        <v>25000</v>
      </c>
      <c r="I393" s="42">
        <f t="shared" si="356"/>
        <v>8000</v>
      </c>
      <c r="J393" s="8">
        <v>25000</v>
      </c>
      <c r="K393" s="42">
        <f t="shared" si="357"/>
        <v>8000</v>
      </c>
      <c r="L393" s="8">
        <v>25000</v>
      </c>
      <c r="M393" s="9">
        <v>9</v>
      </c>
      <c r="N393" s="9">
        <v>16.100000000000001</v>
      </c>
      <c r="O393" s="9">
        <v>14</v>
      </c>
      <c r="P393" s="9">
        <v>19.5</v>
      </c>
      <c r="Q393" s="92">
        <v>3.1285221999999999</v>
      </c>
      <c r="R393">
        <v>10</v>
      </c>
      <c r="S393">
        <v>1000</v>
      </c>
      <c r="T393" s="4">
        <v>362.76391476760062</v>
      </c>
      <c r="U393">
        <f t="shared" si="398"/>
        <v>3.6276391476760064</v>
      </c>
      <c r="V393">
        <f t="shared" ref="V393:W393" si="405">V369</f>
        <v>2.5</v>
      </c>
      <c r="W393">
        <f t="shared" si="405"/>
        <v>3.1</v>
      </c>
      <c r="X393" s="9">
        <v>3.1285221999999999</v>
      </c>
    </row>
    <row r="394" spans="1:24" x14ac:dyDescent="0.2">
      <c r="A394" s="41">
        <f t="shared" si="400"/>
        <v>45855.291666665718</v>
      </c>
      <c r="B394" s="42">
        <f t="shared" si="354"/>
        <v>8000</v>
      </c>
      <c r="C394" s="8">
        <v>25000</v>
      </c>
      <c r="D394" s="8">
        <v>0</v>
      </c>
      <c r="E394" s="8">
        <v>700</v>
      </c>
      <c r="F394" s="8">
        <v>7500</v>
      </c>
      <c r="G394" s="42">
        <f t="shared" si="355"/>
        <v>2400</v>
      </c>
      <c r="H394" s="8">
        <v>25000</v>
      </c>
      <c r="I394" s="42">
        <f t="shared" si="356"/>
        <v>8000</v>
      </c>
      <c r="J394" s="8">
        <v>25000</v>
      </c>
      <c r="K394" s="42">
        <f t="shared" si="357"/>
        <v>8000</v>
      </c>
      <c r="L394" s="8">
        <v>25000</v>
      </c>
      <c r="M394" s="9">
        <v>9</v>
      </c>
      <c r="N394" s="9">
        <v>16.100000000000001</v>
      </c>
      <c r="O394" s="9">
        <v>14</v>
      </c>
      <c r="P394" s="9">
        <v>19.5</v>
      </c>
      <c r="Q394" s="92">
        <v>3.2666010999999999</v>
      </c>
      <c r="R394">
        <v>10</v>
      </c>
      <c r="S394">
        <v>1000</v>
      </c>
      <c r="T394" s="4">
        <v>369.00637295020039</v>
      </c>
      <c r="U394">
        <f t="shared" si="398"/>
        <v>3.690063729502004</v>
      </c>
      <c r="V394">
        <f t="shared" ref="V394:W394" si="406">V370</f>
        <v>2.5</v>
      </c>
      <c r="W394">
        <f t="shared" si="406"/>
        <v>3.1</v>
      </c>
      <c r="X394" s="9">
        <v>3.2666010999999999</v>
      </c>
    </row>
    <row r="395" spans="1:24" x14ac:dyDescent="0.2">
      <c r="A395" s="41">
        <f t="shared" si="400"/>
        <v>45855.333333332383</v>
      </c>
      <c r="B395" s="42">
        <f t="shared" si="354"/>
        <v>8000</v>
      </c>
      <c r="C395" s="8">
        <v>25000</v>
      </c>
      <c r="D395" s="8">
        <v>0</v>
      </c>
      <c r="E395" s="8">
        <v>700</v>
      </c>
      <c r="F395" s="8">
        <v>7500</v>
      </c>
      <c r="G395" s="42">
        <f t="shared" si="355"/>
        <v>2400</v>
      </c>
      <c r="H395" s="8">
        <v>25000</v>
      </c>
      <c r="I395" s="42">
        <f t="shared" si="356"/>
        <v>8000</v>
      </c>
      <c r="J395" s="8">
        <v>25000</v>
      </c>
      <c r="K395" s="42">
        <f t="shared" si="357"/>
        <v>8000</v>
      </c>
      <c r="L395" s="8">
        <v>25000</v>
      </c>
      <c r="M395" s="9">
        <v>9</v>
      </c>
      <c r="N395" s="9">
        <v>16.100000000000001</v>
      </c>
      <c r="O395" s="9">
        <v>14</v>
      </c>
      <c r="P395" s="9">
        <v>19.5</v>
      </c>
      <c r="Q395" s="92">
        <v>3.3398736000000002</v>
      </c>
      <c r="R395">
        <v>10</v>
      </c>
      <c r="S395">
        <v>1000</v>
      </c>
      <c r="T395" s="4">
        <v>386.17313295234976</v>
      </c>
      <c r="U395">
        <f t="shared" si="398"/>
        <v>3.8617313295234976</v>
      </c>
      <c r="V395">
        <f t="shared" ref="V395:W395" si="407">V371</f>
        <v>3.2</v>
      </c>
      <c r="W395">
        <f t="shared" si="407"/>
        <v>3</v>
      </c>
      <c r="X395" s="9">
        <v>3.3398736000000002</v>
      </c>
    </row>
    <row r="396" spans="1:24" x14ac:dyDescent="0.2">
      <c r="A396" s="41">
        <f t="shared" si="400"/>
        <v>45855.374999999047</v>
      </c>
      <c r="B396" s="42">
        <f t="shared" si="354"/>
        <v>8000</v>
      </c>
      <c r="C396" s="8">
        <v>25000</v>
      </c>
      <c r="D396" s="8">
        <v>0</v>
      </c>
      <c r="E396" s="8">
        <v>700</v>
      </c>
      <c r="F396" s="8">
        <v>7500</v>
      </c>
      <c r="G396" s="42">
        <f t="shared" si="355"/>
        <v>2400</v>
      </c>
      <c r="H396" s="8">
        <v>25000</v>
      </c>
      <c r="I396" s="42">
        <f t="shared" si="356"/>
        <v>8000</v>
      </c>
      <c r="J396" s="8">
        <v>25000</v>
      </c>
      <c r="K396" s="42">
        <f t="shared" si="357"/>
        <v>8000</v>
      </c>
      <c r="L396" s="8">
        <v>25000</v>
      </c>
      <c r="M396" s="9">
        <v>9</v>
      </c>
      <c r="N396" s="9">
        <v>16.100000000000001</v>
      </c>
      <c r="O396" s="9">
        <v>14</v>
      </c>
      <c r="P396" s="9">
        <v>19.5</v>
      </c>
      <c r="Q396" s="92">
        <v>3.3662000000000001</v>
      </c>
      <c r="R396">
        <v>10</v>
      </c>
      <c r="S396">
        <v>1000</v>
      </c>
      <c r="T396" s="4">
        <v>364.32452931325059</v>
      </c>
      <c r="U396">
        <f t="shared" si="398"/>
        <v>3.6432452931325061</v>
      </c>
      <c r="V396">
        <f t="shared" ref="V396:W396" si="408">V372</f>
        <v>2.9</v>
      </c>
      <c r="W396">
        <f t="shared" si="408"/>
        <v>3</v>
      </c>
      <c r="X396" s="9">
        <v>3.3662000000000001</v>
      </c>
    </row>
    <row r="397" spans="1:24" x14ac:dyDescent="0.2">
      <c r="A397" s="41">
        <f t="shared" si="400"/>
        <v>45855.416666665711</v>
      </c>
      <c r="B397" s="42">
        <f t="shared" si="354"/>
        <v>8000</v>
      </c>
      <c r="C397" s="8">
        <v>25000</v>
      </c>
      <c r="D397" s="8">
        <v>0</v>
      </c>
      <c r="E397" s="8">
        <v>700</v>
      </c>
      <c r="F397" s="8">
        <v>7500</v>
      </c>
      <c r="G397" s="42">
        <f t="shared" si="355"/>
        <v>2400</v>
      </c>
      <c r="H397" s="8">
        <v>25000</v>
      </c>
      <c r="I397" s="42">
        <f t="shared" si="356"/>
        <v>8000</v>
      </c>
      <c r="J397" s="8">
        <v>25000</v>
      </c>
      <c r="K397" s="42">
        <f t="shared" si="357"/>
        <v>8000</v>
      </c>
      <c r="L397" s="8">
        <v>25000</v>
      </c>
      <c r="M397" s="9">
        <v>9</v>
      </c>
      <c r="N397" s="9">
        <v>16.100000000000001</v>
      </c>
      <c r="O397" s="9">
        <v>14</v>
      </c>
      <c r="P397" s="9">
        <v>19.5</v>
      </c>
      <c r="Q397" s="92">
        <v>3.4190966999999999</v>
      </c>
      <c r="R397">
        <v>10</v>
      </c>
      <c r="S397">
        <v>1000</v>
      </c>
      <c r="T397" s="4">
        <v>343.41229440154143</v>
      </c>
      <c r="U397">
        <f t="shared" si="398"/>
        <v>3.4341229440154142</v>
      </c>
      <c r="V397">
        <f t="shared" ref="V397:W397" si="409">V373</f>
        <v>2.9</v>
      </c>
      <c r="W397">
        <f t="shared" si="409"/>
        <v>3</v>
      </c>
      <c r="X397" s="9">
        <v>3.4190966999999999</v>
      </c>
    </row>
    <row r="398" spans="1:24" x14ac:dyDescent="0.2">
      <c r="A398" s="41">
        <f t="shared" si="400"/>
        <v>45855.458333332375</v>
      </c>
      <c r="B398" s="42">
        <f t="shared" si="354"/>
        <v>8000</v>
      </c>
      <c r="C398" s="8">
        <v>25000</v>
      </c>
      <c r="D398" s="8">
        <v>0</v>
      </c>
      <c r="E398" s="8">
        <v>700</v>
      </c>
      <c r="F398" s="8">
        <v>7500</v>
      </c>
      <c r="G398" s="42">
        <f t="shared" si="355"/>
        <v>2400</v>
      </c>
      <c r="H398" s="8">
        <v>25000</v>
      </c>
      <c r="I398" s="42">
        <f t="shared" si="356"/>
        <v>8000</v>
      </c>
      <c r="J398" s="8">
        <v>25000</v>
      </c>
      <c r="K398" s="42">
        <f t="shared" si="357"/>
        <v>8000</v>
      </c>
      <c r="L398" s="8">
        <v>25000</v>
      </c>
      <c r="M398" s="9">
        <v>9</v>
      </c>
      <c r="N398" s="9">
        <v>16.100000000000001</v>
      </c>
      <c r="O398" s="9">
        <v>14</v>
      </c>
      <c r="P398" s="9">
        <v>19.5</v>
      </c>
      <c r="Q398" s="92">
        <v>3.3652639</v>
      </c>
      <c r="R398">
        <v>10</v>
      </c>
      <c r="S398">
        <v>1000</v>
      </c>
      <c r="T398" s="4">
        <v>340.29106531024155</v>
      </c>
      <c r="U398">
        <f t="shared" si="398"/>
        <v>3.4029106531024156</v>
      </c>
      <c r="V398">
        <f t="shared" ref="V398:W398" si="410">V374</f>
        <v>3.4</v>
      </c>
      <c r="W398">
        <f t="shared" si="410"/>
        <v>3</v>
      </c>
      <c r="X398" s="9">
        <v>3.3652639</v>
      </c>
    </row>
    <row r="399" spans="1:24" x14ac:dyDescent="0.2">
      <c r="A399" s="41">
        <f t="shared" si="400"/>
        <v>45855.49999999904</v>
      </c>
      <c r="B399" s="42">
        <f t="shared" si="354"/>
        <v>8000</v>
      </c>
      <c r="C399" s="8">
        <v>25000</v>
      </c>
      <c r="D399" s="8">
        <v>0</v>
      </c>
      <c r="E399" s="8">
        <v>700</v>
      </c>
      <c r="F399" s="8">
        <v>7500</v>
      </c>
      <c r="G399" s="42">
        <f t="shared" si="355"/>
        <v>2400</v>
      </c>
      <c r="H399" s="8">
        <v>25000</v>
      </c>
      <c r="I399" s="42">
        <f t="shared" si="356"/>
        <v>8000</v>
      </c>
      <c r="J399" s="8">
        <v>25000</v>
      </c>
      <c r="K399" s="42">
        <f t="shared" si="357"/>
        <v>8000</v>
      </c>
      <c r="L399" s="8">
        <v>25000</v>
      </c>
      <c r="M399" s="9">
        <v>9</v>
      </c>
      <c r="N399" s="9">
        <v>16.100000000000001</v>
      </c>
      <c r="O399" s="9">
        <v>14</v>
      </c>
      <c r="P399" s="9">
        <v>19.5</v>
      </c>
      <c r="Q399" s="92">
        <v>3.2290022</v>
      </c>
      <c r="R399">
        <v>10</v>
      </c>
      <c r="S399">
        <v>1000</v>
      </c>
      <c r="T399" s="4">
        <v>369.94274167759033</v>
      </c>
      <c r="U399">
        <f t="shared" si="398"/>
        <v>3.6994274167759031</v>
      </c>
      <c r="V399">
        <f t="shared" ref="V399:W399" si="411">V375</f>
        <v>3.1</v>
      </c>
      <c r="W399">
        <f t="shared" si="411"/>
        <v>2.9</v>
      </c>
      <c r="X399" s="9">
        <v>3.2290022</v>
      </c>
    </row>
    <row r="400" spans="1:24" x14ac:dyDescent="0.2">
      <c r="A400" s="41">
        <f t="shared" si="400"/>
        <v>45855.541666665704</v>
      </c>
      <c r="B400" s="42">
        <f t="shared" si="354"/>
        <v>8000</v>
      </c>
      <c r="C400" s="8">
        <v>25000</v>
      </c>
      <c r="D400" s="8">
        <v>0</v>
      </c>
      <c r="E400" s="8">
        <v>700</v>
      </c>
      <c r="F400" s="8">
        <v>7500</v>
      </c>
      <c r="G400" s="42">
        <f t="shared" si="355"/>
        <v>2400</v>
      </c>
      <c r="H400" s="8">
        <v>25000</v>
      </c>
      <c r="I400" s="42">
        <f t="shared" si="356"/>
        <v>8000</v>
      </c>
      <c r="J400" s="8">
        <v>25000</v>
      </c>
      <c r="K400" s="42">
        <f t="shared" si="357"/>
        <v>8000</v>
      </c>
      <c r="L400" s="8">
        <v>25000</v>
      </c>
      <c r="M400" s="9">
        <v>9</v>
      </c>
      <c r="N400" s="9">
        <v>16.100000000000001</v>
      </c>
      <c r="O400" s="9">
        <v>14</v>
      </c>
      <c r="P400" s="9">
        <v>19.5</v>
      </c>
      <c r="Q400" s="92">
        <v>3.0566325000000001</v>
      </c>
      <c r="R400">
        <v>10</v>
      </c>
      <c r="S400">
        <v>1000</v>
      </c>
      <c r="T400" s="4">
        <v>402.40414847292726</v>
      </c>
      <c r="U400">
        <f t="shared" si="398"/>
        <v>4.0240414847292723</v>
      </c>
      <c r="V400">
        <f t="shared" ref="V400:W400" si="412">V376</f>
        <v>3.2</v>
      </c>
      <c r="W400">
        <f t="shared" si="412"/>
        <v>2.9</v>
      </c>
      <c r="X400" s="9">
        <v>3.0566325000000001</v>
      </c>
    </row>
    <row r="401" spans="1:24" x14ac:dyDescent="0.2">
      <c r="A401" s="41">
        <f t="shared" si="400"/>
        <v>45855.583333332368</v>
      </c>
      <c r="B401" s="42">
        <f t="shared" si="354"/>
        <v>8000</v>
      </c>
      <c r="C401" s="8">
        <v>25000</v>
      </c>
      <c r="D401" s="8">
        <v>0</v>
      </c>
      <c r="E401" s="8">
        <v>700</v>
      </c>
      <c r="F401" s="8">
        <v>7500</v>
      </c>
      <c r="G401" s="42">
        <f t="shared" si="355"/>
        <v>2400</v>
      </c>
      <c r="H401" s="8">
        <v>25000</v>
      </c>
      <c r="I401" s="42">
        <f t="shared" si="356"/>
        <v>8000</v>
      </c>
      <c r="J401" s="8">
        <v>25000</v>
      </c>
      <c r="K401" s="42">
        <f t="shared" si="357"/>
        <v>8000</v>
      </c>
      <c r="L401" s="8">
        <v>25000</v>
      </c>
      <c r="M401" s="9">
        <v>9</v>
      </c>
      <c r="N401" s="9">
        <v>16.100000000000001</v>
      </c>
      <c r="O401" s="9">
        <v>14</v>
      </c>
      <c r="P401" s="9">
        <v>19.5</v>
      </c>
      <c r="Q401" s="92">
        <v>3.0047432999999999</v>
      </c>
      <c r="R401">
        <v>10</v>
      </c>
      <c r="S401">
        <v>1000</v>
      </c>
      <c r="T401" s="4">
        <v>655.22245637658079</v>
      </c>
      <c r="U401">
        <f t="shared" si="398"/>
        <v>6.5522245637658081</v>
      </c>
      <c r="V401">
        <f t="shared" ref="V401:W401" si="413">V377</f>
        <v>3.5</v>
      </c>
      <c r="W401">
        <f t="shared" si="413"/>
        <v>2.9</v>
      </c>
      <c r="X401" s="9">
        <v>3.0047432999999999</v>
      </c>
    </row>
    <row r="402" spans="1:24" x14ac:dyDescent="0.2">
      <c r="A402" s="41">
        <f t="shared" si="400"/>
        <v>45855.624999999032</v>
      </c>
      <c r="B402" s="42">
        <f t="shared" si="354"/>
        <v>8000</v>
      </c>
      <c r="C402" s="8">
        <v>25000</v>
      </c>
      <c r="D402" s="8">
        <v>0</v>
      </c>
      <c r="E402" s="8">
        <v>700</v>
      </c>
      <c r="F402" s="8">
        <v>7500</v>
      </c>
      <c r="G402" s="42">
        <f t="shared" si="355"/>
        <v>2400</v>
      </c>
      <c r="H402" s="8">
        <v>25000</v>
      </c>
      <c r="I402" s="42">
        <f t="shared" si="356"/>
        <v>8000</v>
      </c>
      <c r="J402" s="8">
        <v>25000</v>
      </c>
      <c r="K402" s="42">
        <f t="shared" si="357"/>
        <v>8000</v>
      </c>
      <c r="L402" s="8">
        <v>25000</v>
      </c>
      <c r="M402" s="9">
        <v>9</v>
      </c>
      <c r="N402" s="9">
        <v>16.100000000000001</v>
      </c>
      <c r="O402" s="9">
        <v>14</v>
      </c>
      <c r="P402" s="9">
        <v>19.5</v>
      </c>
      <c r="Q402" s="92">
        <v>3.3104586999999999</v>
      </c>
      <c r="R402">
        <v>10</v>
      </c>
      <c r="S402">
        <v>1000</v>
      </c>
      <c r="T402" s="4">
        <v>753.54117275252679</v>
      </c>
      <c r="U402">
        <f t="shared" si="398"/>
        <v>7.5354117275252683</v>
      </c>
      <c r="V402">
        <f t="shared" ref="V402:W402" si="414">V378</f>
        <v>3.2</v>
      </c>
      <c r="W402">
        <f t="shared" si="414"/>
        <v>2.9</v>
      </c>
      <c r="X402" s="9">
        <v>3.3104586999999999</v>
      </c>
    </row>
    <row r="403" spans="1:24" x14ac:dyDescent="0.2">
      <c r="A403" s="41">
        <f t="shared" si="400"/>
        <v>45855.666666665697</v>
      </c>
      <c r="B403" s="42">
        <f t="shared" si="354"/>
        <v>8000</v>
      </c>
      <c r="C403" s="8">
        <v>25000</v>
      </c>
      <c r="D403" s="8">
        <v>0</v>
      </c>
      <c r="E403" s="8">
        <v>700</v>
      </c>
      <c r="F403" s="8">
        <v>7500</v>
      </c>
      <c r="G403" s="42">
        <f t="shared" si="355"/>
        <v>2400</v>
      </c>
      <c r="H403" s="8">
        <v>25000</v>
      </c>
      <c r="I403" s="42">
        <f t="shared" si="356"/>
        <v>8000</v>
      </c>
      <c r="J403" s="8">
        <v>25000</v>
      </c>
      <c r="K403" s="42">
        <f t="shared" si="357"/>
        <v>8000</v>
      </c>
      <c r="L403" s="8">
        <v>25000</v>
      </c>
      <c r="M403" s="9">
        <v>9</v>
      </c>
      <c r="N403" s="9">
        <v>16.100000000000001</v>
      </c>
      <c r="O403" s="9">
        <v>14</v>
      </c>
      <c r="P403" s="9">
        <v>19.5</v>
      </c>
      <c r="Q403" s="92">
        <v>3.2360806000000002</v>
      </c>
      <c r="R403">
        <v>10</v>
      </c>
      <c r="S403">
        <v>1000</v>
      </c>
      <c r="T403" s="4">
        <v>974.21206950742805</v>
      </c>
      <c r="U403">
        <f t="shared" si="398"/>
        <v>9.7421206950742807</v>
      </c>
      <c r="V403">
        <f t="shared" ref="V403:W403" si="415">V379</f>
        <v>3.5</v>
      </c>
      <c r="W403">
        <f t="shared" si="415"/>
        <v>3</v>
      </c>
      <c r="X403" s="9">
        <v>3.2360806000000002</v>
      </c>
    </row>
    <row r="404" spans="1:24" x14ac:dyDescent="0.2">
      <c r="A404" s="41">
        <f t="shared" si="400"/>
        <v>45855.708333332361</v>
      </c>
      <c r="B404" s="42">
        <f t="shared" si="354"/>
        <v>8000</v>
      </c>
      <c r="C404" s="8">
        <v>25000</v>
      </c>
      <c r="D404" s="8">
        <v>0</v>
      </c>
      <c r="E404" s="8">
        <v>700</v>
      </c>
      <c r="F404" s="8">
        <v>7500</v>
      </c>
      <c r="G404" s="42">
        <f t="shared" si="355"/>
        <v>2400</v>
      </c>
      <c r="H404" s="8">
        <v>25000</v>
      </c>
      <c r="I404" s="42">
        <f t="shared" si="356"/>
        <v>8000</v>
      </c>
      <c r="J404" s="8">
        <v>25000</v>
      </c>
      <c r="K404" s="42">
        <f t="shared" si="357"/>
        <v>8000</v>
      </c>
      <c r="L404" s="8">
        <v>25000</v>
      </c>
      <c r="M404" s="9">
        <v>9</v>
      </c>
      <c r="N404" s="9">
        <v>16.100000000000001</v>
      </c>
      <c r="O404" s="9">
        <v>14</v>
      </c>
      <c r="P404" s="9">
        <v>19.5</v>
      </c>
      <c r="Q404" s="92">
        <v>3.1497853</v>
      </c>
      <c r="R404">
        <v>10</v>
      </c>
      <c r="S404">
        <v>1000</v>
      </c>
      <c r="T404" s="4">
        <v>1241.0771568135674</v>
      </c>
      <c r="U404">
        <f t="shared" si="398"/>
        <v>12.410771568135674</v>
      </c>
      <c r="V404">
        <f t="shared" ref="V404:W404" si="416">V380</f>
        <v>3.6</v>
      </c>
      <c r="W404">
        <f t="shared" si="416"/>
        <v>3</v>
      </c>
      <c r="X404" s="9">
        <v>3.1497853</v>
      </c>
    </row>
    <row r="405" spans="1:24" x14ac:dyDescent="0.2">
      <c r="A405" s="41">
        <f t="shared" si="400"/>
        <v>45855.749999999025</v>
      </c>
      <c r="B405" s="42">
        <f t="shared" si="354"/>
        <v>5000</v>
      </c>
      <c r="C405" s="8">
        <v>25000</v>
      </c>
      <c r="D405" s="8">
        <v>0</v>
      </c>
      <c r="E405" s="8">
        <v>700</v>
      </c>
      <c r="F405" s="8">
        <v>7500</v>
      </c>
      <c r="G405" s="42">
        <f t="shared" si="355"/>
        <v>2400</v>
      </c>
      <c r="H405" s="8">
        <v>25000</v>
      </c>
      <c r="I405" s="42">
        <f t="shared" si="356"/>
        <v>5000</v>
      </c>
      <c r="J405" s="8">
        <v>25000</v>
      </c>
      <c r="K405" s="42">
        <f t="shared" si="357"/>
        <v>5000</v>
      </c>
      <c r="L405" s="8">
        <v>25000</v>
      </c>
      <c r="M405" s="9">
        <v>9</v>
      </c>
      <c r="N405" s="9">
        <v>16.100000000000001</v>
      </c>
      <c r="O405" s="9">
        <v>14</v>
      </c>
      <c r="P405" s="9">
        <v>19.5</v>
      </c>
      <c r="Q405" s="92">
        <v>3.1255590999999998</v>
      </c>
      <c r="R405">
        <v>10</v>
      </c>
      <c r="S405">
        <v>1000</v>
      </c>
      <c r="T405" s="4">
        <v>1284.7743640917656</v>
      </c>
      <c r="U405">
        <f t="shared" si="398"/>
        <v>12.847743640917656</v>
      </c>
      <c r="V405">
        <f t="shared" ref="V405:W405" si="417">V381</f>
        <v>2.9</v>
      </c>
      <c r="W405">
        <f t="shared" si="417"/>
        <v>3</v>
      </c>
      <c r="X405" s="9">
        <v>3.1255590999999998</v>
      </c>
    </row>
    <row r="406" spans="1:24" x14ac:dyDescent="0.2">
      <c r="A406" s="41">
        <f t="shared" si="400"/>
        <v>45855.791666665689</v>
      </c>
      <c r="B406" s="42">
        <f t="shared" si="354"/>
        <v>5000</v>
      </c>
      <c r="C406" s="8">
        <v>25000</v>
      </c>
      <c r="D406" s="8">
        <v>0</v>
      </c>
      <c r="E406" s="8">
        <v>700</v>
      </c>
      <c r="F406" s="8">
        <v>7500</v>
      </c>
      <c r="G406" s="42">
        <f t="shared" si="355"/>
        <v>2400</v>
      </c>
      <c r="H406" s="8">
        <v>25000</v>
      </c>
      <c r="I406" s="42">
        <f t="shared" si="356"/>
        <v>5000</v>
      </c>
      <c r="J406" s="8">
        <v>25000</v>
      </c>
      <c r="K406" s="42">
        <f t="shared" si="357"/>
        <v>5000</v>
      </c>
      <c r="L406" s="8">
        <v>25000</v>
      </c>
      <c r="M406" s="9">
        <v>9</v>
      </c>
      <c r="N406" s="9">
        <v>16.100000000000001</v>
      </c>
      <c r="O406" s="9">
        <v>14</v>
      </c>
      <c r="P406" s="9">
        <v>19.5</v>
      </c>
      <c r="Q406" s="92">
        <v>3.0902758000000001</v>
      </c>
      <c r="R406">
        <v>10</v>
      </c>
      <c r="S406">
        <v>1000</v>
      </c>
      <c r="T406" s="4">
        <v>1281.6531350004659</v>
      </c>
      <c r="U406">
        <f t="shared" si="398"/>
        <v>12.816531350004659</v>
      </c>
      <c r="V406">
        <f t="shared" ref="V406:W406" si="418">V382</f>
        <v>3</v>
      </c>
      <c r="W406">
        <f t="shared" si="418"/>
        <v>3</v>
      </c>
      <c r="X406" s="9">
        <v>3.0902758000000001</v>
      </c>
    </row>
    <row r="407" spans="1:24" x14ac:dyDescent="0.2">
      <c r="A407" s="41">
        <f t="shared" si="400"/>
        <v>45855.833333332354</v>
      </c>
      <c r="B407" s="42">
        <f t="shared" si="354"/>
        <v>5000</v>
      </c>
      <c r="C407" s="8">
        <v>25000</v>
      </c>
      <c r="D407" s="8">
        <v>0</v>
      </c>
      <c r="E407" s="8">
        <v>700</v>
      </c>
      <c r="F407" s="8">
        <v>7500</v>
      </c>
      <c r="G407" s="42">
        <f t="shared" si="355"/>
        <v>2400</v>
      </c>
      <c r="H407" s="8">
        <v>25000</v>
      </c>
      <c r="I407" s="42">
        <f t="shared" si="356"/>
        <v>5000</v>
      </c>
      <c r="J407" s="8">
        <v>25000</v>
      </c>
      <c r="K407" s="42">
        <f t="shared" si="357"/>
        <v>5000</v>
      </c>
      <c r="L407" s="8">
        <v>25000</v>
      </c>
      <c r="M407" s="9">
        <v>9</v>
      </c>
      <c r="N407" s="9">
        <v>16.100000000000001</v>
      </c>
      <c r="O407" s="9">
        <v>14</v>
      </c>
      <c r="P407" s="9">
        <v>19.5</v>
      </c>
      <c r="Q407" s="92">
        <v>3.0518586999999999</v>
      </c>
      <c r="R407">
        <v>10</v>
      </c>
      <c r="S407">
        <v>1000</v>
      </c>
      <c r="T407" s="4">
        <v>1237.9559277222675</v>
      </c>
      <c r="U407">
        <f t="shared" si="398"/>
        <v>12.379559277222675</v>
      </c>
      <c r="V407">
        <f t="shared" ref="V407:W407" si="419">V383</f>
        <v>2.8</v>
      </c>
      <c r="W407">
        <f t="shared" si="419"/>
        <v>3.1</v>
      </c>
      <c r="X407" s="9">
        <v>3.0518586999999999</v>
      </c>
    </row>
    <row r="408" spans="1:24" x14ac:dyDescent="0.2">
      <c r="A408" s="41">
        <f t="shared" si="400"/>
        <v>45855.874999999018</v>
      </c>
      <c r="B408" s="42">
        <f t="shared" si="354"/>
        <v>5000</v>
      </c>
      <c r="C408" s="8">
        <v>25000</v>
      </c>
      <c r="D408" s="8">
        <v>0</v>
      </c>
      <c r="E408" s="8">
        <v>700</v>
      </c>
      <c r="F408" s="8">
        <v>7500</v>
      </c>
      <c r="G408" s="42">
        <f t="shared" si="355"/>
        <v>2400</v>
      </c>
      <c r="H408" s="8">
        <v>25000</v>
      </c>
      <c r="I408" s="42">
        <f t="shared" si="356"/>
        <v>5000</v>
      </c>
      <c r="J408" s="8">
        <v>25000</v>
      </c>
      <c r="K408" s="42">
        <f t="shared" si="357"/>
        <v>5000</v>
      </c>
      <c r="L408" s="8">
        <v>25000</v>
      </c>
      <c r="M408" s="9">
        <v>9</v>
      </c>
      <c r="N408" s="9">
        <v>16.100000000000001</v>
      </c>
      <c r="O408" s="9">
        <v>14</v>
      </c>
      <c r="P408" s="9">
        <v>19.5</v>
      </c>
      <c r="Q408" s="92">
        <v>3.0212998</v>
      </c>
      <c r="R408">
        <v>10</v>
      </c>
      <c r="S408">
        <v>1000</v>
      </c>
      <c r="T408" s="4">
        <v>1142.7584404376212</v>
      </c>
      <c r="U408">
        <f t="shared" si="398"/>
        <v>11.427584404376212</v>
      </c>
      <c r="V408">
        <f t="shared" ref="V408:W408" si="420">V384</f>
        <v>3.5</v>
      </c>
      <c r="W408">
        <f t="shared" si="420"/>
        <v>3.1</v>
      </c>
      <c r="X408" s="9">
        <v>3.0212998</v>
      </c>
    </row>
    <row r="409" spans="1:24" x14ac:dyDescent="0.2">
      <c r="A409" s="41">
        <f t="shared" si="400"/>
        <v>45855.916666665682</v>
      </c>
      <c r="B409" s="42">
        <f t="shared" si="354"/>
        <v>5000</v>
      </c>
      <c r="C409" s="8">
        <v>25000</v>
      </c>
      <c r="D409" s="8">
        <v>0</v>
      </c>
      <c r="E409" s="8">
        <v>700</v>
      </c>
      <c r="F409" s="8">
        <v>7500</v>
      </c>
      <c r="G409" s="42">
        <f t="shared" si="355"/>
        <v>2400</v>
      </c>
      <c r="H409" s="8">
        <v>25000</v>
      </c>
      <c r="I409" s="42">
        <f t="shared" si="356"/>
        <v>5000</v>
      </c>
      <c r="J409" s="8">
        <v>25000</v>
      </c>
      <c r="K409" s="42">
        <f t="shared" si="357"/>
        <v>5000</v>
      </c>
      <c r="L409" s="8">
        <v>25000</v>
      </c>
      <c r="M409" s="9">
        <v>9</v>
      </c>
      <c r="N409" s="9">
        <v>16.100000000000001</v>
      </c>
      <c r="O409" s="9">
        <v>14</v>
      </c>
      <c r="P409" s="9">
        <v>19.5</v>
      </c>
      <c r="Q409" s="92">
        <v>2.989697</v>
      </c>
      <c r="R409">
        <v>10</v>
      </c>
      <c r="S409">
        <v>1000</v>
      </c>
      <c r="T409" s="4">
        <v>918.02994586403031</v>
      </c>
      <c r="U409">
        <f t="shared" si="398"/>
        <v>9.1802994586403024</v>
      </c>
      <c r="V409">
        <f t="shared" ref="V409:W409" si="421">V385</f>
        <v>2.9</v>
      </c>
      <c r="W409">
        <f t="shared" si="421"/>
        <v>3.1</v>
      </c>
      <c r="X409" s="9">
        <v>2.989697</v>
      </c>
    </row>
    <row r="410" spans="1:24" x14ac:dyDescent="0.2">
      <c r="A410" s="41">
        <f t="shared" si="400"/>
        <v>45855.958333332346</v>
      </c>
      <c r="B410" s="42">
        <f t="shared" si="354"/>
        <v>5000</v>
      </c>
      <c r="C410" s="8">
        <v>25000</v>
      </c>
      <c r="D410" s="8">
        <v>0</v>
      </c>
      <c r="E410" s="8">
        <v>700</v>
      </c>
      <c r="F410" s="8">
        <v>7500</v>
      </c>
      <c r="G410" s="42">
        <f t="shared" si="355"/>
        <v>2400</v>
      </c>
      <c r="H410" s="8">
        <v>25000</v>
      </c>
      <c r="I410" s="42">
        <f t="shared" si="356"/>
        <v>5000</v>
      </c>
      <c r="J410" s="8">
        <v>25000</v>
      </c>
      <c r="K410" s="42">
        <f t="shared" si="357"/>
        <v>5000</v>
      </c>
      <c r="L410" s="8">
        <v>25000</v>
      </c>
      <c r="M410" s="9">
        <v>9</v>
      </c>
      <c r="N410" s="9">
        <v>16.100000000000001</v>
      </c>
      <c r="O410" s="9">
        <v>14</v>
      </c>
      <c r="P410" s="9">
        <v>19.5</v>
      </c>
      <c r="Q410" s="92">
        <v>2.8955831999999999</v>
      </c>
      <c r="R410">
        <v>10</v>
      </c>
      <c r="S410">
        <v>1000</v>
      </c>
      <c r="T410" s="4">
        <v>562.52257661079261</v>
      </c>
      <c r="U410">
        <f t="shared" si="398"/>
        <v>5.6252257661079259</v>
      </c>
      <c r="V410">
        <f t="shared" ref="V410:W410" si="422">V386</f>
        <v>3.6</v>
      </c>
      <c r="W410">
        <f t="shared" si="422"/>
        <v>3.1</v>
      </c>
      <c r="X410" s="9">
        <v>2.8955831999999999</v>
      </c>
    </row>
    <row r="411" spans="1:24" x14ac:dyDescent="0.2">
      <c r="A411" s="41">
        <f t="shared" si="400"/>
        <v>45855.99999999901</v>
      </c>
      <c r="B411" s="42">
        <f t="shared" si="354"/>
        <v>5000</v>
      </c>
      <c r="C411" s="8">
        <v>25000</v>
      </c>
      <c r="D411" s="8">
        <v>0</v>
      </c>
      <c r="E411" s="8">
        <v>700</v>
      </c>
      <c r="F411" s="8">
        <v>7500</v>
      </c>
      <c r="G411" s="42">
        <f t="shared" si="355"/>
        <v>2400</v>
      </c>
      <c r="H411" s="8">
        <v>25000</v>
      </c>
      <c r="I411" s="42">
        <f t="shared" si="356"/>
        <v>5000</v>
      </c>
      <c r="J411" s="8">
        <v>25000</v>
      </c>
      <c r="K411" s="42">
        <f t="shared" si="357"/>
        <v>5000</v>
      </c>
      <c r="L411" s="8">
        <v>25000</v>
      </c>
      <c r="M411" s="9">
        <v>9</v>
      </c>
      <c r="N411" s="9">
        <v>16.100000000000001</v>
      </c>
      <c r="O411" s="9">
        <v>14</v>
      </c>
      <c r="P411" s="9">
        <v>19.5</v>
      </c>
      <c r="Q411" s="92">
        <v>2.8014898000000001</v>
      </c>
      <c r="R411">
        <v>10</v>
      </c>
      <c r="S411">
        <v>1000</v>
      </c>
      <c r="T411" s="4">
        <v>328.43039476330199</v>
      </c>
      <c r="U411">
        <f t="shared" si="398"/>
        <v>3.28430394763302</v>
      </c>
      <c r="V411">
        <f t="shared" ref="V411:W411" si="423">V387</f>
        <v>3</v>
      </c>
      <c r="W411">
        <f t="shared" si="423"/>
        <v>3.2</v>
      </c>
      <c r="X411" s="9">
        <v>2.8014898000000001</v>
      </c>
    </row>
    <row r="412" spans="1:24" x14ac:dyDescent="0.2">
      <c r="A412" s="41">
        <f t="shared" si="400"/>
        <v>45856.041666665675</v>
      </c>
      <c r="B412" s="42">
        <f t="shared" ref="B412:B475" si="424">B388</f>
        <v>5000</v>
      </c>
      <c r="C412" s="8">
        <v>25000</v>
      </c>
      <c r="D412" s="8">
        <v>0</v>
      </c>
      <c r="E412" s="8">
        <v>700</v>
      </c>
      <c r="F412" s="8">
        <v>7500</v>
      </c>
      <c r="G412" s="42">
        <f t="shared" ref="G412:G475" si="425">G388</f>
        <v>2400</v>
      </c>
      <c r="H412" s="8">
        <v>25000</v>
      </c>
      <c r="I412" s="42">
        <f t="shared" ref="I412:I475" si="426">I388</f>
        <v>5000</v>
      </c>
      <c r="J412" s="8">
        <v>25000</v>
      </c>
      <c r="K412" s="42">
        <f t="shared" ref="K412:K475" si="427">K388</f>
        <v>5000</v>
      </c>
      <c r="L412" s="8">
        <v>25000</v>
      </c>
      <c r="M412" s="9">
        <v>9</v>
      </c>
      <c r="N412" s="9">
        <v>16.100000000000001</v>
      </c>
      <c r="O412" s="9">
        <v>14</v>
      </c>
      <c r="P412" s="9">
        <v>19.5</v>
      </c>
      <c r="Q412" s="92">
        <v>2.7269306000000002</v>
      </c>
      <c r="R412">
        <v>10</v>
      </c>
      <c r="S412">
        <v>1000</v>
      </c>
      <c r="T412" s="4">
        <v>318.44246167114238</v>
      </c>
      <c r="U412">
        <f t="shared" si="398"/>
        <v>3.1844246167114236</v>
      </c>
      <c r="V412">
        <f t="shared" ref="V412:W412" si="428">V388</f>
        <v>2.6</v>
      </c>
      <c r="W412">
        <f t="shared" si="428"/>
        <v>3.2</v>
      </c>
      <c r="X412" s="9">
        <v>2.7269306000000002</v>
      </c>
    </row>
    <row r="413" spans="1:24" x14ac:dyDescent="0.2">
      <c r="A413" s="41">
        <f t="shared" si="400"/>
        <v>45856.083333332339</v>
      </c>
      <c r="B413" s="42">
        <f t="shared" si="424"/>
        <v>5000</v>
      </c>
      <c r="C413" s="8">
        <v>25000</v>
      </c>
      <c r="D413" s="8">
        <v>0</v>
      </c>
      <c r="E413" s="8">
        <v>700</v>
      </c>
      <c r="F413" s="8">
        <v>7500</v>
      </c>
      <c r="G413" s="42">
        <f t="shared" si="425"/>
        <v>2400</v>
      </c>
      <c r="H413" s="8">
        <v>25000</v>
      </c>
      <c r="I413" s="42">
        <f t="shared" si="426"/>
        <v>5000</v>
      </c>
      <c r="J413" s="8">
        <v>25000</v>
      </c>
      <c r="K413" s="42">
        <f t="shared" si="427"/>
        <v>5000</v>
      </c>
      <c r="L413" s="8">
        <v>25000</v>
      </c>
      <c r="M413" s="9">
        <v>9</v>
      </c>
      <c r="N413" s="9">
        <v>16.100000000000001</v>
      </c>
      <c r="O413" s="9">
        <v>14</v>
      </c>
      <c r="P413" s="9">
        <v>19.5</v>
      </c>
      <c r="Q413" s="92">
        <v>2.8019254</v>
      </c>
      <c r="R413">
        <v>10</v>
      </c>
      <c r="S413">
        <v>1000</v>
      </c>
      <c r="T413" s="4">
        <v>318.44246167114238</v>
      </c>
      <c r="U413">
        <f t="shared" si="398"/>
        <v>3.1844246167114236</v>
      </c>
      <c r="V413">
        <f t="shared" ref="V413:W413" si="429">V389</f>
        <v>2.8</v>
      </c>
      <c r="W413">
        <f t="shared" si="429"/>
        <v>3.2</v>
      </c>
      <c r="X413" s="9">
        <v>2.8019254</v>
      </c>
    </row>
    <row r="414" spans="1:24" x14ac:dyDescent="0.2">
      <c r="A414" s="41">
        <f t="shared" si="400"/>
        <v>45856.124999999003</v>
      </c>
      <c r="B414" s="42">
        <f t="shared" si="424"/>
        <v>5000</v>
      </c>
      <c r="C414" s="8">
        <v>25000</v>
      </c>
      <c r="D414" s="8">
        <v>0</v>
      </c>
      <c r="E414" s="8">
        <v>700</v>
      </c>
      <c r="F414" s="8">
        <v>7500</v>
      </c>
      <c r="G414" s="42">
        <f t="shared" si="425"/>
        <v>2400</v>
      </c>
      <c r="H414" s="8">
        <v>25000</v>
      </c>
      <c r="I414" s="42">
        <f t="shared" si="426"/>
        <v>5000</v>
      </c>
      <c r="J414" s="8">
        <v>25000</v>
      </c>
      <c r="K414" s="42">
        <f t="shared" si="427"/>
        <v>5000</v>
      </c>
      <c r="L414" s="8">
        <v>25000</v>
      </c>
      <c r="M414" s="9">
        <v>9</v>
      </c>
      <c r="N414" s="9">
        <v>16.100000000000001</v>
      </c>
      <c r="O414" s="9">
        <v>14</v>
      </c>
      <c r="P414" s="9">
        <v>19.5</v>
      </c>
      <c r="Q414" s="92">
        <v>2.8642986000000001</v>
      </c>
      <c r="R414">
        <v>10</v>
      </c>
      <c r="S414">
        <v>1000</v>
      </c>
      <c r="T414" s="4">
        <v>396.47318895363924</v>
      </c>
      <c r="U414">
        <f t="shared" si="398"/>
        <v>3.9647318895363926</v>
      </c>
      <c r="V414">
        <f t="shared" ref="V414:W414" si="430">V390</f>
        <v>2.7</v>
      </c>
      <c r="W414">
        <f t="shared" si="430"/>
        <v>3.2</v>
      </c>
      <c r="X414" s="9">
        <v>2.8642986000000001</v>
      </c>
    </row>
    <row r="415" spans="1:24" x14ac:dyDescent="0.2">
      <c r="A415" s="41">
        <f t="shared" si="400"/>
        <v>45856.166666665667</v>
      </c>
      <c r="B415" s="42">
        <f t="shared" si="424"/>
        <v>5000</v>
      </c>
      <c r="C415" s="8">
        <v>25000</v>
      </c>
      <c r="D415" s="8">
        <v>0</v>
      </c>
      <c r="E415" s="8">
        <v>700</v>
      </c>
      <c r="F415" s="8">
        <v>7500</v>
      </c>
      <c r="G415" s="42">
        <f t="shared" si="425"/>
        <v>2400</v>
      </c>
      <c r="H415" s="8">
        <v>25000</v>
      </c>
      <c r="I415" s="42">
        <f t="shared" si="426"/>
        <v>5000</v>
      </c>
      <c r="J415" s="8">
        <v>25000</v>
      </c>
      <c r="K415" s="42">
        <f t="shared" si="427"/>
        <v>5000</v>
      </c>
      <c r="L415" s="8">
        <v>25000</v>
      </c>
      <c r="M415" s="9">
        <v>9</v>
      </c>
      <c r="N415" s="9">
        <v>16.100000000000001</v>
      </c>
      <c r="O415" s="9">
        <v>14</v>
      </c>
      <c r="P415" s="9">
        <v>19.5</v>
      </c>
      <c r="Q415" s="92">
        <v>2.8921006</v>
      </c>
      <c r="R415">
        <v>10</v>
      </c>
      <c r="S415">
        <v>1000</v>
      </c>
      <c r="T415" s="4">
        <v>466.70084350788647</v>
      </c>
      <c r="U415">
        <f t="shared" si="398"/>
        <v>4.6670084350788645</v>
      </c>
      <c r="V415">
        <f t="shared" ref="V415:W415" si="431">V391</f>
        <v>3</v>
      </c>
      <c r="W415">
        <f t="shared" si="431"/>
        <v>3.1</v>
      </c>
      <c r="X415" s="9">
        <v>2.8921006</v>
      </c>
    </row>
    <row r="416" spans="1:24" x14ac:dyDescent="0.2">
      <c r="A416" s="41">
        <f t="shared" si="400"/>
        <v>45856.208333332332</v>
      </c>
      <c r="B416" s="42">
        <f t="shared" si="424"/>
        <v>5000</v>
      </c>
      <c r="C416" s="8">
        <v>25000</v>
      </c>
      <c r="D416" s="8">
        <v>0</v>
      </c>
      <c r="E416" s="8">
        <v>700</v>
      </c>
      <c r="F416" s="8">
        <v>7500</v>
      </c>
      <c r="G416" s="42">
        <f t="shared" si="425"/>
        <v>2400</v>
      </c>
      <c r="H416" s="8">
        <v>25000</v>
      </c>
      <c r="I416" s="42">
        <f t="shared" si="426"/>
        <v>5000</v>
      </c>
      <c r="J416" s="8">
        <v>25000</v>
      </c>
      <c r="K416" s="42">
        <f t="shared" si="427"/>
        <v>5000</v>
      </c>
      <c r="L416" s="8">
        <v>25000</v>
      </c>
      <c r="M416" s="9">
        <v>9</v>
      </c>
      <c r="N416" s="9">
        <v>16.100000000000001</v>
      </c>
      <c r="O416" s="9">
        <v>14</v>
      </c>
      <c r="P416" s="9">
        <v>19.5</v>
      </c>
      <c r="Q416" s="92">
        <v>2.9666727000000002</v>
      </c>
      <c r="R416">
        <v>10</v>
      </c>
      <c r="S416">
        <v>1000</v>
      </c>
      <c r="T416" s="4">
        <v>466.70084350788647</v>
      </c>
      <c r="U416">
        <f t="shared" si="398"/>
        <v>4.6670084350788645</v>
      </c>
      <c r="V416">
        <f t="shared" ref="V416:W416" si="432">V392</f>
        <v>2.9</v>
      </c>
      <c r="W416">
        <f t="shared" si="432"/>
        <v>3.1</v>
      </c>
      <c r="X416" s="9">
        <v>2.9666727000000002</v>
      </c>
    </row>
    <row r="417" spans="1:24" x14ac:dyDescent="0.2">
      <c r="A417" s="41">
        <f t="shared" si="400"/>
        <v>45856.249999998996</v>
      </c>
      <c r="B417" s="42">
        <f t="shared" si="424"/>
        <v>8000</v>
      </c>
      <c r="C417" s="8">
        <v>25000</v>
      </c>
      <c r="D417" s="8">
        <v>0</v>
      </c>
      <c r="E417" s="8">
        <v>700</v>
      </c>
      <c r="F417" s="8">
        <v>7500</v>
      </c>
      <c r="G417" s="42">
        <f t="shared" si="425"/>
        <v>2400</v>
      </c>
      <c r="H417" s="8">
        <v>25000</v>
      </c>
      <c r="I417" s="42">
        <f t="shared" si="426"/>
        <v>8000</v>
      </c>
      <c r="J417" s="8">
        <v>25000</v>
      </c>
      <c r="K417" s="42">
        <f t="shared" si="427"/>
        <v>8000</v>
      </c>
      <c r="L417" s="8">
        <v>25000</v>
      </c>
      <c r="M417" s="9">
        <v>9</v>
      </c>
      <c r="N417" s="9">
        <v>16.100000000000001</v>
      </c>
      <c r="O417" s="9">
        <v>14</v>
      </c>
      <c r="P417" s="9">
        <v>19.5</v>
      </c>
      <c r="Q417" s="92">
        <v>3.0892305000000002</v>
      </c>
      <c r="R417">
        <v>10</v>
      </c>
      <c r="S417">
        <v>1000</v>
      </c>
      <c r="T417" s="4">
        <v>362.76391476760062</v>
      </c>
      <c r="U417">
        <f t="shared" si="398"/>
        <v>3.6276391476760064</v>
      </c>
      <c r="V417">
        <f t="shared" ref="V417:W417" si="433">V393</f>
        <v>2.5</v>
      </c>
      <c r="W417">
        <f t="shared" si="433"/>
        <v>3.1</v>
      </c>
      <c r="X417" s="9">
        <v>3.0892305000000002</v>
      </c>
    </row>
    <row r="418" spans="1:24" x14ac:dyDescent="0.2">
      <c r="A418" s="41">
        <f t="shared" si="400"/>
        <v>45856.29166666566</v>
      </c>
      <c r="B418" s="42">
        <f t="shared" si="424"/>
        <v>8000</v>
      </c>
      <c r="C418" s="8">
        <v>25000</v>
      </c>
      <c r="D418" s="8">
        <v>0</v>
      </c>
      <c r="E418" s="8">
        <v>700</v>
      </c>
      <c r="F418" s="8">
        <v>7500</v>
      </c>
      <c r="G418" s="42">
        <f t="shared" si="425"/>
        <v>2400</v>
      </c>
      <c r="H418" s="8">
        <v>25000</v>
      </c>
      <c r="I418" s="42">
        <f t="shared" si="426"/>
        <v>8000</v>
      </c>
      <c r="J418" s="8">
        <v>25000</v>
      </c>
      <c r="K418" s="42">
        <f t="shared" si="427"/>
        <v>8000</v>
      </c>
      <c r="L418" s="8">
        <v>25000</v>
      </c>
      <c r="M418" s="9">
        <v>9</v>
      </c>
      <c r="N418" s="9">
        <v>16.100000000000001</v>
      </c>
      <c r="O418" s="9">
        <v>14</v>
      </c>
      <c r="P418" s="9">
        <v>19.5</v>
      </c>
      <c r="Q418" s="92">
        <v>3.2333927</v>
      </c>
      <c r="R418">
        <v>10</v>
      </c>
      <c r="S418">
        <v>1000</v>
      </c>
      <c r="T418" s="4">
        <v>369.00637295020039</v>
      </c>
      <c r="U418">
        <f t="shared" si="398"/>
        <v>3.690063729502004</v>
      </c>
      <c r="V418">
        <f t="shared" ref="V418:W418" si="434">V394</f>
        <v>2.5</v>
      </c>
      <c r="W418">
        <f t="shared" si="434"/>
        <v>3.1</v>
      </c>
      <c r="X418" s="9">
        <v>3.2333927</v>
      </c>
    </row>
    <row r="419" spans="1:24" x14ac:dyDescent="0.2">
      <c r="A419" s="41">
        <f t="shared" si="400"/>
        <v>45856.333333332324</v>
      </c>
      <c r="B419" s="42">
        <f t="shared" si="424"/>
        <v>8000</v>
      </c>
      <c r="C419" s="8">
        <v>25000</v>
      </c>
      <c r="D419" s="8">
        <v>0</v>
      </c>
      <c r="E419" s="8">
        <v>700</v>
      </c>
      <c r="F419" s="8">
        <v>7500</v>
      </c>
      <c r="G419" s="42">
        <f t="shared" si="425"/>
        <v>2400</v>
      </c>
      <c r="H419" s="8">
        <v>25000</v>
      </c>
      <c r="I419" s="42">
        <f t="shared" si="426"/>
        <v>8000</v>
      </c>
      <c r="J419" s="8">
        <v>25000</v>
      </c>
      <c r="K419" s="42">
        <f t="shared" si="427"/>
        <v>8000</v>
      </c>
      <c r="L419" s="8">
        <v>25000</v>
      </c>
      <c r="M419" s="9">
        <v>9</v>
      </c>
      <c r="N419" s="9">
        <v>16.100000000000001</v>
      </c>
      <c r="O419" s="9">
        <v>14</v>
      </c>
      <c r="P419" s="9">
        <v>19.5</v>
      </c>
      <c r="Q419" s="92">
        <v>3.2958759999999998</v>
      </c>
      <c r="R419">
        <v>10</v>
      </c>
      <c r="S419">
        <v>1000</v>
      </c>
      <c r="T419" s="4">
        <v>386.17313295234976</v>
      </c>
      <c r="U419">
        <f t="shared" si="398"/>
        <v>3.8617313295234976</v>
      </c>
      <c r="V419">
        <f t="shared" ref="V419:W419" si="435">V395</f>
        <v>3.2</v>
      </c>
      <c r="W419">
        <f t="shared" si="435"/>
        <v>3</v>
      </c>
      <c r="X419" s="9">
        <v>3.2958759999999998</v>
      </c>
    </row>
    <row r="420" spans="1:24" x14ac:dyDescent="0.2">
      <c r="A420" s="41">
        <f t="shared" si="400"/>
        <v>45856.374999998989</v>
      </c>
      <c r="B420" s="42">
        <f t="shared" si="424"/>
        <v>8000</v>
      </c>
      <c r="C420" s="8">
        <v>25000</v>
      </c>
      <c r="D420" s="8">
        <v>0</v>
      </c>
      <c r="E420" s="8">
        <v>700</v>
      </c>
      <c r="F420" s="8">
        <v>7500</v>
      </c>
      <c r="G420" s="42">
        <f t="shared" si="425"/>
        <v>2400</v>
      </c>
      <c r="H420" s="8">
        <v>25000</v>
      </c>
      <c r="I420" s="42">
        <f t="shared" si="426"/>
        <v>8000</v>
      </c>
      <c r="J420" s="8">
        <v>25000</v>
      </c>
      <c r="K420" s="42">
        <f t="shared" si="427"/>
        <v>8000</v>
      </c>
      <c r="L420" s="8">
        <v>25000</v>
      </c>
      <c r="M420" s="9">
        <v>9</v>
      </c>
      <c r="N420" s="9">
        <v>16.100000000000001</v>
      </c>
      <c r="O420" s="9">
        <v>14</v>
      </c>
      <c r="P420" s="9">
        <v>19.5</v>
      </c>
      <c r="Q420" s="92">
        <v>3.3353233000000002</v>
      </c>
      <c r="R420">
        <v>10</v>
      </c>
      <c r="S420">
        <v>1000</v>
      </c>
      <c r="T420" s="4">
        <v>364.32452931325059</v>
      </c>
      <c r="U420">
        <f t="shared" si="398"/>
        <v>3.6432452931325061</v>
      </c>
      <c r="V420">
        <f t="shared" ref="V420:W420" si="436">V396</f>
        <v>2.9</v>
      </c>
      <c r="W420">
        <f t="shared" si="436"/>
        <v>3</v>
      </c>
      <c r="X420" s="9">
        <v>3.3353233000000002</v>
      </c>
    </row>
    <row r="421" spans="1:24" x14ac:dyDescent="0.2">
      <c r="A421" s="41">
        <f t="shared" si="400"/>
        <v>45856.416666665653</v>
      </c>
      <c r="B421" s="42">
        <f t="shared" si="424"/>
        <v>8000</v>
      </c>
      <c r="C421" s="8">
        <v>25000</v>
      </c>
      <c r="D421" s="8">
        <v>0</v>
      </c>
      <c r="E421" s="8">
        <v>700</v>
      </c>
      <c r="F421" s="8">
        <v>7500</v>
      </c>
      <c r="G421" s="42">
        <f t="shared" si="425"/>
        <v>2400</v>
      </c>
      <c r="H421" s="8">
        <v>25000</v>
      </c>
      <c r="I421" s="42">
        <f t="shared" si="426"/>
        <v>8000</v>
      </c>
      <c r="J421" s="8">
        <v>25000</v>
      </c>
      <c r="K421" s="42">
        <f t="shared" si="427"/>
        <v>8000</v>
      </c>
      <c r="L421" s="8">
        <v>25000</v>
      </c>
      <c r="M421" s="9">
        <v>9</v>
      </c>
      <c r="N421" s="9">
        <v>16.100000000000001</v>
      </c>
      <c r="O421" s="9">
        <v>14</v>
      </c>
      <c r="P421" s="9">
        <v>19.5</v>
      </c>
      <c r="Q421" s="92">
        <v>3.4043614999999998</v>
      </c>
      <c r="R421">
        <v>10</v>
      </c>
      <c r="S421">
        <v>1000</v>
      </c>
      <c r="T421" s="4">
        <v>343.41229440154143</v>
      </c>
      <c r="U421">
        <f t="shared" si="398"/>
        <v>3.4341229440154142</v>
      </c>
      <c r="V421">
        <f t="shared" ref="V421:W421" si="437">V397</f>
        <v>2.9</v>
      </c>
      <c r="W421">
        <f t="shared" si="437"/>
        <v>3</v>
      </c>
      <c r="X421" s="9">
        <v>3.4043614999999998</v>
      </c>
    </row>
    <row r="422" spans="1:24" x14ac:dyDescent="0.2">
      <c r="A422" s="41">
        <f t="shared" si="400"/>
        <v>45856.458333332317</v>
      </c>
      <c r="B422" s="42">
        <f t="shared" si="424"/>
        <v>8000</v>
      </c>
      <c r="C422" s="8">
        <v>25000</v>
      </c>
      <c r="D422" s="8">
        <v>0</v>
      </c>
      <c r="E422" s="8">
        <v>700</v>
      </c>
      <c r="F422" s="8">
        <v>7500</v>
      </c>
      <c r="G422" s="42">
        <f t="shared" si="425"/>
        <v>2400</v>
      </c>
      <c r="H422" s="8">
        <v>25000</v>
      </c>
      <c r="I422" s="42">
        <f t="shared" si="426"/>
        <v>8000</v>
      </c>
      <c r="J422" s="8">
        <v>25000</v>
      </c>
      <c r="K422" s="42">
        <f t="shared" si="427"/>
        <v>8000</v>
      </c>
      <c r="L422" s="8">
        <v>25000</v>
      </c>
      <c r="M422" s="9">
        <v>9</v>
      </c>
      <c r="N422" s="9">
        <v>16.100000000000001</v>
      </c>
      <c r="O422" s="9">
        <v>14</v>
      </c>
      <c r="P422" s="9">
        <v>19.5</v>
      </c>
      <c r="Q422" s="92">
        <v>3.3494524999999999</v>
      </c>
      <c r="R422">
        <v>10</v>
      </c>
      <c r="S422">
        <v>1000</v>
      </c>
      <c r="T422" s="4">
        <v>340.29106531024155</v>
      </c>
      <c r="U422">
        <f t="shared" si="398"/>
        <v>3.4029106531024156</v>
      </c>
      <c r="V422">
        <f t="shared" ref="V422:W422" si="438">V398</f>
        <v>3.4</v>
      </c>
      <c r="W422">
        <f t="shared" si="438"/>
        <v>3</v>
      </c>
      <c r="X422" s="9">
        <v>3.3494524999999999</v>
      </c>
    </row>
    <row r="423" spans="1:24" x14ac:dyDescent="0.2">
      <c r="A423" s="41">
        <f t="shared" si="400"/>
        <v>45856.499999998981</v>
      </c>
      <c r="B423" s="42">
        <f t="shared" si="424"/>
        <v>8000</v>
      </c>
      <c r="C423" s="8">
        <v>25000</v>
      </c>
      <c r="D423" s="8">
        <v>0</v>
      </c>
      <c r="E423" s="8">
        <v>700</v>
      </c>
      <c r="F423" s="8">
        <v>7500</v>
      </c>
      <c r="G423" s="42">
        <f t="shared" si="425"/>
        <v>2400</v>
      </c>
      <c r="H423" s="8">
        <v>25000</v>
      </c>
      <c r="I423" s="42">
        <f t="shared" si="426"/>
        <v>8000</v>
      </c>
      <c r="J423" s="8">
        <v>25000</v>
      </c>
      <c r="K423" s="42">
        <f t="shared" si="427"/>
        <v>8000</v>
      </c>
      <c r="L423" s="8">
        <v>25000</v>
      </c>
      <c r="M423" s="9">
        <v>9</v>
      </c>
      <c r="N423" s="9">
        <v>16.100000000000001</v>
      </c>
      <c r="O423" s="9">
        <v>14</v>
      </c>
      <c r="P423" s="9">
        <v>19.5</v>
      </c>
      <c r="Q423" s="92">
        <v>3.2146881</v>
      </c>
      <c r="R423">
        <v>10</v>
      </c>
      <c r="S423">
        <v>1000</v>
      </c>
      <c r="T423" s="4">
        <v>369.94274167759033</v>
      </c>
      <c r="U423">
        <f t="shared" si="398"/>
        <v>3.6994274167759031</v>
      </c>
      <c r="V423">
        <f t="shared" ref="V423:W423" si="439">V399</f>
        <v>3.1</v>
      </c>
      <c r="W423">
        <f t="shared" si="439"/>
        <v>2.9</v>
      </c>
      <c r="X423" s="9">
        <v>3.2146881</v>
      </c>
    </row>
    <row r="424" spans="1:24" x14ac:dyDescent="0.2">
      <c r="A424" s="41">
        <f t="shared" si="400"/>
        <v>45856.541666665646</v>
      </c>
      <c r="B424" s="42">
        <f t="shared" si="424"/>
        <v>8000</v>
      </c>
      <c r="C424" s="8">
        <v>25000</v>
      </c>
      <c r="D424" s="8">
        <v>0</v>
      </c>
      <c r="E424" s="8">
        <v>700</v>
      </c>
      <c r="F424" s="8">
        <v>7500</v>
      </c>
      <c r="G424" s="42">
        <f t="shared" si="425"/>
        <v>2400</v>
      </c>
      <c r="H424" s="8">
        <v>25000</v>
      </c>
      <c r="I424" s="42">
        <f t="shared" si="426"/>
        <v>8000</v>
      </c>
      <c r="J424" s="8">
        <v>25000</v>
      </c>
      <c r="K424" s="42">
        <f t="shared" si="427"/>
        <v>8000</v>
      </c>
      <c r="L424" s="8">
        <v>25000</v>
      </c>
      <c r="M424" s="9">
        <v>9</v>
      </c>
      <c r="N424" s="9">
        <v>16.100000000000001</v>
      </c>
      <c r="O424" s="9">
        <v>14</v>
      </c>
      <c r="P424" s="9">
        <v>19.5</v>
      </c>
      <c r="Q424" s="92">
        <v>3.0306571</v>
      </c>
      <c r="R424">
        <v>10</v>
      </c>
      <c r="S424">
        <v>1000</v>
      </c>
      <c r="T424" s="4">
        <v>402.40414847292726</v>
      </c>
      <c r="U424">
        <f t="shared" si="398"/>
        <v>4.0240414847292723</v>
      </c>
      <c r="V424">
        <f t="shared" ref="V424:W424" si="440">V400</f>
        <v>3.2</v>
      </c>
      <c r="W424">
        <f t="shared" si="440"/>
        <v>2.9</v>
      </c>
      <c r="X424" s="9">
        <v>3.0306571</v>
      </c>
    </row>
    <row r="425" spans="1:24" x14ac:dyDescent="0.2">
      <c r="A425" s="41">
        <f t="shared" si="400"/>
        <v>45856.58333333231</v>
      </c>
      <c r="B425" s="42">
        <f t="shared" si="424"/>
        <v>8000</v>
      </c>
      <c r="C425" s="8">
        <v>25000</v>
      </c>
      <c r="D425" s="8">
        <v>0</v>
      </c>
      <c r="E425" s="8">
        <v>700</v>
      </c>
      <c r="F425" s="8">
        <v>7500</v>
      </c>
      <c r="G425" s="42">
        <f t="shared" si="425"/>
        <v>2400</v>
      </c>
      <c r="H425" s="8">
        <v>25000</v>
      </c>
      <c r="I425" s="42">
        <f t="shared" si="426"/>
        <v>8000</v>
      </c>
      <c r="J425" s="8">
        <v>25000</v>
      </c>
      <c r="K425" s="42">
        <f t="shared" si="427"/>
        <v>8000</v>
      </c>
      <c r="L425" s="8">
        <v>25000</v>
      </c>
      <c r="M425" s="9">
        <v>9</v>
      </c>
      <c r="N425" s="9">
        <v>16.100000000000001</v>
      </c>
      <c r="O425" s="9">
        <v>14</v>
      </c>
      <c r="P425" s="9">
        <v>19.5</v>
      </c>
      <c r="Q425" s="92">
        <v>3.0173942999999999</v>
      </c>
      <c r="R425">
        <v>10</v>
      </c>
      <c r="S425">
        <v>1000</v>
      </c>
      <c r="T425" s="4">
        <v>655.22245637658079</v>
      </c>
      <c r="U425">
        <f t="shared" si="398"/>
        <v>6.5522245637658081</v>
      </c>
      <c r="V425">
        <f t="shared" ref="V425:W425" si="441">V401</f>
        <v>3.5</v>
      </c>
      <c r="W425">
        <f t="shared" si="441"/>
        <v>2.9</v>
      </c>
      <c r="X425" s="9">
        <v>3.0173942999999999</v>
      </c>
    </row>
    <row r="426" spans="1:24" x14ac:dyDescent="0.2">
      <c r="A426" s="41">
        <f t="shared" si="400"/>
        <v>45856.624999998974</v>
      </c>
      <c r="B426" s="42">
        <f t="shared" si="424"/>
        <v>8000</v>
      </c>
      <c r="C426" s="8">
        <v>25000</v>
      </c>
      <c r="D426" s="8">
        <v>0</v>
      </c>
      <c r="E426" s="8">
        <v>700</v>
      </c>
      <c r="F426" s="8">
        <v>7500</v>
      </c>
      <c r="G426" s="42">
        <f t="shared" si="425"/>
        <v>2400</v>
      </c>
      <c r="H426" s="8">
        <v>25000</v>
      </c>
      <c r="I426" s="42">
        <f t="shared" si="426"/>
        <v>8000</v>
      </c>
      <c r="J426" s="8">
        <v>25000</v>
      </c>
      <c r="K426" s="42">
        <f t="shared" si="427"/>
        <v>8000</v>
      </c>
      <c r="L426" s="8">
        <v>25000</v>
      </c>
      <c r="M426" s="9">
        <v>9</v>
      </c>
      <c r="N426" s="9">
        <v>16.100000000000001</v>
      </c>
      <c r="O426" s="9">
        <v>14</v>
      </c>
      <c r="P426" s="9">
        <v>19.5</v>
      </c>
      <c r="Q426" s="92">
        <v>3.3398889999999999</v>
      </c>
      <c r="R426">
        <v>10</v>
      </c>
      <c r="S426">
        <v>1000</v>
      </c>
      <c r="T426" s="4">
        <v>753.54117275252679</v>
      </c>
      <c r="U426">
        <f t="shared" si="398"/>
        <v>7.5354117275252683</v>
      </c>
      <c r="V426">
        <f t="shared" ref="V426:W426" si="442">V402</f>
        <v>3.2</v>
      </c>
      <c r="W426">
        <f t="shared" si="442"/>
        <v>2.9</v>
      </c>
      <c r="X426" s="9">
        <v>3.3398889999999999</v>
      </c>
    </row>
    <row r="427" spans="1:24" x14ac:dyDescent="0.2">
      <c r="A427" s="41">
        <f t="shared" si="400"/>
        <v>45856.666666665638</v>
      </c>
      <c r="B427" s="42">
        <f t="shared" si="424"/>
        <v>8000</v>
      </c>
      <c r="C427" s="8">
        <v>25000</v>
      </c>
      <c r="D427" s="8">
        <v>0</v>
      </c>
      <c r="E427" s="8">
        <v>700</v>
      </c>
      <c r="F427" s="8">
        <v>7500</v>
      </c>
      <c r="G427" s="42">
        <f t="shared" si="425"/>
        <v>2400</v>
      </c>
      <c r="H427" s="8">
        <v>25000</v>
      </c>
      <c r="I427" s="42">
        <f t="shared" si="426"/>
        <v>8000</v>
      </c>
      <c r="J427" s="8">
        <v>25000</v>
      </c>
      <c r="K427" s="42">
        <f t="shared" si="427"/>
        <v>8000</v>
      </c>
      <c r="L427" s="8">
        <v>25000</v>
      </c>
      <c r="M427" s="9">
        <v>9</v>
      </c>
      <c r="N427" s="9">
        <v>16.100000000000001</v>
      </c>
      <c r="O427" s="9">
        <v>14</v>
      </c>
      <c r="P427" s="9">
        <v>19.5</v>
      </c>
      <c r="Q427" s="92">
        <v>3.2384881999999999</v>
      </c>
      <c r="R427">
        <v>10</v>
      </c>
      <c r="S427">
        <v>1000</v>
      </c>
      <c r="T427" s="4">
        <v>974.21206950742805</v>
      </c>
      <c r="U427">
        <f t="shared" si="398"/>
        <v>9.7421206950742807</v>
      </c>
      <c r="V427">
        <f t="shared" ref="V427:W427" si="443">V403</f>
        <v>3.5</v>
      </c>
      <c r="W427">
        <f t="shared" si="443"/>
        <v>3</v>
      </c>
      <c r="X427" s="9">
        <v>3.2384881999999999</v>
      </c>
    </row>
    <row r="428" spans="1:24" x14ac:dyDescent="0.2">
      <c r="A428" s="41">
        <f t="shared" si="400"/>
        <v>45856.708333332303</v>
      </c>
      <c r="B428" s="42">
        <f t="shared" si="424"/>
        <v>8000</v>
      </c>
      <c r="C428" s="8">
        <v>25000</v>
      </c>
      <c r="D428" s="8">
        <v>0</v>
      </c>
      <c r="E428" s="8">
        <v>700</v>
      </c>
      <c r="F428" s="8">
        <v>7500</v>
      </c>
      <c r="G428" s="42">
        <f t="shared" si="425"/>
        <v>2400</v>
      </c>
      <c r="H428" s="8">
        <v>25000</v>
      </c>
      <c r="I428" s="42">
        <f t="shared" si="426"/>
        <v>8000</v>
      </c>
      <c r="J428" s="8">
        <v>25000</v>
      </c>
      <c r="K428" s="42">
        <f t="shared" si="427"/>
        <v>8000</v>
      </c>
      <c r="L428" s="8">
        <v>25000</v>
      </c>
      <c r="M428" s="9">
        <v>9</v>
      </c>
      <c r="N428" s="9">
        <v>16.100000000000001</v>
      </c>
      <c r="O428" s="9">
        <v>14</v>
      </c>
      <c r="P428" s="9">
        <v>19.5</v>
      </c>
      <c r="Q428" s="92">
        <v>3.1583163999999999</v>
      </c>
      <c r="R428">
        <v>10</v>
      </c>
      <c r="S428">
        <v>1000</v>
      </c>
      <c r="T428" s="4">
        <v>1241.0771568135674</v>
      </c>
      <c r="U428">
        <f t="shared" si="398"/>
        <v>12.410771568135674</v>
      </c>
      <c r="V428">
        <f t="shared" ref="V428:W428" si="444">V404</f>
        <v>3.6</v>
      </c>
      <c r="W428">
        <f t="shared" si="444"/>
        <v>3</v>
      </c>
      <c r="X428" s="9">
        <v>3.1583163999999999</v>
      </c>
    </row>
    <row r="429" spans="1:24" x14ac:dyDescent="0.2">
      <c r="A429" s="41">
        <f t="shared" si="400"/>
        <v>45856.749999998967</v>
      </c>
      <c r="B429" s="42">
        <f t="shared" si="424"/>
        <v>5000</v>
      </c>
      <c r="C429" s="8">
        <v>25000</v>
      </c>
      <c r="D429" s="8">
        <v>0</v>
      </c>
      <c r="E429" s="8">
        <v>700</v>
      </c>
      <c r="F429" s="8">
        <v>7500</v>
      </c>
      <c r="G429" s="42">
        <f t="shared" si="425"/>
        <v>2400</v>
      </c>
      <c r="H429" s="8">
        <v>25000</v>
      </c>
      <c r="I429" s="42">
        <f t="shared" si="426"/>
        <v>5000</v>
      </c>
      <c r="J429" s="8">
        <v>25000</v>
      </c>
      <c r="K429" s="42">
        <f t="shared" si="427"/>
        <v>5000</v>
      </c>
      <c r="L429" s="8">
        <v>25000</v>
      </c>
      <c r="M429" s="9">
        <v>9</v>
      </c>
      <c r="N429" s="9">
        <v>16.100000000000001</v>
      </c>
      <c r="O429" s="9">
        <v>14</v>
      </c>
      <c r="P429" s="9">
        <v>19.5</v>
      </c>
      <c r="Q429" s="92">
        <v>3.1374946000000001</v>
      </c>
      <c r="R429">
        <v>10</v>
      </c>
      <c r="S429">
        <v>1000</v>
      </c>
      <c r="T429" s="4">
        <v>1284.7743640917656</v>
      </c>
      <c r="U429">
        <f t="shared" si="398"/>
        <v>12.847743640917656</v>
      </c>
      <c r="V429">
        <f t="shared" ref="V429:W429" si="445">V405</f>
        <v>2.9</v>
      </c>
      <c r="W429">
        <f t="shared" si="445"/>
        <v>3</v>
      </c>
      <c r="X429" s="9">
        <v>3.1374946000000001</v>
      </c>
    </row>
    <row r="430" spans="1:24" x14ac:dyDescent="0.2">
      <c r="A430" s="41">
        <f t="shared" si="400"/>
        <v>45856.791666665631</v>
      </c>
      <c r="B430" s="42">
        <f t="shared" si="424"/>
        <v>5000</v>
      </c>
      <c r="C430" s="8">
        <v>25000</v>
      </c>
      <c r="D430" s="8">
        <v>0</v>
      </c>
      <c r="E430" s="8">
        <v>700</v>
      </c>
      <c r="F430" s="8">
        <v>7500</v>
      </c>
      <c r="G430" s="42">
        <f t="shared" si="425"/>
        <v>2400</v>
      </c>
      <c r="H430" s="8">
        <v>25000</v>
      </c>
      <c r="I430" s="42">
        <f t="shared" si="426"/>
        <v>5000</v>
      </c>
      <c r="J430" s="8">
        <v>25000</v>
      </c>
      <c r="K430" s="42">
        <f t="shared" si="427"/>
        <v>5000</v>
      </c>
      <c r="L430" s="8">
        <v>25000</v>
      </c>
      <c r="M430" s="9">
        <v>9</v>
      </c>
      <c r="N430" s="9">
        <v>16.100000000000001</v>
      </c>
      <c r="O430" s="9">
        <v>14</v>
      </c>
      <c r="P430" s="9">
        <v>19.5</v>
      </c>
      <c r="Q430" s="92">
        <v>3.0977394999999999</v>
      </c>
      <c r="R430">
        <v>10</v>
      </c>
      <c r="S430">
        <v>1000</v>
      </c>
      <c r="T430" s="4">
        <v>1281.6531350004659</v>
      </c>
      <c r="U430">
        <f t="shared" si="398"/>
        <v>12.816531350004659</v>
      </c>
      <c r="V430">
        <f t="shared" ref="V430:W430" si="446">V406</f>
        <v>3</v>
      </c>
      <c r="W430">
        <f t="shared" si="446"/>
        <v>3</v>
      </c>
      <c r="X430" s="9">
        <v>3.0977394999999999</v>
      </c>
    </row>
    <row r="431" spans="1:24" x14ac:dyDescent="0.2">
      <c r="A431" s="41">
        <f t="shared" si="400"/>
        <v>45856.833333332295</v>
      </c>
      <c r="B431" s="42">
        <f t="shared" si="424"/>
        <v>5000</v>
      </c>
      <c r="C431" s="8">
        <v>25000</v>
      </c>
      <c r="D431" s="8">
        <v>0</v>
      </c>
      <c r="E431" s="8">
        <v>700</v>
      </c>
      <c r="F431" s="8">
        <v>7500</v>
      </c>
      <c r="G431" s="42">
        <f t="shared" si="425"/>
        <v>2400</v>
      </c>
      <c r="H431" s="8">
        <v>25000</v>
      </c>
      <c r="I431" s="42">
        <f t="shared" si="426"/>
        <v>5000</v>
      </c>
      <c r="J431" s="8">
        <v>25000</v>
      </c>
      <c r="K431" s="42">
        <f t="shared" si="427"/>
        <v>5000</v>
      </c>
      <c r="L431" s="8">
        <v>25000</v>
      </c>
      <c r="M431" s="9">
        <v>9</v>
      </c>
      <c r="N431" s="9">
        <v>16.100000000000001</v>
      </c>
      <c r="O431" s="9">
        <v>14</v>
      </c>
      <c r="P431" s="9">
        <v>19.5</v>
      </c>
      <c r="Q431" s="92">
        <v>3.0590174000000001</v>
      </c>
      <c r="R431">
        <v>10</v>
      </c>
      <c r="S431">
        <v>1000</v>
      </c>
      <c r="T431" s="4">
        <v>1237.9559277222675</v>
      </c>
      <c r="U431">
        <f t="shared" si="398"/>
        <v>12.379559277222675</v>
      </c>
      <c r="V431">
        <f t="shared" ref="V431:W431" si="447">V407</f>
        <v>2.8</v>
      </c>
      <c r="W431">
        <f t="shared" si="447"/>
        <v>3.1</v>
      </c>
      <c r="X431" s="9">
        <v>3.0590174000000001</v>
      </c>
    </row>
    <row r="432" spans="1:24" x14ac:dyDescent="0.2">
      <c r="A432" s="41">
        <f t="shared" si="400"/>
        <v>45856.87499999896</v>
      </c>
      <c r="B432" s="42">
        <f t="shared" si="424"/>
        <v>5000</v>
      </c>
      <c r="C432" s="8">
        <v>25000</v>
      </c>
      <c r="D432" s="8">
        <v>0</v>
      </c>
      <c r="E432" s="8">
        <v>700</v>
      </c>
      <c r="F432" s="8">
        <v>7500</v>
      </c>
      <c r="G432" s="42">
        <f t="shared" si="425"/>
        <v>2400</v>
      </c>
      <c r="H432" s="8">
        <v>25000</v>
      </c>
      <c r="I432" s="42">
        <f t="shared" si="426"/>
        <v>5000</v>
      </c>
      <c r="J432" s="8">
        <v>25000</v>
      </c>
      <c r="K432" s="42">
        <f t="shared" si="427"/>
        <v>5000</v>
      </c>
      <c r="L432" s="8">
        <v>25000</v>
      </c>
      <c r="M432" s="9">
        <v>9</v>
      </c>
      <c r="N432" s="9">
        <v>16.100000000000001</v>
      </c>
      <c r="O432" s="9">
        <v>14</v>
      </c>
      <c r="P432" s="9">
        <v>19.5</v>
      </c>
      <c r="Q432" s="92">
        <v>3.0243745</v>
      </c>
      <c r="R432">
        <v>10</v>
      </c>
      <c r="S432">
        <v>1000</v>
      </c>
      <c r="T432" s="4">
        <v>1142.7584404376212</v>
      </c>
      <c r="U432">
        <f t="shared" si="398"/>
        <v>11.427584404376212</v>
      </c>
      <c r="V432">
        <f t="shared" ref="V432:W432" si="448">V408</f>
        <v>3.5</v>
      </c>
      <c r="W432">
        <f t="shared" si="448"/>
        <v>3.1</v>
      </c>
      <c r="X432" s="9">
        <v>3.0243745</v>
      </c>
    </row>
    <row r="433" spans="1:24" x14ac:dyDescent="0.2">
      <c r="A433" s="41">
        <f t="shared" si="400"/>
        <v>45856.916666665624</v>
      </c>
      <c r="B433" s="42">
        <f t="shared" si="424"/>
        <v>5000</v>
      </c>
      <c r="C433" s="8">
        <v>25000</v>
      </c>
      <c r="D433" s="8">
        <v>0</v>
      </c>
      <c r="E433" s="8">
        <v>700</v>
      </c>
      <c r="F433" s="8">
        <v>7500</v>
      </c>
      <c r="G433" s="42">
        <f t="shared" si="425"/>
        <v>2400</v>
      </c>
      <c r="H433" s="8">
        <v>25000</v>
      </c>
      <c r="I433" s="42">
        <f t="shared" si="426"/>
        <v>5000</v>
      </c>
      <c r="J433" s="8">
        <v>25000</v>
      </c>
      <c r="K433" s="42">
        <f t="shared" si="427"/>
        <v>5000</v>
      </c>
      <c r="L433" s="8">
        <v>25000</v>
      </c>
      <c r="M433" s="9">
        <v>9</v>
      </c>
      <c r="N433" s="9">
        <v>16.100000000000001</v>
      </c>
      <c r="O433" s="9">
        <v>14</v>
      </c>
      <c r="P433" s="9">
        <v>19.5</v>
      </c>
      <c r="Q433" s="92">
        <v>2.9841011000000002</v>
      </c>
      <c r="R433">
        <v>10</v>
      </c>
      <c r="S433">
        <v>1000</v>
      </c>
      <c r="T433" s="4">
        <v>918.02994586403031</v>
      </c>
      <c r="U433">
        <f t="shared" si="398"/>
        <v>9.1802994586403024</v>
      </c>
      <c r="V433">
        <f t="shared" ref="V433:W433" si="449">V409</f>
        <v>2.9</v>
      </c>
      <c r="W433">
        <f t="shared" si="449"/>
        <v>3.1</v>
      </c>
      <c r="X433" s="9">
        <v>2.9841011000000002</v>
      </c>
    </row>
    <row r="434" spans="1:24" x14ac:dyDescent="0.2">
      <c r="A434" s="41">
        <f t="shared" si="400"/>
        <v>45856.958333332288</v>
      </c>
      <c r="B434" s="42">
        <f t="shared" si="424"/>
        <v>5000</v>
      </c>
      <c r="C434" s="8">
        <v>25000</v>
      </c>
      <c r="D434" s="8">
        <v>0</v>
      </c>
      <c r="E434" s="8">
        <v>700</v>
      </c>
      <c r="F434" s="8">
        <v>7500</v>
      </c>
      <c r="G434" s="42">
        <f t="shared" si="425"/>
        <v>2400</v>
      </c>
      <c r="H434" s="8">
        <v>25000</v>
      </c>
      <c r="I434" s="42">
        <f t="shared" si="426"/>
        <v>5000</v>
      </c>
      <c r="J434" s="8">
        <v>25000</v>
      </c>
      <c r="K434" s="42">
        <f t="shared" si="427"/>
        <v>5000</v>
      </c>
      <c r="L434" s="8">
        <v>25000</v>
      </c>
      <c r="M434" s="9">
        <v>9</v>
      </c>
      <c r="N434" s="9">
        <v>16.100000000000001</v>
      </c>
      <c r="O434" s="9">
        <v>14</v>
      </c>
      <c r="P434" s="9">
        <v>19.5</v>
      </c>
      <c r="Q434" s="92">
        <v>2.884042</v>
      </c>
      <c r="R434">
        <v>10</v>
      </c>
      <c r="S434">
        <v>1000</v>
      </c>
      <c r="T434" s="4">
        <v>562.52257661079261</v>
      </c>
      <c r="U434">
        <f t="shared" si="398"/>
        <v>5.6252257661079259</v>
      </c>
      <c r="V434">
        <f t="shared" ref="V434:W434" si="450">V410</f>
        <v>3.6</v>
      </c>
      <c r="W434">
        <f t="shared" si="450"/>
        <v>3.1</v>
      </c>
      <c r="X434" s="9">
        <v>2.884042</v>
      </c>
    </row>
    <row r="435" spans="1:24" x14ac:dyDescent="0.2">
      <c r="A435" s="41">
        <f t="shared" si="400"/>
        <v>45856.999999998952</v>
      </c>
      <c r="B435" s="42">
        <f t="shared" si="424"/>
        <v>5000</v>
      </c>
      <c r="C435" s="8">
        <v>25000</v>
      </c>
      <c r="D435" s="8">
        <v>0</v>
      </c>
      <c r="E435" s="8">
        <v>700</v>
      </c>
      <c r="F435" s="8">
        <v>7500</v>
      </c>
      <c r="G435" s="42">
        <f t="shared" si="425"/>
        <v>2400</v>
      </c>
      <c r="H435" s="8">
        <v>25000</v>
      </c>
      <c r="I435" s="42">
        <f t="shared" si="426"/>
        <v>5000</v>
      </c>
      <c r="J435" s="8">
        <v>25000</v>
      </c>
      <c r="K435" s="42">
        <f t="shared" si="427"/>
        <v>5000</v>
      </c>
      <c r="L435" s="8">
        <v>25000</v>
      </c>
      <c r="M435" s="9">
        <v>9</v>
      </c>
      <c r="N435" s="9">
        <v>16.100000000000001</v>
      </c>
      <c r="O435" s="9">
        <v>14</v>
      </c>
      <c r="P435" s="9">
        <v>19.5</v>
      </c>
      <c r="Q435" s="92">
        <v>2.8029150999999999</v>
      </c>
      <c r="R435">
        <v>10</v>
      </c>
      <c r="S435">
        <v>1000</v>
      </c>
      <c r="T435" s="4">
        <v>393.97934309477978</v>
      </c>
      <c r="U435">
        <f t="shared" si="398"/>
        <v>3.9397934309477978</v>
      </c>
      <c r="V435">
        <f t="shared" ref="V435:W435" si="451">V411</f>
        <v>3</v>
      </c>
      <c r="W435">
        <f t="shared" si="451"/>
        <v>3.2</v>
      </c>
      <c r="X435" s="9">
        <v>2.8029150999999999</v>
      </c>
    </row>
    <row r="436" spans="1:24" x14ac:dyDescent="0.2">
      <c r="A436" s="41">
        <f t="shared" si="400"/>
        <v>45857.041666665617</v>
      </c>
      <c r="B436" s="42">
        <f t="shared" si="424"/>
        <v>5000</v>
      </c>
      <c r="C436" s="8">
        <v>25000</v>
      </c>
      <c r="D436" s="8">
        <v>0</v>
      </c>
      <c r="E436" s="8">
        <v>700</v>
      </c>
      <c r="F436" s="8">
        <v>7500</v>
      </c>
      <c r="G436" s="42">
        <f t="shared" si="425"/>
        <v>2400</v>
      </c>
      <c r="H436" s="8">
        <v>25000</v>
      </c>
      <c r="I436" s="42">
        <f t="shared" si="426"/>
        <v>5000</v>
      </c>
      <c r="J436" s="8">
        <v>25000</v>
      </c>
      <c r="K436" s="42">
        <f t="shared" si="427"/>
        <v>5000</v>
      </c>
      <c r="L436" s="8">
        <v>25000</v>
      </c>
      <c r="M436" s="9">
        <v>9</v>
      </c>
      <c r="N436" s="9">
        <v>16.100000000000001</v>
      </c>
      <c r="O436" s="9">
        <v>14</v>
      </c>
      <c r="P436" s="9">
        <v>19.5</v>
      </c>
      <c r="Q436" s="92">
        <v>2.7528806000000001</v>
      </c>
      <c r="R436">
        <v>10</v>
      </c>
      <c r="S436">
        <v>1000</v>
      </c>
      <c r="T436" s="4">
        <v>384.29812364944195</v>
      </c>
      <c r="U436">
        <f t="shared" si="398"/>
        <v>3.8429812364944196</v>
      </c>
      <c r="V436">
        <f t="shared" ref="V436:W436" si="452">V412</f>
        <v>2.6</v>
      </c>
      <c r="W436">
        <f t="shared" si="452"/>
        <v>3.2</v>
      </c>
      <c r="X436" s="9">
        <v>2.7528806000000001</v>
      </c>
    </row>
    <row r="437" spans="1:24" x14ac:dyDescent="0.2">
      <c r="A437" s="41">
        <f t="shared" si="400"/>
        <v>45857.083333332281</v>
      </c>
      <c r="B437" s="42">
        <f t="shared" si="424"/>
        <v>5000</v>
      </c>
      <c r="C437" s="8">
        <v>25000</v>
      </c>
      <c r="D437" s="8">
        <v>0</v>
      </c>
      <c r="E437" s="8">
        <v>700</v>
      </c>
      <c r="F437" s="8">
        <v>7500</v>
      </c>
      <c r="G437" s="42">
        <f t="shared" si="425"/>
        <v>2400</v>
      </c>
      <c r="H437" s="8">
        <v>25000</v>
      </c>
      <c r="I437" s="42">
        <f t="shared" si="426"/>
        <v>5000</v>
      </c>
      <c r="J437" s="8">
        <v>25000</v>
      </c>
      <c r="K437" s="42">
        <f t="shared" si="427"/>
        <v>5000</v>
      </c>
      <c r="L437" s="8">
        <v>25000</v>
      </c>
      <c r="M437" s="9">
        <v>9</v>
      </c>
      <c r="N437" s="9">
        <v>16.100000000000001</v>
      </c>
      <c r="O437" s="9">
        <v>14</v>
      </c>
      <c r="P437" s="9">
        <v>19.5</v>
      </c>
      <c r="Q437" s="92">
        <v>2.8183205</v>
      </c>
      <c r="R437">
        <v>10</v>
      </c>
      <c r="S437">
        <v>1000</v>
      </c>
      <c r="T437" s="4">
        <v>384.29812364944195</v>
      </c>
      <c r="U437">
        <f t="shared" si="398"/>
        <v>3.8429812364944196</v>
      </c>
      <c r="V437">
        <f t="shared" ref="V437:W437" si="453">V413</f>
        <v>2.8</v>
      </c>
      <c r="W437">
        <f t="shared" si="453"/>
        <v>3.2</v>
      </c>
      <c r="X437" s="9">
        <v>2.8183205</v>
      </c>
    </row>
    <row r="438" spans="1:24" x14ac:dyDescent="0.2">
      <c r="A438" s="41">
        <f t="shared" si="400"/>
        <v>45857.124999998945</v>
      </c>
      <c r="B438" s="42">
        <f t="shared" si="424"/>
        <v>5000</v>
      </c>
      <c r="C438" s="8">
        <v>25000</v>
      </c>
      <c r="D438" s="8">
        <v>0</v>
      </c>
      <c r="E438" s="8">
        <v>700</v>
      </c>
      <c r="F438" s="8">
        <v>7500</v>
      </c>
      <c r="G438" s="42">
        <f t="shared" si="425"/>
        <v>2400</v>
      </c>
      <c r="H438" s="8">
        <v>25000</v>
      </c>
      <c r="I438" s="42">
        <f t="shared" si="426"/>
        <v>5000</v>
      </c>
      <c r="J438" s="8">
        <v>25000</v>
      </c>
      <c r="K438" s="42">
        <f t="shared" si="427"/>
        <v>5000</v>
      </c>
      <c r="L438" s="8">
        <v>25000</v>
      </c>
      <c r="M438" s="9">
        <v>9</v>
      </c>
      <c r="N438" s="9">
        <v>16.100000000000001</v>
      </c>
      <c r="O438" s="9">
        <v>14</v>
      </c>
      <c r="P438" s="9">
        <v>19.5</v>
      </c>
      <c r="Q438" s="92">
        <v>2.8701300999999999</v>
      </c>
      <c r="R438">
        <v>10</v>
      </c>
      <c r="S438">
        <v>1000</v>
      </c>
      <c r="T438" s="4">
        <v>452.36919787447414</v>
      </c>
      <c r="U438">
        <f t="shared" si="398"/>
        <v>4.5236919787447416</v>
      </c>
      <c r="V438">
        <f t="shared" ref="V438:W438" si="454">V414</f>
        <v>2.7</v>
      </c>
      <c r="W438">
        <f t="shared" si="454"/>
        <v>3.2</v>
      </c>
      <c r="X438" s="9">
        <v>2.8701300999999999</v>
      </c>
    </row>
    <row r="439" spans="1:24" x14ac:dyDescent="0.2">
      <c r="A439" s="41">
        <f t="shared" si="400"/>
        <v>45857.166666665609</v>
      </c>
      <c r="B439" s="42">
        <f t="shared" si="424"/>
        <v>5000</v>
      </c>
      <c r="C439" s="8">
        <v>25000</v>
      </c>
      <c r="D439" s="8">
        <v>0</v>
      </c>
      <c r="E439" s="8">
        <v>700</v>
      </c>
      <c r="F439" s="8">
        <v>7500</v>
      </c>
      <c r="G439" s="42">
        <f t="shared" si="425"/>
        <v>2400</v>
      </c>
      <c r="H439" s="8">
        <v>25000</v>
      </c>
      <c r="I439" s="42">
        <f t="shared" si="426"/>
        <v>5000</v>
      </c>
      <c r="J439" s="8">
        <v>25000</v>
      </c>
      <c r="K439" s="42">
        <f t="shared" si="427"/>
        <v>5000</v>
      </c>
      <c r="L439" s="8">
        <v>25000</v>
      </c>
      <c r="M439" s="9">
        <v>9</v>
      </c>
      <c r="N439" s="9">
        <v>16.100000000000001</v>
      </c>
      <c r="O439" s="9">
        <v>14</v>
      </c>
      <c r="P439" s="9">
        <v>19.5</v>
      </c>
      <c r="Q439" s="92">
        <v>2.8984519999999998</v>
      </c>
      <c r="R439">
        <v>10</v>
      </c>
      <c r="S439">
        <v>1000</v>
      </c>
      <c r="T439" s="4">
        <v>452.36919787447414</v>
      </c>
      <c r="U439">
        <f t="shared" si="398"/>
        <v>4.5236919787447416</v>
      </c>
      <c r="V439">
        <f t="shared" ref="V439:W439" si="455">V415</f>
        <v>3</v>
      </c>
      <c r="W439">
        <f t="shared" si="455"/>
        <v>3.1</v>
      </c>
      <c r="X439" s="9">
        <v>2.8984519999999998</v>
      </c>
    </row>
    <row r="440" spans="1:24" x14ac:dyDescent="0.2">
      <c r="A440" s="41">
        <f t="shared" si="400"/>
        <v>45857.208333332273</v>
      </c>
      <c r="B440" s="42">
        <f t="shared" si="424"/>
        <v>5000</v>
      </c>
      <c r="C440" s="8">
        <v>25000</v>
      </c>
      <c r="D440" s="8">
        <v>0</v>
      </c>
      <c r="E440" s="8">
        <v>700</v>
      </c>
      <c r="F440" s="8">
        <v>7500</v>
      </c>
      <c r="G440" s="42">
        <f t="shared" si="425"/>
        <v>2400</v>
      </c>
      <c r="H440" s="8">
        <v>25000</v>
      </c>
      <c r="I440" s="42">
        <f t="shared" si="426"/>
        <v>5000</v>
      </c>
      <c r="J440" s="8">
        <v>25000</v>
      </c>
      <c r="K440" s="42">
        <f t="shared" si="427"/>
        <v>5000</v>
      </c>
      <c r="L440" s="8">
        <v>25000</v>
      </c>
      <c r="M440" s="9">
        <v>9</v>
      </c>
      <c r="N440" s="9">
        <v>16.100000000000001</v>
      </c>
      <c r="O440" s="9">
        <v>14</v>
      </c>
      <c r="P440" s="9">
        <v>19.5</v>
      </c>
      <c r="Q440" s="92">
        <v>2.9750345</v>
      </c>
      <c r="R440">
        <v>10</v>
      </c>
      <c r="S440">
        <v>1000</v>
      </c>
      <c r="T440" s="4">
        <v>452.36919787447414</v>
      </c>
      <c r="U440">
        <f t="shared" si="398"/>
        <v>4.5236919787447416</v>
      </c>
      <c r="V440">
        <f t="shared" ref="V440:W440" si="456">V416</f>
        <v>2.9</v>
      </c>
      <c r="W440">
        <f t="shared" si="456"/>
        <v>3.1</v>
      </c>
      <c r="X440" s="9">
        <v>2.9750345</v>
      </c>
    </row>
    <row r="441" spans="1:24" x14ac:dyDescent="0.2">
      <c r="A441" s="41">
        <f t="shared" si="400"/>
        <v>45857.249999998938</v>
      </c>
      <c r="B441" s="42">
        <f t="shared" si="424"/>
        <v>8000</v>
      </c>
      <c r="C441" s="8">
        <v>25000</v>
      </c>
      <c r="D441" s="8">
        <v>0</v>
      </c>
      <c r="E441" s="8">
        <v>700</v>
      </c>
      <c r="F441" s="8">
        <v>7500</v>
      </c>
      <c r="G441" s="42">
        <f t="shared" si="425"/>
        <v>2400</v>
      </c>
      <c r="H441" s="8">
        <v>25000</v>
      </c>
      <c r="I441" s="42">
        <f t="shared" si="426"/>
        <v>8000</v>
      </c>
      <c r="J441" s="8">
        <v>25000</v>
      </c>
      <c r="K441" s="42">
        <f t="shared" si="427"/>
        <v>8000</v>
      </c>
      <c r="L441" s="8">
        <v>25000</v>
      </c>
      <c r="M441" s="9">
        <v>9</v>
      </c>
      <c r="N441" s="9">
        <v>16.100000000000001</v>
      </c>
      <c r="O441" s="9">
        <v>14</v>
      </c>
      <c r="P441" s="9">
        <v>19.5</v>
      </c>
      <c r="Q441" s="92">
        <v>3.0984048999999998</v>
      </c>
      <c r="R441">
        <v>10</v>
      </c>
      <c r="S441">
        <v>1000</v>
      </c>
      <c r="T441" s="4">
        <v>344.06055532975626</v>
      </c>
      <c r="U441">
        <f t="shared" si="398"/>
        <v>3.4406055532975626</v>
      </c>
      <c r="V441">
        <f t="shared" ref="V441:W441" si="457">V417</f>
        <v>2.5</v>
      </c>
      <c r="W441">
        <f t="shared" si="457"/>
        <v>3.1</v>
      </c>
      <c r="X441" s="9">
        <v>3.0984048999999998</v>
      </c>
    </row>
    <row r="442" spans="1:24" x14ac:dyDescent="0.2">
      <c r="A442" s="41">
        <f t="shared" si="400"/>
        <v>45857.291666665602</v>
      </c>
      <c r="B442" s="42">
        <f t="shared" si="424"/>
        <v>8000</v>
      </c>
      <c r="C442" s="8">
        <v>25000</v>
      </c>
      <c r="D442" s="8">
        <v>0</v>
      </c>
      <c r="E442" s="8">
        <v>700</v>
      </c>
      <c r="F442" s="8">
        <v>7500</v>
      </c>
      <c r="G442" s="42">
        <f t="shared" si="425"/>
        <v>2400</v>
      </c>
      <c r="H442" s="8">
        <v>25000</v>
      </c>
      <c r="I442" s="42">
        <f t="shared" si="426"/>
        <v>8000</v>
      </c>
      <c r="J442" s="8">
        <v>25000</v>
      </c>
      <c r="K442" s="42">
        <f t="shared" si="427"/>
        <v>8000</v>
      </c>
      <c r="L442" s="8">
        <v>25000</v>
      </c>
      <c r="M442" s="9">
        <v>9</v>
      </c>
      <c r="N442" s="9">
        <v>16.100000000000001</v>
      </c>
      <c r="O442" s="9">
        <v>14</v>
      </c>
      <c r="P442" s="9">
        <v>19.5</v>
      </c>
      <c r="Q442" s="92">
        <v>3.2419690999999999</v>
      </c>
      <c r="R442">
        <v>10</v>
      </c>
      <c r="S442">
        <v>1000</v>
      </c>
      <c r="T442" s="4">
        <v>351.6240080214265</v>
      </c>
      <c r="U442">
        <f t="shared" si="398"/>
        <v>3.5162400802142653</v>
      </c>
      <c r="V442">
        <f t="shared" ref="V442:W442" si="458">V418</f>
        <v>2.5</v>
      </c>
      <c r="W442">
        <f t="shared" si="458"/>
        <v>3.1</v>
      </c>
      <c r="X442" s="9">
        <v>3.2419690999999999</v>
      </c>
    </row>
    <row r="443" spans="1:24" x14ac:dyDescent="0.2">
      <c r="A443" s="41">
        <f t="shared" si="400"/>
        <v>45857.333333332266</v>
      </c>
      <c r="B443" s="42">
        <f t="shared" si="424"/>
        <v>8000</v>
      </c>
      <c r="C443" s="8">
        <v>25000</v>
      </c>
      <c r="D443" s="8">
        <v>0</v>
      </c>
      <c r="E443" s="8">
        <v>700</v>
      </c>
      <c r="F443" s="8">
        <v>7500</v>
      </c>
      <c r="G443" s="42">
        <f t="shared" si="425"/>
        <v>2400</v>
      </c>
      <c r="H443" s="8">
        <v>25000</v>
      </c>
      <c r="I443" s="42">
        <f t="shared" si="426"/>
        <v>8000</v>
      </c>
      <c r="J443" s="8">
        <v>25000</v>
      </c>
      <c r="K443" s="42">
        <f t="shared" si="427"/>
        <v>8000</v>
      </c>
      <c r="L443" s="8">
        <v>25000</v>
      </c>
      <c r="M443" s="9">
        <v>9</v>
      </c>
      <c r="N443" s="9">
        <v>16.100000000000001</v>
      </c>
      <c r="O443" s="9">
        <v>14</v>
      </c>
      <c r="P443" s="9">
        <v>19.5</v>
      </c>
      <c r="Q443" s="92">
        <v>3.3028612000000002</v>
      </c>
      <c r="R443">
        <v>10</v>
      </c>
      <c r="S443">
        <v>1000</v>
      </c>
      <c r="T443" s="4">
        <v>366.750913404767</v>
      </c>
      <c r="U443">
        <f t="shared" si="398"/>
        <v>3.6675091340476702</v>
      </c>
      <c r="V443">
        <f t="shared" ref="V443:W443" si="459">V419</f>
        <v>3.2</v>
      </c>
      <c r="W443">
        <f t="shared" si="459"/>
        <v>3</v>
      </c>
      <c r="X443" s="9">
        <v>3.3028612000000002</v>
      </c>
    </row>
    <row r="444" spans="1:24" x14ac:dyDescent="0.2">
      <c r="A444" s="41">
        <f t="shared" si="400"/>
        <v>45857.37499999893</v>
      </c>
      <c r="B444" s="42">
        <f t="shared" si="424"/>
        <v>8000</v>
      </c>
      <c r="C444" s="8">
        <v>25000</v>
      </c>
      <c r="D444" s="8">
        <v>0</v>
      </c>
      <c r="E444" s="8">
        <v>700</v>
      </c>
      <c r="F444" s="8">
        <v>7500</v>
      </c>
      <c r="G444" s="42">
        <f t="shared" si="425"/>
        <v>2400</v>
      </c>
      <c r="H444" s="8">
        <v>25000</v>
      </c>
      <c r="I444" s="42">
        <f t="shared" si="426"/>
        <v>8000</v>
      </c>
      <c r="J444" s="8">
        <v>25000</v>
      </c>
      <c r="K444" s="42">
        <f t="shared" si="427"/>
        <v>8000</v>
      </c>
      <c r="L444" s="8">
        <v>25000</v>
      </c>
      <c r="M444" s="9">
        <v>9</v>
      </c>
      <c r="N444" s="9">
        <v>16.100000000000001</v>
      </c>
      <c r="O444" s="9">
        <v>14</v>
      </c>
      <c r="P444" s="9">
        <v>19.5</v>
      </c>
      <c r="Q444" s="92">
        <v>3.3453672000000001</v>
      </c>
      <c r="R444">
        <v>10</v>
      </c>
      <c r="S444">
        <v>1000</v>
      </c>
      <c r="T444" s="4">
        <v>345.57324586809034</v>
      </c>
      <c r="U444">
        <f t="shared" si="398"/>
        <v>3.4557324586809033</v>
      </c>
      <c r="V444">
        <f t="shared" ref="V444:W444" si="460">V420</f>
        <v>2.9</v>
      </c>
      <c r="W444">
        <f t="shared" si="460"/>
        <v>3</v>
      </c>
      <c r="X444" s="9">
        <v>3.3453672000000001</v>
      </c>
    </row>
    <row r="445" spans="1:24" x14ac:dyDescent="0.2">
      <c r="A445" s="41">
        <f t="shared" si="400"/>
        <v>45857.416666665595</v>
      </c>
      <c r="B445" s="42">
        <f t="shared" si="424"/>
        <v>8000</v>
      </c>
      <c r="C445" s="8">
        <v>25000</v>
      </c>
      <c r="D445" s="8">
        <v>0</v>
      </c>
      <c r="E445" s="8">
        <v>700</v>
      </c>
      <c r="F445" s="8">
        <v>7500</v>
      </c>
      <c r="G445" s="42">
        <f t="shared" si="425"/>
        <v>2400</v>
      </c>
      <c r="H445" s="8">
        <v>25000</v>
      </c>
      <c r="I445" s="42">
        <f t="shared" si="426"/>
        <v>8000</v>
      </c>
      <c r="J445" s="8">
        <v>25000</v>
      </c>
      <c r="K445" s="42">
        <f t="shared" si="427"/>
        <v>8000</v>
      </c>
      <c r="L445" s="8">
        <v>25000</v>
      </c>
      <c r="M445" s="9">
        <v>9</v>
      </c>
      <c r="N445" s="9">
        <v>16.100000000000001</v>
      </c>
      <c r="O445" s="9">
        <v>14</v>
      </c>
      <c r="P445" s="9">
        <v>19.5</v>
      </c>
      <c r="Q445" s="92">
        <v>3.4101639000000001</v>
      </c>
      <c r="R445">
        <v>10</v>
      </c>
      <c r="S445">
        <v>1000</v>
      </c>
      <c r="T445" s="4">
        <v>326.81588319274812</v>
      </c>
      <c r="U445">
        <f t="shared" si="398"/>
        <v>3.2681588319274812</v>
      </c>
      <c r="V445">
        <f t="shared" ref="V445:W445" si="461">V421</f>
        <v>2.9</v>
      </c>
      <c r="W445">
        <f t="shared" si="461"/>
        <v>3</v>
      </c>
      <c r="X445" s="9">
        <v>3.4101639000000001</v>
      </c>
    </row>
    <row r="446" spans="1:24" x14ac:dyDescent="0.2">
      <c r="A446" s="41">
        <f t="shared" si="400"/>
        <v>45857.458333332259</v>
      </c>
      <c r="B446" s="42">
        <f t="shared" si="424"/>
        <v>8000</v>
      </c>
      <c r="C446" s="8">
        <v>25000</v>
      </c>
      <c r="D446" s="8">
        <v>0</v>
      </c>
      <c r="E446" s="8">
        <v>700</v>
      </c>
      <c r="F446" s="8">
        <v>7500</v>
      </c>
      <c r="G446" s="42">
        <f t="shared" si="425"/>
        <v>2400</v>
      </c>
      <c r="H446" s="8">
        <v>25000</v>
      </c>
      <c r="I446" s="42">
        <f t="shared" si="426"/>
        <v>8000</v>
      </c>
      <c r="J446" s="8">
        <v>25000</v>
      </c>
      <c r="K446" s="42">
        <f t="shared" si="427"/>
        <v>8000</v>
      </c>
      <c r="L446" s="8">
        <v>25000</v>
      </c>
      <c r="M446" s="9">
        <v>9</v>
      </c>
      <c r="N446" s="9">
        <v>16.100000000000001</v>
      </c>
      <c r="O446" s="9">
        <v>14</v>
      </c>
      <c r="P446" s="9">
        <v>19.5</v>
      </c>
      <c r="Q446" s="92">
        <v>3.3558118000000001</v>
      </c>
      <c r="R446">
        <v>10</v>
      </c>
      <c r="S446">
        <v>1000</v>
      </c>
      <c r="T446" s="4">
        <v>322.27781157774598</v>
      </c>
      <c r="U446">
        <f t="shared" si="398"/>
        <v>3.22277811577746</v>
      </c>
      <c r="V446">
        <f t="shared" ref="V446:W446" si="462">V422</f>
        <v>3.4</v>
      </c>
      <c r="W446">
        <f t="shared" si="462"/>
        <v>3</v>
      </c>
      <c r="X446" s="9">
        <v>3.3558118000000001</v>
      </c>
    </row>
    <row r="447" spans="1:24" x14ac:dyDescent="0.2">
      <c r="A447" s="41">
        <f t="shared" si="400"/>
        <v>45857.499999998923</v>
      </c>
      <c r="B447" s="42">
        <f t="shared" si="424"/>
        <v>8000</v>
      </c>
      <c r="C447" s="8">
        <v>25000</v>
      </c>
      <c r="D447" s="8">
        <v>0</v>
      </c>
      <c r="E447" s="8">
        <v>700</v>
      </c>
      <c r="F447" s="8">
        <v>7500</v>
      </c>
      <c r="G447" s="42">
        <f t="shared" si="425"/>
        <v>2400</v>
      </c>
      <c r="H447" s="8">
        <v>25000</v>
      </c>
      <c r="I447" s="42">
        <f t="shared" si="426"/>
        <v>8000</v>
      </c>
      <c r="J447" s="8">
        <v>25000</v>
      </c>
      <c r="K447" s="42">
        <f t="shared" si="427"/>
        <v>8000</v>
      </c>
      <c r="L447" s="8">
        <v>25000</v>
      </c>
      <c r="M447" s="9">
        <v>9</v>
      </c>
      <c r="N447" s="9">
        <v>16.100000000000001</v>
      </c>
      <c r="O447" s="9">
        <v>14</v>
      </c>
      <c r="P447" s="9">
        <v>19.5</v>
      </c>
      <c r="Q447" s="92">
        <v>3.2249721999999998</v>
      </c>
      <c r="R447">
        <v>10</v>
      </c>
      <c r="S447">
        <v>1000</v>
      </c>
      <c r="T447" s="4">
        <v>322.27781157774598</v>
      </c>
      <c r="U447">
        <f t="shared" si="398"/>
        <v>3.22277811577746</v>
      </c>
      <c r="V447">
        <f t="shared" ref="V447:W447" si="463">V423</f>
        <v>3.1</v>
      </c>
      <c r="W447">
        <f t="shared" si="463"/>
        <v>2.9</v>
      </c>
      <c r="X447" s="9">
        <v>3.2249721999999998</v>
      </c>
    </row>
    <row r="448" spans="1:24" x14ac:dyDescent="0.2">
      <c r="A448" s="41">
        <f t="shared" si="400"/>
        <v>45857.541666665587</v>
      </c>
      <c r="B448" s="42">
        <f t="shared" si="424"/>
        <v>8000</v>
      </c>
      <c r="C448" s="8">
        <v>25000</v>
      </c>
      <c r="D448" s="8">
        <v>0</v>
      </c>
      <c r="E448" s="8">
        <v>700</v>
      </c>
      <c r="F448" s="8">
        <v>7500</v>
      </c>
      <c r="G448" s="42">
        <f t="shared" si="425"/>
        <v>2400</v>
      </c>
      <c r="H448" s="8">
        <v>25000</v>
      </c>
      <c r="I448" s="42">
        <f t="shared" si="426"/>
        <v>8000</v>
      </c>
      <c r="J448" s="8">
        <v>25000</v>
      </c>
      <c r="K448" s="42">
        <f t="shared" si="427"/>
        <v>8000</v>
      </c>
      <c r="L448" s="8">
        <v>25000</v>
      </c>
      <c r="M448" s="9">
        <v>9</v>
      </c>
      <c r="N448" s="9">
        <v>16.100000000000001</v>
      </c>
      <c r="O448" s="9">
        <v>14</v>
      </c>
      <c r="P448" s="9">
        <v>19.5</v>
      </c>
      <c r="Q448" s="92">
        <v>3.0427005</v>
      </c>
      <c r="R448">
        <v>10</v>
      </c>
      <c r="S448">
        <v>1000</v>
      </c>
      <c r="T448" s="4">
        <v>371.89466631131808</v>
      </c>
      <c r="U448">
        <f t="shared" si="398"/>
        <v>3.7189466631131807</v>
      </c>
      <c r="V448">
        <f t="shared" ref="V448:W448" si="464">V424</f>
        <v>3.2</v>
      </c>
      <c r="W448">
        <f t="shared" si="464"/>
        <v>2.9</v>
      </c>
      <c r="X448" s="9">
        <v>3.0427005</v>
      </c>
    </row>
    <row r="449" spans="1:24" x14ac:dyDescent="0.2">
      <c r="A449" s="41">
        <f t="shared" si="400"/>
        <v>45857.583333332252</v>
      </c>
      <c r="B449" s="42">
        <f t="shared" si="424"/>
        <v>8000</v>
      </c>
      <c r="C449" s="8">
        <v>25000</v>
      </c>
      <c r="D449" s="8">
        <v>0</v>
      </c>
      <c r="E449" s="8">
        <v>700</v>
      </c>
      <c r="F449" s="8">
        <v>7500</v>
      </c>
      <c r="G449" s="42">
        <f t="shared" si="425"/>
        <v>2400</v>
      </c>
      <c r="H449" s="8">
        <v>25000</v>
      </c>
      <c r="I449" s="42">
        <f t="shared" si="426"/>
        <v>8000</v>
      </c>
      <c r="J449" s="8">
        <v>25000</v>
      </c>
      <c r="K449" s="42">
        <f t="shared" si="427"/>
        <v>8000</v>
      </c>
      <c r="L449" s="8">
        <v>25000</v>
      </c>
      <c r="M449" s="9">
        <v>9</v>
      </c>
      <c r="N449" s="9">
        <v>16.100000000000001</v>
      </c>
      <c r="O449" s="9">
        <v>14</v>
      </c>
      <c r="P449" s="9">
        <v>19.5</v>
      </c>
      <c r="Q449" s="92">
        <v>2.944293</v>
      </c>
      <c r="R449">
        <v>10</v>
      </c>
      <c r="S449">
        <v>1000</v>
      </c>
      <c r="T449" s="4">
        <v>626.02546659900759</v>
      </c>
      <c r="U449">
        <f t="shared" si="398"/>
        <v>6.2602546659900762</v>
      </c>
      <c r="V449">
        <f t="shared" ref="V449:W449" si="465">V425</f>
        <v>3.5</v>
      </c>
      <c r="W449">
        <f t="shared" si="465"/>
        <v>2.9</v>
      </c>
      <c r="X449" s="9">
        <v>2.944293</v>
      </c>
    </row>
    <row r="450" spans="1:24" x14ac:dyDescent="0.2">
      <c r="A450" s="41">
        <f t="shared" si="400"/>
        <v>45857.624999998916</v>
      </c>
      <c r="B450" s="42">
        <f t="shared" si="424"/>
        <v>8000</v>
      </c>
      <c r="C450" s="8">
        <v>25000</v>
      </c>
      <c r="D450" s="8">
        <v>0</v>
      </c>
      <c r="E450" s="8">
        <v>700</v>
      </c>
      <c r="F450" s="8">
        <v>7500</v>
      </c>
      <c r="G450" s="42">
        <f t="shared" si="425"/>
        <v>2400</v>
      </c>
      <c r="H450" s="8">
        <v>25000</v>
      </c>
      <c r="I450" s="42">
        <f t="shared" si="426"/>
        <v>8000</v>
      </c>
      <c r="J450" s="8">
        <v>25000</v>
      </c>
      <c r="K450" s="42">
        <f t="shared" si="427"/>
        <v>8000</v>
      </c>
      <c r="L450" s="8">
        <v>25000</v>
      </c>
      <c r="M450" s="9">
        <v>9</v>
      </c>
      <c r="N450" s="9">
        <v>16.100000000000001</v>
      </c>
      <c r="O450" s="9">
        <v>14</v>
      </c>
      <c r="P450" s="9">
        <v>19.5</v>
      </c>
      <c r="Q450" s="92">
        <v>3.0806775000000002</v>
      </c>
      <c r="R450">
        <v>10</v>
      </c>
      <c r="S450">
        <v>1000</v>
      </c>
      <c r="T450" s="4">
        <v>645.69044359735017</v>
      </c>
      <c r="U450">
        <f t="shared" si="398"/>
        <v>6.4569044359735015</v>
      </c>
      <c r="V450">
        <f t="shared" ref="V450:W450" si="466">V426</f>
        <v>3.2</v>
      </c>
      <c r="W450">
        <f t="shared" si="466"/>
        <v>2.9</v>
      </c>
      <c r="X450" s="9">
        <v>3.0806775000000002</v>
      </c>
    </row>
    <row r="451" spans="1:24" x14ac:dyDescent="0.2">
      <c r="A451" s="41">
        <f t="shared" si="400"/>
        <v>45857.66666666558</v>
      </c>
      <c r="B451" s="42">
        <f t="shared" si="424"/>
        <v>8000</v>
      </c>
      <c r="C451" s="8">
        <v>25000</v>
      </c>
      <c r="D451" s="8">
        <v>0</v>
      </c>
      <c r="E451" s="8">
        <v>700</v>
      </c>
      <c r="F451" s="8">
        <v>7500</v>
      </c>
      <c r="G451" s="42">
        <f t="shared" si="425"/>
        <v>2400</v>
      </c>
      <c r="H451" s="8">
        <v>25000</v>
      </c>
      <c r="I451" s="42">
        <f t="shared" si="426"/>
        <v>8000</v>
      </c>
      <c r="J451" s="8">
        <v>25000</v>
      </c>
      <c r="K451" s="42">
        <f t="shared" si="427"/>
        <v>8000</v>
      </c>
      <c r="L451" s="8">
        <v>25000</v>
      </c>
      <c r="M451" s="9">
        <v>9</v>
      </c>
      <c r="N451" s="9">
        <v>16.100000000000001</v>
      </c>
      <c r="O451" s="9">
        <v>14</v>
      </c>
      <c r="P451" s="9">
        <v>19.5</v>
      </c>
      <c r="Q451" s="92">
        <v>3.3692913</v>
      </c>
      <c r="R451">
        <v>10</v>
      </c>
      <c r="S451">
        <v>1000</v>
      </c>
      <c r="T451" s="4">
        <v>929.16865048115073</v>
      </c>
      <c r="U451">
        <f t="shared" si="398"/>
        <v>9.2916865048115067</v>
      </c>
      <c r="V451">
        <f t="shared" ref="V451:W451" si="467">V427</f>
        <v>3.5</v>
      </c>
      <c r="W451">
        <f t="shared" si="467"/>
        <v>3</v>
      </c>
      <c r="X451" s="9">
        <v>3.3692913</v>
      </c>
    </row>
    <row r="452" spans="1:24" x14ac:dyDescent="0.2">
      <c r="A452" s="41">
        <f t="shared" si="400"/>
        <v>45857.708333332244</v>
      </c>
      <c r="B452" s="42">
        <f t="shared" si="424"/>
        <v>8000</v>
      </c>
      <c r="C452" s="8">
        <v>25000</v>
      </c>
      <c r="D452" s="8">
        <v>0</v>
      </c>
      <c r="E452" s="8">
        <v>700</v>
      </c>
      <c r="F452" s="8">
        <v>7500</v>
      </c>
      <c r="G452" s="42">
        <f t="shared" si="425"/>
        <v>2400</v>
      </c>
      <c r="H452" s="8">
        <v>25000</v>
      </c>
      <c r="I452" s="42">
        <f t="shared" si="426"/>
        <v>8000</v>
      </c>
      <c r="J452" s="8">
        <v>25000</v>
      </c>
      <c r="K452" s="42">
        <f t="shared" si="427"/>
        <v>8000</v>
      </c>
      <c r="L452" s="8">
        <v>25000</v>
      </c>
      <c r="M452" s="9">
        <v>9</v>
      </c>
      <c r="N452" s="9">
        <v>16.100000000000001</v>
      </c>
      <c r="O452" s="9">
        <v>14</v>
      </c>
      <c r="P452" s="9">
        <v>19.5</v>
      </c>
      <c r="Q452" s="92">
        <v>3.2623432000000001</v>
      </c>
      <c r="R452">
        <v>10</v>
      </c>
      <c r="S452">
        <v>1000</v>
      </c>
      <c r="T452" s="4">
        <v>1109.1788245429025</v>
      </c>
      <c r="U452">
        <f t="shared" ref="U452:U515" si="468">T452/100</f>
        <v>11.091788245429024</v>
      </c>
      <c r="V452">
        <f t="shared" ref="V452:W452" si="469">V428</f>
        <v>3.6</v>
      </c>
      <c r="W452">
        <f t="shared" si="469"/>
        <v>3</v>
      </c>
      <c r="X452" s="9">
        <v>3.2623432000000001</v>
      </c>
    </row>
    <row r="453" spans="1:24" x14ac:dyDescent="0.2">
      <c r="A453" s="41">
        <f t="shared" ref="A453:A516" si="470">A452+TIME(1,0,0)</f>
        <v>45857.749999998909</v>
      </c>
      <c r="B453" s="42">
        <f t="shared" si="424"/>
        <v>5000</v>
      </c>
      <c r="C453" s="8">
        <v>25000</v>
      </c>
      <c r="D453" s="8">
        <v>0</v>
      </c>
      <c r="E453" s="8">
        <v>700</v>
      </c>
      <c r="F453" s="8">
        <v>7500</v>
      </c>
      <c r="G453" s="42">
        <f t="shared" si="425"/>
        <v>2400</v>
      </c>
      <c r="H453" s="8">
        <v>25000</v>
      </c>
      <c r="I453" s="42">
        <f t="shared" si="426"/>
        <v>5000</v>
      </c>
      <c r="J453" s="8">
        <v>25000</v>
      </c>
      <c r="K453" s="42">
        <f t="shared" si="427"/>
        <v>5000</v>
      </c>
      <c r="L453" s="8">
        <v>25000</v>
      </c>
      <c r="M453" s="9">
        <v>9</v>
      </c>
      <c r="N453" s="9">
        <v>16.100000000000001</v>
      </c>
      <c r="O453" s="9">
        <v>14</v>
      </c>
      <c r="P453" s="9">
        <v>19.5</v>
      </c>
      <c r="Q453" s="92">
        <v>3.2066696000000001</v>
      </c>
      <c r="R453">
        <v>10</v>
      </c>
      <c r="S453">
        <v>1000</v>
      </c>
      <c r="T453" s="4">
        <v>1192.3768041512753</v>
      </c>
      <c r="U453">
        <f t="shared" si="468"/>
        <v>11.923768041512753</v>
      </c>
      <c r="V453">
        <f t="shared" ref="V453:W453" si="471">V429</f>
        <v>2.9</v>
      </c>
      <c r="W453">
        <f t="shared" si="471"/>
        <v>3</v>
      </c>
      <c r="X453" s="9">
        <v>3.2066696000000001</v>
      </c>
    </row>
    <row r="454" spans="1:24" x14ac:dyDescent="0.2">
      <c r="A454" s="41">
        <f t="shared" si="470"/>
        <v>45857.791666665573</v>
      </c>
      <c r="B454" s="42">
        <f t="shared" si="424"/>
        <v>5000</v>
      </c>
      <c r="C454" s="8">
        <v>25000</v>
      </c>
      <c r="D454" s="8">
        <v>0</v>
      </c>
      <c r="E454" s="8">
        <v>700</v>
      </c>
      <c r="F454" s="8">
        <v>7500</v>
      </c>
      <c r="G454" s="42">
        <f t="shared" si="425"/>
        <v>2400</v>
      </c>
      <c r="H454" s="8">
        <v>25000</v>
      </c>
      <c r="I454" s="42">
        <f t="shared" si="426"/>
        <v>5000</v>
      </c>
      <c r="J454" s="8">
        <v>25000</v>
      </c>
      <c r="K454" s="42">
        <f t="shared" si="427"/>
        <v>5000</v>
      </c>
      <c r="L454" s="8">
        <v>25000</v>
      </c>
      <c r="M454" s="9">
        <v>9</v>
      </c>
      <c r="N454" s="9">
        <v>16.100000000000001</v>
      </c>
      <c r="O454" s="9">
        <v>14</v>
      </c>
      <c r="P454" s="9">
        <v>19.5</v>
      </c>
      <c r="Q454" s="92">
        <v>3.2320395</v>
      </c>
      <c r="R454">
        <v>10</v>
      </c>
      <c r="S454">
        <v>1000</v>
      </c>
      <c r="T454" s="4">
        <v>1227.1686865329582</v>
      </c>
      <c r="U454">
        <f t="shared" si="468"/>
        <v>12.271686865329581</v>
      </c>
      <c r="V454">
        <f t="shared" ref="V454:W454" si="472">V430</f>
        <v>3</v>
      </c>
      <c r="W454">
        <f t="shared" si="472"/>
        <v>3</v>
      </c>
      <c r="X454" s="9">
        <v>3.2320395</v>
      </c>
    </row>
    <row r="455" spans="1:24" x14ac:dyDescent="0.2">
      <c r="A455" s="41">
        <f t="shared" si="470"/>
        <v>45857.833333332237</v>
      </c>
      <c r="B455" s="42">
        <f t="shared" si="424"/>
        <v>5000</v>
      </c>
      <c r="C455" s="8">
        <v>25000</v>
      </c>
      <c r="D455" s="8">
        <v>0</v>
      </c>
      <c r="E455" s="8">
        <v>700</v>
      </c>
      <c r="F455" s="8">
        <v>7500</v>
      </c>
      <c r="G455" s="42">
        <f t="shared" si="425"/>
        <v>2400</v>
      </c>
      <c r="H455" s="8">
        <v>25000</v>
      </c>
      <c r="I455" s="42">
        <f t="shared" si="426"/>
        <v>5000</v>
      </c>
      <c r="J455" s="8">
        <v>25000</v>
      </c>
      <c r="K455" s="42">
        <f t="shared" si="427"/>
        <v>5000</v>
      </c>
      <c r="L455" s="8">
        <v>25000</v>
      </c>
      <c r="M455" s="9">
        <v>9</v>
      </c>
      <c r="N455" s="9">
        <v>16.100000000000001</v>
      </c>
      <c r="O455" s="9">
        <v>14</v>
      </c>
      <c r="P455" s="9">
        <v>19.5</v>
      </c>
      <c r="Q455" s="92">
        <v>3.2442055000000001</v>
      </c>
      <c r="R455">
        <v>10</v>
      </c>
      <c r="S455">
        <v>1000</v>
      </c>
      <c r="T455" s="4">
        <v>1180.2752798446029</v>
      </c>
      <c r="U455">
        <f t="shared" si="468"/>
        <v>11.802752798446029</v>
      </c>
      <c r="V455">
        <f t="shared" ref="V455:W455" si="473">V431</f>
        <v>2.8</v>
      </c>
      <c r="W455">
        <f t="shared" si="473"/>
        <v>3.1</v>
      </c>
      <c r="X455" s="9">
        <v>3.2442055000000001</v>
      </c>
    </row>
    <row r="456" spans="1:24" x14ac:dyDescent="0.2">
      <c r="A456" s="41">
        <f t="shared" si="470"/>
        <v>45857.874999998901</v>
      </c>
      <c r="B456" s="42">
        <f t="shared" si="424"/>
        <v>5000</v>
      </c>
      <c r="C456" s="8">
        <v>25000</v>
      </c>
      <c r="D456" s="8">
        <v>0</v>
      </c>
      <c r="E456" s="8">
        <v>700</v>
      </c>
      <c r="F456" s="8">
        <v>7500</v>
      </c>
      <c r="G456" s="42">
        <f t="shared" si="425"/>
        <v>2400</v>
      </c>
      <c r="H456" s="8">
        <v>25000</v>
      </c>
      <c r="I456" s="42">
        <f t="shared" si="426"/>
        <v>5000</v>
      </c>
      <c r="J456" s="8">
        <v>25000</v>
      </c>
      <c r="K456" s="42">
        <f t="shared" si="427"/>
        <v>5000</v>
      </c>
      <c r="L456" s="8">
        <v>25000</v>
      </c>
      <c r="M456" s="9">
        <v>9</v>
      </c>
      <c r="N456" s="9">
        <v>16.100000000000001</v>
      </c>
      <c r="O456" s="9">
        <v>14</v>
      </c>
      <c r="P456" s="9">
        <v>19.5</v>
      </c>
      <c r="Q456" s="92">
        <v>3.2236273</v>
      </c>
      <c r="R456">
        <v>10</v>
      </c>
      <c r="S456">
        <v>1000</v>
      </c>
      <c r="T456" s="4">
        <v>1098.5899907745643</v>
      </c>
      <c r="U456">
        <f t="shared" si="468"/>
        <v>10.985899907745642</v>
      </c>
      <c r="V456">
        <f t="shared" ref="V456:W456" si="474">V432</f>
        <v>3.5</v>
      </c>
      <c r="W456">
        <f t="shared" si="474"/>
        <v>3.1</v>
      </c>
      <c r="X456" s="9">
        <v>3.2236273</v>
      </c>
    </row>
    <row r="457" spans="1:24" x14ac:dyDescent="0.2">
      <c r="A457" s="41">
        <f t="shared" si="470"/>
        <v>45857.916666665566</v>
      </c>
      <c r="B457" s="42">
        <f t="shared" si="424"/>
        <v>5000</v>
      </c>
      <c r="C457" s="8">
        <v>25000</v>
      </c>
      <c r="D457" s="8">
        <v>0</v>
      </c>
      <c r="E457" s="8">
        <v>700</v>
      </c>
      <c r="F457" s="8">
        <v>7500</v>
      </c>
      <c r="G457" s="42">
        <f t="shared" si="425"/>
        <v>2400</v>
      </c>
      <c r="H457" s="8">
        <v>25000</v>
      </c>
      <c r="I457" s="42">
        <f t="shared" si="426"/>
        <v>5000</v>
      </c>
      <c r="J457" s="8">
        <v>25000</v>
      </c>
      <c r="K457" s="42">
        <f t="shared" si="427"/>
        <v>5000</v>
      </c>
      <c r="L457" s="8">
        <v>25000</v>
      </c>
      <c r="M457" s="9">
        <v>9</v>
      </c>
      <c r="N457" s="9">
        <v>16.100000000000001</v>
      </c>
      <c r="O457" s="9">
        <v>14</v>
      </c>
      <c r="P457" s="9">
        <v>19.5</v>
      </c>
      <c r="Q457" s="92">
        <v>3.1790802</v>
      </c>
      <c r="R457">
        <v>10</v>
      </c>
      <c r="S457">
        <v>1000</v>
      </c>
      <c r="T457" s="4">
        <v>889.83869648446557</v>
      </c>
      <c r="U457">
        <f t="shared" si="468"/>
        <v>8.8983869648446561</v>
      </c>
      <c r="V457">
        <f t="shared" ref="V457:W457" si="475">V433</f>
        <v>2.9</v>
      </c>
      <c r="W457">
        <f t="shared" si="475"/>
        <v>3.1</v>
      </c>
      <c r="X457" s="9">
        <v>3.1790802</v>
      </c>
    </row>
    <row r="458" spans="1:24" x14ac:dyDescent="0.2">
      <c r="A458" s="41">
        <f t="shared" si="470"/>
        <v>45857.95833333223</v>
      </c>
      <c r="B458" s="42">
        <f t="shared" si="424"/>
        <v>5000</v>
      </c>
      <c r="C458" s="8">
        <v>25000</v>
      </c>
      <c r="D458" s="8">
        <v>0</v>
      </c>
      <c r="E458" s="8">
        <v>700</v>
      </c>
      <c r="F458" s="8">
        <v>15000</v>
      </c>
      <c r="G458" s="42">
        <f t="shared" si="425"/>
        <v>2400</v>
      </c>
      <c r="H458" s="8">
        <v>25000</v>
      </c>
      <c r="I458" s="42">
        <f t="shared" si="426"/>
        <v>5000</v>
      </c>
      <c r="J458" s="8">
        <v>25000</v>
      </c>
      <c r="K458" s="42">
        <f t="shared" si="427"/>
        <v>5000</v>
      </c>
      <c r="L458" s="8">
        <v>25000</v>
      </c>
      <c r="M458" s="9">
        <v>9</v>
      </c>
      <c r="N458" s="9">
        <v>16.100000000000001</v>
      </c>
      <c r="O458" s="9">
        <v>14</v>
      </c>
      <c r="P458" s="9">
        <v>19.5</v>
      </c>
      <c r="Q458" s="92">
        <v>3.1051481000000001</v>
      </c>
      <c r="R458">
        <v>10</v>
      </c>
      <c r="S458">
        <v>1000</v>
      </c>
      <c r="T458" s="4">
        <v>620.88292384488705</v>
      </c>
      <c r="U458">
        <f t="shared" si="468"/>
        <v>6.2088292384488701</v>
      </c>
      <c r="V458">
        <f t="shared" ref="V458:W458" si="476">V434</f>
        <v>3.6</v>
      </c>
      <c r="W458">
        <f t="shared" si="476"/>
        <v>3.1</v>
      </c>
      <c r="X458" s="9">
        <v>3.1051481000000001</v>
      </c>
    </row>
    <row r="459" spans="1:24" x14ac:dyDescent="0.2">
      <c r="A459" s="41">
        <f t="shared" si="470"/>
        <v>45857.999999998894</v>
      </c>
      <c r="B459" s="42">
        <f t="shared" si="424"/>
        <v>5000</v>
      </c>
      <c r="C459" s="8">
        <v>25000</v>
      </c>
      <c r="D459" s="8">
        <v>0</v>
      </c>
      <c r="E459" s="8">
        <v>700</v>
      </c>
      <c r="F459" s="8">
        <v>15000</v>
      </c>
      <c r="G459" s="42">
        <f t="shared" si="425"/>
        <v>2400</v>
      </c>
      <c r="H459" s="8">
        <v>25000</v>
      </c>
      <c r="I459" s="42">
        <f t="shared" si="426"/>
        <v>5000</v>
      </c>
      <c r="J459" s="8">
        <v>25000</v>
      </c>
      <c r="K459" s="42">
        <f t="shared" si="427"/>
        <v>5000</v>
      </c>
      <c r="L459" s="8">
        <v>25000</v>
      </c>
      <c r="M459" s="9">
        <v>9</v>
      </c>
      <c r="N459" s="9">
        <v>16.100000000000001</v>
      </c>
      <c r="O459" s="9">
        <v>14</v>
      </c>
      <c r="P459" s="9">
        <v>19.5</v>
      </c>
      <c r="Q459" s="92">
        <v>3.0375257000000002</v>
      </c>
      <c r="R459">
        <v>10</v>
      </c>
      <c r="S459">
        <v>1000</v>
      </c>
      <c r="T459" s="4">
        <v>442.69657292841788</v>
      </c>
      <c r="U459">
        <f t="shared" si="468"/>
        <v>4.4269657292841789</v>
      </c>
      <c r="V459">
        <f t="shared" ref="V459:W459" si="477">V435</f>
        <v>3</v>
      </c>
      <c r="W459">
        <f t="shared" si="477"/>
        <v>3.2</v>
      </c>
      <c r="X459" s="9">
        <v>3.0375257000000002</v>
      </c>
    </row>
    <row r="460" spans="1:24" x14ac:dyDescent="0.2">
      <c r="A460" s="41">
        <f t="shared" si="470"/>
        <v>45858.041666665558</v>
      </c>
      <c r="B460" s="42">
        <f t="shared" si="424"/>
        <v>5000</v>
      </c>
      <c r="C460" s="8">
        <v>25000</v>
      </c>
      <c r="D460" s="8">
        <v>0</v>
      </c>
      <c r="E460" s="8">
        <v>700</v>
      </c>
      <c r="F460" s="8">
        <v>15000</v>
      </c>
      <c r="G460" s="42">
        <f t="shared" si="425"/>
        <v>2400</v>
      </c>
      <c r="H460" s="8">
        <v>25000</v>
      </c>
      <c r="I460" s="42">
        <f t="shared" si="426"/>
        <v>5000</v>
      </c>
      <c r="J460" s="8">
        <v>25000</v>
      </c>
      <c r="K460" s="42">
        <f t="shared" si="427"/>
        <v>5000</v>
      </c>
      <c r="L460" s="8">
        <v>25000</v>
      </c>
      <c r="M460" s="9">
        <v>9</v>
      </c>
      <c r="N460" s="9">
        <v>16.100000000000001</v>
      </c>
      <c r="O460" s="9">
        <v>14</v>
      </c>
      <c r="P460" s="9">
        <v>19.5</v>
      </c>
      <c r="Q460" s="92">
        <v>3.0554587999999998</v>
      </c>
      <c r="R460">
        <v>10</v>
      </c>
      <c r="S460">
        <v>1000</v>
      </c>
      <c r="T460" s="4">
        <v>362.27094893570683</v>
      </c>
      <c r="U460">
        <f t="shared" si="468"/>
        <v>3.6227094893570682</v>
      </c>
      <c r="V460">
        <f t="shared" ref="V460:W460" si="478">V436</f>
        <v>2.6</v>
      </c>
      <c r="W460">
        <f t="shared" si="478"/>
        <v>3.2</v>
      </c>
      <c r="X460" s="9">
        <v>3.0554587999999998</v>
      </c>
    </row>
    <row r="461" spans="1:24" x14ac:dyDescent="0.2">
      <c r="A461" s="41">
        <f t="shared" si="470"/>
        <v>45858.083333332223</v>
      </c>
      <c r="B461" s="42">
        <f t="shared" si="424"/>
        <v>5000</v>
      </c>
      <c r="C461" s="8">
        <v>25000</v>
      </c>
      <c r="D461" s="8">
        <v>0</v>
      </c>
      <c r="E461" s="8">
        <v>700</v>
      </c>
      <c r="F461" s="8">
        <v>15000</v>
      </c>
      <c r="G461" s="42">
        <f t="shared" si="425"/>
        <v>2400</v>
      </c>
      <c r="H461" s="8">
        <v>25000</v>
      </c>
      <c r="I461" s="42">
        <f t="shared" si="426"/>
        <v>5000</v>
      </c>
      <c r="J461" s="8">
        <v>25000</v>
      </c>
      <c r="K461" s="42">
        <f t="shared" si="427"/>
        <v>5000</v>
      </c>
      <c r="L461" s="8">
        <v>25000</v>
      </c>
      <c r="M461" s="9">
        <v>9</v>
      </c>
      <c r="N461" s="9">
        <v>16.100000000000001</v>
      </c>
      <c r="O461" s="9">
        <v>14</v>
      </c>
      <c r="P461" s="9">
        <v>19.5</v>
      </c>
      <c r="Q461" s="92">
        <v>3.1061673000000001</v>
      </c>
      <c r="R461">
        <v>10</v>
      </c>
      <c r="S461">
        <v>1000</v>
      </c>
      <c r="T461" s="4">
        <v>362.27094893570683</v>
      </c>
      <c r="U461">
        <f t="shared" si="468"/>
        <v>3.6227094893570682</v>
      </c>
      <c r="V461">
        <f t="shared" ref="V461:W461" si="479">V437</f>
        <v>2.8</v>
      </c>
      <c r="W461">
        <f t="shared" si="479"/>
        <v>3.2</v>
      </c>
      <c r="X461" s="9">
        <v>3.1061673000000001</v>
      </c>
    </row>
    <row r="462" spans="1:24" x14ac:dyDescent="0.2">
      <c r="A462" s="41">
        <f t="shared" si="470"/>
        <v>45858.124999998887</v>
      </c>
      <c r="B462" s="42">
        <f t="shared" si="424"/>
        <v>5000</v>
      </c>
      <c r="C462" s="8">
        <v>25000</v>
      </c>
      <c r="D462" s="8">
        <v>0</v>
      </c>
      <c r="E462" s="8">
        <v>700</v>
      </c>
      <c r="F462" s="8">
        <v>15000</v>
      </c>
      <c r="G462" s="42">
        <f t="shared" si="425"/>
        <v>2400</v>
      </c>
      <c r="H462" s="8">
        <v>25000</v>
      </c>
      <c r="I462" s="42">
        <f t="shared" si="426"/>
        <v>5000</v>
      </c>
      <c r="J462" s="8">
        <v>25000</v>
      </c>
      <c r="K462" s="42">
        <f t="shared" si="427"/>
        <v>5000</v>
      </c>
      <c r="L462" s="8">
        <v>25000</v>
      </c>
      <c r="M462" s="9">
        <v>9</v>
      </c>
      <c r="N462" s="9">
        <v>16.100000000000001</v>
      </c>
      <c r="O462" s="9">
        <v>14</v>
      </c>
      <c r="P462" s="9">
        <v>19.5</v>
      </c>
      <c r="Q462" s="92">
        <v>3.1769303999999998</v>
      </c>
      <c r="R462">
        <v>10</v>
      </c>
      <c r="S462">
        <v>1000</v>
      </c>
      <c r="T462" s="4">
        <v>362.27094893570683</v>
      </c>
      <c r="U462">
        <f t="shared" si="468"/>
        <v>3.6227094893570682</v>
      </c>
      <c r="V462">
        <f t="shared" ref="V462:W462" si="480">V438</f>
        <v>2.7</v>
      </c>
      <c r="W462">
        <f t="shared" si="480"/>
        <v>3.2</v>
      </c>
      <c r="X462" s="9">
        <v>3.1769303999999998</v>
      </c>
    </row>
    <row r="463" spans="1:24" x14ac:dyDescent="0.2">
      <c r="A463" s="41">
        <f t="shared" si="470"/>
        <v>45858.166666665551</v>
      </c>
      <c r="B463" s="42">
        <f t="shared" si="424"/>
        <v>5000</v>
      </c>
      <c r="C463" s="8">
        <v>25000</v>
      </c>
      <c r="D463" s="8">
        <v>0</v>
      </c>
      <c r="E463" s="8">
        <v>700</v>
      </c>
      <c r="F463" s="8">
        <v>15000</v>
      </c>
      <c r="G463" s="42">
        <f t="shared" si="425"/>
        <v>2400</v>
      </c>
      <c r="H463" s="8">
        <v>25000</v>
      </c>
      <c r="I463" s="42">
        <f t="shared" si="426"/>
        <v>5000</v>
      </c>
      <c r="J463" s="8">
        <v>25000</v>
      </c>
      <c r="K463" s="42">
        <f t="shared" si="427"/>
        <v>5000</v>
      </c>
      <c r="L463" s="8">
        <v>25000</v>
      </c>
      <c r="M463" s="9">
        <v>9</v>
      </c>
      <c r="N463" s="9">
        <v>16.100000000000001</v>
      </c>
      <c r="O463" s="9">
        <v>14</v>
      </c>
      <c r="P463" s="9">
        <v>19.5</v>
      </c>
      <c r="Q463" s="92">
        <v>3.2080454999999999</v>
      </c>
      <c r="R463">
        <v>10</v>
      </c>
      <c r="S463">
        <v>1000</v>
      </c>
      <c r="T463" s="4">
        <v>426.44032978095498</v>
      </c>
      <c r="U463">
        <f t="shared" si="468"/>
        <v>4.2644032978095501</v>
      </c>
      <c r="V463">
        <f t="shared" ref="V463:W463" si="481">V439</f>
        <v>3</v>
      </c>
      <c r="W463">
        <f t="shared" si="481"/>
        <v>3.1</v>
      </c>
      <c r="X463" s="9">
        <v>3.2080454999999999</v>
      </c>
    </row>
    <row r="464" spans="1:24" x14ac:dyDescent="0.2">
      <c r="A464" s="41">
        <f t="shared" si="470"/>
        <v>45858.208333332215</v>
      </c>
      <c r="B464" s="42">
        <f t="shared" si="424"/>
        <v>5000</v>
      </c>
      <c r="C464" s="8">
        <v>25000</v>
      </c>
      <c r="D464" s="8">
        <v>0</v>
      </c>
      <c r="E464" s="8">
        <v>700</v>
      </c>
      <c r="F464" s="8">
        <v>15000</v>
      </c>
      <c r="G464" s="42">
        <f t="shared" si="425"/>
        <v>2400</v>
      </c>
      <c r="H464" s="8">
        <v>25000</v>
      </c>
      <c r="I464" s="42">
        <f t="shared" si="426"/>
        <v>5000</v>
      </c>
      <c r="J464" s="8">
        <v>25000</v>
      </c>
      <c r="K464" s="42">
        <f t="shared" si="427"/>
        <v>5000</v>
      </c>
      <c r="L464" s="8">
        <v>25000</v>
      </c>
      <c r="M464" s="9">
        <v>9</v>
      </c>
      <c r="N464" s="9">
        <v>16.100000000000001</v>
      </c>
      <c r="O464" s="9">
        <v>14</v>
      </c>
      <c r="P464" s="9">
        <v>19.5</v>
      </c>
      <c r="Q464" s="92">
        <v>3.2739530000000001</v>
      </c>
      <c r="R464">
        <v>10</v>
      </c>
      <c r="S464">
        <v>1000</v>
      </c>
      <c r="T464" s="4">
        <v>362.27094893570683</v>
      </c>
      <c r="U464">
        <f t="shared" si="468"/>
        <v>3.6227094893570682</v>
      </c>
      <c r="V464">
        <f t="shared" ref="V464:W464" si="482">V440</f>
        <v>2.9</v>
      </c>
      <c r="W464">
        <f t="shared" si="482"/>
        <v>3.1</v>
      </c>
      <c r="X464" s="9">
        <v>3.2739530000000001</v>
      </c>
    </row>
    <row r="465" spans="1:24" x14ac:dyDescent="0.2">
      <c r="A465" s="41">
        <f t="shared" si="470"/>
        <v>45858.24999999888</v>
      </c>
      <c r="B465" s="42">
        <f t="shared" si="424"/>
        <v>8000</v>
      </c>
      <c r="C465" s="8">
        <v>25000</v>
      </c>
      <c r="D465" s="8">
        <v>0</v>
      </c>
      <c r="E465" s="8">
        <v>700</v>
      </c>
      <c r="F465" s="8">
        <v>15000</v>
      </c>
      <c r="G465" s="42">
        <f t="shared" si="425"/>
        <v>2400</v>
      </c>
      <c r="H465" s="8">
        <v>25000</v>
      </c>
      <c r="I465" s="42">
        <f t="shared" si="426"/>
        <v>8000</v>
      </c>
      <c r="J465" s="8">
        <v>25000</v>
      </c>
      <c r="K465" s="42">
        <f t="shared" si="427"/>
        <v>8000</v>
      </c>
      <c r="L465" s="8">
        <v>25000</v>
      </c>
      <c r="M465" s="9">
        <v>9</v>
      </c>
      <c r="N465" s="9">
        <v>16.100000000000001</v>
      </c>
      <c r="O465" s="9">
        <v>14</v>
      </c>
      <c r="P465" s="9">
        <v>19.5</v>
      </c>
      <c r="Q465" s="92">
        <v>3.3684506000000001</v>
      </c>
      <c r="R465">
        <v>10</v>
      </c>
      <c r="S465">
        <v>1000</v>
      </c>
      <c r="T465" s="4">
        <v>304.3759075508828</v>
      </c>
      <c r="U465">
        <f t="shared" si="468"/>
        <v>3.0437590755088282</v>
      </c>
      <c r="V465">
        <f t="shared" ref="V465:W465" si="483">V441</f>
        <v>2.5</v>
      </c>
      <c r="W465">
        <f t="shared" si="483"/>
        <v>3.1</v>
      </c>
      <c r="X465" s="9">
        <v>3.3684506000000001</v>
      </c>
    </row>
    <row r="466" spans="1:24" x14ac:dyDescent="0.2">
      <c r="A466" s="41">
        <f t="shared" si="470"/>
        <v>45858.291666665544</v>
      </c>
      <c r="B466" s="42">
        <f t="shared" si="424"/>
        <v>8000</v>
      </c>
      <c r="C466" s="8">
        <v>25000</v>
      </c>
      <c r="D466" s="8">
        <v>0</v>
      </c>
      <c r="E466" s="8">
        <v>700</v>
      </c>
      <c r="F466" s="8">
        <v>15000</v>
      </c>
      <c r="G466" s="42">
        <f t="shared" si="425"/>
        <v>2400</v>
      </c>
      <c r="H466" s="8">
        <v>25000</v>
      </c>
      <c r="I466" s="42">
        <f t="shared" si="426"/>
        <v>8000</v>
      </c>
      <c r="J466" s="8">
        <v>25000</v>
      </c>
      <c r="K466" s="42">
        <f t="shared" si="427"/>
        <v>8000</v>
      </c>
      <c r="L466" s="8">
        <v>25000</v>
      </c>
      <c r="M466" s="9">
        <v>9</v>
      </c>
      <c r="N466" s="9">
        <v>16.100000000000001</v>
      </c>
      <c r="O466" s="9">
        <v>14</v>
      </c>
      <c r="P466" s="9">
        <v>19.5</v>
      </c>
      <c r="Q466" s="92">
        <v>3.3659408000000002</v>
      </c>
      <c r="R466">
        <v>10</v>
      </c>
      <c r="S466">
        <v>1000</v>
      </c>
      <c r="T466" s="4">
        <v>280.13414145378908</v>
      </c>
      <c r="U466">
        <f t="shared" si="468"/>
        <v>2.801341414537891</v>
      </c>
      <c r="V466">
        <f t="shared" ref="V466:W466" si="484">V442</f>
        <v>2.5</v>
      </c>
      <c r="W466">
        <f t="shared" si="484"/>
        <v>3.1</v>
      </c>
      <c r="X466" s="9">
        <v>3.3659408000000002</v>
      </c>
    </row>
    <row r="467" spans="1:24" x14ac:dyDescent="0.2">
      <c r="A467" s="41">
        <f t="shared" si="470"/>
        <v>45858.333333332208</v>
      </c>
      <c r="B467" s="42">
        <f t="shared" si="424"/>
        <v>8000</v>
      </c>
      <c r="C467" s="8">
        <v>25000</v>
      </c>
      <c r="D467" s="8">
        <v>0</v>
      </c>
      <c r="E467" s="8">
        <v>700</v>
      </c>
      <c r="F467" s="8">
        <v>15000</v>
      </c>
      <c r="G467" s="42">
        <f t="shared" si="425"/>
        <v>2400</v>
      </c>
      <c r="H467" s="8">
        <v>25000</v>
      </c>
      <c r="I467" s="42">
        <f t="shared" si="426"/>
        <v>8000</v>
      </c>
      <c r="J467" s="8">
        <v>25000</v>
      </c>
      <c r="K467" s="42">
        <f t="shared" si="427"/>
        <v>8000</v>
      </c>
      <c r="L467" s="8">
        <v>25000</v>
      </c>
      <c r="M467" s="9">
        <v>9</v>
      </c>
      <c r="N467" s="9">
        <v>16.100000000000001</v>
      </c>
      <c r="O467" s="9">
        <v>14</v>
      </c>
      <c r="P467" s="9">
        <v>19.5</v>
      </c>
      <c r="Q467" s="92">
        <v>3.4476060999999998</v>
      </c>
      <c r="R467">
        <v>10</v>
      </c>
      <c r="S467">
        <v>1000</v>
      </c>
      <c r="T467" s="4">
        <v>294.39400386384426</v>
      </c>
      <c r="U467">
        <f t="shared" si="468"/>
        <v>2.9439400386384427</v>
      </c>
      <c r="V467">
        <f t="shared" ref="V467:W467" si="485">V443</f>
        <v>3.2</v>
      </c>
      <c r="W467">
        <f t="shared" si="485"/>
        <v>3</v>
      </c>
      <c r="X467" s="9">
        <v>3.4476060999999998</v>
      </c>
    </row>
    <row r="468" spans="1:24" x14ac:dyDescent="0.2">
      <c r="A468" s="41">
        <f t="shared" si="470"/>
        <v>45858.374999998872</v>
      </c>
      <c r="B468" s="42">
        <f t="shared" si="424"/>
        <v>8000</v>
      </c>
      <c r="C468" s="8">
        <v>25000</v>
      </c>
      <c r="D468" s="8">
        <v>0</v>
      </c>
      <c r="E468" s="8">
        <v>700</v>
      </c>
      <c r="F468" s="8">
        <v>15000</v>
      </c>
      <c r="G468" s="42">
        <f t="shared" si="425"/>
        <v>2400</v>
      </c>
      <c r="H468" s="8">
        <v>25000</v>
      </c>
      <c r="I468" s="42">
        <f t="shared" si="426"/>
        <v>8000</v>
      </c>
      <c r="J468" s="8">
        <v>25000</v>
      </c>
      <c r="K468" s="42">
        <f t="shared" si="427"/>
        <v>8000</v>
      </c>
      <c r="L468" s="8">
        <v>25000</v>
      </c>
      <c r="M468" s="9">
        <v>9</v>
      </c>
      <c r="N468" s="9">
        <v>16.100000000000001</v>
      </c>
      <c r="O468" s="9">
        <v>14</v>
      </c>
      <c r="P468" s="9">
        <v>19.5</v>
      </c>
      <c r="Q468" s="92">
        <v>3.5583656000000001</v>
      </c>
      <c r="R468">
        <v>10</v>
      </c>
      <c r="S468">
        <v>1000</v>
      </c>
      <c r="T468" s="4">
        <v>317.20978371993255</v>
      </c>
      <c r="U468">
        <f t="shared" si="468"/>
        <v>3.1720978371993254</v>
      </c>
      <c r="V468">
        <f t="shared" ref="V468:W468" si="486">V444</f>
        <v>2.9</v>
      </c>
      <c r="W468">
        <f t="shared" si="486"/>
        <v>3</v>
      </c>
      <c r="X468" s="9">
        <v>3.5583656000000001</v>
      </c>
    </row>
    <row r="469" spans="1:24" x14ac:dyDescent="0.2">
      <c r="A469" s="41">
        <f t="shared" si="470"/>
        <v>45858.416666665536</v>
      </c>
      <c r="B469" s="42">
        <f t="shared" si="424"/>
        <v>8000</v>
      </c>
      <c r="C469" s="8">
        <v>25000</v>
      </c>
      <c r="D469" s="8">
        <v>0</v>
      </c>
      <c r="E469" s="8">
        <v>700</v>
      </c>
      <c r="F469" s="8">
        <v>15000</v>
      </c>
      <c r="G469" s="42">
        <f t="shared" si="425"/>
        <v>2400</v>
      </c>
      <c r="H469" s="8">
        <v>25000</v>
      </c>
      <c r="I469" s="42">
        <f t="shared" si="426"/>
        <v>8000</v>
      </c>
      <c r="J469" s="8">
        <v>25000</v>
      </c>
      <c r="K469" s="42">
        <f t="shared" si="427"/>
        <v>8000</v>
      </c>
      <c r="L469" s="8">
        <v>25000</v>
      </c>
      <c r="M469" s="9">
        <v>9</v>
      </c>
      <c r="N469" s="9">
        <v>16.100000000000001</v>
      </c>
      <c r="O469" s="9">
        <v>14</v>
      </c>
      <c r="P469" s="9">
        <v>19.5</v>
      </c>
      <c r="Q469" s="92">
        <v>3.5452615999999999</v>
      </c>
      <c r="R469">
        <v>10</v>
      </c>
      <c r="S469">
        <v>1000</v>
      </c>
      <c r="T469" s="4">
        <v>308.08347177749721</v>
      </c>
      <c r="U469">
        <f t="shared" si="468"/>
        <v>3.0808347177749722</v>
      </c>
      <c r="V469">
        <f t="shared" ref="V469:W469" si="487">V445</f>
        <v>2.9</v>
      </c>
      <c r="W469">
        <f t="shared" si="487"/>
        <v>3</v>
      </c>
      <c r="X469" s="9">
        <v>3.5452615999999999</v>
      </c>
    </row>
    <row r="470" spans="1:24" x14ac:dyDescent="0.2">
      <c r="A470" s="41">
        <f t="shared" si="470"/>
        <v>45858.458333332201</v>
      </c>
      <c r="B470" s="42">
        <f t="shared" si="424"/>
        <v>8000</v>
      </c>
      <c r="C470" s="8">
        <v>25000</v>
      </c>
      <c r="D470" s="8">
        <v>0</v>
      </c>
      <c r="E470" s="8">
        <v>700</v>
      </c>
      <c r="F470" s="8">
        <v>15000</v>
      </c>
      <c r="G470" s="42">
        <f t="shared" si="425"/>
        <v>2400</v>
      </c>
      <c r="H470" s="8">
        <v>25000</v>
      </c>
      <c r="I470" s="42">
        <f t="shared" si="426"/>
        <v>8000</v>
      </c>
      <c r="J470" s="8">
        <v>25000</v>
      </c>
      <c r="K470" s="42">
        <f t="shared" si="427"/>
        <v>8000</v>
      </c>
      <c r="L470" s="8">
        <v>25000</v>
      </c>
      <c r="M470" s="9">
        <v>9</v>
      </c>
      <c r="N470" s="9">
        <v>16.100000000000001</v>
      </c>
      <c r="O470" s="9">
        <v>14</v>
      </c>
      <c r="P470" s="9">
        <v>19.5</v>
      </c>
      <c r="Q470" s="92">
        <v>3.3669042999999999</v>
      </c>
      <c r="R470">
        <v>10</v>
      </c>
      <c r="S470">
        <v>1000</v>
      </c>
      <c r="T470" s="4">
        <v>303.80551305448063</v>
      </c>
      <c r="U470">
        <f t="shared" si="468"/>
        <v>3.0380551305448065</v>
      </c>
      <c r="V470">
        <f t="shared" ref="V470:W470" si="488">V446</f>
        <v>3.4</v>
      </c>
      <c r="W470">
        <f t="shared" si="488"/>
        <v>3</v>
      </c>
      <c r="X470" s="9">
        <v>3.3669042999999999</v>
      </c>
    </row>
    <row r="471" spans="1:24" x14ac:dyDescent="0.2">
      <c r="A471" s="41">
        <f t="shared" si="470"/>
        <v>45858.499999998865</v>
      </c>
      <c r="B471" s="42">
        <f t="shared" si="424"/>
        <v>8000</v>
      </c>
      <c r="C471" s="8">
        <v>25000</v>
      </c>
      <c r="D471" s="8">
        <v>0</v>
      </c>
      <c r="E471" s="8">
        <v>700</v>
      </c>
      <c r="F471" s="8">
        <v>15000</v>
      </c>
      <c r="G471" s="42">
        <f t="shared" si="425"/>
        <v>2400</v>
      </c>
      <c r="H471" s="8">
        <v>25000</v>
      </c>
      <c r="I471" s="42">
        <f t="shared" si="426"/>
        <v>8000</v>
      </c>
      <c r="J471" s="8">
        <v>25000</v>
      </c>
      <c r="K471" s="42">
        <f t="shared" si="427"/>
        <v>8000</v>
      </c>
      <c r="L471" s="8">
        <v>25000</v>
      </c>
      <c r="M471" s="9">
        <v>9</v>
      </c>
      <c r="N471" s="9">
        <v>16.100000000000001</v>
      </c>
      <c r="O471" s="9">
        <v>14</v>
      </c>
      <c r="P471" s="9">
        <v>19.5</v>
      </c>
      <c r="Q471" s="92">
        <v>3.1643815000000002</v>
      </c>
      <c r="R471">
        <v>10</v>
      </c>
      <c r="S471">
        <v>1000</v>
      </c>
      <c r="T471" s="4">
        <v>303.80551305448063</v>
      </c>
      <c r="U471">
        <f t="shared" si="468"/>
        <v>3.0380551305448065</v>
      </c>
      <c r="V471">
        <f t="shared" ref="V471:W471" si="489">V447</f>
        <v>3.1</v>
      </c>
      <c r="W471">
        <f t="shared" si="489"/>
        <v>2.9</v>
      </c>
      <c r="X471" s="9">
        <v>3.1643815000000002</v>
      </c>
    </row>
    <row r="472" spans="1:24" x14ac:dyDescent="0.2">
      <c r="A472" s="41">
        <f t="shared" si="470"/>
        <v>45858.541666665529</v>
      </c>
      <c r="B472" s="42">
        <f t="shared" si="424"/>
        <v>8000</v>
      </c>
      <c r="C472" s="8">
        <v>25000</v>
      </c>
      <c r="D472" s="8">
        <v>0</v>
      </c>
      <c r="E472" s="8">
        <v>700</v>
      </c>
      <c r="F472" s="8">
        <v>15000</v>
      </c>
      <c r="G472" s="42">
        <f t="shared" si="425"/>
        <v>2400</v>
      </c>
      <c r="H472" s="8">
        <v>25000</v>
      </c>
      <c r="I472" s="42">
        <f t="shared" si="426"/>
        <v>8000</v>
      </c>
      <c r="J472" s="8">
        <v>25000</v>
      </c>
      <c r="K472" s="42">
        <f t="shared" si="427"/>
        <v>8000</v>
      </c>
      <c r="L472" s="8">
        <v>25000</v>
      </c>
      <c r="M472" s="9">
        <v>9</v>
      </c>
      <c r="N472" s="9">
        <v>16.100000000000001</v>
      </c>
      <c r="O472" s="9">
        <v>14</v>
      </c>
      <c r="P472" s="9">
        <v>19.5</v>
      </c>
      <c r="Q472" s="92">
        <v>3.0468031999999998</v>
      </c>
      <c r="R472">
        <v>10</v>
      </c>
      <c r="S472">
        <v>1000</v>
      </c>
      <c r="T472" s="4">
        <v>353.43040463596901</v>
      </c>
      <c r="U472">
        <f t="shared" si="468"/>
        <v>3.53430404635969</v>
      </c>
      <c r="V472">
        <f t="shared" ref="V472:W472" si="490">V448</f>
        <v>3.2</v>
      </c>
      <c r="W472">
        <f t="shared" si="490"/>
        <v>2.9</v>
      </c>
      <c r="X472" s="9">
        <v>3.0468031999999998</v>
      </c>
    </row>
    <row r="473" spans="1:24" x14ac:dyDescent="0.2">
      <c r="A473" s="41">
        <f t="shared" si="470"/>
        <v>45858.583333332193</v>
      </c>
      <c r="B473" s="42">
        <f t="shared" si="424"/>
        <v>8000</v>
      </c>
      <c r="C473" s="8">
        <v>25000</v>
      </c>
      <c r="D473" s="8">
        <v>0</v>
      </c>
      <c r="E473" s="8">
        <v>700</v>
      </c>
      <c r="F473" s="8">
        <v>15000</v>
      </c>
      <c r="G473" s="42">
        <f t="shared" si="425"/>
        <v>2400</v>
      </c>
      <c r="H473" s="8">
        <v>25000</v>
      </c>
      <c r="I473" s="42">
        <f t="shared" si="426"/>
        <v>8000</v>
      </c>
      <c r="J473" s="8">
        <v>25000</v>
      </c>
      <c r="K473" s="42">
        <f t="shared" si="427"/>
        <v>8000</v>
      </c>
      <c r="L473" s="8">
        <v>25000</v>
      </c>
      <c r="M473" s="9">
        <v>9</v>
      </c>
      <c r="N473" s="9">
        <v>16.100000000000001</v>
      </c>
      <c r="O473" s="9">
        <v>14</v>
      </c>
      <c r="P473" s="9">
        <v>19.5</v>
      </c>
      <c r="Q473" s="92">
        <v>3.1284627999999999</v>
      </c>
      <c r="R473">
        <v>10</v>
      </c>
      <c r="S473">
        <v>1000</v>
      </c>
      <c r="T473" s="4">
        <v>587.29100737188094</v>
      </c>
      <c r="U473">
        <f t="shared" si="468"/>
        <v>5.8729100737188098</v>
      </c>
      <c r="V473">
        <f t="shared" ref="V473:W473" si="491">V449</f>
        <v>3.5</v>
      </c>
      <c r="W473">
        <f t="shared" si="491"/>
        <v>2.9</v>
      </c>
      <c r="X473" s="9">
        <v>3.1284627999999999</v>
      </c>
    </row>
    <row r="474" spans="1:24" x14ac:dyDescent="0.2">
      <c r="A474" s="41">
        <f t="shared" si="470"/>
        <v>45858.624999998858</v>
      </c>
      <c r="B474" s="42">
        <f t="shared" si="424"/>
        <v>8000</v>
      </c>
      <c r="C474" s="8">
        <v>25000</v>
      </c>
      <c r="D474" s="8">
        <v>0</v>
      </c>
      <c r="E474" s="8">
        <v>700</v>
      </c>
      <c r="F474" s="8">
        <v>15000</v>
      </c>
      <c r="G474" s="42">
        <f t="shared" si="425"/>
        <v>2400</v>
      </c>
      <c r="H474" s="8">
        <v>25000</v>
      </c>
      <c r="I474" s="42">
        <f t="shared" si="426"/>
        <v>8000</v>
      </c>
      <c r="J474" s="8">
        <v>25000</v>
      </c>
      <c r="K474" s="42">
        <f t="shared" si="427"/>
        <v>8000</v>
      </c>
      <c r="L474" s="8">
        <v>25000</v>
      </c>
      <c r="M474" s="9">
        <v>9</v>
      </c>
      <c r="N474" s="9">
        <v>16.100000000000001</v>
      </c>
      <c r="O474" s="9">
        <v>14</v>
      </c>
      <c r="P474" s="9">
        <v>19.5</v>
      </c>
      <c r="Q474" s="92">
        <v>3.5330187999999998</v>
      </c>
      <c r="R474">
        <v>10</v>
      </c>
      <c r="S474">
        <v>1000</v>
      </c>
      <c r="T474" s="4">
        <v>604.40284226394715</v>
      </c>
      <c r="U474">
        <f t="shared" si="468"/>
        <v>6.0440284226394718</v>
      </c>
      <c r="V474">
        <f t="shared" ref="V474:W474" si="492">V450</f>
        <v>3.2</v>
      </c>
      <c r="W474">
        <f t="shared" si="492"/>
        <v>2.9</v>
      </c>
      <c r="X474" s="9">
        <v>3.5330187999999998</v>
      </c>
    </row>
    <row r="475" spans="1:24" x14ac:dyDescent="0.2">
      <c r="A475" s="41">
        <f t="shared" si="470"/>
        <v>45858.666666665522</v>
      </c>
      <c r="B475" s="42">
        <f t="shared" si="424"/>
        <v>8000</v>
      </c>
      <c r="C475" s="8">
        <v>25000</v>
      </c>
      <c r="D475" s="8">
        <v>0</v>
      </c>
      <c r="E475" s="8">
        <v>700</v>
      </c>
      <c r="F475" s="8">
        <v>15000</v>
      </c>
      <c r="G475" s="42">
        <f t="shared" si="425"/>
        <v>2400</v>
      </c>
      <c r="H475" s="8">
        <v>25000</v>
      </c>
      <c r="I475" s="42">
        <f t="shared" si="426"/>
        <v>8000</v>
      </c>
      <c r="J475" s="8">
        <v>25000</v>
      </c>
      <c r="K475" s="42">
        <f t="shared" si="427"/>
        <v>8000</v>
      </c>
      <c r="L475" s="8">
        <v>25000</v>
      </c>
      <c r="M475" s="9">
        <v>9</v>
      </c>
      <c r="N475" s="9">
        <v>16.100000000000001</v>
      </c>
      <c r="O475" s="9">
        <v>14</v>
      </c>
      <c r="P475" s="9">
        <v>19.5</v>
      </c>
      <c r="Q475" s="92">
        <v>3.4744754000000002</v>
      </c>
      <c r="R475">
        <v>10</v>
      </c>
      <c r="S475">
        <v>1000</v>
      </c>
      <c r="T475" s="4">
        <v>875.91062255139741</v>
      </c>
      <c r="U475">
        <f t="shared" si="468"/>
        <v>8.7591062255139747</v>
      </c>
      <c r="V475">
        <f t="shared" ref="V475:W475" si="493">V451</f>
        <v>3.5</v>
      </c>
      <c r="W475">
        <f t="shared" si="493"/>
        <v>3</v>
      </c>
      <c r="X475" s="9">
        <v>3.4744754000000002</v>
      </c>
    </row>
    <row r="476" spans="1:24" x14ac:dyDescent="0.2">
      <c r="A476" s="41">
        <f t="shared" si="470"/>
        <v>45858.708333332186</v>
      </c>
      <c r="B476" s="42">
        <f t="shared" ref="B476:B539" si="494">B452</f>
        <v>8000</v>
      </c>
      <c r="C476" s="8">
        <v>25000</v>
      </c>
      <c r="D476" s="8">
        <v>0</v>
      </c>
      <c r="E476" s="8">
        <v>700</v>
      </c>
      <c r="F476" s="8">
        <v>15000</v>
      </c>
      <c r="G476" s="42">
        <f t="shared" ref="G476:G539" si="495">G452</f>
        <v>2400</v>
      </c>
      <c r="H476" s="8">
        <v>25000</v>
      </c>
      <c r="I476" s="42">
        <f t="shared" ref="I476:I539" si="496">I452</f>
        <v>8000</v>
      </c>
      <c r="J476" s="8">
        <v>25000</v>
      </c>
      <c r="K476" s="42">
        <f t="shared" ref="K476:K539" si="497">K452</f>
        <v>8000</v>
      </c>
      <c r="L476" s="8">
        <v>25000</v>
      </c>
      <c r="M476" s="9">
        <v>9</v>
      </c>
      <c r="N476" s="9">
        <v>16.100000000000001</v>
      </c>
      <c r="O476" s="9">
        <v>14</v>
      </c>
      <c r="P476" s="9">
        <v>19.5</v>
      </c>
      <c r="Q476" s="92">
        <v>3.3599141000000001</v>
      </c>
      <c r="R476">
        <v>10</v>
      </c>
      <c r="S476">
        <v>1000</v>
      </c>
      <c r="T476" s="4">
        <v>1116.9022972813298</v>
      </c>
      <c r="U476">
        <f t="shared" si="468"/>
        <v>11.169022972813298</v>
      </c>
      <c r="V476">
        <f t="shared" ref="V476:W476" si="498">V452</f>
        <v>3.6</v>
      </c>
      <c r="W476">
        <f t="shared" si="498"/>
        <v>3</v>
      </c>
      <c r="X476" s="9">
        <v>3.3599141000000001</v>
      </c>
    </row>
    <row r="477" spans="1:24" x14ac:dyDescent="0.2">
      <c r="A477" s="41">
        <f t="shared" si="470"/>
        <v>45858.74999999885</v>
      </c>
      <c r="B477" s="42">
        <f t="shared" si="494"/>
        <v>5000</v>
      </c>
      <c r="C477" s="8">
        <v>25000</v>
      </c>
      <c r="D477" s="8">
        <v>0</v>
      </c>
      <c r="E477" s="8">
        <v>700</v>
      </c>
      <c r="F477" s="8">
        <v>15000</v>
      </c>
      <c r="G477" s="42">
        <f t="shared" si="495"/>
        <v>2400</v>
      </c>
      <c r="H477" s="8">
        <v>25000</v>
      </c>
      <c r="I477" s="42">
        <f t="shared" si="496"/>
        <v>5000</v>
      </c>
      <c r="J477" s="8">
        <v>25000</v>
      </c>
      <c r="K477" s="42">
        <f t="shared" si="497"/>
        <v>5000</v>
      </c>
      <c r="L477" s="8">
        <v>25000</v>
      </c>
      <c r="M477" s="9">
        <v>9</v>
      </c>
      <c r="N477" s="9">
        <v>16.100000000000001</v>
      </c>
      <c r="O477" s="9">
        <v>14</v>
      </c>
      <c r="P477" s="9">
        <v>19.5</v>
      </c>
      <c r="Q477" s="92">
        <v>3.3320875000000001</v>
      </c>
      <c r="R477">
        <v>10</v>
      </c>
      <c r="S477">
        <v>1000</v>
      </c>
      <c r="T477" s="4">
        <v>1156.8299120294841</v>
      </c>
      <c r="U477">
        <f t="shared" si="468"/>
        <v>11.568299120294842</v>
      </c>
      <c r="V477">
        <f t="shared" ref="V477:W477" si="499">V453</f>
        <v>2.9</v>
      </c>
      <c r="W477">
        <f t="shared" si="499"/>
        <v>3</v>
      </c>
      <c r="X477" s="9">
        <v>3.3320875000000001</v>
      </c>
    </row>
    <row r="478" spans="1:24" x14ac:dyDescent="0.2">
      <c r="A478" s="41">
        <f t="shared" si="470"/>
        <v>45858.791666665515</v>
      </c>
      <c r="B478" s="42">
        <f t="shared" si="494"/>
        <v>5000</v>
      </c>
      <c r="C478" s="8">
        <v>25000</v>
      </c>
      <c r="D478" s="8">
        <v>0</v>
      </c>
      <c r="E478" s="8">
        <v>700</v>
      </c>
      <c r="F478" s="8">
        <v>15000</v>
      </c>
      <c r="G478" s="42">
        <f t="shared" si="495"/>
        <v>2400</v>
      </c>
      <c r="H478" s="8">
        <v>25000</v>
      </c>
      <c r="I478" s="42">
        <f t="shared" si="496"/>
        <v>5000</v>
      </c>
      <c r="J478" s="8">
        <v>25000</v>
      </c>
      <c r="K478" s="42">
        <f t="shared" si="497"/>
        <v>5000</v>
      </c>
      <c r="L478" s="8">
        <v>25000</v>
      </c>
      <c r="M478" s="9">
        <v>9</v>
      </c>
      <c r="N478" s="9">
        <v>16.100000000000001</v>
      </c>
      <c r="O478" s="9">
        <v>14</v>
      </c>
      <c r="P478" s="9">
        <v>19.5</v>
      </c>
      <c r="Q478" s="92">
        <v>3.3584776000000001</v>
      </c>
      <c r="R478">
        <v>10</v>
      </c>
      <c r="S478">
        <v>1000</v>
      </c>
      <c r="T478" s="4">
        <v>1156.8299120294841</v>
      </c>
      <c r="U478">
        <f t="shared" si="468"/>
        <v>11.568299120294842</v>
      </c>
      <c r="V478">
        <f t="shared" ref="V478:W478" si="500">V454</f>
        <v>3</v>
      </c>
      <c r="W478">
        <f t="shared" si="500"/>
        <v>3</v>
      </c>
      <c r="X478" s="9">
        <v>3.3584776000000001</v>
      </c>
    </row>
    <row r="479" spans="1:24" x14ac:dyDescent="0.2">
      <c r="A479" s="41">
        <f t="shared" si="470"/>
        <v>45858.833333332179</v>
      </c>
      <c r="B479" s="42">
        <f t="shared" si="494"/>
        <v>5000</v>
      </c>
      <c r="C479" s="8">
        <v>25000</v>
      </c>
      <c r="D479" s="8">
        <v>0</v>
      </c>
      <c r="E479" s="8">
        <v>700</v>
      </c>
      <c r="F479" s="8">
        <v>15000</v>
      </c>
      <c r="G479" s="42">
        <f t="shared" si="495"/>
        <v>2400</v>
      </c>
      <c r="H479" s="8">
        <v>25000</v>
      </c>
      <c r="I479" s="42">
        <f t="shared" si="496"/>
        <v>5000</v>
      </c>
      <c r="J479" s="8">
        <v>25000</v>
      </c>
      <c r="K479" s="42">
        <f t="shared" si="497"/>
        <v>5000</v>
      </c>
      <c r="L479" s="8">
        <v>25000</v>
      </c>
      <c r="M479" s="9">
        <v>9</v>
      </c>
      <c r="N479" s="9">
        <v>16.100000000000001</v>
      </c>
      <c r="O479" s="9">
        <v>14</v>
      </c>
      <c r="P479" s="9">
        <v>19.5</v>
      </c>
      <c r="Q479" s="92">
        <v>3.3422260000000001</v>
      </c>
      <c r="R479">
        <v>10</v>
      </c>
      <c r="S479">
        <v>1000</v>
      </c>
      <c r="T479" s="4">
        <v>1114.0503247993186</v>
      </c>
      <c r="U479">
        <f t="shared" si="468"/>
        <v>11.140503247993186</v>
      </c>
      <c r="V479">
        <f t="shared" ref="V479:W479" si="501">V455</f>
        <v>2.8</v>
      </c>
      <c r="W479">
        <f t="shared" si="501"/>
        <v>3.1</v>
      </c>
      <c r="X479" s="9">
        <v>3.3422260000000001</v>
      </c>
    </row>
    <row r="480" spans="1:24" x14ac:dyDescent="0.2">
      <c r="A480" s="41">
        <f t="shared" si="470"/>
        <v>45858.874999998843</v>
      </c>
      <c r="B480" s="42">
        <f t="shared" si="494"/>
        <v>5000</v>
      </c>
      <c r="C480" s="8">
        <v>25000</v>
      </c>
      <c r="D480" s="8">
        <v>0</v>
      </c>
      <c r="E480" s="8">
        <v>700</v>
      </c>
      <c r="F480" s="8">
        <v>15000</v>
      </c>
      <c r="G480" s="42">
        <f t="shared" si="495"/>
        <v>2400</v>
      </c>
      <c r="H480" s="8">
        <v>25000</v>
      </c>
      <c r="I480" s="42">
        <f t="shared" si="496"/>
        <v>5000</v>
      </c>
      <c r="J480" s="8">
        <v>25000</v>
      </c>
      <c r="K480" s="42">
        <f t="shared" si="497"/>
        <v>5000</v>
      </c>
      <c r="L480" s="8">
        <v>25000</v>
      </c>
      <c r="M480" s="9">
        <v>9</v>
      </c>
      <c r="N480" s="9">
        <v>16.100000000000001</v>
      </c>
      <c r="O480" s="9">
        <v>14</v>
      </c>
      <c r="P480" s="9">
        <v>19.5</v>
      </c>
      <c r="Q480" s="92">
        <v>3.2611921000000001</v>
      </c>
      <c r="R480">
        <v>10</v>
      </c>
      <c r="S480">
        <v>1000</v>
      </c>
      <c r="T480" s="4">
        <v>1034.1950953030096</v>
      </c>
      <c r="U480">
        <f t="shared" si="468"/>
        <v>10.341950953030096</v>
      </c>
      <c r="V480">
        <f t="shared" ref="V480:W480" si="502">V456</f>
        <v>3.5</v>
      </c>
      <c r="W480">
        <f t="shared" si="502"/>
        <v>3.1</v>
      </c>
      <c r="X480" s="9">
        <v>3.2611921000000001</v>
      </c>
    </row>
    <row r="481" spans="1:24" x14ac:dyDescent="0.2">
      <c r="A481" s="41">
        <f t="shared" si="470"/>
        <v>45858.916666665507</v>
      </c>
      <c r="B481" s="42">
        <f t="shared" si="494"/>
        <v>5000</v>
      </c>
      <c r="C481" s="8">
        <v>25000</v>
      </c>
      <c r="D481" s="8">
        <v>0</v>
      </c>
      <c r="E481" s="8">
        <v>700</v>
      </c>
      <c r="F481" s="8">
        <v>15000</v>
      </c>
      <c r="G481" s="42">
        <f t="shared" si="495"/>
        <v>2400</v>
      </c>
      <c r="H481" s="8">
        <v>25000</v>
      </c>
      <c r="I481" s="42">
        <f t="shared" si="496"/>
        <v>5000</v>
      </c>
      <c r="J481" s="8">
        <v>25000</v>
      </c>
      <c r="K481" s="42">
        <f t="shared" si="497"/>
        <v>5000</v>
      </c>
      <c r="L481" s="8">
        <v>25000</v>
      </c>
      <c r="M481" s="9">
        <v>9</v>
      </c>
      <c r="N481" s="9">
        <v>16.100000000000001</v>
      </c>
      <c r="O481" s="9">
        <v>14</v>
      </c>
      <c r="P481" s="9">
        <v>19.5</v>
      </c>
      <c r="Q481" s="92">
        <v>3.1820903</v>
      </c>
      <c r="R481">
        <v>10</v>
      </c>
      <c r="S481">
        <v>1000</v>
      </c>
      <c r="T481" s="4">
        <v>807.46328298313267</v>
      </c>
      <c r="U481">
        <f t="shared" si="468"/>
        <v>8.0746328298313266</v>
      </c>
      <c r="V481">
        <f t="shared" ref="V481:W481" si="503">V457</f>
        <v>2.9</v>
      </c>
      <c r="W481">
        <f t="shared" si="503"/>
        <v>3.1</v>
      </c>
      <c r="X481" s="9">
        <v>3.1820903</v>
      </c>
    </row>
    <row r="482" spans="1:24" x14ac:dyDescent="0.2">
      <c r="A482" s="41">
        <f t="shared" si="470"/>
        <v>45858.958333332172</v>
      </c>
      <c r="B482" s="42">
        <f t="shared" si="494"/>
        <v>5000</v>
      </c>
      <c r="C482" s="8">
        <v>25000</v>
      </c>
      <c r="D482" s="8">
        <v>0</v>
      </c>
      <c r="E482" s="8">
        <v>700</v>
      </c>
      <c r="F482" s="8">
        <v>15000</v>
      </c>
      <c r="G482" s="42">
        <f t="shared" si="495"/>
        <v>2400</v>
      </c>
      <c r="H482" s="8">
        <v>25000</v>
      </c>
      <c r="I482" s="42">
        <f t="shared" si="496"/>
        <v>5000</v>
      </c>
      <c r="J482" s="8">
        <v>25000</v>
      </c>
      <c r="K482" s="42">
        <f t="shared" si="497"/>
        <v>5000</v>
      </c>
      <c r="L482" s="8">
        <v>25000</v>
      </c>
      <c r="M482" s="9">
        <v>9</v>
      </c>
      <c r="N482" s="9">
        <v>16.100000000000001</v>
      </c>
      <c r="O482" s="9">
        <v>14</v>
      </c>
      <c r="P482" s="9">
        <v>19.5</v>
      </c>
      <c r="Q482" s="92">
        <v>3.1228237000000001</v>
      </c>
      <c r="R482">
        <v>10</v>
      </c>
      <c r="S482">
        <v>1000</v>
      </c>
      <c r="T482" s="4">
        <v>578.16526582394192</v>
      </c>
      <c r="U482">
        <f t="shared" si="468"/>
        <v>5.7816526582394197</v>
      </c>
      <c r="V482">
        <f t="shared" ref="V482:W482" si="504">V458</f>
        <v>3.6</v>
      </c>
      <c r="W482">
        <f t="shared" si="504"/>
        <v>3.1</v>
      </c>
      <c r="X482" s="9">
        <v>3.1228237000000001</v>
      </c>
    </row>
    <row r="483" spans="1:24" x14ac:dyDescent="0.2">
      <c r="A483" s="41">
        <f t="shared" si="470"/>
        <v>45858.999999998836</v>
      </c>
      <c r="B483" s="42">
        <f t="shared" si="494"/>
        <v>5000</v>
      </c>
      <c r="C483" s="8">
        <v>25000</v>
      </c>
      <c r="D483" s="8">
        <v>0</v>
      </c>
      <c r="E483" s="8">
        <v>700</v>
      </c>
      <c r="F483" s="8">
        <v>15000</v>
      </c>
      <c r="G483" s="42">
        <f t="shared" si="495"/>
        <v>2400</v>
      </c>
      <c r="H483" s="8">
        <v>25000</v>
      </c>
      <c r="I483" s="42">
        <f t="shared" si="496"/>
        <v>5000</v>
      </c>
      <c r="J483" s="8">
        <v>25000</v>
      </c>
      <c r="K483" s="42">
        <f t="shared" si="497"/>
        <v>5000</v>
      </c>
      <c r="L483" s="8">
        <v>25000</v>
      </c>
      <c r="M483" s="9">
        <v>9</v>
      </c>
      <c r="N483" s="9">
        <v>16.100000000000001</v>
      </c>
      <c r="O483" s="9">
        <v>14</v>
      </c>
      <c r="P483" s="9">
        <v>19.5</v>
      </c>
      <c r="Q483" s="92">
        <v>3.1251657000000002</v>
      </c>
      <c r="R483">
        <v>10</v>
      </c>
      <c r="S483">
        <v>1000</v>
      </c>
      <c r="T483" s="4">
        <v>328.43039476330199</v>
      </c>
      <c r="U483">
        <f t="shared" si="468"/>
        <v>3.28430394763302</v>
      </c>
      <c r="V483">
        <f t="shared" ref="V483:W483" si="505">V459</f>
        <v>3</v>
      </c>
      <c r="W483">
        <f t="shared" si="505"/>
        <v>3.2</v>
      </c>
      <c r="X483" s="9">
        <v>3.1251657000000002</v>
      </c>
    </row>
    <row r="484" spans="1:24" x14ac:dyDescent="0.2">
      <c r="A484" s="41">
        <f t="shared" si="470"/>
        <v>45859.0416666655</v>
      </c>
      <c r="B484" s="42">
        <f t="shared" si="494"/>
        <v>5000</v>
      </c>
      <c r="C484" s="8">
        <v>25000</v>
      </c>
      <c r="D484" s="8">
        <v>0</v>
      </c>
      <c r="E484" s="8">
        <v>700</v>
      </c>
      <c r="F484" s="8">
        <v>15000</v>
      </c>
      <c r="G484" s="42">
        <f t="shared" si="495"/>
        <v>2400</v>
      </c>
      <c r="H484" s="8">
        <v>25000</v>
      </c>
      <c r="I484" s="42">
        <f t="shared" si="496"/>
        <v>5000</v>
      </c>
      <c r="J484" s="8">
        <v>25000</v>
      </c>
      <c r="K484" s="42">
        <f t="shared" si="497"/>
        <v>5000</v>
      </c>
      <c r="L484" s="8">
        <v>25000</v>
      </c>
      <c r="M484" s="9">
        <v>9</v>
      </c>
      <c r="N484" s="9">
        <v>16.100000000000001</v>
      </c>
      <c r="O484" s="9">
        <v>14</v>
      </c>
      <c r="P484" s="9">
        <v>19.5</v>
      </c>
      <c r="Q484" s="92">
        <v>3.1533169999999999</v>
      </c>
      <c r="R484">
        <v>10</v>
      </c>
      <c r="S484">
        <v>1000</v>
      </c>
      <c r="T484" s="4">
        <v>318.44246167114238</v>
      </c>
      <c r="U484">
        <f t="shared" si="468"/>
        <v>3.1844246167114236</v>
      </c>
      <c r="V484">
        <f t="shared" ref="V484:W484" si="506">V460</f>
        <v>2.6</v>
      </c>
      <c r="W484">
        <f t="shared" si="506"/>
        <v>3.2</v>
      </c>
      <c r="X484" s="9">
        <v>3.1533169999999999</v>
      </c>
    </row>
    <row r="485" spans="1:24" x14ac:dyDescent="0.2">
      <c r="A485" s="41">
        <f t="shared" si="470"/>
        <v>45859.083333332164</v>
      </c>
      <c r="B485" s="42">
        <f t="shared" si="494"/>
        <v>5000</v>
      </c>
      <c r="C485" s="8">
        <v>25000</v>
      </c>
      <c r="D485" s="8">
        <v>0</v>
      </c>
      <c r="E485" s="8">
        <v>700</v>
      </c>
      <c r="F485" s="8">
        <v>15000</v>
      </c>
      <c r="G485" s="42">
        <f t="shared" si="495"/>
        <v>2400</v>
      </c>
      <c r="H485" s="8">
        <v>25000</v>
      </c>
      <c r="I485" s="42">
        <f t="shared" si="496"/>
        <v>5000</v>
      </c>
      <c r="J485" s="8">
        <v>25000</v>
      </c>
      <c r="K485" s="42">
        <f t="shared" si="497"/>
        <v>5000</v>
      </c>
      <c r="L485" s="8">
        <v>25000</v>
      </c>
      <c r="M485" s="9">
        <v>9</v>
      </c>
      <c r="N485" s="9">
        <v>16.100000000000001</v>
      </c>
      <c r="O485" s="9">
        <v>14</v>
      </c>
      <c r="P485" s="9">
        <v>19.5</v>
      </c>
      <c r="Q485" s="92">
        <v>3.1929603000000002</v>
      </c>
      <c r="R485">
        <v>10</v>
      </c>
      <c r="S485">
        <v>1000</v>
      </c>
      <c r="T485" s="4">
        <v>318.44246167114238</v>
      </c>
      <c r="U485">
        <f t="shared" si="468"/>
        <v>3.1844246167114236</v>
      </c>
      <c r="V485">
        <f t="shared" ref="V485:W485" si="507">V461</f>
        <v>2.8</v>
      </c>
      <c r="W485">
        <f t="shared" si="507"/>
        <v>3.2</v>
      </c>
      <c r="X485" s="9">
        <v>3.1929603000000002</v>
      </c>
    </row>
    <row r="486" spans="1:24" x14ac:dyDescent="0.2">
      <c r="A486" s="41">
        <f t="shared" si="470"/>
        <v>45859.124999998829</v>
      </c>
      <c r="B486" s="42">
        <f t="shared" si="494"/>
        <v>5000</v>
      </c>
      <c r="C486" s="8">
        <v>25000</v>
      </c>
      <c r="D486" s="8">
        <v>0</v>
      </c>
      <c r="E486" s="8">
        <v>700</v>
      </c>
      <c r="F486" s="8">
        <v>15000</v>
      </c>
      <c r="G486" s="42">
        <f t="shared" si="495"/>
        <v>2400</v>
      </c>
      <c r="H486" s="8">
        <v>25000</v>
      </c>
      <c r="I486" s="42">
        <f t="shared" si="496"/>
        <v>5000</v>
      </c>
      <c r="J486" s="8">
        <v>25000</v>
      </c>
      <c r="K486" s="42">
        <f t="shared" si="497"/>
        <v>5000</v>
      </c>
      <c r="L486" s="8">
        <v>25000</v>
      </c>
      <c r="M486" s="9">
        <v>9</v>
      </c>
      <c r="N486" s="9">
        <v>16.100000000000001</v>
      </c>
      <c r="O486" s="9">
        <v>14</v>
      </c>
      <c r="P486" s="9">
        <v>19.5</v>
      </c>
      <c r="Q486" s="92">
        <v>3.2240991999999999</v>
      </c>
      <c r="R486">
        <v>10</v>
      </c>
      <c r="S486">
        <v>1000</v>
      </c>
      <c r="T486" s="4">
        <v>396.47318895363924</v>
      </c>
      <c r="U486">
        <f t="shared" si="468"/>
        <v>3.9647318895363926</v>
      </c>
      <c r="V486">
        <f t="shared" ref="V486:W486" si="508">V462</f>
        <v>2.7</v>
      </c>
      <c r="W486">
        <f t="shared" si="508"/>
        <v>3.2</v>
      </c>
      <c r="X486" s="9">
        <v>3.2240991999999999</v>
      </c>
    </row>
    <row r="487" spans="1:24" x14ac:dyDescent="0.2">
      <c r="A487" s="41">
        <f t="shared" si="470"/>
        <v>45859.166666665493</v>
      </c>
      <c r="B487" s="42">
        <f t="shared" si="494"/>
        <v>5000</v>
      </c>
      <c r="C487" s="8">
        <v>25000</v>
      </c>
      <c r="D487" s="8">
        <v>0</v>
      </c>
      <c r="E487" s="8">
        <v>700</v>
      </c>
      <c r="F487" s="8">
        <v>15000</v>
      </c>
      <c r="G487" s="42">
        <f t="shared" si="495"/>
        <v>2400</v>
      </c>
      <c r="H487" s="8">
        <v>25000</v>
      </c>
      <c r="I487" s="42">
        <f t="shared" si="496"/>
        <v>5000</v>
      </c>
      <c r="J487" s="8">
        <v>25000</v>
      </c>
      <c r="K487" s="42">
        <f t="shared" si="497"/>
        <v>5000</v>
      </c>
      <c r="L487" s="8">
        <v>25000</v>
      </c>
      <c r="M487" s="9">
        <v>9</v>
      </c>
      <c r="N487" s="9">
        <v>16.100000000000001</v>
      </c>
      <c r="O487" s="9">
        <v>14</v>
      </c>
      <c r="P487" s="9">
        <v>19.5</v>
      </c>
      <c r="Q487" s="92">
        <v>3.2385006000000001</v>
      </c>
      <c r="R487">
        <v>10</v>
      </c>
      <c r="S487">
        <v>1000</v>
      </c>
      <c r="T487" s="4">
        <v>466.70084350788647</v>
      </c>
      <c r="U487">
        <f t="shared" si="468"/>
        <v>4.6670084350788645</v>
      </c>
      <c r="V487">
        <f t="shared" ref="V487:W487" si="509">V463</f>
        <v>3</v>
      </c>
      <c r="W487">
        <f t="shared" si="509"/>
        <v>3.1</v>
      </c>
      <c r="X487" s="9">
        <v>3.2385006000000001</v>
      </c>
    </row>
    <row r="488" spans="1:24" x14ac:dyDescent="0.2">
      <c r="A488" s="41">
        <f t="shared" si="470"/>
        <v>45859.208333332157</v>
      </c>
      <c r="B488" s="42">
        <f t="shared" si="494"/>
        <v>5000</v>
      </c>
      <c r="C488" s="8">
        <v>25000</v>
      </c>
      <c r="D488" s="8">
        <v>0</v>
      </c>
      <c r="E488" s="8">
        <v>700</v>
      </c>
      <c r="F488" s="8">
        <v>15000</v>
      </c>
      <c r="G488" s="42">
        <f t="shared" si="495"/>
        <v>2400</v>
      </c>
      <c r="H488" s="8">
        <v>25000</v>
      </c>
      <c r="I488" s="42">
        <f t="shared" si="496"/>
        <v>5000</v>
      </c>
      <c r="J488" s="8">
        <v>25000</v>
      </c>
      <c r="K488" s="42">
        <f t="shared" si="497"/>
        <v>5000</v>
      </c>
      <c r="L488" s="8">
        <v>25000</v>
      </c>
      <c r="M488" s="9">
        <v>9</v>
      </c>
      <c r="N488" s="9">
        <v>16.100000000000001</v>
      </c>
      <c r="O488" s="9">
        <v>14</v>
      </c>
      <c r="P488" s="9">
        <v>19.5</v>
      </c>
      <c r="Q488" s="92">
        <v>3.2921939</v>
      </c>
      <c r="R488">
        <v>10</v>
      </c>
      <c r="S488">
        <v>1000</v>
      </c>
      <c r="T488" s="4">
        <v>466.70084350788647</v>
      </c>
      <c r="U488">
        <f t="shared" si="468"/>
        <v>4.6670084350788645</v>
      </c>
      <c r="V488">
        <f t="shared" ref="V488:W488" si="510">V464</f>
        <v>2.9</v>
      </c>
      <c r="W488">
        <f t="shared" si="510"/>
        <v>3.1</v>
      </c>
      <c r="X488" s="9">
        <v>3.2921939</v>
      </c>
    </row>
    <row r="489" spans="1:24" x14ac:dyDescent="0.2">
      <c r="A489" s="41">
        <f t="shared" si="470"/>
        <v>45859.249999998821</v>
      </c>
      <c r="B489" s="42">
        <f t="shared" si="494"/>
        <v>8000</v>
      </c>
      <c r="C489" s="8">
        <v>25000</v>
      </c>
      <c r="D489" s="8">
        <v>0</v>
      </c>
      <c r="E489" s="8">
        <v>700</v>
      </c>
      <c r="F489" s="8">
        <v>15000</v>
      </c>
      <c r="G489" s="42">
        <f t="shared" si="495"/>
        <v>2400</v>
      </c>
      <c r="H489" s="8">
        <v>25000</v>
      </c>
      <c r="I489" s="42">
        <f t="shared" si="496"/>
        <v>8000</v>
      </c>
      <c r="J489" s="8">
        <v>25000</v>
      </c>
      <c r="K489" s="42">
        <f t="shared" si="497"/>
        <v>8000</v>
      </c>
      <c r="L489" s="8">
        <v>25000</v>
      </c>
      <c r="M489" s="9">
        <v>9</v>
      </c>
      <c r="N489" s="9">
        <v>16.100000000000001</v>
      </c>
      <c r="O489" s="9">
        <v>14</v>
      </c>
      <c r="P489" s="9">
        <v>19.5</v>
      </c>
      <c r="Q489" s="92">
        <v>3.3545598999999999</v>
      </c>
      <c r="R489">
        <v>10</v>
      </c>
      <c r="S489">
        <v>1000</v>
      </c>
      <c r="T489" s="4">
        <v>362.76391476760062</v>
      </c>
      <c r="U489">
        <f t="shared" si="468"/>
        <v>3.6276391476760064</v>
      </c>
      <c r="V489">
        <f t="shared" ref="V489:W489" si="511">V465</f>
        <v>2.5</v>
      </c>
      <c r="W489">
        <f t="shared" si="511"/>
        <v>3.1</v>
      </c>
      <c r="X489" s="9">
        <v>3.3545598999999999</v>
      </c>
    </row>
    <row r="490" spans="1:24" x14ac:dyDescent="0.2">
      <c r="A490" s="41">
        <f t="shared" si="470"/>
        <v>45859.291666665486</v>
      </c>
      <c r="B490" s="42">
        <f t="shared" si="494"/>
        <v>8000</v>
      </c>
      <c r="C490" s="8">
        <v>25000</v>
      </c>
      <c r="D490" s="8">
        <v>0</v>
      </c>
      <c r="E490" s="8">
        <v>700</v>
      </c>
      <c r="F490" s="8">
        <v>15000</v>
      </c>
      <c r="G490" s="42">
        <f t="shared" si="495"/>
        <v>2400</v>
      </c>
      <c r="H490" s="8">
        <v>25000</v>
      </c>
      <c r="I490" s="42">
        <f t="shared" si="496"/>
        <v>8000</v>
      </c>
      <c r="J490" s="8">
        <v>25000</v>
      </c>
      <c r="K490" s="42">
        <f t="shared" si="497"/>
        <v>8000</v>
      </c>
      <c r="L490" s="8">
        <v>25000</v>
      </c>
      <c r="M490" s="9">
        <v>9</v>
      </c>
      <c r="N490" s="9">
        <v>16.100000000000001</v>
      </c>
      <c r="O490" s="9">
        <v>14</v>
      </c>
      <c r="P490" s="9">
        <v>19.5</v>
      </c>
      <c r="Q490" s="92">
        <v>3.3548030999999998</v>
      </c>
      <c r="R490">
        <v>10</v>
      </c>
      <c r="S490">
        <v>1000</v>
      </c>
      <c r="T490" s="4">
        <v>369.00637295020039</v>
      </c>
      <c r="U490">
        <f t="shared" si="468"/>
        <v>3.690063729502004</v>
      </c>
      <c r="V490">
        <f t="shared" ref="V490:W490" si="512">V466</f>
        <v>2.5</v>
      </c>
      <c r="W490">
        <f t="shared" si="512"/>
        <v>3.1</v>
      </c>
      <c r="X490" s="9">
        <v>3.3548030999999998</v>
      </c>
    </row>
    <row r="491" spans="1:24" x14ac:dyDescent="0.2">
      <c r="A491" s="41">
        <f t="shared" si="470"/>
        <v>45859.33333333215</v>
      </c>
      <c r="B491" s="42">
        <f t="shared" si="494"/>
        <v>8000</v>
      </c>
      <c r="C491" s="8">
        <v>25000</v>
      </c>
      <c r="D491" s="8">
        <v>0</v>
      </c>
      <c r="E491" s="8">
        <v>700</v>
      </c>
      <c r="F491" s="8">
        <v>15000</v>
      </c>
      <c r="G491" s="42">
        <f t="shared" si="495"/>
        <v>2400</v>
      </c>
      <c r="H491" s="8">
        <v>25000</v>
      </c>
      <c r="I491" s="42">
        <f t="shared" si="496"/>
        <v>8000</v>
      </c>
      <c r="J491" s="8">
        <v>25000</v>
      </c>
      <c r="K491" s="42">
        <f t="shared" si="497"/>
        <v>8000</v>
      </c>
      <c r="L491" s="8">
        <v>25000</v>
      </c>
      <c r="M491" s="9">
        <v>9</v>
      </c>
      <c r="N491" s="9">
        <v>16.100000000000001</v>
      </c>
      <c r="O491" s="9">
        <v>14</v>
      </c>
      <c r="P491" s="9">
        <v>19.5</v>
      </c>
      <c r="Q491" s="92">
        <v>3.3969695999999998</v>
      </c>
      <c r="R491">
        <v>10</v>
      </c>
      <c r="S491">
        <v>1000</v>
      </c>
      <c r="T491" s="4">
        <v>386.17313295234976</v>
      </c>
      <c r="U491">
        <f t="shared" si="468"/>
        <v>3.8617313295234976</v>
      </c>
      <c r="V491">
        <f t="shared" ref="V491:W491" si="513">V467</f>
        <v>3.2</v>
      </c>
      <c r="W491">
        <f t="shared" si="513"/>
        <v>3</v>
      </c>
      <c r="X491" s="9">
        <v>3.3969695999999998</v>
      </c>
    </row>
    <row r="492" spans="1:24" x14ac:dyDescent="0.2">
      <c r="A492" s="41">
        <f t="shared" si="470"/>
        <v>45859.374999998814</v>
      </c>
      <c r="B492" s="42">
        <f t="shared" si="494"/>
        <v>8000</v>
      </c>
      <c r="C492" s="8">
        <v>25000</v>
      </c>
      <c r="D492" s="8">
        <v>0</v>
      </c>
      <c r="E492" s="8">
        <v>700</v>
      </c>
      <c r="F492" s="8">
        <v>15000</v>
      </c>
      <c r="G492" s="42">
        <f t="shared" si="495"/>
        <v>2400</v>
      </c>
      <c r="H492" s="8">
        <v>25000</v>
      </c>
      <c r="I492" s="42">
        <f t="shared" si="496"/>
        <v>8000</v>
      </c>
      <c r="J492" s="8">
        <v>25000</v>
      </c>
      <c r="K492" s="42">
        <f t="shared" si="497"/>
        <v>8000</v>
      </c>
      <c r="L492" s="8">
        <v>25000</v>
      </c>
      <c r="M492" s="9">
        <v>9</v>
      </c>
      <c r="N492" s="9">
        <v>16.100000000000001</v>
      </c>
      <c r="O492" s="9">
        <v>14</v>
      </c>
      <c r="P492" s="9">
        <v>19.5</v>
      </c>
      <c r="Q492" s="92">
        <v>3.4665666000000002</v>
      </c>
      <c r="R492">
        <v>10</v>
      </c>
      <c r="S492">
        <v>1000</v>
      </c>
      <c r="T492" s="4">
        <v>364.32452931325059</v>
      </c>
      <c r="U492">
        <f t="shared" si="468"/>
        <v>3.6432452931325061</v>
      </c>
      <c r="V492">
        <f t="shared" ref="V492:W492" si="514">V468</f>
        <v>2.9</v>
      </c>
      <c r="W492">
        <f t="shared" si="514"/>
        <v>3</v>
      </c>
      <c r="X492" s="9">
        <v>3.4665666000000002</v>
      </c>
    </row>
    <row r="493" spans="1:24" x14ac:dyDescent="0.2">
      <c r="A493" s="41">
        <f t="shared" si="470"/>
        <v>45859.416666665478</v>
      </c>
      <c r="B493" s="42">
        <f t="shared" si="494"/>
        <v>8000</v>
      </c>
      <c r="C493" s="8">
        <v>25000</v>
      </c>
      <c r="D493" s="8">
        <v>0</v>
      </c>
      <c r="E493" s="8">
        <v>700</v>
      </c>
      <c r="F493" s="8">
        <v>15000</v>
      </c>
      <c r="G493" s="42">
        <f t="shared" si="495"/>
        <v>2400</v>
      </c>
      <c r="H493" s="8">
        <v>25000</v>
      </c>
      <c r="I493" s="42">
        <f t="shared" si="496"/>
        <v>8000</v>
      </c>
      <c r="J493" s="8">
        <v>25000</v>
      </c>
      <c r="K493" s="42">
        <f t="shared" si="497"/>
        <v>8000</v>
      </c>
      <c r="L493" s="8">
        <v>25000</v>
      </c>
      <c r="M493" s="9">
        <v>9</v>
      </c>
      <c r="N493" s="9">
        <v>16.100000000000001</v>
      </c>
      <c r="O493" s="9">
        <v>14</v>
      </c>
      <c r="P493" s="9">
        <v>19.5</v>
      </c>
      <c r="Q493" s="92">
        <v>3.4711069999999999</v>
      </c>
      <c r="R493">
        <v>10</v>
      </c>
      <c r="S493">
        <v>1000</v>
      </c>
      <c r="T493" s="4">
        <v>343.41229440154143</v>
      </c>
      <c r="U493">
        <f t="shared" si="468"/>
        <v>3.4341229440154142</v>
      </c>
      <c r="V493">
        <f t="shared" ref="V493:W493" si="515">V469</f>
        <v>2.9</v>
      </c>
      <c r="W493">
        <f t="shared" si="515"/>
        <v>3</v>
      </c>
      <c r="X493" s="9">
        <v>3.4711069999999999</v>
      </c>
    </row>
    <row r="494" spans="1:24" x14ac:dyDescent="0.2">
      <c r="A494" s="41">
        <f t="shared" si="470"/>
        <v>45859.458333332143</v>
      </c>
      <c r="B494" s="42">
        <f t="shared" si="494"/>
        <v>8000</v>
      </c>
      <c r="C494" s="8">
        <v>25000</v>
      </c>
      <c r="D494" s="8">
        <v>0</v>
      </c>
      <c r="E494" s="8">
        <v>700</v>
      </c>
      <c r="F494" s="8">
        <v>15000</v>
      </c>
      <c r="G494" s="42">
        <f t="shared" si="495"/>
        <v>2400</v>
      </c>
      <c r="H494" s="8">
        <v>25000</v>
      </c>
      <c r="I494" s="42">
        <f t="shared" si="496"/>
        <v>8000</v>
      </c>
      <c r="J494" s="8">
        <v>25000</v>
      </c>
      <c r="K494" s="42">
        <f t="shared" si="497"/>
        <v>8000</v>
      </c>
      <c r="L494" s="8">
        <v>25000</v>
      </c>
      <c r="M494" s="9">
        <v>9</v>
      </c>
      <c r="N494" s="9">
        <v>16.100000000000001</v>
      </c>
      <c r="O494" s="9">
        <v>14</v>
      </c>
      <c r="P494" s="9">
        <v>19.5</v>
      </c>
      <c r="Q494" s="92">
        <v>3.3187902</v>
      </c>
      <c r="R494">
        <v>10</v>
      </c>
      <c r="S494">
        <v>1000</v>
      </c>
      <c r="T494" s="4">
        <v>340.29106531024155</v>
      </c>
      <c r="U494">
        <f t="shared" si="468"/>
        <v>3.4029106531024156</v>
      </c>
      <c r="V494">
        <f t="shared" ref="V494:W494" si="516">V470</f>
        <v>3.4</v>
      </c>
      <c r="W494">
        <f t="shared" si="516"/>
        <v>3</v>
      </c>
      <c r="X494" s="9">
        <v>3.3187902</v>
      </c>
    </row>
    <row r="495" spans="1:24" x14ac:dyDescent="0.2">
      <c r="A495" s="41">
        <f t="shared" si="470"/>
        <v>45859.499999998807</v>
      </c>
      <c r="B495" s="42">
        <f t="shared" si="494"/>
        <v>8000</v>
      </c>
      <c r="C495" s="8">
        <v>25000</v>
      </c>
      <c r="D495" s="8">
        <v>0</v>
      </c>
      <c r="E495" s="8">
        <v>700</v>
      </c>
      <c r="F495" s="8">
        <v>15000</v>
      </c>
      <c r="G495" s="42">
        <f t="shared" si="495"/>
        <v>2400</v>
      </c>
      <c r="H495" s="8">
        <v>25000</v>
      </c>
      <c r="I495" s="42">
        <f t="shared" si="496"/>
        <v>8000</v>
      </c>
      <c r="J495" s="8">
        <v>25000</v>
      </c>
      <c r="K495" s="42">
        <f t="shared" si="497"/>
        <v>8000</v>
      </c>
      <c r="L495" s="8">
        <v>25000</v>
      </c>
      <c r="M495" s="9">
        <v>9</v>
      </c>
      <c r="N495" s="9">
        <v>16.100000000000001</v>
      </c>
      <c r="O495" s="9">
        <v>14</v>
      </c>
      <c r="P495" s="9">
        <v>19.5</v>
      </c>
      <c r="Q495" s="92">
        <v>3.1329349999999998</v>
      </c>
      <c r="R495">
        <v>10</v>
      </c>
      <c r="S495">
        <v>1000</v>
      </c>
      <c r="T495" s="4">
        <v>369.94274167759033</v>
      </c>
      <c r="U495">
        <f t="shared" si="468"/>
        <v>3.6994274167759031</v>
      </c>
      <c r="V495">
        <f t="shared" ref="V495:W495" si="517">V471</f>
        <v>3.1</v>
      </c>
      <c r="W495">
        <f t="shared" si="517"/>
        <v>2.9</v>
      </c>
      <c r="X495" s="9">
        <v>3.1329349999999998</v>
      </c>
    </row>
    <row r="496" spans="1:24" x14ac:dyDescent="0.2">
      <c r="A496" s="41">
        <f t="shared" si="470"/>
        <v>45859.541666665471</v>
      </c>
      <c r="B496" s="42">
        <f t="shared" si="494"/>
        <v>8000</v>
      </c>
      <c r="C496" s="8">
        <v>25000</v>
      </c>
      <c r="D496" s="8">
        <v>0</v>
      </c>
      <c r="E496" s="8">
        <v>700</v>
      </c>
      <c r="F496" s="8">
        <v>15000</v>
      </c>
      <c r="G496" s="42">
        <f t="shared" si="495"/>
        <v>2400</v>
      </c>
      <c r="H496" s="8">
        <v>25000</v>
      </c>
      <c r="I496" s="42">
        <f t="shared" si="496"/>
        <v>8000</v>
      </c>
      <c r="J496" s="8">
        <v>25000</v>
      </c>
      <c r="K496" s="42">
        <f t="shared" si="497"/>
        <v>8000</v>
      </c>
      <c r="L496" s="8">
        <v>25000</v>
      </c>
      <c r="M496" s="9">
        <v>9</v>
      </c>
      <c r="N496" s="9">
        <v>16.100000000000001</v>
      </c>
      <c r="O496" s="9">
        <v>14</v>
      </c>
      <c r="P496" s="9">
        <v>19.5</v>
      </c>
      <c r="Q496" s="92">
        <v>2.9580188000000001</v>
      </c>
      <c r="R496">
        <v>10</v>
      </c>
      <c r="S496">
        <v>1000</v>
      </c>
      <c r="T496" s="4">
        <v>402.40414847292726</v>
      </c>
      <c r="U496">
        <f t="shared" si="468"/>
        <v>4.0240414847292723</v>
      </c>
      <c r="V496">
        <f t="shared" ref="V496:W496" si="518">V472</f>
        <v>3.2</v>
      </c>
      <c r="W496">
        <f t="shared" si="518"/>
        <v>2.9</v>
      </c>
      <c r="X496" s="9">
        <v>2.9580188000000001</v>
      </c>
    </row>
    <row r="497" spans="1:24" x14ac:dyDescent="0.2">
      <c r="A497" s="41">
        <f t="shared" si="470"/>
        <v>45859.583333332135</v>
      </c>
      <c r="B497" s="42">
        <f t="shared" si="494"/>
        <v>8000</v>
      </c>
      <c r="C497" s="8">
        <v>25000</v>
      </c>
      <c r="D497" s="8">
        <v>0</v>
      </c>
      <c r="E497" s="8">
        <v>700</v>
      </c>
      <c r="F497" s="8">
        <v>15000</v>
      </c>
      <c r="G497" s="42">
        <f t="shared" si="495"/>
        <v>2400</v>
      </c>
      <c r="H497" s="8">
        <v>25000</v>
      </c>
      <c r="I497" s="42">
        <f t="shared" si="496"/>
        <v>8000</v>
      </c>
      <c r="J497" s="8">
        <v>25000</v>
      </c>
      <c r="K497" s="42">
        <f t="shared" si="497"/>
        <v>8000</v>
      </c>
      <c r="L497" s="8">
        <v>25000</v>
      </c>
      <c r="M497" s="9">
        <v>9</v>
      </c>
      <c r="N497" s="9">
        <v>16.100000000000001</v>
      </c>
      <c r="O497" s="9">
        <v>14</v>
      </c>
      <c r="P497" s="9">
        <v>19.5</v>
      </c>
      <c r="Q497" s="92">
        <v>3.0202323999999998</v>
      </c>
      <c r="R497">
        <v>10</v>
      </c>
      <c r="S497">
        <v>1000</v>
      </c>
      <c r="T497" s="4">
        <v>655.22245637658079</v>
      </c>
      <c r="U497">
        <f t="shared" si="468"/>
        <v>6.5522245637658081</v>
      </c>
      <c r="V497">
        <f t="shared" ref="V497:W497" si="519">V473</f>
        <v>3.5</v>
      </c>
      <c r="W497">
        <f t="shared" si="519"/>
        <v>2.9</v>
      </c>
      <c r="X497" s="9">
        <v>3.0202323999999998</v>
      </c>
    </row>
    <row r="498" spans="1:24" x14ac:dyDescent="0.2">
      <c r="A498" s="41">
        <f t="shared" si="470"/>
        <v>45859.624999998799</v>
      </c>
      <c r="B498" s="42">
        <f t="shared" si="494"/>
        <v>8000</v>
      </c>
      <c r="C498" s="8">
        <v>25000</v>
      </c>
      <c r="D498" s="8">
        <v>0</v>
      </c>
      <c r="E498" s="8">
        <v>700</v>
      </c>
      <c r="F498" s="8">
        <v>15000</v>
      </c>
      <c r="G498" s="42">
        <f t="shared" si="495"/>
        <v>2400</v>
      </c>
      <c r="H498" s="8">
        <v>25000</v>
      </c>
      <c r="I498" s="42">
        <f t="shared" si="496"/>
        <v>8000</v>
      </c>
      <c r="J498" s="8">
        <v>25000</v>
      </c>
      <c r="K498" s="42">
        <f t="shared" si="497"/>
        <v>8000</v>
      </c>
      <c r="L498" s="8">
        <v>25000</v>
      </c>
      <c r="M498" s="9">
        <v>9</v>
      </c>
      <c r="N498" s="9">
        <v>16.100000000000001</v>
      </c>
      <c r="O498" s="9">
        <v>14</v>
      </c>
      <c r="P498" s="9">
        <v>19.5</v>
      </c>
      <c r="Q498" s="92">
        <v>3.3654788</v>
      </c>
      <c r="R498">
        <v>10</v>
      </c>
      <c r="S498">
        <v>1000</v>
      </c>
      <c r="T498" s="4">
        <v>753.54117275252679</v>
      </c>
      <c r="U498">
        <f t="shared" si="468"/>
        <v>7.5354117275252683</v>
      </c>
      <c r="V498">
        <f t="shared" ref="V498:W498" si="520">V474</f>
        <v>3.2</v>
      </c>
      <c r="W498">
        <f t="shared" si="520"/>
        <v>2.9</v>
      </c>
      <c r="X498" s="9">
        <v>3.3654788</v>
      </c>
    </row>
    <row r="499" spans="1:24" x14ac:dyDescent="0.2">
      <c r="A499" s="41">
        <f t="shared" si="470"/>
        <v>45859.666666665464</v>
      </c>
      <c r="B499" s="42">
        <f t="shared" si="494"/>
        <v>8000</v>
      </c>
      <c r="C499" s="8">
        <v>25000</v>
      </c>
      <c r="D499" s="8">
        <v>0</v>
      </c>
      <c r="E499" s="8">
        <v>700</v>
      </c>
      <c r="F499" s="8">
        <v>15000</v>
      </c>
      <c r="G499" s="42">
        <f t="shared" si="495"/>
        <v>2400</v>
      </c>
      <c r="H499" s="8">
        <v>25000</v>
      </c>
      <c r="I499" s="42">
        <f t="shared" si="496"/>
        <v>8000</v>
      </c>
      <c r="J499" s="8">
        <v>25000</v>
      </c>
      <c r="K499" s="42">
        <f t="shared" si="497"/>
        <v>8000</v>
      </c>
      <c r="L499" s="8">
        <v>25000</v>
      </c>
      <c r="M499" s="9">
        <v>9</v>
      </c>
      <c r="N499" s="9">
        <v>16.100000000000001</v>
      </c>
      <c r="O499" s="9">
        <v>14</v>
      </c>
      <c r="P499" s="9">
        <v>19.5</v>
      </c>
      <c r="Q499" s="92">
        <v>3.2380209</v>
      </c>
      <c r="R499">
        <v>10</v>
      </c>
      <c r="S499">
        <v>1000</v>
      </c>
      <c r="T499" s="4">
        <v>974.21206950742805</v>
      </c>
      <c r="U499">
        <f t="shared" si="468"/>
        <v>9.7421206950742807</v>
      </c>
      <c r="V499">
        <f t="shared" ref="V499:W499" si="521">V475</f>
        <v>3.5</v>
      </c>
      <c r="W499">
        <f t="shared" si="521"/>
        <v>3</v>
      </c>
      <c r="X499" s="9">
        <v>3.2380209</v>
      </c>
    </row>
    <row r="500" spans="1:24" x14ac:dyDescent="0.2">
      <c r="A500" s="41">
        <f t="shared" si="470"/>
        <v>45859.708333332128</v>
      </c>
      <c r="B500" s="42">
        <f t="shared" si="494"/>
        <v>8000</v>
      </c>
      <c r="C500" s="8">
        <v>25000</v>
      </c>
      <c r="D500" s="8">
        <v>0</v>
      </c>
      <c r="E500" s="8">
        <v>700</v>
      </c>
      <c r="F500" s="8">
        <v>15000</v>
      </c>
      <c r="G500" s="42">
        <f t="shared" si="495"/>
        <v>2400</v>
      </c>
      <c r="H500" s="8">
        <v>25000</v>
      </c>
      <c r="I500" s="42">
        <f t="shared" si="496"/>
        <v>8000</v>
      </c>
      <c r="J500" s="8">
        <v>25000</v>
      </c>
      <c r="K500" s="42">
        <f t="shared" si="497"/>
        <v>8000</v>
      </c>
      <c r="L500" s="8">
        <v>25000</v>
      </c>
      <c r="M500" s="9">
        <v>9</v>
      </c>
      <c r="N500" s="9">
        <v>16.100000000000001</v>
      </c>
      <c r="O500" s="9">
        <v>14</v>
      </c>
      <c r="P500" s="9">
        <v>19.5</v>
      </c>
      <c r="Q500" s="92">
        <v>3.1685851</v>
      </c>
      <c r="R500">
        <v>10</v>
      </c>
      <c r="S500">
        <v>1000</v>
      </c>
      <c r="T500" s="4">
        <v>1241.0771568135674</v>
      </c>
      <c r="U500">
        <f t="shared" si="468"/>
        <v>12.410771568135674</v>
      </c>
      <c r="V500">
        <f t="shared" ref="V500:W500" si="522">V476</f>
        <v>3.6</v>
      </c>
      <c r="W500">
        <f t="shared" si="522"/>
        <v>3</v>
      </c>
      <c r="X500" s="9">
        <v>3.1685851</v>
      </c>
    </row>
    <row r="501" spans="1:24" x14ac:dyDescent="0.2">
      <c r="A501" s="41">
        <f t="shared" si="470"/>
        <v>45859.749999998792</v>
      </c>
      <c r="B501" s="42">
        <f t="shared" si="494"/>
        <v>5000</v>
      </c>
      <c r="C501" s="8">
        <v>25000</v>
      </c>
      <c r="D501" s="8">
        <v>0</v>
      </c>
      <c r="E501" s="8">
        <v>700</v>
      </c>
      <c r="F501" s="8">
        <v>15000</v>
      </c>
      <c r="G501" s="42">
        <f t="shared" si="495"/>
        <v>2400</v>
      </c>
      <c r="H501" s="8">
        <v>25000</v>
      </c>
      <c r="I501" s="42">
        <f t="shared" si="496"/>
        <v>5000</v>
      </c>
      <c r="J501" s="8">
        <v>25000</v>
      </c>
      <c r="K501" s="42">
        <f t="shared" si="497"/>
        <v>5000</v>
      </c>
      <c r="L501" s="8">
        <v>25000</v>
      </c>
      <c r="M501" s="9">
        <v>9</v>
      </c>
      <c r="N501" s="9">
        <v>16.100000000000001</v>
      </c>
      <c r="O501" s="9">
        <v>14</v>
      </c>
      <c r="P501" s="9">
        <v>19.5</v>
      </c>
      <c r="Q501" s="92">
        <v>3.1572616</v>
      </c>
      <c r="R501">
        <v>10</v>
      </c>
      <c r="S501">
        <v>1000</v>
      </c>
      <c r="T501" s="4">
        <v>1284.7743640917656</v>
      </c>
      <c r="U501">
        <f t="shared" si="468"/>
        <v>12.847743640917656</v>
      </c>
      <c r="V501">
        <f t="shared" ref="V501:W501" si="523">V477</f>
        <v>2.9</v>
      </c>
      <c r="W501">
        <f t="shared" si="523"/>
        <v>3</v>
      </c>
      <c r="X501" s="9">
        <v>3.1572616</v>
      </c>
    </row>
    <row r="502" spans="1:24" x14ac:dyDescent="0.2">
      <c r="A502" s="41">
        <f t="shared" si="470"/>
        <v>45859.791666665456</v>
      </c>
      <c r="B502" s="42">
        <f t="shared" si="494"/>
        <v>5000</v>
      </c>
      <c r="C502" s="8">
        <v>25000</v>
      </c>
      <c r="D502" s="8">
        <v>0</v>
      </c>
      <c r="E502" s="8">
        <v>700</v>
      </c>
      <c r="F502" s="8">
        <v>15000</v>
      </c>
      <c r="G502" s="42">
        <f t="shared" si="495"/>
        <v>2400</v>
      </c>
      <c r="H502" s="8">
        <v>25000</v>
      </c>
      <c r="I502" s="42">
        <f t="shared" si="496"/>
        <v>5000</v>
      </c>
      <c r="J502" s="8">
        <v>25000</v>
      </c>
      <c r="K502" s="42">
        <f t="shared" si="497"/>
        <v>5000</v>
      </c>
      <c r="L502" s="8">
        <v>25000</v>
      </c>
      <c r="M502" s="9">
        <v>9</v>
      </c>
      <c r="N502" s="9">
        <v>16.100000000000001</v>
      </c>
      <c r="O502" s="9">
        <v>14</v>
      </c>
      <c r="P502" s="9">
        <v>19.5</v>
      </c>
      <c r="Q502" s="92">
        <v>3.1153629</v>
      </c>
      <c r="R502">
        <v>10</v>
      </c>
      <c r="S502">
        <v>1000</v>
      </c>
      <c r="T502" s="4">
        <v>1281.6531350004659</v>
      </c>
      <c r="U502">
        <f t="shared" si="468"/>
        <v>12.816531350004659</v>
      </c>
      <c r="V502">
        <f t="shared" ref="V502:W502" si="524">V478</f>
        <v>3</v>
      </c>
      <c r="W502">
        <f t="shared" si="524"/>
        <v>3</v>
      </c>
      <c r="X502" s="9">
        <v>3.1153629</v>
      </c>
    </row>
    <row r="503" spans="1:24" x14ac:dyDescent="0.2">
      <c r="A503" s="41">
        <f t="shared" si="470"/>
        <v>45859.833333332121</v>
      </c>
      <c r="B503" s="42">
        <f t="shared" si="494"/>
        <v>5000</v>
      </c>
      <c r="C503" s="8">
        <v>25000</v>
      </c>
      <c r="D503" s="8">
        <v>0</v>
      </c>
      <c r="E503" s="8">
        <v>700</v>
      </c>
      <c r="F503" s="8">
        <v>15000</v>
      </c>
      <c r="G503" s="42">
        <f t="shared" si="495"/>
        <v>2400</v>
      </c>
      <c r="H503" s="8">
        <v>25000</v>
      </c>
      <c r="I503" s="42">
        <f t="shared" si="496"/>
        <v>5000</v>
      </c>
      <c r="J503" s="8">
        <v>25000</v>
      </c>
      <c r="K503" s="42">
        <f t="shared" si="497"/>
        <v>5000</v>
      </c>
      <c r="L503" s="8">
        <v>25000</v>
      </c>
      <c r="M503" s="9">
        <v>9</v>
      </c>
      <c r="N503" s="9">
        <v>16.100000000000001</v>
      </c>
      <c r="O503" s="9">
        <v>14</v>
      </c>
      <c r="P503" s="9">
        <v>19.5</v>
      </c>
      <c r="Q503" s="92">
        <v>3.0770534999999999</v>
      </c>
      <c r="R503">
        <v>10</v>
      </c>
      <c r="S503">
        <v>1000</v>
      </c>
      <c r="T503" s="4">
        <v>1237.9559277222675</v>
      </c>
      <c r="U503">
        <f t="shared" si="468"/>
        <v>12.379559277222675</v>
      </c>
      <c r="V503">
        <f t="shared" ref="V503:W503" si="525">V479</f>
        <v>2.8</v>
      </c>
      <c r="W503">
        <f t="shared" si="525"/>
        <v>3.1</v>
      </c>
      <c r="X503" s="9">
        <v>3.0770534999999999</v>
      </c>
    </row>
    <row r="504" spans="1:24" x14ac:dyDescent="0.2">
      <c r="A504" s="41">
        <f t="shared" si="470"/>
        <v>45859.874999998785</v>
      </c>
      <c r="B504" s="42">
        <f t="shared" si="494"/>
        <v>5000</v>
      </c>
      <c r="C504" s="8">
        <v>25000</v>
      </c>
      <c r="D504" s="8">
        <v>0</v>
      </c>
      <c r="E504" s="8">
        <v>700</v>
      </c>
      <c r="F504" s="8">
        <v>15000</v>
      </c>
      <c r="G504" s="42">
        <f t="shared" si="495"/>
        <v>2400</v>
      </c>
      <c r="H504" s="8">
        <v>25000</v>
      </c>
      <c r="I504" s="42">
        <f t="shared" si="496"/>
        <v>5000</v>
      </c>
      <c r="J504" s="8">
        <v>25000</v>
      </c>
      <c r="K504" s="42">
        <f t="shared" si="497"/>
        <v>5000</v>
      </c>
      <c r="L504" s="8">
        <v>25000</v>
      </c>
      <c r="M504" s="9">
        <v>9</v>
      </c>
      <c r="N504" s="9">
        <v>16.100000000000001</v>
      </c>
      <c r="O504" s="9">
        <v>14</v>
      </c>
      <c r="P504" s="9">
        <v>19.5</v>
      </c>
      <c r="Q504" s="92">
        <v>3.0377347000000001</v>
      </c>
      <c r="R504">
        <v>10</v>
      </c>
      <c r="S504">
        <v>1000</v>
      </c>
      <c r="T504" s="4">
        <v>1142.7584404376212</v>
      </c>
      <c r="U504">
        <f t="shared" si="468"/>
        <v>11.427584404376212</v>
      </c>
      <c r="V504">
        <f t="shared" ref="V504:W504" si="526">V480</f>
        <v>3.5</v>
      </c>
      <c r="W504">
        <f t="shared" si="526"/>
        <v>3.1</v>
      </c>
      <c r="X504" s="9">
        <v>3.0377347000000001</v>
      </c>
    </row>
    <row r="505" spans="1:24" x14ac:dyDescent="0.2">
      <c r="A505" s="41">
        <f t="shared" si="470"/>
        <v>45859.916666665449</v>
      </c>
      <c r="B505" s="42">
        <f t="shared" si="494"/>
        <v>5000</v>
      </c>
      <c r="C505" s="8">
        <v>25000</v>
      </c>
      <c r="D505" s="8">
        <v>0</v>
      </c>
      <c r="E505" s="8">
        <v>700</v>
      </c>
      <c r="F505" s="8">
        <v>15000</v>
      </c>
      <c r="G505" s="42">
        <f t="shared" si="495"/>
        <v>2400</v>
      </c>
      <c r="H505" s="8">
        <v>25000</v>
      </c>
      <c r="I505" s="42">
        <f t="shared" si="496"/>
        <v>5000</v>
      </c>
      <c r="J505" s="8">
        <v>25000</v>
      </c>
      <c r="K505" s="42">
        <f t="shared" si="497"/>
        <v>5000</v>
      </c>
      <c r="L505" s="8">
        <v>25000</v>
      </c>
      <c r="M505" s="9">
        <v>9</v>
      </c>
      <c r="N505" s="9">
        <v>16.100000000000001</v>
      </c>
      <c r="O505" s="9">
        <v>14</v>
      </c>
      <c r="P505" s="9">
        <v>19.5</v>
      </c>
      <c r="Q505" s="92">
        <v>2.9893608</v>
      </c>
      <c r="R505">
        <v>10</v>
      </c>
      <c r="S505">
        <v>1000</v>
      </c>
      <c r="T505" s="4">
        <v>918.02994586403031</v>
      </c>
      <c r="U505">
        <f t="shared" si="468"/>
        <v>9.1802994586403024</v>
      </c>
      <c r="V505">
        <f t="shared" ref="V505:W505" si="527">V481</f>
        <v>2.9</v>
      </c>
      <c r="W505">
        <f t="shared" si="527"/>
        <v>3.1</v>
      </c>
      <c r="X505" s="9">
        <v>2.9893608</v>
      </c>
    </row>
    <row r="506" spans="1:24" x14ac:dyDescent="0.2">
      <c r="A506" s="41">
        <f t="shared" si="470"/>
        <v>45859.958333332113</v>
      </c>
      <c r="B506" s="42">
        <f t="shared" si="494"/>
        <v>5000</v>
      </c>
      <c r="C506" s="8">
        <v>25000</v>
      </c>
      <c r="D506" s="8">
        <v>0</v>
      </c>
      <c r="E506" s="8">
        <v>700</v>
      </c>
      <c r="F506" s="8">
        <v>15000</v>
      </c>
      <c r="G506" s="42">
        <f t="shared" si="495"/>
        <v>2400</v>
      </c>
      <c r="H506" s="8">
        <v>25000</v>
      </c>
      <c r="I506" s="42">
        <f t="shared" si="496"/>
        <v>5000</v>
      </c>
      <c r="J506" s="8">
        <v>25000</v>
      </c>
      <c r="K506" s="42">
        <f t="shared" si="497"/>
        <v>5000</v>
      </c>
      <c r="L506" s="8">
        <v>25000</v>
      </c>
      <c r="M506" s="9">
        <v>9</v>
      </c>
      <c r="N506" s="9">
        <v>16.100000000000001</v>
      </c>
      <c r="O506" s="9">
        <v>14</v>
      </c>
      <c r="P506" s="9">
        <v>19.5</v>
      </c>
      <c r="Q506" s="92">
        <v>2.8832080000000002</v>
      </c>
      <c r="R506">
        <v>10</v>
      </c>
      <c r="S506">
        <v>1000</v>
      </c>
      <c r="T506" s="4">
        <v>562.52257661079261</v>
      </c>
      <c r="U506">
        <f t="shared" si="468"/>
        <v>5.6252257661079259</v>
      </c>
      <c r="V506">
        <f t="shared" ref="V506:W506" si="528">V482</f>
        <v>3.6</v>
      </c>
      <c r="W506">
        <f t="shared" si="528"/>
        <v>3.1</v>
      </c>
      <c r="X506" s="9">
        <v>2.8832080000000002</v>
      </c>
    </row>
    <row r="507" spans="1:24" x14ac:dyDescent="0.2">
      <c r="A507" s="41">
        <f t="shared" si="470"/>
        <v>45859.999999998778</v>
      </c>
      <c r="B507" s="42">
        <f t="shared" si="494"/>
        <v>5000</v>
      </c>
      <c r="C507" s="8">
        <v>25000</v>
      </c>
      <c r="D507" s="8">
        <v>0</v>
      </c>
      <c r="E507" s="8">
        <v>700</v>
      </c>
      <c r="F507" s="8">
        <v>15000</v>
      </c>
      <c r="G507" s="42">
        <f t="shared" si="495"/>
        <v>2400</v>
      </c>
      <c r="H507" s="8">
        <v>25000</v>
      </c>
      <c r="I507" s="42">
        <f t="shared" si="496"/>
        <v>5000</v>
      </c>
      <c r="J507" s="8">
        <v>25000</v>
      </c>
      <c r="K507" s="42">
        <f t="shared" si="497"/>
        <v>5000</v>
      </c>
      <c r="L507" s="8">
        <v>25000</v>
      </c>
      <c r="M507" s="9">
        <v>9</v>
      </c>
      <c r="N507" s="9">
        <v>16.100000000000001</v>
      </c>
      <c r="O507" s="9">
        <v>14</v>
      </c>
      <c r="P507" s="9">
        <v>19.5</v>
      </c>
      <c r="Q507" s="92">
        <v>2.8159010000000002</v>
      </c>
      <c r="R507">
        <v>10</v>
      </c>
      <c r="S507">
        <v>1000</v>
      </c>
      <c r="T507" s="4">
        <v>328.43039476330199</v>
      </c>
      <c r="U507">
        <f t="shared" si="468"/>
        <v>3.28430394763302</v>
      </c>
      <c r="V507">
        <f t="shared" ref="V507:W507" si="529">V483</f>
        <v>3</v>
      </c>
      <c r="W507">
        <f t="shared" si="529"/>
        <v>3.2</v>
      </c>
      <c r="X507" s="9">
        <v>2.8159010000000002</v>
      </c>
    </row>
    <row r="508" spans="1:24" x14ac:dyDescent="0.2">
      <c r="A508" s="41">
        <f t="shared" si="470"/>
        <v>45860.041666665442</v>
      </c>
      <c r="B508" s="42">
        <f t="shared" si="494"/>
        <v>5000</v>
      </c>
      <c r="C508" s="8">
        <v>25000</v>
      </c>
      <c r="D508" s="8">
        <v>0</v>
      </c>
      <c r="E508" s="8">
        <v>700</v>
      </c>
      <c r="F508" s="8">
        <v>15000</v>
      </c>
      <c r="G508" s="42">
        <f t="shared" si="495"/>
        <v>2400</v>
      </c>
      <c r="H508" s="8">
        <v>25000</v>
      </c>
      <c r="I508" s="42">
        <f t="shared" si="496"/>
        <v>5000</v>
      </c>
      <c r="J508" s="8">
        <v>25000</v>
      </c>
      <c r="K508" s="42">
        <f t="shared" si="497"/>
        <v>5000</v>
      </c>
      <c r="L508" s="8">
        <v>25000</v>
      </c>
      <c r="M508" s="9">
        <v>9</v>
      </c>
      <c r="N508" s="9">
        <v>16.100000000000001</v>
      </c>
      <c r="O508" s="9">
        <v>14</v>
      </c>
      <c r="P508" s="9">
        <v>19.5</v>
      </c>
      <c r="Q508" s="92">
        <v>2.7889013</v>
      </c>
      <c r="R508">
        <v>10</v>
      </c>
      <c r="S508">
        <v>1000</v>
      </c>
      <c r="T508" s="4">
        <v>318.44246167114238</v>
      </c>
      <c r="U508">
        <f t="shared" si="468"/>
        <v>3.1844246167114236</v>
      </c>
      <c r="V508">
        <f t="shared" ref="V508:W508" si="530">V484</f>
        <v>2.6</v>
      </c>
      <c r="W508">
        <f t="shared" si="530"/>
        <v>3.2</v>
      </c>
      <c r="X508" s="9">
        <v>2.7889013</v>
      </c>
    </row>
    <row r="509" spans="1:24" x14ac:dyDescent="0.2">
      <c r="A509" s="41">
        <f t="shared" si="470"/>
        <v>45860.083333332106</v>
      </c>
      <c r="B509" s="42">
        <f t="shared" si="494"/>
        <v>5000</v>
      </c>
      <c r="C509" s="8">
        <v>25000</v>
      </c>
      <c r="D509" s="8">
        <v>0</v>
      </c>
      <c r="E509" s="8">
        <v>700</v>
      </c>
      <c r="F509" s="8">
        <v>15000</v>
      </c>
      <c r="G509" s="42">
        <f t="shared" si="495"/>
        <v>2400</v>
      </c>
      <c r="H509" s="8">
        <v>25000</v>
      </c>
      <c r="I509" s="42">
        <f t="shared" si="496"/>
        <v>5000</v>
      </c>
      <c r="J509" s="8">
        <v>25000</v>
      </c>
      <c r="K509" s="42">
        <f t="shared" si="497"/>
        <v>5000</v>
      </c>
      <c r="L509" s="8">
        <v>25000</v>
      </c>
      <c r="M509" s="9">
        <v>9</v>
      </c>
      <c r="N509" s="9">
        <v>16.100000000000001</v>
      </c>
      <c r="O509" s="9">
        <v>14</v>
      </c>
      <c r="P509" s="9">
        <v>19.5</v>
      </c>
      <c r="Q509" s="92">
        <v>2.8349934000000001</v>
      </c>
      <c r="R509">
        <v>10</v>
      </c>
      <c r="S509">
        <v>1000</v>
      </c>
      <c r="T509" s="4">
        <v>318.44246167114238</v>
      </c>
      <c r="U509">
        <f t="shared" si="468"/>
        <v>3.1844246167114236</v>
      </c>
      <c r="V509">
        <f t="shared" ref="V509:W509" si="531">V485</f>
        <v>2.8</v>
      </c>
      <c r="W509">
        <f t="shared" si="531"/>
        <v>3.2</v>
      </c>
      <c r="X509" s="9">
        <v>2.8349934000000001</v>
      </c>
    </row>
    <row r="510" spans="1:24" x14ac:dyDescent="0.2">
      <c r="A510" s="41">
        <f t="shared" si="470"/>
        <v>45860.12499999877</v>
      </c>
      <c r="B510" s="42">
        <f t="shared" si="494"/>
        <v>5000</v>
      </c>
      <c r="C510" s="8">
        <v>25000</v>
      </c>
      <c r="D510" s="8">
        <v>0</v>
      </c>
      <c r="E510" s="8">
        <v>700</v>
      </c>
      <c r="F510" s="8">
        <v>15000</v>
      </c>
      <c r="G510" s="42">
        <f t="shared" si="495"/>
        <v>2400</v>
      </c>
      <c r="H510" s="8">
        <v>25000</v>
      </c>
      <c r="I510" s="42">
        <f t="shared" si="496"/>
        <v>5000</v>
      </c>
      <c r="J510" s="8">
        <v>25000</v>
      </c>
      <c r="K510" s="42">
        <f t="shared" si="497"/>
        <v>5000</v>
      </c>
      <c r="L510" s="8">
        <v>25000</v>
      </c>
      <c r="M510" s="9">
        <v>9</v>
      </c>
      <c r="N510" s="9">
        <v>16.100000000000001</v>
      </c>
      <c r="O510" s="9">
        <v>14</v>
      </c>
      <c r="P510" s="9">
        <v>19.5</v>
      </c>
      <c r="Q510" s="92">
        <v>2.8707242000000002</v>
      </c>
      <c r="R510">
        <v>10</v>
      </c>
      <c r="S510">
        <v>1000</v>
      </c>
      <c r="T510" s="4">
        <v>396.47318895363924</v>
      </c>
      <c r="U510">
        <f t="shared" si="468"/>
        <v>3.9647318895363926</v>
      </c>
      <c r="V510">
        <f t="shared" ref="V510:W510" si="532">V486</f>
        <v>2.7</v>
      </c>
      <c r="W510">
        <f t="shared" si="532"/>
        <v>3.2</v>
      </c>
      <c r="X510" s="9">
        <v>2.8707242000000002</v>
      </c>
    </row>
    <row r="511" spans="1:24" x14ac:dyDescent="0.2">
      <c r="A511" s="41">
        <f t="shared" si="470"/>
        <v>45860.166666665435</v>
      </c>
      <c r="B511" s="42">
        <f t="shared" si="494"/>
        <v>5000</v>
      </c>
      <c r="C511" s="8">
        <v>25000</v>
      </c>
      <c r="D511" s="8">
        <v>0</v>
      </c>
      <c r="E511" s="8">
        <v>700</v>
      </c>
      <c r="F511" s="8">
        <v>15000</v>
      </c>
      <c r="G511" s="42">
        <f t="shared" si="495"/>
        <v>2400</v>
      </c>
      <c r="H511" s="8">
        <v>25000</v>
      </c>
      <c r="I511" s="42">
        <f t="shared" si="496"/>
        <v>5000</v>
      </c>
      <c r="J511" s="8">
        <v>25000</v>
      </c>
      <c r="K511" s="42">
        <f t="shared" si="497"/>
        <v>5000</v>
      </c>
      <c r="L511" s="8">
        <v>25000</v>
      </c>
      <c r="M511" s="9">
        <v>9</v>
      </c>
      <c r="N511" s="9">
        <v>16.100000000000001</v>
      </c>
      <c r="O511" s="9">
        <v>14</v>
      </c>
      <c r="P511" s="9">
        <v>19.5</v>
      </c>
      <c r="Q511" s="92">
        <v>2.8936185999999999</v>
      </c>
      <c r="R511">
        <v>10</v>
      </c>
      <c r="S511">
        <v>1000</v>
      </c>
      <c r="T511" s="4">
        <v>466.70084350788647</v>
      </c>
      <c r="U511">
        <f t="shared" si="468"/>
        <v>4.6670084350788645</v>
      </c>
      <c r="V511">
        <f t="shared" ref="V511:W511" si="533">V487</f>
        <v>3</v>
      </c>
      <c r="W511">
        <f t="shared" si="533"/>
        <v>3.1</v>
      </c>
      <c r="X511" s="9">
        <v>2.8936185999999999</v>
      </c>
    </row>
    <row r="512" spans="1:24" x14ac:dyDescent="0.2">
      <c r="A512" s="41">
        <f t="shared" si="470"/>
        <v>45860.208333332099</v>
      </c>
      <c r="B512" s="42">
        <f t="shared" si="494"/>
        <v>5000</v>
      </c>
      <c r="C512" s="8">
        <v>25000</v>
      </c>
      <c r="D512" s="8">
        <v>0</v>
      </c>
      <c r="E512" s="8">
        <v>700</v>
      </c>
      <c r="F512" s="8">
        <v>15000</v>
      </c>
      <c r="G512" s="42">
        <f t="shared" si="495"/>
        <v>2400</v>
      </c>
      <c r="H512" s="8">
        <v>25000</v>
      </c>
      <c r="I512" s="42">
        <f t="shared" si="496"/>
        <v>5000</v>
      </c>
      <c r="J512" s="8">
        <v>25000</v>
      </c>
      <c r="K512" s="42">
        <f t="shared" si="497"/>
        <v>5000</v>
      </c>
      <c r="L512" s="8">
        <v>25000</v>
      </c>
      <c r="M512" s="9">
        <v>9</v>
      </c>
      <c r="N512" s="9">
        <v>16.100000000000001</v>
      </c>
      <c r="O512" s="9">
        <v>14</v>
      </c>
      <c r="P512" s="9">
        <v>19.5</v>
      </c>
      <c r="Q512" s="92">
        <v>2.9660606</v>
      </c>
      <c r="R512">
        <v>10</v>
      </c>
      <c r="S512">
        <v>1000</v>
      </c>
      <c r="T512" s="4">
        <v>466.70084350788647</v>
      </c>
      <c r="U512">
        <f t="shared" si="468"/>
        <v>4.6670084350788645</v>
      </c>
      <c r="V512">
        <f t="shared" ref="V512:W512" si="534">V488</f>
        <v>2.9</v>
      </c>
      <c r="W512">
        <f t="shared" si="534"/>
        <v>3.1</v>
      </c>
      <c r="X512" s="9">
        <v>2.9660606</v>
      </c>
    </row>
    <row r="513" spans="1:24" x14ac:dyDescent="0.2">
      <c r="A513" s="41">
        <f t="shared" si="470"/>
        <v>45860.249999998763</v>
      </c>
      <c r="B513" s="42">
        <f t="shared" si="494"/>
        <v>8000</v>
      </c>
      <c r="C513" s="8">
        <v>25000</v>
      </c>
      <c r="D513" s="8">
        <v>0</v>
      </c>
      <c r="E513" s="8">
        <v>700</v>
      </c>
      <c r="F513" s="8">
        <v>15000</v>
      </c>
      <c r="G513" s="42">
        <f t="shared" si="495"/>
        <v>2400</v>
      </c>
      <c r="H513" s="8">
        <v>25000</v>
      </c>
      <c r="I513" s="42">
        <f t="shared" si="496"/>
        <v>8000</v>
      </c>
      <c r="J513" s="8">
        <v>25000</v>
      </c>
      <c r="K513" s="42">
        <f t="shared" si="497"/>
        <v>8000</v>
      </c>
      <c r="L513" s="8">
        <v>25000</v>
      </c>
      <c r="M513" s="9">
        <v>9</v>
      </c>
      <c r="N513" s="9">
        <v>16.100000000000001</v>
      </c>
      <c r="O513" s="9">
        <v>14</v>
      </c>
      <c r="P513" s="9">
        <v>19.5</v>
      </c>
      <c r="Q513" s="92">
        <v>3.0844893</v>
      </c>
      <c r="R513">
        <v>10</v>
      </c>
      <c r="S513">
        <v>1000</v>
      </c>
      <c r="T513" s="4">
        <v>362.76391476760062</v>
      </c>
      <c r="U513">
        <f t="shared" si="468"/>
        <v>3.6276391476760064</v>
      </c>
      <c r="V513">
        <f t="shared" ref="V513:W513" si="535">V489</f>
        <v>2.5</v>
      </c>
      <c r="W513">
        <f t="shared" si="535"/>
        <v>3.1</v>
      </c>
      <c r="X513" s="9">
        <v>3.0844893</v>
      </c>
    </row>
    <row r="514" spans="1:24" x14ac:dyDescent="0.2">
      <c r="A514" s="41">
        <f t="shared" si="470"/>
        <v>45860.291666665427</v>
      </c>
      <c r="B514" s="42">
        <f t="shared" si="494"/>
        <v>8000</v>
      </c>
      <c r="C514" s="8">
        <v>25000</v>
      </c>
      <c r="D514" s="8">
        <v>0</v>
      </c>
      <c r="E514" s="8">
        <v>700</v>
      </c>
      <c r="F514" s="8">
        <v>15000</v>
      </c>
      <c r="G514" s="42">
        <f t="shared" si="495"/>
        <v>2400</v>
      </c>
      <c r="H514" s="8">
        <v>25000</v>
      </c>
      <c r="I514" s="42">
        <f t="shared" si="496"/>
        <v>8000</v>
      </c>
      <c r="J514" s="8">
        <v>25000</v>
      </c>
      <c r="K514" s="42">
        <f t="shared" si="497"/>
        <v>8000</v>
      </c>
      <c r="L514" s="8">
        <v>25000</v>
      </c>
      <c r="M514" s="9">
        <v>9</v>
      </c>
      <c r="N514" s="9">
        <v>16.100000000000001</v>
      </c>
      <c r="O514" s="9">
        <v>14</v>
      </c>
      <c r="P514" s="9">
        <v>19.5</v>
      </c>
      <c r="Q514" s="92">
        <v>3.2220724000000001</v>
      </c>
      <c r="R514">
        <v>10</v>
      </c>
      <c r="S514">
        <v>1000</v>
      </c>
      <c r="T514" s="4">
        <v>369.00637295020039</v>
      </c>
      <c r="U514">
        <f t="shared" si="468"/>
        <v>3.690063729502004</v>
      </c>
      <c r="V514">
        <f t="shared" ref="V514:W514" si="536">V490</f>
        <v>2.5</v>
      </c>
      <c r="W514">
        <f t="shared" si="536"/>
        <v>3.1</v>
      </c>
      <c r="X514" s="9">
        <v>3.2220724000000001</v>
      </c>
    </row>
    <row r="515" spans="1:24" x14ac:dyDescent="0.2">
      <c r="A515" s="41">
        <f t="shared" si="470"/>
        <v>45860.333333332092</v>
      </c>
      <c r="B515" s="42">
        <f t="shared" si="494"/>
        <v>8000</v>
      </c>
      <c r="C515" s="8">
        <v>25000</v>
      </c>
      <c r="D515" s="8">
        <v>0</v>
      </c>
      <c r="E515" s="8">
        <v>700</v>
      </c>
      <c r="F515" s="8">
        <v>15000</v>
      </c>
      <c r="G515" s="42">
        <f t="shared" si="495"/>
        <v>2400</v>
      </c>
      <c r="H515" s="8">
        <v>25000</v>
      </c>
      <c r="I515" s="42">
        <f t="shared" si="496"/>
        <v>8000</v>
      </c>
      <c r="J515" s="8">
        <v>25000</v>
      </c>
      <c r="K515" s="42">
        <f t="shared" si="497"/>
        <v>8000</v>
      </c>
      <c r="L515" s="8">
        <v>25000</v>
      </c>
      <c r="M515" s="9">
        <v>9</v>
      </c>
      <c r="N515" s="9">
        <v>16.100000000000001</v>
      </c>
      <c r="O515" s="9">
        <v>14</v>
      </c>
      <c r="P515" s="9">
        <v>19.5</v>
      </c>
      <c r="Q515" s="92">
        <v>3.2723078999999999</v>
      </c>
      <c r="R515">
        <v>10</v>
      </c>
      <c r="S515">
        <v>1000</v>
      </c>
      <c r="T515" s="4">
        <v>386.17313295234976</v>
      </c>
      <c r="U515">
        <f t="shared" si="468"/>
        <v>3.8617313295234976</v>
      </c>
      <c r="V515">
        <f t="shared" ref="V515:W515" si="537">V491</f>
        <v>3.2</v>
      </c>
      <c r="W515">
        <f t="shared" si="537"/>
        <v>3</v>
      </c>
      <c r="X515" s="9">
        <v>3.2723078999999999</v>
      </c>
    </row>
    <row r="516" spans="1:24" x14ac:dyDescent="0.2">
      <c r="A516" s="41">
        <f t="shared" si="470"/>
        <v>45860.374999998756</v>
      </c>
      <c r="B516" s="42">
        <f t="shared" si="494"/>
        <v>8000</v>
      </c>
      <c r="C516" s="8">
        <v>25000</v>
      </c>
      <c r="D516" s="8">
        <v>0</v>
      </c>
      <c r="E516" s="8">
        <v>700</v>
      </c>
      <c r="F516" s="8">
        <v>15000</v>
      </c>
      <c r="G516" s="42">
        <f t="shared" si="495"/>
        <v>2400</v>
      </c>
      <c r="H516" s="8">
        <v>25000</v>
      </c>
      <c r="I516" s="42">
        <f t="shared" si="496"/>
        <v>8000</v>
      </c>
      <c r="J516" s="8">
        <v>25000</v>
      </c>
      <c r="K516" s="42">
        <f t="shared" si="497"/>
        <v>8000</v>
      </c>
      <c r="L516" s="8">
        <v>25000</v>
      </c>
      <c r="M516" s="9">
        <v>9</v>
      </c>
      <c r="N516" s="9">
        <v>16.100000000000001</v>
      </c>
      <c r="O516" s="9">
        <v>14</v>
      </c>
      <c r="P516" s="9">
        <v>19.5</v>
      </c>
      <c r="Q516" s="92">
        <v>3.3121296999999998</v>
      </c>
      <c r="R516">
        <v>10</v>
      </c>
      <c r="S516">
        <v>1000</v>
      </c>
      <c r="T516" s="4">
        <v>364.32452931325059</v>
      </c>
      <c r="U516">
        <f t="shared" ref="U516:U579" si="538">T516/100</f>
        <v>3.6432452931325061</v>
      </c>
      <c r="V516">
        <f t="shared" ref="V516:W516" si="539">V492</f>
        <v>2.9</v>
      </c>
      <c r="W516">
        <f t="shared" si="539"/>
        <v>3</v>
      </c>
      <c r="X516" s="9">
        <v>3.3121296999999998</v>
      </c>
    </row>
    <row r="517" spans="1:24" x14ac:dyDescent="0.2">
      <c r="A517" s="41">
        <f t="shared" ref="A517:A580" si="540">A516+TIME(1,0,0)</f>
        <v>45860.41666666542</v>
      </c>
      <c r="B517" s="42">
        <f t="shared" si="494"/>
        <v>8000</v>
      </c>
      <c r="C517" s="8">
        <v>25000</v>
      </c>
      <c r="D517" s="8">
        <v>0</v>
      </c>
      <c r="E517" s="8">
        <v>700</v>
      </c>
      <c r="F517" s="8">
        <v>15000</v>
      </c>
      <c r="G517" s="42">
        <f t="shared" si="495"/>
        <v>2400</v>
      </c>
      <c r="H517" s="8">
        <v>25000</v>
      </c>
      <c r="I517" s="42">
        <f t="shared" si="496"/>
        <v>8000</v>
      </c>
      <c r="J517" s="8">
        <v>25000</v>
      </c>
      <c r="K517" s="42">
        <f t="shared" si="497"/>
        <v>8000</v>
      </c>
      <c r="L517" s="8">
        <v>25000</v>
      </c>
      <c r="M517" s="9">
        <v>9</v>
      </c>
      <c r="N517" s="9">
        <v>16.100000000000001</v>
      </c>
      <c r="O517" s="9">
        <v>14</v>
      </c>
      <c r="P517" s="9">
        <v>19.5</v>
      </c>
      <c r="Q517" s="92">
        <v>3.3689580000000001</v>
      </c>
      <c r="R517">
        <v>10</v>
      </c>
      <c r="S517">
        <v>1000</v>
      </c>
      <c r="T517" s="4">
        <v>343.41229440154143</v>
      </c>
      <c r="U517">
        <f t="shared" si="538"/>
        <v>3.4341229440154142</v>
      </c>
      <c r="V517">
        <f t="shared" ref="V517:W517" si="541">V493</f>
        <v>2.9</v>
      </c>
      <c r="W517">
        <f t="shared" si="541"/>
        <v>3</v>
      </c>
      <c r="X517" s="9">
        <v>3.3689580000000001</v>
      </c>
    </row>
    <row r="518" spans="1:24" x14ac:dyDescent="0.2">
      <c r="A518" s="41">
        <f t="shared" si="540"/>
        <v>45860.458333332084</v>
      </c>
      <c r="B518" s="42">
        <f t="shared" si="494"/>
        <v>8000</v>
      </c>
      <c r="C518" s="8">
        <v>25000</v>
      </c>
      <c r="D518" s="8">
        <v>0</v>
      </c>
      <c r="E518" s="8">
        <v>700</v>
      </c>
      <c r="F518" s="8">
        <v>15000</v>
      </c>
      <c r="G518" s="42">
        <f t="shared" si="495"/>
        <v>2400</v>
      </c>
      <c r="H518" s="8">
        <v>25000</v>
      </c>
      <c r="I518" s="42">
        <f t="shared" si="496"/>
        <v>8000</v>
      </c>
      <c r="J518" s="8">
        <v>25000</v>
      </c>
      <c r="K518" s="42">
        <f t="shared" si="497"/>
        <v>8000</v>
      </c>
      <c r="L518" s="8">
        <v>25000</v>
      </c>
      <c r="M518" s="9">
        <v>9</v>
      </c>
      <c r="N518" s="9">
        <v>16.100000000000001</v>
      </c>
      <c r="O518" s="9">
        <v>14</v>
      </c>
      <c r="P518" s="9">
        <v>19.5</v>
      </c>
      <c r="Q518" s="92">
        <v>3.3216116000000002</v>
      </c>
      <c r="R518">
        <v>10</v>
      </c>
      <c r="S518">
        <v>1000</v>
      </c>
      <c r="T518" s="4">
        <v>340.29106531024155</v>
      </c>
      <c r="U518">
        <f t="shared" si="538"/>
        <v>3.4029106531024156</v>
      </c>
      <c r="V518">
        <f t="shared" ref="V518:W518" si="542">V494</f>
        <v>3.4</v>
      </c>
      <c r="W518">
        <f t="shared" si="542"/>
        <v>3</v>
      </c>
      <c r="X518" s="9">
        <v>3.3216116000000002</v>
      </c>
    </row>
    <row r="519" spans="1:24" x14ac:dyDescent="0.2">
      <c r="A519" s="41">
        <f t="shared" si="540"/>
        <v>45860.499999998749</v>
      </c>
      <c r="B519" s="42">
        <f t="shared" si="494"/>
        <v>8000</v>
      </c>
      <c r="C519" s="8">
        <v>25000</v>
      </c>
      <c r="D519" s="8">
        <v>0</v>
      </c>
      <c r="E519" s="8">
        <v>700</v>
      </c>
      <c r="F519" s="8">
        <v>15000</v>
      </c>
      <c r="G519" s="42">
        <f t="shared" si="495"/>
        <v>2400</v>
      </c>
      <c r="H519" s="8">
        <v>25000</v>
      </c>
      <c r="I519" s="42">
        <f t="shared" si="496"/>
        <v>8000</v>
      </c>
      <c r="J519" s="8">
        <v>25000</v>
      </c>
      <c r="K519" s="42">
        <f t="shared" si="497"/>
        <v>8000</v>
      </c>
      <c r="L519" s="8">
        <v>25000</v>
      </c>
      <c r="M519" s="9">
        <v>9</v>
      </c>
      <c r="N519" s="9">
        <v>16.100000000000001</v>
      </c>
      <c r="O519" s="9">
        <v>14</v>
      </c>
      <c r="P519" s="9">
        <v>19.5</v>
      </c>
      <c r="Q519" s="92">
        <v>3.1836430999999998</v>
      </c>
      <c r="R519">
        <v>10</v>
      </c>
      <c r="S519">
        <v>1000</v>
      </c>
      <c r="T519" s="4">
        <v>369.94274167759033</v>
      </c>
      <c r="U519">
        <f t="shared" si="538"/>
        <v>3.6994274167759031</v>
      </c>
      <c r="V519">
        <f t="shared" ref="V519:W519" si="543">V495</f>
        <v>3.1</v>
      </c>
      <c r="W519">
        <f t="shared" si="543"/>
        <v>2.9</v>
      </c>
      <c r="X519" s="9">
        <v>3.1836430999999998</v>
      </c>
    </row>
    <row r="520" spans="1:24" x14ac:dyDescent="0.2">
      <c r="A520" s="41">
        <f t="shared" si="540"/>
        <v>45860.541666665413</v>
      </c>
      <c r="B520" s="42">
        <f t="shared" si="494"/>
        <v>8000</v>
      </c>
      <c r="C520" s="8">
        <v>25000</v>
      </c>
      <c r="D520" s="8">
        <v>0</v>
      </c>
      <c r="E520" s="8">
        <v>700</v>
      </c>
      <c r="F520" s="8">
        <v>15000</v>
      </c>
      <c r="G520" s="42">
        <f t="shared" si="495"/>
        <v>2400</v>
      </c>
      <c r="H520" s="8">
        <v>25000</v>
      </c>
      <c r="I520" s="42">
        <f t="shared" si="496"/>
        <v>8000</v>
      </c>
      <c r="J520" s="8">
        <v>25000</v>
      </c>
      <c r="K520" s="42">
        <f t="shared" si="497"/>
        <v>8000</v>
      </c>
      <c r="L520" s="8">
        <v>25000</v>
      </c>
      <c r="M520" s="9">
        <v>9</v>
      </c>
      <c r="N520" s="9">
        <v>16.100000000000001</v>
      </c>
      <c r="O520" s="9">
        <v>14</v>
      </c>
      <c r="P520" s="9">
        <v>19.5</v>
      </c>
      <c r="Q520" s="92">
        <v>3.0148758999999998</v>
      </c>
      <c r="R520">
        <v>10</v>
      </c>
      <c r="S520">
        <v>1000</v>
      </c>
      <c r="T520" s="4">
        <v>402.40414847292726</v>
      </c>
      <c r="U520">
        <f t="shared" si="538"/>
        <v>4.0240414847292723</v>
      </c>
      <c r="V520">
        <f t="shared" ref="V520:W520" si="544">V496</f>
        <v>3.2</v>
      </c>
      <c r="W520">
        <f t="shared" si="544"/>
        <v>2.9</v>
      </c>
      <c r="X520" s="9">
        <v>3.0148758999999998</v>
      </c>
    </row>
    <row r="521" spans="1:24" x14ac:dyDescent="0.2">
      <c r="A521" s="41">
        <f t="shared" si="540"/>
        <v>45860.583333332077</v>
      </c>
      <c r="B521" s="42">
        <f t="shared" si="494"/>
        <v>8000</v>
      </c>
      <c r="C521" s="8">
        <v>25000</v>
      </c>
      <c r="D521" s="8">
        <v>0</v>
      </c>
      <c r="E521" s="8">
        <v>700</v>
      </c>
      <c r="F521" s="8">
        <v>15000</v>
      </c>
      <c r="G521" s="42">
        <f t="shared" si="495"/>
        <v>2400</v>
      </c>
      <c r="H521" s="8">
        <v>25000</v>
      </c>
      <c r="I521" s="42">
        <f t="shared" si="496"/>
        <v>8000</v>
      </c>
      <c r="J521" s="8">
        <v>25000</v>
      </c>
      <c r="K521" s="42">
        <f t="shared" si="497"/>
        <v>8000</v>
      </c>
      <c r="L521" s="8">
        <v>25000</v>
      </c>
      <c r="M521" s="9">
        <v>9</v>
      </c>
      <c r="N521" s="9">
        <v>16.100000000000001</v>
      </c>
      <c r="O521" s="9">
        <v>14</v>
      </c>
      <c r="P521" s="9">
        <v>19.5</v>
      </c>
      <c r="Q521" s="92">
        <v>2.9732566</v>
      </c>
      <c r="R521">
        <v>10</v>
      </c>
      <c r="S521">
        <v>1000</v>
      </c>
      <c r="T521" s="4">
        <v>655.22245637658079</v>
      </c>
      <c r="U521">
        <f t="shared" si="538"/>
        <v>6.5522245637658081</v>
      </c>
      <c r="V521">
        <f t="shared" ref="V521:W521" si="545">V497</f>
        <v>3.5</v>
      </c>
      <c r="W521">
        <f t="shared" si="545"/>
        <v>2.9</v>
      </c>
      <c r="X521" s="9">
        <v>2.9732566</v>
      </c>
    </row>
    <row r="522" spans="1:24" x14ac:dyDescent="0.2">
      <c r="A522" s="41">
        <f t="shared" si="540"/>
        <v>45860.624999998741</v>
      </c>
      <c r="B522" s="42">
        <f t="shared" si="494"/>
        <v>8000</v>
      </c>
      <c r="C522" s="8">
        <v>25000</v>
      </c>
      <c r="D522" s="8">
        <v>0</v>
      </c>
      <c r="E522" s="8">
        <v>700</v>
      </c>
      <c r="F522" s="8">
        <v>15000</v>
      </c>
      <c r="G522" s="42">
        <f t="shared" si="495"/>
        <v>2400</v>
      </c>
      <c r="H522" s="8">
        <v>25000</v>
      </c>
      <c r="I522" s="42">
        <f t="shared" si="496"/>
        <v>8000</v>
      </c>
      <c r="J522" s="8">
        <v>25000</v>
      </c>
      <c r="K522" s="42">
        <f t="shared" si="497"/>
        <v>8000</v>
      </c>
      <c r="L522" s="8">
        <v>25000</v>
      </c>
      <c r="M522" s="9">
        <v>9</v>
      </c>
      <c r="N522" s="9">
        <v>16.100000000000001</v>
      </c>
      <c r="O522" s="9">
        <v>14</v>
      </c>
      <c r="P522" s="9">
        <v>19.5</v>
      </c>
      <c r="Q522" s="92">
        <v>3.2984241999999999</v>
      </c>
      <c r="R522">
        <v>10</v>
      </c>
      <c r="S522">
        <v>1000</v>
      </c>
      <c r="T522" s="4">
        <v>753.54117275252679</v>
      </c>
      <c r="U522">
        <f t="shared" si="538"/>
        <v>7.5354117275252683</v>
      </c>
      <c r="V522">
        <f t="shared" ref="V522:W522" si="546">V498</f>
        <v>3.2</v>
      </c>
      <c r="W522">
        <f t="shared" si="546"/>
        <v>2.9</v>
      </c>
      <c r="X522" s="9">
        <v>3.2984241999999999</v>
      </c>
    </row>
    <row r="523" spans="1:24" x14ac:dyDescent="0.2">
      <c r="A523" s="41">
        <f t="shared" si="540"/>
        <v>45860.666666665406</v>
      </c>
      <c r="B523" s="42">
        <f t="shared" si="494"/>
        <v>8000</v>
      </c>
      <c r="C523" s="8">
        <v>25000</v>
      </c>
      <c r="D523" s="8">
        <v>0</v>
      </c>
      <c r="E523" s="8">
        <v>700</v>
      </c>
      <c r="F523" s="8">
        <v>15000</v>
      </c>
      <c r="G523" s="42">
        <f t="shared" si="495"/>
        <v>2400</v>
      </c>
      <c r="H523" s="8">
        <v>25000</v>
      </c>
      <c r="I523" s="42">
        <f t="shared" si="496"/>
        <v>8000</v>
      </c>
      <c r="J523" s="8">
        <v>25000</v>
      </c>
      <c r="K523" s="42">
        <f t="shared" si="497"/>
        <v>8000</v>
      </c>
      <c r="L523" s="8">
        <v>25000</v>
      </c>
      <c r="M523" s="9">
        <v>9</v>
      </c>
      <c r="N523" s="9">
        <v>16.100000000000001</v>
      </c>
      <c r="O523" s="9">
        <v>14</v>
      </c>
      <c r="P523" s="9">
        <v>19.5</v>
      </c>
      <c r="Q523" s="92">
        <v>3.2315499999999999</v>
      </c>
      <c r="R523">
        <v>10</v>
      </c>
      <c r="S523">
        <v>1000</v>
      </c>
      <c r="T523" s="4">
        <v>974.21206950742805</v>
      </c>
      <c r="U523">
        <f t="shared" si="538"/>
        <v>9.7421206950742807</v>
      </c>
      <c r="V523">
        <f t="shared" ref="V523:W523" si="547">V499</f>
        <v>3.5</v>
      </c>
      <c r="W523">
        <f t="shared" si="547"/>
        <v>3</v>
      </c>
      <c r="X523" s="9">
        <v>3.2315499999999999</v>
      </c>
    </row>
    <row r="524" spans="1:24" x14ac:dyDescent="0.2">
      <c r="A524" s="41">
        <f t="shared" si="540"/>
        <v>45860.70833333207</v>
      </c>
      <c r="B524" s="42">
        <f t="shared" si="494"/>
        <v>8000</v>
      </c>
      <c r="C524" s="8">
        <v>25000</v>
      </c>
      <c r="D524" s="8">
        <v>0</v>
      </c>
      <c r="E524" s="8">
        <v>700</v>
      </c>
      <c r="F524" s="8">
        <v>15000</v>
      </c>
      <c r="G524" s="42">
        <f t="shared" si="495"/>
        <v>2400</v>
      </c>
      <c r="H524" s="8">
        <v>25000</v>
      </c>
      <c r="I524" s="42">
        <f t="shared" si="496"/>
        <v>8000</v>
      </c>
      <c r="J524" s="8">
        <v>25000</v>
      </c>
      <c r="K524" s="42">
        <f t="shared" si="497"/>
        <v>8000</v>
      </c>
      <c r="L524" s="8">
        <v>25000</v>
      </c>
      <c r="M524" s="9">
        <v>9</v>
      </c>
      <c r="N524" s="9">
        <v>16.100000000000001</v>
      </c>
      <c r="O524" s="9">
        <v>14</v>
      </c>
      <c r="P524" s="9">
        <v>19.5</v>
      </c>
      <c r="Q524" s="92">
        <v>3.1511233000000001</v>
      </c>
      <c r="R524">
        <v>10</v>
      </c>
      <c r="S524">
        <v>1000</v>
      </c>
      <c r="T524" s="4">
        <v>1241.0771568135674</v>
      </c>
      <c r="U524">
        <f t="shared" si="538"/>
        <v>12.410771568135674</v>
      </c>
      <c r="V524">
        <f t="shared" ref="V524:W524" si="548">V500</f>
        <v>3.6</v>
      </c>
      <c r="W524">
        <f t="shared" si="548"/>
        <v>3</v>
      </c>
      <c r="X524" s="9">
        <v>3.1511233000000001</v>
      </c>
    </row>
    <row r="525" spans="1:24" x14ac:dyDescent="0.2">
      <c r="A525" s="41">
        <f t="shared" si="540"/>
        <v>45860.749999998734</v>
      </c>
      <c r="B525" s="42">
        <f t="shared" si="494"/>
        <v>5000</v>
      </c>
      <c r="C525" s="8">
        <v>25000</v>
      </c>
      <c r="D525" s="8">
        <v>0</v>
      </c>
      <c r="E525" s="8">
        <v>700</v>
      </c>
      <c r="F525" s="8">
        <v>15000</v>
      </c>
      <c r="G525" s="42">
        <f t="shared" si="495"/>
        <v>2400</v>
      </c>
      <c r="H525" s="8">
        <v>25000</v>
      </c>
      <c r="I525" s="42">
        <f t="shared" si="496"/>
        <v>5000</v>
      </c>
      <c r="J525" s="8">
        <v>25000</v>
      </c>
      <c r="K525" s="42">
        <f t="shared" si="497"/>
        <v>5000</v>
      </c>
      <c r="L525" s="8">
        <v>25000</v>
      </c>
      <c r="M525" s="9">
        <v>9</v>
      </c>
      <c r="N525" s="9">
        <v>16.100000000000001</v>
      </c>
      <c r="O525" s="9">
        <v>14</v>
      </c>
      <c r="P525" s="9">
        <v>19.5</v>
      </c>
      <c r="Q525" s="92">
        <v>3.1322350999999999</v>
      </c>
      <c r="R525">
        <v>10</v>
      </c>
      <c r="S525">
        <v>1000</v>
      </c>
      <c r="T525" s="4">
        <v>1284.7743640917656</v>
      </c>
      <c r="U525">
        <f t="shared" si="538"/>
        <v>12.847743640917656</v>
      </c>
      <c r="V525">
        <f t="shared" ref="V525:W525" si="549">V501</f>
        <v>2.9</v>
      </c>
      <c r="W525">
        <f t="shared" si="549"/>
        <v>3</v>
      </c>
      <c r="X525" s="9">
        <v>3.1322350999999999</v>
      </c>
    </row>
    <row r="526" spans="1:24" x14ac:dyDescent="0.2">
      <c r="A526" s="41">
        <f t="shared" si="540"/>
        <v>45860.791666665398</v>
      </c>
      <c r="B526" s="42">
        <f t="shared" si="494"/>
        <v>5000</v>
      </c>
      <c r="C526" s="8">
        <v>25000</v>
      </c>
      <c r="D526" s="8">
        <v>0</v>
      </c>
      <c r="E526" s="8">
        <v>700</v>
      </c>
      <c r="F526" s="8">
        <v>15000</v>
      </c>
      <c r="G526" s="42">
        <f t="shared" si="495"/>
        <v>2400</v>
      </c>
      <c r="H526" s="8">
        <v>25000</v>
      </c>
      <c r="I526" s="42">
        <f t="shared" si="496"/>
        <v>5000</v>
      </c>
      <c r="J526" s="8">
        <v>25000</v>
      </c>
      <c r="K526" s="42">
        <f t="shared" si="497"/>
        <v>5000</v>
      </c>
      <c r="L526" s="8">
        <v>25000</v>
      </c>
      <c r="M526" s="9">
        <v>9</v>
      </c>
      <c r="N526" s="9">
        <v>16.100000000000001</v>
      </c>
      <c r="O526" s="9">
        <v>14</v>
      </c>
      <c r="P526" s="9">
        <v>19.5</v>
      </c>
      <c r="Q526" s="92">
        <v>3.1002128</v>
      </c>
      <c r="R526">
        <v>10</v>
      </c>
      <c r="S526">
        <v>1000</v>
      </c>
      <c r="T526" s="4">
        <v>1281.6531350004659</v>
      </c>
      <c r="U526">
        <f t="shared" si="538"/>
        <v>12.816531350004659</v>
      </c>
      <c r="V526">
        <f t="shared" ref="V526:W526" si="550">V502</f>
        <v>3</v>
      </c>
      <c r="W526">
        <f t="shared" si="550"/>
        <v>3</v>
      </c>
      <c r="X526" s="9">
        <v>3.1002128</v>
      </c>
    </row>
    <row r="527" spans="1:24" x14ac:dyDescent="0.2">
      <c r="A527" s="41">
        <f t="shared" si="540"/>
        <v>45860.833333332062</v>
      </c>
      <c r="B527" s="42">
        <f t="shared" si="494"/>
        <v>5000</v>
      </c>
      <c r="C527" s="8">
        <v>25000</v>
      </c>
      <c r="D527" s="8">
        <v>0</v>
      </c>
      <c r="E527" s="8">
        <v>700</v>
      </c>
      <c r="F527" s="8">
        <v>15000</v>
      </c>
      <c r="G527" s="42">
        <f t="shared" si="495"/>
        <v>2400</v>
      </c>
      <c r="H527" s="8">
        <v>25000</v>
      </c>
      <c r="I527" s="42">
        <f t="shared" si="496"/>
        <v>5000</v>
      </c>
      <c r="J527" s="8">
        <v>25000</v>
      </c>
      <c r="K527" s="42">
        <f t="shared" si="497"/>
        <v>5000</v>
      </c>
      <c r="L527" s="8">
        <v>25000</v>
      </c>
      <c r="M527" s="9">
        <v>9</v>
      </c>
      <c r="N527" s="9">
        <v>16.100000000000001</v>
      </c>
      <c r="O527" s="9">
        <v>14</v>
      </c>
      <c r="P527" s="9">
        <v>19.5</v>
      </c>
      <c r="Q527" s="92">
        <v>3.0641251</v>
      </c>
      <c r="R527">
        <v>10</v>
      </c>
      <c r="S527">
        <v>1000</v>
      </c>
      <c r="T527" s="4">
        <v>1237.9559277222675</v>
      </c>
      <c r="U527">
        <f t="shared" si="538"/>
        <v>12.379559277222675</v>
      </c>
      <c r="V527">
        <f t="shared" ref="V527:W527" si="551">V503</f>
        <v>2.8</v>
      </c>
      <c r="W527">
        <f t="shared" si="551"/>
        <v>3.1</v>
      </c>
      <c r="X527" s="9">
        <v>3.0641251</v>
      </c>
    </row>
    <row r="528" spans="1:24" x14ac:dyDescent="0.2">
      <c r="A528" s="41">
        <f t="shared" si="540"/>
        <v>45860.874999998727</v>
      </c>
      <c r="B528" s="42">
        <f t="shared" si="494"/>
        <v>5000</v>
      </c>
      <c r="C528" s="8">
        <v>25000</v>
      </c>
      <c r="D528" s="8">
        <v>0</v>
      </c>
      <c r="E528" s="8">
        <v>700</v>
      </c>
      <c r="F528" s="8">
        <v>15000</v>
      </c>
      <c r="G528" s="42">
        <f t="shared" si="495"/>
        <v>2400</v>
      </c>
      <c r="H528" s="8">
        <v>25000</v>
      </c>
      <c r="I528" s="42">
        <f t="shared" si="496"/>
        <v>5000</v>
      </c>
      <c r="J528" s="8">
        <v>25000</v>
      </c>
      <c r="K528" s="42">
        <f t="shared" si="497"/>
        <v>5000</v>
      </c>
      <c r="L528" s="8">
        <v>25000</v>
      </c>
      <c r="M528" s="9">
        <v>9</v>
      </c>
      <c r="N528" s="9">
        <v>16.100000000000001</v>
      </c>
      <c r="O528" s="9">
        <v>14</v>
      </c>
      <c r="P528" s="9">
        <v>19.5</v>
      </c>
      <c r="Q528" s="92">
        <v>3.0357854</v>
      </c>
      <c r="R528">
        <v>10</v>
      </c>
      <c r="S528">
        <v>1000</v>
      </c>
      <c r="T528" s="4">
        <v>1142.7584404376212</v>
      </c>
      <c r="U528">
        <f t="shared" si="538"/>
        <v>11.427584404376212</v>
      </c>
      <c r="V528">
        <f t="shared" ref="V528:W528" si="552">V504</f>
        <v>3.5</v>
      </c>
      <c r="W528">
        <f t="shared" si="552"/>
        <v>3.1</v>
      </c>
      <c r="X528" s="9">
        <v>3.0357854</v>
      </c>
    </row>
    <row r="529" spans="1:24" x14ac:dyDescent="0.2">
      <c r="A529" s="41">
        <f t="shared" si="540"/>
        <v>45860.916666665391</v>
      </c>
      <c r="B529" s="42">
        <f t="shared" si="494"/>
        <v>5000</v>
      </c>
      <c r="C529" s="8">
        <v>25000</v>
      </c>
      <c r="D529" s="8">
        <v>0</v>
      </c>
      <c r="E529" s="8">
        <v>700</v>
      </c>
      <c r="F529" s="8">
        <v>15000</v>
      </c>
      <c r="G529" s="42">
        <f t="shared" si="495"/>
        <v>2400</v>
      </c>
      <c r="H529" s="8">
        <v>25000</v>
      </c>
      <c r="I529" s="42">
        <f t="shared" si="496"/>
        <v>5000</v>
      </c>
      <c r="J529" s="8">
        <v>25000</v>
      </c>
      <c r="K529" s="42">
        <f t="shared" si="497"/>
        <v>5000</v>
      </c>
      <c r="L529" s="8">
        <v>25000</v>
      </c>
      <c r="M529" s="9">
        <v>9</v>
      </c>
      <c r="N529" s="9">
        <v>16.100000000000001</v>
      </c>
      <c r="O529" s="9">
        <v>14</v>
      </c>
      <c r="P529" s="9">
        <v>19.5</v>
      </c>
      <c r="Q529" s="92">
        <v>3.0061977</v>
      </c>
      <c r="R529">
        <v>10</v>
      </c>
      <c r="S529">
        <v>1000</v>
      </c>
      <c r="T529" s="4">
        <v>918.02994586403031</v>
      </c>
      <c r="U529">
        <f t="shared" si="538"/>
        <v>9.1802994586403024</v>
      </c>
      <c r="V529">
        <f t="shared" ref="V529:W529" si="553">V505</f>
        <v>2.9</v>
      </c>
      <c r="W529">
        <f t="shared" si="553"/>
        <v>3.1</v>
      </c>
      <c r="X529" s="9">
        <v>3.0061977</v>
      </c>
    </row>
    <row r="530" spans="1:24" x14ac:dyDescent="0.2">
      <c r="A530" s="41">
        <f t="shared" si="540"/>
        <v>45860.958333332055</v>
      </c>
      <c r="B530" s="42">
        <f t="shared" si="494"/>
        <v>5000</v>
      </c>
      <c r="C530" s="8">
        <v>25000</v>
      </c>
      <c r="D530" s="8">
        <v>0</v>
      </c>
      <c r="E530" s="8">
        <v>700</v>
      </c>
      <c r="F530" s="8">
        <v>15000</v>
      </c>
      <c r="G530" s="42">
        <f t="shared" si="495"/>
        <v>2400</v>
      </c>
      <c r="H530" s="8">
        <v>25000</v>
      </c>
      <c r="I530" s="42">
        <f t="shared" si="496"/>
        <v>5000</v>
      </c>
      <c r="J530" s="8">
        <v>25000</v>
      </c>
      <c r="K530" s="42">
        <f t="shared" si="497"/>
        <v>5000</v>
      </c>
      <c r="L530" s="8">
        <v>25000</v>
      </c>
      <c r="M530" s="9">
        <v>9</v>
      </c>
      <c r="N530" s="9">
        <v>16.100000000000001</v>
      </c>
      <c r="O530" s="9">
        <v>14</v>
      </c>
      <c r="P530" s="9">
        <v>19.5</v>
      </c>
      <c r="Q530" s="92">
        <v>2.9136994000000001</v>
      </c>
      <c r="R530">
        <v>10</v>
      </c>
      <c r="S530">
        <v>1000</v>
      </c>
      <c r="T530" s="4">
        <v>562.52257661079261</v>
      </c>
      <c r="U530">
        <f t="shared" si="538"/>
        <v>5.6252257661079259</v>
      </c>
      <c r="V530">
        <f t="shared" ref="V530:W530" si="554">V506</f>
        <v>3.6</v>
      </c>
      <c r="W530">
        <f t="shared" si="554"/>
        <v>3.1</v>
      </c>
      <c r="X530" s="9">
        <v>2.9136994000000001</v>
      </c>
    </row>
    <row r="531" spans="1:24" x14ac:dyDescent="0.2">
      <c r="A531" s="41">
        <f t="shared" si="540"/>
        <v>45860.999999998719</v>
      </c>
      <c r="B531" s="42">
        <f t="shared" si="494"/>
        <v>5000</v>
      </c>
      <c r="C531" s="8">
        <v>25000</v>
      </c>
      <c r="D531" s="8">
        <v>0</v>
      </c>
      <c r="E531" s="8">
        <v>700</v>
      </c>
      <c r="F531" s="8">
        <v>15000</v>
      </c>
      <c r="G531" s="42">
        <f t="shared" si="495"/>
        <v>2400</v>
      </c>
      <c r="H531" s="8">
        <v>25000</v>
      </c>
      <c r="I531" s="42">
        <f t="shared" si="496"/>
        <v>5000</v>
      </c>
      <c r="J531" s="8">
        <v>25000</v>
      </c>
      <c r="K531" s="42">
        <f t="shared" si="497"/>
        <v>5000</v>
      </c>
      <c r="L531" s="8">
        <v>25000</v>
      </c>
      <c r="M531" s="9">
        <v>9</v>
      </c>
      <c r="N531" s="9">
        <v>16.100000000000001</v>
      </c>
      <c r="O531" s="9">
        <v>14</v>
      </c>
      <c r="P531" s="9">
        <v>19.5</v>
      </c>
      <c r="Q531" s="92">
        <v>2.8204486000000002</v>
      </c>
      <c r="R531">
        <v>10</v>
      </c>
      <c r="S531">
        <v>1000</v>
      </c>
      <c r="T531" s="4">
        <v>328.43039476330199</v>
      </c>
      <c r="U531">
        <f t="shared" si="538"/>
        <v>3.28430394763302</v>
      </c>
      <c r="V531">
        <f t="shared" ref="V531:W531" si="555">V507</f>
        <v>3</v>
      </c>
      <c r="W531">
        <f t="shared" si="555"/>
        <v>3.2</v>
      </c>
      <c r="X531" s="9">
        <v>2.8204486000000002</v>
      </c>
    </row>
    <row r="532" spans="1:24" x14ac:dyDescent="0.2">
      <c r="A532" s="41">
        <f t="shared" si="540"/>
        <v>45861.041666665384</v>
      </c>
      <c r="B532" s="42">
        <f t="shared" si="494"/>
        <v>5000</v>
      </c>
      <c r="C532" s="8">
        <v>25000</v>
      </c>
      <c r="D532" s="8">
        <v>0</v>
      </c>
      <c r="E532" s="8">
        <v>700</v>
      </c>
      <c r="F532" s="8">
        <v>15000</v>
      </c>
      <c r="G532" s="42">
        <f t="shared" si="495"/>
        <v>2400</v>
      </c>
      <c r="H532" s="8">
        <v>25000</v>
      </c>
      <c r="I532" s="42">
        <f t="shared" si="496"/>
        <v>5000</v>
      </c>
      <c r="J532" s="8">
        <v>25000</v>
      </c>
      <c r="K532" s="42">
        <f t="shared" si="497"/>
        <v>5000</v>
      </c>
      <c r="L532" s="8">
        <v>25000</v>
      </c>
      <c r="M532" s="9">
        <v>9</v>
      </c>
      <c r="N532" s="9">
        <v>16.100000000000001</v>
      </c>
      <c r="O532" s="9">
        <v>14</v>
      </c>
      <c r="P532" s="9">
        <v>19.5</v>
      </c>
      <c r="Q532" s="92">
        <v>2.7464726000000002</v>
      </c>
      <c r="R532">
        <v>10</v>
      </c>
      <c r="S532">
        <v>1000</v>
      </c>
      <c r="T532" s="4">
        <v>318.44246167114238</v>
      </c>
      <c r="U532">
        <f t="shared" si="538"/>
        <v>3.1844246167114236</v>
      </c>
      <c r="V532">
        <f t="shared" ref="V532:W532" si="556">V508</f>
        <v>2.6</v>
      </c>
      <c r="W532">
        <f t="shared" si="556"/>
        <v>3.2</v>
      </c>
      <c r="X532" s="9">
        <v>2.7464726000000002</v>
      </c>
    </row>
    <row r="533" spans="1:24" x14ac:dyDescent="0.2">
      <c r="A533" s="41">
        <f t="shared" si="540"/>
        <v>45861.083333332048</v>
      </c>
      <c r="B533" s="42">
        <f t="shared" si="494"/>
        <v>5000</v>
      </c>
      <c r="C533" s="8">
        <v>25000</v>
      </c>
      <c r="D533" s="8">
        <v>0</v>
      </c>
      <c r="E533" s="8">
        <v>700</v>
      </c>
      <c r="F533" s="8">
        <v>15000</v>
      </c>
      <c r="G533" s="42">
        <f t="shared" si="495"/>
        <v>2400</v>
      </c>
      <c r="H533" s="8">
        <v>25000</v>
      </c>
      <c r="I533" s="42">
        <f t="shared" si="496"/>
        <v>5000</v>
      </c>
      <c r="J533" s="8">
        <v>25000</v>
      </c>
      <c r="K533" s="42">
        <f t="shared" si="497"/>
        <v>5000</v>
      </c>
      <c r="L533" s="8">
        <v>25000</v>
      </c>
      <c r="M533" s="9">
        <v>9</v>
      </c>
      <c r="N533" s="9">
        <v>16.100000000000001</v>
      </c>
      <c r="O533" s="9">
        <v>14</v>
      </c>
      <c r="P533" s="9">
        <v>19.5</v>
      </c>
      <c r="Q533" s="92">
        <v>2.8187099</v>
      </c>
      <c r="R533">
        <v>10</v>
      </c>
      <c r="S533">
        <v>1000</v>
      </c>
      <c r="T533" s="4">
        <v>318.44246167114238</v>
      </c>
      <c r="U533">
        <f t="shared" si="538"/>
        <v>3.1844246167114236</v>
      </c>
      <c r="V533">
        <f t="shared" ref="V533:W533" si="557">V509</f>
        <v>2.8</v>
      </c>
      <c r="W533">
        <f t="shared" si="557"/>
        <v>3.2</v>
      </c>
      <c r="X533" s="9">
        <v>2.8187099</v>
      </c>
    </row>
    <row r="534" spans="1:24" x14ac:dyDescent="0.2">
      <c r="A534" s="41">
        <f t="shared" si="540"/>
        <v>45861.124999998712</v>
      </c>
      <c r="B534" s="42">
        <f t="shared" si="494"/>
        <v>5000</v>
      </c>
      <c r="C534" s="8">
        <v>25000</v>
      </c>
      <c r="D534" s="8">
        <v>0</v>
      </c>
      <c r="E534" s="8">
        <v>700</v>
      </c>
      <c r="F534" s="8">
        <v>15000</v>
      </c>
      <c r="G534" s="42">
        <f t="shared" si="495"/>
        <v>2400</v>
      </c>
      <c r="H534" s="8">
        <v>25000</v>
      </c>
      <c r="I534" s="42">
        <f t="shared" si="496"/>
        <v>5000</v>
      </c>
      <c r="J534" s="8">
        <v>25000</v>
      </c>
      <c r="K534" s="42">
        <f t="shared" si="497"/>
        <v>5000</v>
      </c>
      <c r="L534" s="8">
        <v>25000</v>
      </c>
      <c r="M534" s="9">
        <v>9</v>
      </c>
      <c r="N534" s="9">
        <v>16.100000000000001</v>
      </c>
      <c r="O534" s="9">
        <v>14</v>
      </c>
      <c r="P534" s="9">
        <v>19.5</v>
      </c>
      <c r="Q534" s="92">
        <v>2.8785938999999998</v>
      </c>
      <c r="R534">
        <v>10</v>
      </c>
      <c r="S534">
        <v>1000</v>
      </c>
      <c r="T534" s="4">
        <v>396.47318895363924</v>
      </c>
      <c r="U534">
        <f t="shared" si="538"/>
        <v>3.9647318895363926</v>
      </c>
      <c r="V534">
        <f t="shared" ref="V534:W534" si="558">V510</f>
        <v>2.7</v>
      </c>
      <c r="W534">
        <f t="shared" si="558"/>
        <v>3.2</v>
      </c>
      <c r="X534" s="9">
        <v>2.8785938999999998</v>
      </c>
    </row>
    <row r="535" spans="1:24" x14ac:dyDescent="0.2">
      <c r="A535" s="41">
        <f t="shared" si="540"/>
        <v>45861.166666665376</v>
      </c>
      <c r="B535" s="42">
        <f t="shared" si="494"/>
        <v>5000</v>
      </c>
      <c r="C535" s="8">
        <v>25000</v>
      </c>
      <c r="D535" s="8">
        <v>0</v>
      </c>
      <c r="E535" s="8">
        <v>700</v>
      </c>
      <c r="F535" s="8">
        <v>15000</v>
      </c>
      <c r="G535" s="42">
        <f t="shared" si="495"/>
        <v>2400</v>
      </c>
      <c r="H535" s="8">
        <v>25000</v>
      </c>
      <c r="I535" s="42">
        <f t="shared" si="496"/>
        <v>5000</v>
      </c>
      <c r="J535" s="8">
        <v>25000</v>
      </c>
      <c r="K535" s="42">
        <f t="shared" si="497"/>
        <v>5000</v>
      </c>
      <c r="L535" s="8">
        <v>25000</v>
      </c>
      <c r="M535" s="9">
        <v>9</v>
      </c>
      <c r="N535" s="9">
        <v>16.100000000000001</v>
      </c>
      <c r="O535" s="9">
        <v>14</v>
      </c>
      <c r="P535" s="9">
        <v>19.5</v>
      </c>
      <c r="Q535" s="92">
        <v>2.9032160999999999</v>
      </c>
      <c r="R535">
        <v>10</v>
      </c>
      <c r="S535">
        <v>1000</v>
      </c>
      <c r="T535" s="4">
        <v>466.70084350788647</v>
      </c>
      <c r="U535">
        <f t="shared" si="538"/>
        <v>4.6670084350788645</v>
      </c>
      <c r="V535">
        <f t="shared" ref="V535:W535" si="559">V511</f>
        <v>3</v>
      </c>
      <c r="W535">
        <f t="shared" si="559"/>
        <v>3.1</v>
      </c>
      <c r="X535" s="9">
        <v>2.9032160999999999</v>
      </c>
    </row>
    <row r="536" spans="1:24" x14ac:dyDescent="0.2">
      <c r="A536" s="41">
        <f t="shared" si="540"/>
        <v>45861.208333332041</v>
      </c>
      <c r="B536" s="42">
        <f t="shared" si="494"/>
        <v>5000</v>
      </c>
      <c r="C536" s="8">
        <v>25000</v>
      </c>
      <c r="D536" s="8">
        <v>0</v>
      </c>
      <c r="E536" s="8">
        <v>700</v>
      </c>
      <c r="F536" s="8">
        <v>15000</v>
      </c>
      <c r="G536" s="42">
        <f t="shared" si="495"/>
        <v>2400</v>
      </c>
      <c r="H536" s="8">
        <v>25000</v>
      </c>
      <c r="I536" s="42">
        <f t="shared" si="496"/>
        <v>5000</v>
      </c>
      <c r="J536" s="8">
        <v>25000</v>
      </c>
      <c r="K536" s="42">
        <f t="shared" si="497"/>
        <v>5000</v>
      </c>
      <c r="L536" s="8">
        <v>25000</v>
      </c>
      <c r="M536" s="9">
        <v>9</v>
      </c>
      <c r="N536" s="9">
        <v>16.100000000000001</v>
      </c>
      <c r="O536" s="9">
        <v>14</v>
      </c>
      <c r="P536" s="9">
        <v>19.5</v>
      </c>
      <c r="Q536" s="92">
        <v>2.9714581999999998</v>
      </c>
      <c r="R536">
        <v>10</v>
      </c>
      <c r="S536">
        <v>1000</v>
      </c>
      <c r="T536" s="4">
        <v>466.70084350788647</v>
      </c>
      <c r="U536">
        <f t="shared" si="538"/>
        <v>4.6670084350788645</v>
      </c>
      <c r="V536">
        <f t="shared" ref="V536:W536" si="560">V512</f>
        <v>2.9</v>
      </c>
      <c r="W536">
        <f t="shared" si="560"/>
        <v>3.1</v>
      </c>
      <c r="X536" s="9">
        <v>2.9714581999999998</v>
      </c>
    </row>
    <row r="537" spans="1:24" x14ac:dyDescent="0.2">
      <c r="A537" s="41">
        <f t="shared" si="540"/>
        <v>45861.249999998705</v>
      </c>
      <c r="B537" s="42">
        <f t="shared" si="494"/>
        <v>8000</v>
      </c>
      <c r="C537" s="8">
        <v>25000</v>
      </c>
      <c r="D537" s="8">
        <v>0</v>
      </c>
      <c r="E537" s="8">
        <v>700</v>
      </c>
      <c r="F537" s="8">
        <v>15000</v>
      </c>
      <c r="G537" s="42">
        <f t="shared" si="495"/>
        <v>2400</v>
      </c>
      <c r="H537" s="8">
        <v>25000</v>
      </c>
      <c r="I537" s="42">
        <f t="shared" si="496"/>
        <v>8000</v>
      </c>
      <c r="J537" s="8">
        <v>25000</v>
      </c>
      <c r="K537" s="42">
        <f t="shared" si="497"/>
        <v>8000</v>
      </c>
      <c r="L537" s="8">
        <v>25000</v>
      </c>
      <c r="M537" s="9">
        <v>9</v>
      </c>
      <c r="N537" s="9">
        <v>16.100000000000001</v>
      </c>
      <c r="O537" s="9">
        <v>14</v>
      </c>
      <c r="P537" s="9">
        <v>19.5</v>
      </c>
      <c r="Q537" s="92">
        <v>3.0860484000000001</v>
      </c>
      <c r="R537">
        <v>10</v>
      </c>
      <c r="S537">
        <v>1000</v>
      </c>
      <c r="T537" s="4">
        <v>362.76391476760062</v>
      </c>
      <c r="U537">
        <f t="shared" si="538"/>
        <v>3.6276391476760064</v>
      </c>
      <c r="V537">
        <f t="shared" ref="V537:W537" si="561">V513</f>
        <v>2.5</v>
      </c>
      <c r="W537">
        <f t="shared" si="561"/>
        <v>3.1</v>
      </c>
      <c r="X537" s="9">
        <v>3.0860484000000001</v>
      </c>
    </row>
    <row r="538" spans="1:24" x14ac:dyDescent="0.2">
      <c r="A538" s="41">
        <f t="shared" si="540"/>
        <v>45861.291666665369</v>
      </c>
      <c r="B538" s="42">
        <f t="shared" si="494"/>
        <v>8000</v>
      </c>
      <c r="C538" s="8">
        <v>25000</v>
      </c>
      <c r="D538" s="8">
        <v>0</v>
      </c>
      <c r="E538" s="8">
        <v>700</v>
      </c>
      <c r="F538" s="8">
        <v>15000</v>
      </c>
      <c r="G538" s="42">
        <f t="shared" si="495"/>
        <v>2400</v>
      </c>
      <c r="H538" s="8">
        <v>25000</v>
      </c>
      <c r="I538" s="42">
        <f t="shared" si="496"/>
        <v>8000</v>
      </c>
      <c r="J538" s="8">
        <v>25000</v>
      </c>
      <c r="K538" s="42">
        <f t="shared" si="497"/>
        <v>8000</v>
      </c>
      <c r="L538" s="8">
        <v>25000</v>
      </c>
      <c r="M538" s="9">
        <v>9</v>
      </c>
      <c r="N538" s="9">
        <v>16.100000000000001</v>
      </c>
      <c r="O538" s="9">
        <v>14</v>
      </c>
      <c r="P538" s="9">
        <v>19.5</v>
      </c>
      <c r="Q538" s="92">
        <v>3.2215992999999998</v>
      </c>
      <c r="R538">
        <v>10</v>
      </c>
      <c r="S538">
        <v>1000</v>
      </c>
      <c r="T538" s="4">
        <v>369.00637295020039</v>
      </c>
      <c r="U538">
        <f t="shared" si="538"/>
        <v>3.690063729502004</v>
      </c>
      <c r="V538">
        <f t="shared" ref="V538:W538" si="562">V514</f>
        <v>2.5</v>
      </c>
      <c r="W538">
        <f t="shared" si="562"/>
        <v>3.1</v>
      </c>
      <c r="X538" s="9">
        <v>3.2215992999999998</v>
      </c>
    </row>
    <row r="539" spans="1:24" x14ac:dyDescent="0.2">
      <c r="A539" s="41">
        <f t="shared" si="540"/>
        <v>45861.333333332033</v>
      </c>
      <c r="B539" s="42">
        <f t="shared" si="494"/>
        <v>8000</v>
      </c>
      <c r="C539" s="8">
        <v>25000</v>
      </c>
      <c r="D539" s="8">
        <v>0</v>
      </c>
      <c r="E539" s="8">
        <v>700</v>
      </c>
      <c r="F539" s="8">
        <v>15000</v>
      </c>
      <c r="G539" s="42">
        <f t="shared" si="495"/>
        <v>2400</v>
      </c>
      <c r="H539" s="8">
        <v>25000</v>
      </c>
      <c r="I539" s="42">
        <f t="shared" si="496"/>
        <v>8000</v>
      </c>
      <c r="J539" s="8">
        <v>25000</v>
      </c>
      <c r="K539" s="42">
        <f t="shared" si="497"/>
        <v>8000</v>
      </c>
      <c r="L539" s="8">
        <v>25000</v>
      </c>
      <c r="M539" s="9">
        <v>9</v>
      </c>
      <c r="N539" s="9">
        <v>16.100000000000001</v>
      </c>
      <c r="O539" s="9">
        <v>14</v>
      </c>
      <c r="P539" s="9">
        <v>19.5</v>
      </c>
      <c r="Q539" s="92">
        <v>3.2751283999999998</v>
      </c>
      <c r="R539">
        <v>10</v>
      </c>
      <c r="S539">
        <v>1000</v>
      </c>
      <c r="T539" s="4">
        <v>386.17313295234976</v>
      </c>
      <c r="U539">
        <f t="shared" si="538"/>
        <v>3.8617313295234976</v>
      </c>
      <c r="V539">
        <f t="shared" ref="V539:W539" si="563">V515</f>
        <v>3.2</v>
      </c>
      <c r="W539">
        <f t="shared" si="563"/>
        <v>3</v>
      </c>
      <c r="X539" s="9">
        <v>3.2751283999999998</v>
      </c>
    </row>
    <row r="540" spans="1:24" x14ac:dyDescent="0.2">
      <c r="A540" s="41">
        <f t="shared" si="540"/>
        <v>45861.374999998698</v>
      </c>
      <c r="B540" s="42">
        <f t="shared" ref="B540:B603" si="564">B516</f>
        <v>8000</v>
      </c>
      <c r="C540" s="8">
        <v>25000</v>
      </c>
      <c r="D540" s="8">
        <v>0</v>
      </c>
      <c r="E540" s="8">
        <v>700</v>
      </c>
      <c r="F540" s="8">
        <v>15000</v>
      </c>
      <c r="G540" s="42">
        <f t="shared" ref="G540:G603" si="565">G516</f>
        <v>2400</v>
      </c>
      <c r="H540" s="8">
        <v>25000</v>
      </c>
      <c r="I540" s="42">
        <f t="shared" ref="I540:I603" si="566">I516</f>
        <v>8000</v>
      </c>
      <c r="J540" s="8">
        <v>25000</v>
      </c>
      <c r="K540" s="42">
        <f t="shared" ref="K540:K603" si="567">K516</f>
        <v>8000</v>
      </c>
      <c r="L540" s="8">
        <v>25000</v>
      </c>
      <c r="M540" s="9">
        <v>9</v>
      </c>
      <c r="N540" s="9">
        <v>16.100000000000001</v>
      </c>
      <c r="O540" s="9">
        <v>14</v>
      </c>
      <c r="P540" s="9">
        <v>19.5</v>
      </c>
      <c r="Q540" s="92">
        <v>3.3064859000000002</v>
      </c>
      <c r="R540">
        <v>10</v>
      </c>
      <c r="S540">
        <v>1000</v>
      </c>
      <c r="T540" s="4">
        <v>364.32452931325059</v>
      </c>
      <c r="U540">
        <f t="shared" si="538"/>
        <v>3.6432452931325061</v>
      </c>
      <c r="V540">
        <f t="shared" ref="V540:W540" si="568">V516</f>
        <v>2.9</v>
      </c>
      <c r="W540">
        <f t="shared" si="568"/>
        <v>3</v>
      </c>
      <c r="X540" s="9">
        <v>3.3064859000000002</v>
      </c>
    </row>
    <row r="541" spans="1:24" x14ac:dyDescent="0.2">
      <c r="A541" s="41">
        <f t="shared" si="540"/>
        <v>45861.416666665362</v>
      </c>
      <c r="B541" s="42">
        <f t="shared" si="564"/>
        <v>8000</v>
      </c>
      <c r="C541" s="8">
        <v>25000</v>
      </c>
      <c r="D541" s="8">
        <v>0</v>
      </c>
      <c r="E541" s="8">
        <v>700</v>
      </c>
      <c r="F541" s="8">
        <v>15000</v>
      </c>
      <c r="G541" s="42">
        <f t="shared" si="565"/>
        <v>2400</v>
      </c>
      <c r="H541" s="8">
        <v>25000</v>
      </c>
      <c r="I541" s="42">
        <f t="shared" si="566"/>
        <v>8000</v>
      </c>
      <c r="J541" s="8">
        <v>25000</v>
      </c>
      <c r="K541" s="42">
        <f t="shared" si="567"/>
        <v>8000</v>
      </c>
      <c r="L541" s="8">
        <v>25000</v>
      </c>
      <c r="M541" s="9">
        <v>9</v>
      </c>
      <c r="N541" s="9">
        <v>16.100000000000001</v>
      </c>
      <c r="O541" s="9">
        <v>14</v>
      </c>
      <c r="P541" s="9">
        <v>19.5</v>
      </c>
      <c r="Q541" s="92">
        <v>3.3682430000000001</v>
      </c>
      <c r="R541">
        <v>10</v>
      </c>
      <c r="S541">
        <v>1000</v>
      </c>
      <c r="T541" s="4">
        <v>343.41229440154143</v>
      </c>
      <c r="U541">
        <f t="shared" si="538"/>
        <v>3.4341229440154142</v>
      </c>
      <c r="V541">
        <f t="shared" ref="V541:W541" si="569">V517</f>
        <v>2.9</v>
      </c>
      <c r="W541">
        <f t="shared" si="569"/>
        <v>3</v>
      </c>
      <c r="X541" s="9">
        <v>3.3682430000000001</v>
      </c>
    </row>
    <row r="542" spans="1:24" x14ac:dyDescent="0.2">
      <c r="A542" s="41">
        <f t="shared" si="540"/>
        <v>45861.458333332026</v>
      </c>
      <c r="B542" s="42">
        <f t="shared" si="564"/>
        <v>8000</v>
      </c>
      <c r="C542" s="8">
        <v>25000</v>
      </c>
      <c r="D542" s="8">
        <v>0</v>
      </c>
      <c r="E542" s="8">
        <v>700</v>
      </c>
      <c r="F542" s="8">
        <v>15000</v>
      </c>
      <c r="G542" s="42">
        <f t="shared" si="565"/>
        <v>2400</v>
      </c>
      <c r="H542" s="8">
        <v>25000</v>
      </c>
      <c r="I542" s="42">
        <f t="shared" si="566"/>
        <v>8000</v>
      </c>
      <c r="J542" s="8">
        <v>25000</v>
      </c>
      <c r="K542" s="42">
        <f t="shared" si="567"/>
        <v>8000</v>
      </c>
      <c r="L542" s="8">
        <v>25000</v>
      </c>
      <c r="M542" s="9">
        <v>9</v>
      </c>
      <c r="N542" s="9">
        <v>16.100000000000001</v>
      </c>
      <c r="O542" s="9">
        <v>14</v>
      </c>
      <c r="P542" s="9">
        <v>19.5</v>
      </c>
      <c r="Q542" s="92">
        <v>3.3145058000000001</v>
      </c>
      <c r="R542">
        <v>10</v>
      </c>
      <c r="S542">
        <v>1000</v>
      </c>
      <c r="T542" s="4">
        <v>340.29106531024155</v>
      </c>
      <c r="U542">
        <f t="shared" si="538"/>
        <v>3.4029106531024156</v>
      </c>
      <c r="V542">
        <f t="shared" ref="V542:W542" si="570">V518</f>
        <v>3.4</v>
      </c>
      <c r="W542">
        <f t="shared" si="570"/>
        <v>3</v>
      </c>
      <c r="X542" s="9">
        <v>3.3145058000000001</v>
      </c>
    </row>
    <row r="543" spans="1:24" x14ac:dyDescent="0.2">
      <c r="A543" s="41">
        <f t="shared" si="540"/>
        <v>45861.49999999869</v>
      </c>
      <c r="B543" s="42">
        <f t="shared" si="564"/>
        <v>8000</v>
      </c>
      <c r="C543" s="8">
        <v>25000</v>
      </c>
      <c r="D543" s="8">
        <v>0</v>
      </c>
      <c r="E543" s="8">
        <v>700</v>
      </c>
      <c r="F543" s="8">
        <v>15000</v>
      </c>
      <c r="G543" s="42">
        <f t="shared" si="565"/>
        <v>2400</v>
      </c>
      <c r="H543" s="8">
        <v>25000</v>
      </c>
      <c r="I543" s="42">
        <f t="shared" si="566"/>
        <v>8000</v>
      </c>
      <c r="J543" s="8">
        <v>25000</v>
      </c>
      <c r="K543" s="42">
        <f t="shared" si="567"/>
        <v>8000</v>
      </c>
      <c r="L543" s="8">
        <v>25000</v>
      </c>
      <c r="M543" s="9">
        <v>9</v>
      </c>
      <c r="N543" s="9">
        <v>16.100000000000001</v>
      </c>
      <c r="O543" s="9">
        <v>14</v>
      </c>
      <c r="P543" s="9">
        <v>19.5</v>
      </c>
      <c r="Q543" s="92">
        <v>3.1831577000000002</v>
      </c>
      <c r="R543">
        <v>10</v>
      </c>
      <c r="S543">
        <v>1000</v>
      </c>
      <c r="T543" s="4">
        <v>369.94274167759033</v>
      </c>
      <c r="U543">
        <f t="shared" si="538"/>
        <v>3.6994274167759031</v>
      </c>
      <c r="V543">
        <f t="shared" ref="V543:W543" si="571">V519</f>
        <v>3.1</v>
      </c>
      <c r="W543">
        <f t="shared" si="571"/>
        <v>2.9</v>
      </c>
      <c r="X543" s="9">
        <v>3.1831577000000002</v>
      </c>
    </row>
    <row r="544" spans="1:24" x14ac:dyDescent="0.2">
      <c r="A544" s="41">
        <f t="shared" si="540"/>
        <v>45861.541666665355</v>
      </c>
      <c r="B544" s="42">
        <f t="shared" si="564"/>
        <v>8000</v>
      </c>
      <c r="C544" s="8">
        <v>25000</v>
      </c>
      <c r="D544" s="8">
        <v>0</v>
      </c>
      <c r="E544" s="8">
        <v>700</v>
      </c>
      <c r="F544" s="8">
        <v>15000</v>
      </c>
      <c r="G544" s="42">
        <f t="shared" si="565"/>
        <v>2400</v>
      </c>
      <c r="H544" s="8">
        <v>25000</v>
      </c>
      <c r="I544" s="42">
        <f t="shared" si="566"/>
        <v>8000</v>
      </c>
      <c r="J544" s="8">
        <v>25000</v>
      </c>
      <c r="K544" s="42">
        <f t="shared" si="567"/>
        <v>8000</v>
      </c>
      <c r="L544" s="8">
        <v>25000</v>
      </c>
      <c r="M544" s="9">
        <v>9</v>
      </c>
      <c r="N544" s="9">
        <v>16.100000000000001</v>
      </c>
      <c r="O544" s="9">
        <v>14</v>
      </c>
      <c r="P544" s="9">
        <v>19.5</v>
      </c>
      <c r="Q544" s="92">
        <v>3.0070024000000002</v>
      </c>
      <c r="R544">
        <v>10</v>
      </c>
      <c r="S544">
        <v>1000</v>
      </c>
      <c r="T544" s="4">
        <v>402.40414847292726</v>
      </c>
      <c r="U544">
        <f t="shared" si="538"/>
        <v>4.0240414847292723</v>
      </c>
      <c r="V544">
        <f t="shared" ref="V544:W544" si="572">V520</f>
        <v>3.2</v>
      </c>
      <c r="W544">
        <f t="shared" si="572"/>
        <v>2.9</v>
      </c>
      <c r="X544" s="9">
        <v>3.0070024000000002</v>
      </c>
    </row>
    <row r="545" spans="1:24" x14ac:dyDescent="0.2">
      <c r="A545" s="41">
        <f t="shared" si="540"/>
        <v>45861.583333332019</v>
      </c>
      <c r="B545" s="42">
        <f t="shared" si="564"/>
        <v>8000</v>
      </c>
      <c r="C545" s="8">
        <v>25000</v>
      </c>
      <c r="D545" s="8">
        <v>0</v>
      </c>
      <c r="E545" s="8">
        <v>700</v>
      </c>
      <c r="F545" s="8">
        <v>15000</v>
      </c>
      <c r="G545" s="42">
        <f t="shared" si="565"/>
        <v>2400</v>
      </c>
      <c r="H545" s="8">
        <v>25000</v>
      </c>
      <c r="I545" s="42">
        <f t="shared" si="566"/>
        <v>8000</v>
      </c>
      <c r="J545" s="8">
        <v>25000</v>
      </c>
      <c r="K545" s="42">
        <f t="shared" si="567"/>
        <v>8000</v>
      </c>
      <c r="L545" s="8">
        <v>25000</v>
      </c>
      <c r="M545" s="9">
        <v>9</v>
      </c>
      <c r="N545" s="9">
        <v>16.100000000000001</v>
      </c>
      <c r="O545" s="9">
        <v>14</v>
      </c>
      <c r="P545" s="9">
        <v>19.5</v>
      </c>
      <c r="Q545" s="92">
        <v>2.9982924</v>
      </c>
      <c r="R545">
        <v>10</v>
      </c>
      <c r="S545">
        <v>1000</v>
      </c>
      <c r="T545" s="4">
        <v>655.22245637658079</v>
      </c>
      <c r="U545">
        <f t="shared" si="538"/>
        <v>6.5522245637658081</v>
      </c>
      <c r="V545">
        <f t="shared" ref="V545:W545" si="573">V521</f>
        <v>3.5</v>
      </c>
      <c r="W545">
        <f t="shared" si="573"/>
        <v>2.9</v>
      </c>
      <c r="X545" s="9">
        <v>2.9982924</v>
      </c>
    </row>
    <row r="546" spans="1:24" x14ac:dyDescent="0.2">
      <c r="A546" s="41">
        <f t="shared" si="540"/>
        <v>45861.624999998683</v>
      </c>
      <c r="B546" s="42">
        <f t="shared" si="564"/>
        <v>8000</v>
      </c>
      <c r="C546" s="8">
        <v>25000</v>
      </c>
      <c r="D546" s="8">
        <v>0</v>
      </c>
      <c r="E546" s="8">
        <v>700</v>
      </c>
      <c r="F546" s="8">
        <v>15000</v>
      </c>
      <c r="G546" s="42">
        <f t="shared" si="565"/>
        <v>2400</v>
      </c>
      <c r="H546" s="8">
        <v>25000</v>
      </c>
      <c r="I546" s="42">
        <f t="shared" si="566"/>
        <v>8000</v>
      </c>
      <c r="J546" s="8">
        <v>25000</v>
      </c>
      <c r="K546" s="42">
        <f t="shared" si="567"/>
        <v>8000</v>
      </c>
      <c r="L546" s="8">
        <v>25000</v>
      </c>
      <c r="M546" s="9">
        <v>9</v>
      </c>
      <c r="N546" s="9">
        <v>16.100000000000001</v>
      </c>
      <c r="O546" s="9">
        <v>14</v>
      </c>
      <c r="P546" s="9">
        <v>19.5</v>
      </c>
      <c r="Q546" s="92">
        <v>3.3571078999999999</v>
      </c>
      <c r="R546">
        <v>10</v>
      </c>
      <c r="S546">
        <v>1000</v>
      </c>
      <c r="T546" s="4">
        <v>753.54117275252679</v>
      </c>
      <c r="U546">
        <f t="shared" si="538"/>
        <v>7.5354117275252683</v>
      </c>
      <c r="V546">
        <f t="shared" ref="V546:W546" si="574">V522</f>
        <v>3.2</v>
      </c>
      <c r="W546">
        <f t="shared" si="574"/>
        <v>2.9</v>
      </c>
      <c r="X546" s="9">
        <v>3.3571078999999999</v>
      </c>
    </row>
    <row r="547" spans="1:24" x14ac:dyDescent="0.2">
      <c r="A547" s="41">
        <f t="shared" si="540"/>
        <v>45861.666666665347</v>
      </c>
      <c r="B547" s="42">
        <f t="shared" si="564"/>
        <v>8000</v>
      </c>
      <c r="C547" s="8">
        <v>25000</v>
      </c>
      <c r="D547" s="8">
        <v>0</v>
      </c>
      <c r="E547" s="8">
        <v>700</v>
      </c>
      <c r="F547" s="8">
        <v>15000</v>
      </c>
      <c r="G547" s="42">
        <f t="shared" si="565"/>
        <v>2400</v>
      </c>
      <c r="H547" s="8">
        <v>25000</v>
      </c>
      <c r="I547" s="42">
        <f t="shared" si="566"/>
        <v>8000</v>
      </c>
      <c r="J547" s="8">
        <v>25000</v>
      </c>
      <c r="K547" s="42">
        <f t="shared" si="567"/>
        <v>8000</v>
      </c>
      <c r="L547" s="8">
        <v>25000</v>
      </c>
      <c r="M547" s="9">
        <v>9</v>
      </c>
      <c r="N547" s="9">
        <v>16.100000000000001</v>
      </c>
      <c r="O547" s="9">
        <v>14</v>
      </c>
      <c r="P547" s="9">
        <v>19.5</v>
      </c>
      <c r="Q547" s="92">
        <v>3.2602608000000002</v>
      </c>
      <c r="R547">
        <v>10</v>
      </c>
      <c r="S547">
        <v>1000</v>
      </c>
      <c r="T547" s="4">
        <v>974.21206950742805</v>
      </c>
      <c r="U547">
        <f t="shared" si="538"/>
        <v>9.7421206950742807</v>
      </c>
      <c r="V547">
        <f t="shared" ref="V547:W547" si="575">V523</f>
        <v>3.5</v>
      </c>
      <c r="W547">
        <f t="shared" si="575"/>
        <v>3</v>
      </c>
      <c r="X547" s="9">
        <v>3.2602608000000002</v>
      </c>
    </row>
    <row r="548" spans="1:24" x14ac:dyDescent="0.2">
      <c r="A548" s="41">
        <f t="shared" si="540"/>
        <v>45861.708333332012</v>
      </c>
      <c r="B548" s="42">
        <f t="shared" si="564"/>
        <v>8000</v>
      </c>
      <c r="C548" s="8">
        <v>25000</v>
      </c>
      <c r="D548" s="8">
        <v>0</v>
      </c>
      <c r="E548" s="8">
        <v>700</v>
      </c>
      <c r="F548" s="8">
        <v>15000</v>
      </c>
      <c r="G548" s="42">
        <f t="shared" si="565"/>
        <v>2400</v>
      </c>
      <c r="H548" s="8">
        <v>25000</v>
      </c>
      <c r="I548" s="42">
        <f t="shared" si="566"/>
        <v>8000</v>
      </c>
      <c r="J548" s="8">
        <v>25000</v>
      </c>
      <c r="K548" s="42">
        <f t="shared" si="567"/>
        <v>8000</v>
      </c>
      <c r="L548" s="8">
        <v>25000</v>
      </c>
      <c r="M548" s="9">
        <v>9</v>
      </c>
      <c r="N548" s="9">
        <v>16.100000000000001</v>
      </c>
      <c r="O548" s="9">
        <v>14</v>
      </c>
      <c r="P548" s="9">
        <v>19.5</v>
      </c>
      <c r="Q548" s="92">
        <v>3.1825820999999999</v>
      </c>
      <c r="R548">
        <v>10</v>
      </c>
      <c r="S548">
        <v>1000</v>
      </c>
      <c r="T548" s="4">
        <v>1241.0771568135674</v>
      </c>
      <c r="U548">
        <f t="shared" si="538"/>
        <v>12.410771568135674</v>
      </c>
      <c r="V548">
        <f t="shared" ref="V548:W548" si="576">V524</f>
        <v>3.6</v>
      </c>
      <c r="W548">
        <f t="shared" si="576"/>
        <v>3</v>
      </c>
      <c r="X548" s="9">
        <v>3.1825820999999999</v>
      </c>
    </row>
    <row r="549" spans="1:24" x14ac:dyDescent="0.2">
      <c r="A549" s="41">
        <f t="shared" si="540"/>
        <v>45861.749999998676</v>
      </c>
      <c r="B549" s="42">
        <f t="shared" si="564"/>
        <v>5000</v>
      </c>
      <c r="C549" s="8">
        <v>25000</v>
      </c>
      <c r="D549" s="8">
        <v>0</v>
      </c>
      <c r="E549" s="8">
        <v>700</v>
      </c>
      <c r="F549" s="8">
        <v>15000</v>
      </c>
      <c r="G549" s="42">
        <f t="shared" si="565"/>
        <v>2400</v>
      </c>
      <c r="H549" s="8">
        <v>25000</v>
      </c>
      <c r="I549" s="42">
        <f t="shared" si="566"/>
        <v>5000</v>
      </c>
      <c r="J549" s="8">
        <v>25000</v>
      </c>
      <c r="K549" s="42">
        <f t="shared" si="567"/>
        <v>5000</v>
      </c>
      <c r="L549" s="8">
        <v>25000</v>
      </c>
      <c r="M549" s="9">
        <v>9</v>
      </c>
      <c r="N549" s="9">
        <v>16.100000000000001</v>
      </c>
      <c r="O549" s="9">
        <v>14</v>
      </c>
      <c r="P549" s="9">
        <v>19.5</v>
      </c>
      <c r="Q549" s="92">
        <v>3.1718544999999998</v>
      </c>
      <c r="R549">
        <v>10</v>
      </c>
      <c r="S549">
        <v>1000</v>
      </c>
      <c r="T549" s="4">
        <v>1284.7743640917656</v>
      </c>
      <c r="U549">
        <f t="shared" si="538"/>
        <v>12.847743640917656</v>
      </c>
      <c r="V549">
        <f t="shared" ref="V549:W549" si="577">V525</f>
        <v>2.9</v>
      </c>
      <c r="W549">
        <f t="shared" si="577"/>
        <v>3</v>
      </c>
      <c r="X549" s="9">
        <v>3.1718544999999998</v>
      </c>
    </row>
    <row r="550" spans="1:24" x14ac:dyDescent="0.2">
      <c r="A550" s="41">
        <f t="shared" si="540"/>
        <v>45861.79166666534</v>
      </c>
      <c r="B550" s="42">
        <f t="shared" si="564"/>
        <v>5000</v>
      </c>
      <c r="C550" s="8">
        <v>25000</v>
      </c>
      <c r="D550" s="8">
        <v>0</v>
      </c>
      <c r="E550" s="8">
        <v>700</v>
      </c>
      <c r="F550" s="8">
        <v>15000</v>
      </c>
      <c r="G550" s="42">
        <f t="shared" si="565"/>
        <v>2400</v>
      </c>
      <c r="H550" s="8">
        <v>25000</v>
      </c>
      <c r="I550" s="42">
        <f t="shared" si="566"/>
        <v>5000</v>
      </c>
      <c r="J550" s="8">
        <v>25000</v>
      </c>
      <c r="K550" s="42">
        <f t="shared" si="567"/>
        <v>5000</v>
      </c>
      <c r="L550" s="8">
        <v>25000</v>
      </c>
      <c r="M550" s="9">
        <v>9</v>
      </c>
      <c r="N550" s="9">
        <v>16.100000000000001</v>
      </c>
      <c r="O550" s="9">
        <v>14</v>
      </c>
      <c r="P550" s="9">
        <v>19.5</v>
      </c>
      <c r="Q550" s="92">
        <v>3.1364779</v>
      </c>
      <c r="R550">
        <v>10</v>
      </c>
      <c r="S550">
        <v>1000</v>
      </c>
      <c r="T550" s="4">
        <v>1281.6531350004659</v>
      </c>
      <c r="U550">
        <f t="shared" si="538"/>
        <v>12.816531350004659</v>
      </c>
      <c r="V550">
        <f t="shared" ref="V550:W550" si="578">V526</f>
        <v>3</v>
      </c>
      <c r="W550">
        <f t="shared" si="578"/>
        <v>3</v>
      </c>
      <c r="X550" s="9">
        <v>3.1364779</v>
      </c>
    </row>
    <row r="551" spans="1:24" x14ac:dyDescent="0.2">
      <c r="A551" s="41">
        <f t="shared" si="540"/>
        <v>45861.833333332004</v>
      </c>
      <c r="B551" s="42">
        <f t="shared" si="564"/>
        <v>5000</v>
      </c>
      <c r="C551" s="8">
        <v>25000</v>
      </c>
      <c r="D551" s="8">
        <v>0</v>
      </c>
      <c r="E551" s="8">
        <v>700</v>
      </c>
      <c r="F551" s="8">
        <v>15000</v>
      </c>
      <c r="G551" s="42">
        <f t="shared" si="565"/>
        <v>2400</v>
      </c>
      <c r="H551" s="8">
        <v>25000</v>
      </c>
      <c r="I551" s="42">
        <f t="shared" si="566"/>
        <v>5000</v>
      </c>
      <c r="J551" s="8">
        <v>25000</v>
      </c>
      <c r="K551" s="42">
        <f t="shared" si="567"/>
        <v>5000</v>
      </c>
      <c r="L551" s="8">
        <v>25000</v>
      </c>
      <c r="M551" s="9">
        <v>9</v>
      </c>
      <c r="N551" s="9">
        <v>16.100000000000001</v>
      </c>
      <c r="O551" s="9">
        <v>14</v>
      </c>
      <c r="P551" s="9">
        <v>19.5</v>
      </c>
      <c r="Q551" s="92">
        <v>3.0999582000000001</v>
      </c>
      <c r="R551">
        <v>10</v>
      </c>
      <c r="S551">
        <v>1000</v>
      </c>
      <c r="T551" s="4">
        <v>1237.9559277222675</v>
      </c>
      <c r="U551">
        <f t="shared" si="538"/>
        <v>12.379559277222675</v>
      </c>
      <c r="V551">
        <f t="shared" ref="V551:W551" si="579">V527</f>
        <v>2.8</v>
      </c>
      <c r="W551">
        <f t="shared" si="579"/>
        <v>3.1</v>
      </c>
      <c r="X551" s="9">
        <v>3.0999582000000001</v>
      </c>
    </row>
    <row r="552" spans="1:24" x14ac:dyDescent="0.2">
      <c r="A552" s="41">
        <f t="shared" si="540"/>
        <v>45861.874999998668</v>
      </c>
      <c r="B552" s="42">
        <f t="shared" si="564"/>
        <v>5000</v>
      </c>
      <c r="C552" s="8">
        <v>25000</v>
      </c>
      <c r="D552" s="8">
        <v>0</v>
      </c>
      <c r="E552" s="8">
        <v>700</v>
      </c>
      <c r="F552" s="8">
        <v>15000</v>
      </c>
      <c r="G552" s="42">
        <f t="shared" si="565"/>
        <v>2400</v>
      </c>
      <c r="H552" s="8">
        <v>25000</v>
      </c>
      <c r="I552" s="42">
        <f t="shared" si="566"/>
        <v>5000</v>
      </c>
      <c r="J552" s="8">
        <v>25000</v>
      </c>
      <c r="K552" s="42">
        <f t="shared" si="567"/>
        <v>5000</v>
      </c>
      <c r="L552" s="8">
        <v>25000</v>
      </c>
      <c r="M552" s="9">
        <v>9</v>
      </c>
      <c r="N552" s="9">
        <v>16.100000000000001</v>
      </c>
      <c r="O552" s="9">
        <v>14</v>
      </c>
      <c r="P552" s="9">
        <v>19.5</v>
      </c>
      <c r="Q552" s="92">
        <v>3.0655272</v>
      </c>
      <c r="R552">
        <v>10</v>
      </c>
      <c r="S552">
        <v>1000</v>
      </c>
      <c r="T552" s="4">
        <v>1142.7584404376212</v>
      </c>
      <c r="U552">
        <f t="shared" si="538"/>
        <v>11.427584404376212</v>
      </c>
      <c r="V552">
        <f t="shared" ref="V552:W552" si="580">V528</f>
        <v>3.5</v>
      </c>
      <c r="W552">
        <f t="shared" si="580"/>
        <v>3.1</v>
      </c>
      <c r="X552" s="9">
        <v>3.0655272</v>
      </c>
    </row>
    <row r="553" spans="1:24" x14ac:dyDescent="0.2">
      <c r="A553" s="41">
        <f t="shared" si="540"/>
        <v>45861.916666665333</v>
      </c>
      <c r="B553" s="42">
        <f t="shared" si="564"/>
        <v>5000</v>
      </c>
      <c r="C553" s="8">
        <v>25000</v>
      </c>
      <c r="D553" s="8">
        <v>0</v>
      </c>
      <c r="E553" s="8">
        <v>700</v>
      </c>
      <c r="F553" s="8">
        <v>15000</v>
      </c>
      <c r="G553" s="42">
        <f t="shared" si="565"/>
        <v>2400</v>
      </c>
      <c r="H553" s="8">
        <v>25000</v>
      </c>
      <c r="I553" s="42">
        <f t="shared" si="566"/>
        <v>5000</v>
      </c>
      <c r="J553" s="8">
        <v>25000</v>
      </c>
      <c r="K553" s="42">
        <f t="shared" si="567"/>
        <v>5000</v>
      </c>
      <c r="L553" s="8">
        <v>25000</v>
      </c>
      <c r="M553" s="9">
        <v>9</v>
      </c>
      <c r="N553" s="9">
        <v>16.100000000000001</v>
      </c>
      <c r="O553" s="9">
        <v>14</v>
      </c>
      <c r="P553" s="9">
        <v>19.5</v>
      </c>
      <c r="Q553" s="92">
        <v>3.0289983999999999</v>
      </c>
      <c r="R553">
        <v>10</v>
      </c>
      <c r="S553">
        <v>1000</v>
      </c>
      <c r="T553" s="4">
        <v>918.02994586403031</v>
      </c>
      <c r="U553">
        <f t="shared" si="538"/>
        <v>9.1802994586403024</v>
      </c>
      <c r="V553">
        <f t="shared" ref="V553:W553" si="581">V529</f>
        <v>2.9</v>
      </c>
      <c r="W553">
        <f t="shared" si="581"/>
        <v>3.1</v>
      </c>
      <c r="X553" s="9">
        <v>3.0289983999999999</v>
      </c>
    </row>
    <row r="554" spans="1:24" x14ac:dyDescent="0.2">
      <c r="A554" s="41">
        <f t="shared" si="540"/>
        <v>45861.958333331997</v>
      </c>
      <c r="B554" s="42">
        <f t="shared" si="564"/>
        <v>5000</v>
      </c>
      <c r="C554" s="8">
        <v>25000</v>
      </c>
      <c r="D554" s="8">
        <v>0</v>
      </c>
      <c r="E554" s="8">
        <v>700</v>
      </c>
      <c r="F554" s="8">
        <v>15000</v>
      </c>
      <c r="G554" s="42">
        <f t="shared" si="565"/>
        <v>2400</v>
      </c>
      <c r="H554" s="8">
        <v>25000</v>
      </c>
      <c r="I554" s="42">
        <f t="shared" si="566"/>
        <v>5000</v>
      </c>
      <c r="J554" s="8">
        <v>25000</v>
      </c>
      <c r="K554" s="42">
        <f t="shared" si="567"/>
        <v>5000</v>
      </c>
      <c r="L554" s="8">
        <v>25000</v>
      </c>
      <c r="M554" s="9">
        <v>9</v>
      </c>
      <c r="N554" s="9">
        <v>16.100000000000001</v>
      </c>
      <c r="O554" s="9">
        <v>14</v>
      </c>
      <c r="P554" s="9">
        <v>19.5</v>
      </c>
      <c r="Q554" s="92">
        <v>2.9247817999999999</v>
      </c>
      <c r="R554">
        <v>10</v>
      </c>
      <c r="S554">
        <v>1000</v>
      </c>
      <c r="T554" s="4">
        <v>562.52257661079261</v>
      </c>
      <c r="U554">
        <f t="shared" si="538"/>
        <v>5.6252257661079259</v>
      </c>
      <c r="V554">
        <f t="shared" ref="V554:W554" si="582">V530</f>
        <v>3.6</v>
      </c>
      <c r="W554">
        <f t="shared" si="582"/>
        <v>3.1</v>
      </c>
      <c r="X554" s="9">
        <v>2.9247817999999999</v>
      </c>
    </row>
    <row r="555" spans="1:24" x14ac:dyDescent="0.2">
      <c r="A555" s="41">
        <f t="shared" si="540"/>
        <v>45861.999999998661</v>
      </c>
      <c r="B555" s="42">
        <f t="shared" si="564"/>
        <v>5000</v>
      </c>
      <c r="C555" s="8">
        <v>25000</v>
      </c>
      <c r="D555" s="8">
        <v>0</v>
      </c>
      <c r="E555" s="8">
        <v>700</v>
      </c>
      <c r="F555" s="8">
        <v>15000</v>
      </c>
      <c r="G555" s="42">
        <f t="shared" si="565"/>
        <v>2400</v>
      </c>
      <c r="H555" s="8">
        <v>25000</v>
      </c>
      <c r="I555" s="42">
        <f t="shared" si="566"/>
        <v>5000</v>
      </c>
      <c r="J555" s="8">
        <v>25000</v>
      </c>
      <c r="K555" s="42">
        <f t="shared" si="567"/>
        <v>5000</v>
      </c>
      <c r="L555" s="8">
        <v>25000</v>
      </c>
      <c r="M555" s="9">
        <v>9</v>
      </c>
      <c r="N555" s="9">
        <v>16.100000000000001</v>
      </c>
      <c r="O555" s="9">
        <v>14</v>
      </c>
      <c r="P555" s="9">
        <v>19.5</v>
      </c>
      <c r="Q555" s="92">
        <v>2.8429899000000001</v>
      </c>
      <c r="R555">
        <v>10</v>
      </c>
      <c r="S555">
        <v>1000</v>
      </c>
      <c r="T555" s="4">
        <v>328.43039476330199</v>
      </c>
      <c r="U555">
        <f t="shared" si="538"/>
        <v>3.28430394763302</v>
      </c>
      <c r="V555">
        <f t="shared" ref="V555:W555" si="583">V531</f>
        <v>3</v>
      </c>
      <c r="W555">
        <f t="shared" si="583"/>
        <v>3.2</v>
      </c>
      <c r="X555" s="9">
        <v>2.8429899000000001</v>
      </c>
    </row>
    <row r="556" spans="1:24" x14ac:dyDescent="0.2">
      <c r="A556" s="41">
        <f t="shared" si="540"/>
        <v>45862.041666665325</v>
      </c>
      <c r="B556" s="42">
        <f t="shared" si="564"/>
        <v>5000</v>
      </c>
      <c r="C556" s="8">
        <v>25000</v>
      </c>
      <c r="D556" s="8">
        <v>0</v>
      </c>
      <c r="E556" s="8">
        <v>700</v>
      </c>
      <c r="F556" s="8">
        <v>15000</v>
      </c>
      <c r="G556" s="42">
        <f t="shared" si="565"/>
        <v>2400</v>
      </c>
      <c r="H556" s="8">
        <v>25000</v>
      </c>
      <c r="I556" s="42">
        <f t="shared" si="566"/>
        <v>5000</v>
      </c>
      <c r="J556" s="8">
        <v>25000</v>
      </c>
      <c r="K556" s="42">
        <f t="shared" si="567"/>
        <v>5000</v>
      </c>
      <c r="L556" s="8">
        <v>25000</v>
      </c>
      <c r="M556" s="9">
        <v>9</v>
      </c>
      <c r="N556" s="9">
        <v>16.100000000000001</v>
      </c>
      <c r="O556" s="9">
        <v>14</v>
      </c>
      <c r="P556" s="9">
        <v>19.5</v>
      </c>
      <c r="Q556" s="92">
        <v>2.7882495</v>
      </c>
      <c r="R556">
        <v>10</v>
      </c>
      <c r="S556">
        <v>1000</v>
      </c>
      <c r="T556" s="4">
        <v>318.44246167114238</v>
      </c>
      <c r="U556">
        <f t="shared" si="538"/>
        <v>3.1844246167114236</v>
      </c>
      <c r="V556">
        <f t="shared" ref="V556:W556" si="584">V532</f>
        <v>2.6</v>
      </c>
      <c r="W556">
        <f t="shared" si="584"/>
        <v>3.2</v>
      </c>
      <c r="X556" s="9">
        <v>2.7882495</v>
      </c>
    </row>
    <row r="557" spans="1:24" x14ac:dyDescent="0.2">
      <c r="A557" s="41">
        <f t="shared" si="540"/>
        <v>45862.08333333199</v>
      </c>
      <c r="B557" s="42">
        <f t="shared" si="564"/>
        <v>5000</v>
      </c>
      <c r="C557" s="8">
        <v>25000</v>
      </c>
      <c r="D557" s="8">
        <v>0</v>
      </c>
      <c r="E557" s="8">
        <v>700</v>
      </c>
      <c r="F557" s="8">
        <v>15000</v>
      </c>
      <c r="G557" s="42">
        <f t="shared" si="565"/>
        <v>2400</v>
      </c>
      <c r="H557" s="8">
        <v>25000</v>
      </c>
      <c r="I557" s="42">
        <f t="shared" si="566"/>
        <v>5000</v>
      </c>
      <c r="J557" s="8">
        <v>25000</v>
      </c>
      <c r="K557" s="42">
        <f t="shared" si="567"/>
        <v>5000</v>
      </c>
      <c r="L557" s="8">
        <v>25000</v>
      </c>
      <c r="M557" s="9">
        <v>9</v>
      </c>
      <c r="N557" s="9">
        <v>16.100000000000001</v>
      </c>
      <c r="O557" s="9">
        <v>14</v>
      </c>
      <c r="P557" s="9">
        <v>19.5</v>
      </c>
      <c r="Q557" s="92">
        <v>2.8574746000000002</v>
      </c>
      <c r="R557">
        <v>10</v>
      </c>
      <c r="S557">
        <v>1000</v>
      </c>
      <c r="T557" s="4">
        <v>318.44246167114238</v>
      </c>
      <c r="U557">
        <f t="shared" si="538"/>
        <v>3.1844246167114236</v>
      </c>
      <c r="V557">
        <f t="shared" ref="V557:W557" si="585">V533</f>
        <v>2.8</v>
      </c>
      <c r="W557">
        <f t="shared" si="585"/>
        <v>3.2</v>
      </c>
      <c r="X557" s="9">
        <v>2.8574746000000002</v>
      </c>
    </row>
    <row r="558" spans="1:24" x14ac:dyDescent="0.2">
      <c r="A558" s="41">
        <f t="shared" si="540"/>
        <v>45862.124999998654</v>
      </c>
      <c r="B558" s="42">
        <f t="shared" si="564"/>
        <v>5000</v>
      </c>
      <c r="C558" s="8">
        <v>25000</v>
      </c>
      <c r="D558" s="8">
        <v>0</v>
      </c>
      <c r="E558" s="8">
        <v>700</v>
      </c>
      <c r="F558" s="8">
        <v>15000</v>
      </c>
      <c r="G558" s="42">
        <f t="shared" si="565"/>
        <v>2400</v>
      </c>
      <c r="H558" s="8">
        <v>25000</v>
      </c>
      <c r="I558" s="42">
        <f t="shared" si="566"/>
        <v>5000</v>
      </c>
      <c r="J558" s="8">
        <v>25000</v>
      </c>
      <c r="K558" s="42">
        <f t="shared" si="567"/>
        <v>5000</v>
      </c>
      <c r="L558" s="8">
        <v>25000</v>
      </c>
      <c r="M558" s="9">
        <v>9</v>
      </c>
      <c r="N558" s="9">
        <v>16.100000000000001</v>
      </c>
      <c r="O558" s="9">
        <v>14</v>
      </c>
      <c r="P558" s="9">
        <v>19.5</v>
      </c>
      <c r="Q558" s="92">
        <v>2.9044726000000001</v>
      </c>
      <c r="R558">
        <v>10</v>
      </c>
      <c r="S558">
        <v>1000</v>
      </c>
      <c r="T558" s="4">
        <v>396.47318895363924</v>
      </c>
      <c r="U558">
        <f t="shared" si="538"/>
        <v>3.9647318895363926</v>
      </c>
      <c r="V558">
        <f t="shared" ref="V558:W558" si="586">V534</f>
        <v>2.7</v>
      </c>
      <c r="W558">
        <f t="shared" si="586"/>
        <v>3.2</v>
      </c>
      <c r="X558" s="9">
        <v>2.9044726000000001</v>
      </c>
    </row>
    <row r="559" spans="1:24" x14ac:dyDescent="0.2">
      <c r="A559" s="41">
        <f t="shared" si="540"/>
        <v>45862.166666665318</v>
      </c>
      <c r="B559" s="42">
        <f t="shared" si="564"/>
        <v>5000</v>
      </c>
      <c r="C559" s="8">
        <v>25000</v>
      </c>
      <c r="D559" s="8">
        <v>0</v>
      </c>
      <c r="E559" s="8">
        <v>700</v>
      </c>
      <c r="F559" s="8">
        <v>15000</v>
      </c>
      <c r="G559" s="42">
        <f t="shared" si="565"/>
        <v>2400</v>
      </c>
      <c r="H559" s="8">
        <v>25000</v>
      </c>
      <c r="I559" s="42">
        <f t="shared" si="566"/>
        <v>5000</v>
      </c>
      <c r="J559" s="8">
        <v>25000</v>
      </c>
      <c r="K559" s="42">
        <f t="shared" si="567"/>
        <v>5000</v>
      </c>
      <c r="L559" s="8">
        <v>25000</v>
      </c>
      <c r="M559" s="9">
        <v>9</v>
      </c>
      <c r="N559" s="9">
        <v>16.100000000000001</v>
      </c>
      <c r="O559" s="9">
        <v>14</v>
      </c>
      <c r="P559" s="9">
        <v>19.5</v>
      </c>
      <c r="Q559" s="92">
        <v>2.9276197000000002</v>
      </c>
      <c r="R559">
        <v>10</v>
      </c>
      <c r="S559">
        <v>1000</v>
      </c>
      <c r="T559" s="4">
        <v>466.70084350788647</v>
      </c>
      <c r="U559">
        <f t="shared" si="538"/>
        <v>4.6670084350788645</v>
      </c>
      <c r="V559">
        <f t="shared" ref="V559:W559" si="587">V535</f>
        <v>3</v>
      </c>
      <c r="W559">
        <f t="shared" si="587"/>
        <v>3.1</v>
      </c>
      <c r="X559" s="9">
        <v>2.9276197000000002</v>
      </c>
    </row>
    <row r="560" spans="1:24" x14ac:dyDescent="0.2">
      <c r="A560" s="41">
        <f t="shared" si="540"/>
        <v>45862.208333331982</v>
      </c>
      <c r="B560" s="42">
        <f t="shared" si="564"/>
        <v>5000</v>
      </c>
      <c r="C560" s="8">
        <v>25000</v>
      </c>
      <c r="D560" s="8">
        <v>0</v>
      </c>
      <c r="E560" s="8">
        <v>700</v>
      </c>
      <c r="F560" s="8">
        <v>15000</v>
      </c>
      <c r="G560" s="42">
        <f t="shared" si="565"/>
        <v>2400</v>
      </c>
      <c r="H560" s="8">
        <v>25000</v>
      </c>
      <c r="I560" s="42">
        <f t="shared" si="566"/>
        <v>5000</v>
      </c>
      <c r="J560" s="8">
        <v>25000</v>
      </c>
      <c r="K560" s="42">
        <f t="shared" si="567"/>
        <v>5000</v>
      </c>
      <c r="L560" s="8">
        <v>25000</v>
      </c>
      <c r="M560" s="9">
        <v>9</v>
      </c>
      <c r="N560" s="9">
        <v>16.100000000000001</v>
      </c>
      <c r="O560" s="9">
        <v>14</v>
      </c>
      <c r="P560" s="9">
        <v>19.5</v>
      </c>
      <c r="Q560" s="92">
        <v>2.9956455000000002</v>
      </c>
      <c r="R560">
        <v>10</v>
      </c>
      <c r="S560">
        <v>1000</v>
      </c>
      <c r="T560" s="4">
        <v>466.70084350788647</v>
      </c>
      <c r="U560">
        <f t="shared" si="538"/>
        <v>4.6670084350788645</v>
      </c>
      <c r="V560">
        <f t="shared" ref="V560:W560" si="588">V536</f>
        <v>2.9</v>
      </c>
      <c r="W560">
        <f t="shared" si="588"/>
        <v>3.1</v>
      </c>
      <c r="X560" s="9">
        <v>2.9956455000000002</v>
      </c>
    </row>
    <row r="561" spans="1:24" x14ac:dyDescent="0.2">
      <c r="A561" s="41">
        <f t="shared" si="540"/>
        <v>45862.249999998647</v>
      </c>
      <c r="B561" s="42">
        <f t="shared" si="564"/>
        <v>8000</v>
      </c>
      <c r="C561" s="8">
        <v>25000</v>
      </c>
      <c r="D561" s="8">
        <v>0</v>
      </c>
      <c r="E561" s="8">
        <v>700</v>
      </c>
      <c r="F561" s="8">
        <v>15000</v>
      </c>
      <c r="G561" s="42">
        <f t="shared" si="565"/>
        <v>2400</v>
      </c>
      <c r="H561" s="8">
        <v>25000</v>
      </c>
      <c r="I561" s="42">
        <f t="shared" si="566"/>
        <v>8000</v>
      </c>
      <c r="J561" s="8">
        <v>25000</v>
      </c>
      <c r="K561" s="42">
        <f t="shared" si="567"/>
        <v>8000</v>
      </c>
      <c r="L561" s="8">
        <v>25000</v>
      </c>
      <c r="M561" s="9">
        <v>9</v>
      </c>
      <c r="N561" s="9">
        <v>16.100000000000001</v>
      </c>
      <c r="O561" s="9">
        <v>14</v>
      </c>
      <c r="P561" s="9">
        <v>19.5</v>
      </c>
      <c r="Q561" s="92">
        <v>3.1045457999999999</v>
      </c>
      <c r="R561">
        <v>10</v>
      </c>
      <c r="S561">
        <v>1000</v>
      </c>
      <c r="T561" s="4">
        <v>362.76391476760062</v>
      </c>
      <c r="U561">
        <f t="shared" si="538"/>
        <v>3.6276391476760064</v>
      </c>
      <c r="V561">
        <f t="shared" ref="V561:W561" si="589">V537</f>
        <v>2.5</v>
      </c>
      <c r="W561">
        <f t="shared" si="589"/>
        <v>3.1</v>
      </c>
      <c r="X561" s="9">
        <v>3.1045457999999999</v>
      </c>
    </row>
    <row r="562" spans="1:24" x14ac:dyDescent="0.2">
      <c r="A562" s="41">
        <f t="shared" si="540"/>
        <v>45862.291666665311</v>
      </c>
      <c r="B562" s="42">
        <f t="shared" si="564"/>
        <v>8000</v>
      </c>
      <c r="C562" s="8">
        <v>25000</v>
      </c>
      <c r="D562" s="8">
        <v>0</v>
      </c>
      <c r="E562" s="8">
        <v>700</v>
      </c>
      <c r="F562" s="8">
        <v>15000</v>
      </c>
      <c r="G562" s="42">
        <f t="shared" si="565"/>
        <v>2400</v>
      </c>
      <c r="H562" s="8">
        <v>25000</v>
      </c>
      <c r="I562" s="42">
        <f t="shared" si="566"/>
        <v>8000</v>
      </c>
      <c r="J562" s="8">
        <v>25000</v>
      </c>
      <c r="K562" s="42">
        <f t="shared" si="567"/>
        <v>8000</v>
      </c>
      <c r="L562" s="8">
        <v>25000</v>
      </c>
      <c r="M562" s="9">
        <v>9</v>
      </c>
      <c r="N562" s="9">
        <v>16.100000000000001</v>
      </c>
      <c r="O562" s="9">
        <v>14</v>
      </c>
      <c r="P562" s="9">
        <v>19.5</v>
      </c>
      <c r="Q562" s="92">
        <v>3.2301082999999999</v>
      </c>
      <c r="R562">
        <v>10</v>
      </c>
      <c r="S562">
        <v>1000</v>
      </c>
      <c r="T562" s="4">
        <v>369.00637295020039</v>
      </c>
      <c r="U562">
        <f t="shared" si="538"/>
        <v>3.690063729502004</v>
      </c>
      <c r="V562">
        <f t="shared" ref="V562:W562" si="590">V538</f>
        <v>2.5</v>
      </c>
      <c r="W562">
        <f t="shared" si="590"/>
        <v>3.1</v>
      </c>
      <c r="X562" s="9">
        <v>3.2301082999999999</v>
      </c>
    </row>
    <row r="563" spans="1:24" x14ac:dyDescent="0.2">
      <c r="A563" s="41">
        <f t="shared" si="540"/>
        <v>45862.333333331975</v>
      </c>
      <c r="B563" s="42">
        <f t="shared" si="564"/>
        <v>8000</v>
      </c>
      <c r="C563" s="8">
        <v>25000</v>
      </c>
      <c r="D563" s="8">
        <v>0</v>
      </c>
      <c r="E563" s="8">
        <v>700</v>
      </c>
      <c r="F563" s="8">
        <v>15000</v>
      </c>
      <c r="G563" s="42">
        <f t="shared" si="565"/>
        <v>2400</v>
      </c>
      <c r="H563" s="8">
        <v>25000</v>
      </c>
      <c r="I563" s="42">
        <f t="shared" si="566"/>
        <v>8000</v>
      </c>
      <c r="J563" s="8">
        <v>25000</v>
      </c>
      <c r="K563" s="42">
        <f t="shared" si="567"/>
        <v>8000</v>
      </c>
      <c r="L563" s="8">
        <v>25000</v>
      </c>
      <c r="M563" s="9">
        <v>9</v>
      </c>
      <c r="N563" s="9">
        <v>16.100000000000001</v>
      </c>
      <c r="O563" s="9">
        <v>14</v>
      </c>
      <c r="P563" s="9">
        <v>19.5</v>
      </c>
      <c r="Q563" s="92">
        <v>3.2939707999999999</v>
      </c>
      <c r="R563">
        <v>10</v>
      </c>
      <c r="S563">
        <v>1000</v>
      </c>
      <c r="T563" s="4">
        <v>386.17313295234976</v>
      </c>
      <c r="U563">
        <f t="shared" si="538"/>
        <v>3.8617313295234976</v>
      </c>
      <c r="V563">
        <f t="shared" ref="V563:W563" si="591">V539</f>
        <v>3.2</v>
      </c>
      <c r="W563">
        <f t="shared" si="591"/>
        <v>3</v>
      </c>
      <c r="X563" s="9">
        <v>3.2939707999999999</v>
      </c>
    </row>
    <row r="564" spans="1:24" x14ac:dyDescent="0.2">
      <c r="A564" s="41">
        <f t="shared" si="540"/>
        <v>45862.374999998639</v>
      </c>
      <c r="B564" s="42">
        <f t="shared" si="564"/>
        <v>8000</v>
      </c>
      <c r="C564" s="8">
        <v>25000</v>
      </c>
      <c r="D564" s="8">
        <v>0</v>
      </c>
      <c r="E564" s="8">
        <v>700</v>
      </c>
      <c r="F564" s="8">
        <v>15000</v>
      </c>
      <c r="G564" s="42">
        <f t="shared" si="565"/>
        <v>2400</v>
      </c>
      <c r="H564" s="8">
        <v>25000</v>
      </c>
      <c r="I564" s="42">
        <f t="shared" si="566"/>
        <v>8000</v>
      </c>
      <c r="J564" s="8">
        <v>25000</v>
      </c>
      <c r="K564" s="42">
        <f t="shared" si="567"/>
        <v>8000</v>
      </c>
      <c r="L564" s="8">
        <v>25000</v>
      </c>
      <c r="M564" s="9">
        <v>9</v>
      </c>
      <c r="N564" s="9">
        <v>16.100000000000001</v>
      </c>
      <c r="O564" s="9">
        <v>14</v>
      </c>
      <c r="P564" s="9">
        <v>19.5</v>
      </c>
      <c r="Q564" s="92">
        <v>3.3186890999999998</v>
      </c>
      <c r="R564">
        <v>10</v>
      </c>
      <c r="S564">
        <v>1000</v>
      </c>
      <c r="T564" s="4">
        <v>364.32452931325059</v>
      </c>
      <c r="U564">
        <f t="shared" si="538"/>
        <v>3.6432452931325061</v>
      </c>
      <c r="V564">
        <f t="shared" ref="V564:W564" si="592">V540</f>
        <v>2.9</v>
      </c>
      <c r="W564">
        <f t="shared" si="592"/>
        <v>3</v>
      </c>
      <c r="X564" s="9">
        <v>3.3186890999999998</v>
      </c>
    </row>
    <row r="565" spans="1:24" x14ac:dyDescent="0.2">
      <c r="A565" s="41">
        <f t="shared" si="540"/>
        <v>45862.416666665304</v>
      </c>
      <c r="B565" s="42">
        <f t="shared" si="564"/>
        <v>8000</v>
      </c>
      <c r="C565" s="8">
        <v>25000</v>
      </c>
      <c r="D565" s="8">
        <v>0</v>
      </c>
      <c r="E565" s="8">
        <v>700</v>
      </c>
      <c r="F565" s="8">
        <v>15000</v>
      </c>
      <c r="G565" s="42">
        <f t="shared" si="565"/>
        <v>2400</v>
      </c>
      <c r="H565" s="8">
        <v>25000</v>
      </c>
      <c r="I565" s="42">
        <f t="shared" si="566"/>
        <v>8000</v>
      </c>
      <c r="J565" s="8">
        <v>25000</v>
      </c>
      <c r="K565" s="42">
        <f t="shared" si="567"/>
        <v>8000</v>
      </c>
      <c r="L565" s="8">
        <v>25000</v>
      </c>
      <c r="M565" s="9">
        <v>9</v>
      </c>
      <c r="N565" s="9">
        <v>16.100000000000001</v>
      </c>
      <c r="O565" s="9">
        <v>14</v>
      </c>
      <c r="P565" s="9">
        <v>19.5</v>
      </c>
      <c r="Q565" s="92">
        <v>3.3738774999999999</v>
      </c>
      <c r="R565">
        <v>10</v>
      </c>
      <c r="S565">
        <v>1000</v>
      </c>
      <c r="T565" s="4">
        <v>343.41229440154143</v>
      </c>
      <c r="U565">
        <f t="shared" si="538"/>
        <v>3.4341229440154142</v>
      </c>
      <c r="V565">
        <f t="shared" ref="V565:W565" si="593">V541</f>
        <v>2.9</v>
      </c>
      <c r="W565">
        <f t="shared" si="593"/>
        <v>3</v>
      </c>
      <c r="X565" s="9">
        <v>3.3738774999999999</v>
      </c>
    </row>
    <row r="566" spans="1:24" x14ac:dyDescent="0.2">
      <c r="A566" s="41">
        <f t="shared" si="540"/>
        <v>45862.458333331968</v>
      </c>
      <c r="B566" s="42">
        <f t="shared" si="564"/>
        <v>8000</v>
      </c>
      <c r="C566" s="8">
        <v>25000</v>
      </c>
      <c r="D566" s="8">
        <v>0</v>
      </c>
      <c r="E566" s="8">
        <v>700</v>
      </c>
      <c r="F566" s="8">
        <v>15000</v>
      </c>
      <c r="G566" s="42">
        <f t="shared" si="565"/>
        <v>2400</v>
      </c>
      <c r="H566" s="8">
        <v>25000</v>
      </c>
      <c r="I566" s="42">
        <f t="shared" si="566"/>
        <v>8000</v>
      </c>
      <c r="J566" s="8">
        <v>25000</v>
      </c>
      <c r="K566" s="42">
        <f t="shared" si="567"/>
        <v>8000</v>
      </c>
      <c r="L566" s="8">
        <v>25000</v>
      </c>
      <c r="M566" s="9">
        <v>9</v>
      </c>
      <c r="N566" s="9">
        <v>16.100000000000001</v>
      </c>
      <c r="O566" s="9">
        <v>14</v>
      </c>
      <c r="P566" s="9">
        <v>19.5</v>
      </c>
      <c r="Q566" s="92">
        <v>3.3245087</v>
      </c>
      <c r="R566">
        <v>10</v>
      </c>
      <c r="S566">
        <v>1000</v>
      </c>
      <c r="T566" s="4">
        <v>340.29106531024155</v>
      </c>
      <c r="U566">
        <f t="shared" si="538"/>
        <v>3.4029106531024156</v>
      </c>
      <c r="V566">
        <f t="shared" ref="V566:W566" si="594">V542</f>
        <v>3.4</v>
      </c>
      <c r="W566">
        <f t="shared" si="594"/>
        <v>3</v>
      </c>
      <c r="X566" s="9">
        <v>3.3245087</v>
      </c>
    </row>
    <row r="567" spans="1:24" x14ac:dyDescent="0.2">
      <c r="A567" s="41">
        <f t="shared" si="540"/>
        <v>45862.499999998632</v>
      </c>
      <c r="B567" s="42">
        <f t="shared" si="564"/>
        <v>8000</v>
      </c>
      <c r="C567" s="8">
        <v>25000</v>
      </c>
      <c r="D567" s="8">
        <v>0</v>
      </c>
      <c r="E567" s="8">
        <v>700</v>
      </c>
      <c r="F567" s="8">
        <v>15000</v>
      </c>
      <c r="G567" s="42">
        <f t="shared" si="565"/>
        <v>2400</v>
      </c>
      <c r="H567" s="8">
        <v>25000</v>
      </c>
      <c r="I567" s="42">
        <f t="shared" si="566"/>
        <v>8000</v>
      </c>
      <c r="J567" s="8">
        <v>25000</v>
      </c>
      <c r="K567" s="42">
        <f t="shared" si="567"/>
        <v>8000</v>
      </c>
      <c r="L567" s="8">
        <v>25000</v>
      </c>
      <c r="M567" s="9">
        <v>9</v>
      </c>
      <c r="N567" s="9">
        <v>16.100000000000001</v>
      </c>
      <c r="O567" s="9">
        <v>14</v>
      </c>
      <c r="P567" s="9">
        <v>19.5</v>
      </c>
      <c r="Q567" s="92">
        <v>3.1881216000000001</v>
      </c>
      <c r="R567">
        <v>10</v>
      </c>
      <c r="S567">
        <v>1000</v>
      </c>
      <c r="T567" s="4">
        <v>369.94274167759033</v>
      </c>
      <c r="U567">
        <f t="shared" si="538"/>
        <v>3.6994274167759031</v>
      </c>
      <c r="V567">
        <f t="shared" ref="V567:W567" si="595">V543</f>
        <v>3.1</v>
      </c>
      <c r="W567">
        <f t="shared" si="595"/>
        <v>2.9</v>
      </c>
      <c r="X567" s="9">
        <v>3.1881216000000001</v>
      </c>
    </row>
    <row r="568" spans="1:24" x14ac:dyDescent="0.2">
      <c r="A568" s="41">
        <f t="shared" si="540"/>
        <v>45862.541666665296</v>
      </c>
      <c r="B568" s="42">
        <f t="shared" si="564"/>
        <v>8000</v>
      </c>
      <c r="C568" s="8">
        <v>25000</v>
      </c>
      <c r="D568" s="8">
        <v>0</v>
      </c>
      <c r="E568" s="8">
        <v>700</v>
      </c>
      <c r="F568" s="8">
        <v>15000</v>
      </c>
      <c r="G568" s="42">
        <f t="shared" si="565"/>
        <v>2400</v>
      </c>
      <c r="H568" s="8">
        <v>25000</v>
      </c>
      <c r="I568" s="42">
        <f t="shared" si="566"/>
        <v>8000</v>
      </c>
      <c r="J568" s="8">
        <v>25000</v>
      </c>
      <c r="K568" s="42">
        <f t="shared" si="567"/>
        <v>8000</v>
      </c>
      <c r="L568" s="8">
        <v>25000</v>
      </c>
      <c r="M568" s="9">
        <v>9</v>
      </c>
      <c r="N568" s="9">
        <v>16.100000000000001</v>
      </c>
      <c r="O568" s="9">
        <v>14</v>
      </c>
      <c r="P568" s="9">
        <v>19.5</v>
      </c>
      <c r="Q568" s="92">
        <v>3.0214536000000001</v>
      </c>
      <c r="R568">
        <v>10</v>
      </c>
      <c r="S568">
        <v>1000</v>
      </c>
      <c r="T568" s="4">
        <v>402.40414847292726</v>
      </c>
      <c r="U568">
        <f t="shared" si="538"/>
        <v>4.0240414847292723</v>
      </c>
      <c r="V568">
        <f t="shared" ref="V568:W568" si="596">V544</f>
        <v>3.2</v>
      </c>
      <c r="W568">
        <f t="shared" si="596"/>
        <v>2.9</v>
      </c>
      <c r="X568" s="9">
        <v>3.0214536000000001</v>
      </c>
    </row>
    <row r="569" spans="1:24" x14ac:dyDescent="0.2">
      <c r="A569" s="41">
        <f t="shared" si="540"/>
        <v>45862.583333331961</v>
      </c>
      <c r="B569" s="42">
        <f t="shared" si="564"/>
        <v>8000</v>
      </c>
      <c r="C569" s="8">
        <v>25000</v>
      </c>
      <c r="D569" s="8">
        <v>0</v>
      </c>
      <c r="E569" s="8">
        <v>700</v>
      </c>
      <c r="F569" s="8">
        <v>15000</v>
      </c>
      <c r="G569" s="42">
        <f t="shared" si="565"/>
        <v>2400</v>
      </c>
      <c r="H569" s="8">
        <v>25000</v>
      </c>
      <c r="I569" s="42">
        <f t="shared" si="566"/>
        <v>8000</v>
      </c>
      <c r="J569" s="8">
        <v>25000</v>
      </c>
      <c r="K569" s="42">
        <f t="shared" si="567"/>
        <v>8000</v>
      </c>
      <c r="L569" s="8">
        <v>25000</v>
      </c>
      <c r="M569" s="9">
        <v>9</v>
      </c>
      <c r="N569" s="9">
        <v>16.100000000000001</v>
      </c>
      <c r="O569" s="9">
        <v>14</v>
      </c>
      <c r="P569" s="9">
        <v>19.5</v>
      </c>
      <c r="Q569" s="92">
        <v>2.9830420000000002</v>
      </c>
      <c r="R569">
        <v>10</v>
      </c>
      <c r="S569">
        <v>1000</v>
      </c>
      <c r="T569" s="4">
        <v>655.22245637658079</v>
      </c>
      <c r="U569">
        <f t="shared" si="538"/>
        <v>6.5522245637658081</v>
      </c>
      <c r="V569">
        <f t="shared" ref="V569:W569" si="597">V545</f>
        <v>3.5</v>
      </c>
      <c r="W569">
        <f t="shared" si="597"/>
        <v>2.9</v>
      </c>
      <c r="X569" s="9">
        <v>2.9830420000000002</v>
      </c>
    </row>
    <row r="570" spans="1:24" x14ac:dyDescent="0.2">
      <c r="A570" s="41">
        <f t="shared" si="540"/>
        <v>45862.624999998625</v>
      </c>
      <c r="B570" s="42">
        <f t="shared" si="564"/>
        <v>8000</v>
      </c>
      <c r="C570" s="8">
        <v>25000</v>
      </c>
      <c r="D570" s="8">
        <v>0</v>
      </c>
      <c r="E570" s="8">
        <v>700</v>
      </c>
      <c r="F570" s="8">
        <v>15000</v>
      </c>
      <c r="G570" s="42">
        <f t="shared" si="565"/>
        <v>2400</v>
      </c>
      <c r="H570" s="8">
        <v>25000</v>
      </c>
      <c r="I570" s="42">
        <f t="shared" si="566"/>
        <v>8000</v>
      </c>
      <c r="J570" s="8">
        <v>25000</v>
      </c>
      <c r="K570" s="42">
        <f t="shared" si="567"/>
        <v>8000</v>
      </c>
      <c r="L570" s="8">
        <v>25000</v>
      </c>
      <c r="M570" s="9">
        <v>9</v>
      </c>
      <c r="N570" s="9">
        <v>16.100000000000001</v>
      </c>
      <c r="O570" s="9">
        <v>14</v>
      </c>
      <c r="P570" s="9">
        <v>19.5</v>
      </c>
      <c r="Q570" s="92">
        <v>3.3155792000000002</v>
      </c>
      <c r="R570">
        <v>10</v>
      </c>
      <c r="S570">
        <v>1000</v>
      </c>
      <c r="T570" s="4">
        <v>753.54117275252679</v>
      </c>
      <c r="U570">
        <f t="shared" si="538"/>
        <v>7.5354117275252683</v>
      </c>
      <c r="V570">
        <f t="shared" ref="V570:W570" si="598">V546</f>
        <v>3.2</v>
      </c>
      <c r="W570">
        <f t="shared" si="598"/>
        <v>2.9</v>
      </c>
      <c r="X570" s="9">
        <v>3.3155792000000002</v>
      </c>
    </row>
    <row r="571" spans="1:24" x14ac:dyDescent="0.2">
      <c r="A571" s="41">
        <f t="shared" si="540"/>
        <v>45862.666666665289</v>
      </c>
      <c r="B571" s="42">
        <f t="shared" si="564"/>
        <v>8000</v>
      </c>
      <c r="C571" s="8">
        <v>25000</v>
      </c>
      <c r="D571" s="8">
        <v>0</v>
      </c>
      <c r="E571" s="8">
        <v>700</v>
      </c>
      <c r="F571" s="8">
        <v>15000</v>
      </c>
      <c r="G571" s="42">
        <f t="shared" si="565"/>
        <v>2400</v>
      </c>
      <c r="H571" s="8">
        <v>25000</v>
      </c>
      <c r="I571" s="42">
        <f t="shared" si="566"/>
        <v>8000</v>
      </c>
      <c r="J571" s="8">
        <v>25000</v>
      </c>
      <c r="K571" s="42">
        <f t="shared" si="567"/>
        <v>8000</v>
      </c>
      <c r="L571" s="8">
        <v>25000</v>
      </c>
      <c r="M571" s="9">
        <v>9</v>
      </c>
      <c r="N571" s="9">
        <v>16.100000000000001</v>
      </c>
      <c r="O571" s="9">
        <v>14</v>
      </c>
      <c r="P571" s="9">
        <v>19.5</v>
      </c>
      <c r="Q571" s="92">
        <v>3.2524986</v>
      </c>
      <c r="R571">
        <v>10</v>
      </c>
      <c r="S571">
        <v>1000</v>
      </c>
      <c r="T571" s="4">
        <v>974.21206950742805</v>
      </c>
      <c r="U571">
        <f t="shared" si="538"/>
        <v>9.7421206950742807</v>
      </c>
      <c r="V571">
        <f t="shared" ref="V571:W571" si="599">V547</f>
        <v>3.5</v>
      </c>
      <c r="W571">
        <f t="shared" si="599"/>
        <v>3</v>
      </c>
      <c r="X571" s="9">
        <v>3.2524986</v>
      </c>
    </row>
    <row r="572" spans="1:24" x14ac:dyDescent="0.2">
      <c r="A572" s="41">
        <f t="shared" si="540"/>
        <v>45862.708333331953</v>
      </c>
      <c r="B572" s="42">
        <f t="shared" si="564"/>
        <v>8000</v>
      </c>
      <c r="C572" s="8">
        <v>25000</v>
      </c>
      <c r="D572" s="8">
        <v>0</v>
      </c>
      <c r="E572" s="8">
        <v>700</v>
      </c>
      <c r="F572" s="8">
        <v>15000</v>
      </c>
      <c r="G572" s="42">
        <f t="shared" si="565"/>
        <v>2400</v>
      </c>
      <c r="H572" s="8">
        <v>25000</v>
      </c>
      <c r="I572" s="42">
        <f t="shared" si="566"/>
        <v>8000</v>
      </c>
      <c r="J572" s="8">
        <v>25000</v>
      </c>
      <c r="K572" s="42">
        <f t="shared" si="567"/>
        <v>8000</v>
      </c>
      <c r="L572" s="8">
        <v>25000</v>
      </c>
      <c r="M572" s="9">
        <v>9</v>
      </c>
      <c r="N572" s="9">
        <v>16.100000000000001</v>
      </c>
      <c r="O572" s="9">
        <v>14</v>
      </c>
      <c r="P572" s="9">
        <v>19.5</v>
      </c>
      <c r="Q572" s="92">
        <v>3.1744667999999998</v>
      </c>
      <c r="R572">
        <v>10</v>
      </c>
      <c r="S572">
        <v>1000</v>
      </c>
      <c r="T572" s="4">
        <v>1241.0771568135674</v>
      </c>
      <c r="U572">
        <f t="shared" si="538"/>
        <v>12.410771568135674</v>
      </c>
      <c r="V572">
        <f t="shared" ref="V572:W572" si="600">V548</f>
        <v>3.6</v>
      </c>
      <c r="W572">
        <f t="shared" si="600"/>
        <v>3</v>
      </c>
      <c r="X572" s="9">
        <v>3.1744667999999998</v>
      </c>
    </row>
    <row r="573" spans="1:24" x14ac:dyDescent="0.2">
      <c r="A573" s="41">
        <f t="shared" si="540"/>
        <v>45862.749999998618</v>
      </c>
      <c r="B573" s="42">
        <f t="shared" si="564"/>
        <v>5000</v>
      </c>
      <c r="C573" s="8">
        <v>25000</v>
      </c>
      <c r="D573" s="8">
        <v>0</v>
      </c>
      <c r="E573" s="8">
        <v>700</v>
      </c>
      <c r="F573" s="8">
        <v>15000</v>
      </c>
      <c r="G573" s="42">
        <f t="shared" si="565"/>
        <v>2400</v>
      </c>
      <c r="H573" s="8">
        <v>25000</v>
      </c>
      <c r="I573" s="42">
        <f t="shared" si="566"/>
        <v>5000</v>
      </c>
      <c r="J573" s="8">
        <v>25000</v>
      </c>
      <c r="K573" s="42">
        <f t="shared" si="567"/>
        <v>5000</v>
      </c>
      <c r="L573" s="8">
        <v>25000</v>
      </c>
      <c r="M573" s="9">
        <v>9</v>
      </c>
      <c r="N573" s="9">
        <v>16.100000000000001</v>
      </c>
      <c r="O573" s="9">
        <v>14</v>
      </c>
      <c r="P573" s="9">
        <v>19.5</v>
      </c>
      <c r="Q573" s="92">
        <v>3.1572087</v>
      </c>
      <c r="R573">
        <v>10</v>
      </c>
      <c r="S573">
        <v>1000</v>
      </c>
      <c r="T573" s="4">
        <v>1284.7743640917656</v>
      </c>
      <c r="U573">
        <f t="shared" si="538"/>
        <v>12.847743640917656</v>
      </c>
      <c r="V573">
        <f t="shared" ref="V573:W573" si="601">V549</f>
        <v>2.9</v>
      </c>
      <c r="W573">
        <f t="shared" si="601"/>
        <v>3</v>
      </c>
      <c r="X573" s="9">
        <v>3.1572087</v>
      </c>
    </row>
    <row r="574" spans="1:24" x14ac:dyDescent="0.2">
      <c r="A574" s="41">
        <f t="shared" si="540"/>
        <v>45862.791666665282</v>
      </c>
      <c r="B574" s="42">
        <f t="shared" si="564"/>
        <v>5000</v>
      </c>
      <c r="C574" s="8">
        <v>25000</v>
      </c>
      <c r="D574" s="8">
        <v>0</v>
      </c>
      <c r="E574" s="8">
        <v>700</v>
      </c>
      <c r="F574" s="8">
        <v>15000</v>
      </c>
      <c r="G574" s="42">
        <f t="shared" si="565"/>
        <v>2400</v>
      </c>
      <c r="H574" s="8">
        <v>25000</v>
      </c>
      <c r="I574" s="42">
        <f t="shared" si="566"/>
        <v>5000</v>
      </c>
      <c r="J574" s="8">
        <v>25000</v>
      </c>
      <c r="K574" s="42">
        <f t="shared" si="567"/>
        <v>5000</v>
      </c>
      <c r="L574" s="8">
        <v>25000</v>
      </c>
      <c r="M574" s="9">
        <v>9</v>
      </c>
      <c r="N574" s="9">
        <v>16.100000000000001</v>
      </c>
      <c r="O574" s="9">
        <v>14</v>
      </c>
      <c r="P574" s="9">
        <v>19.5</v>
      </c>
      <c r="Q574" s="92">
        <v>3.1256213000000002</v>
      </c>
      <c r="R574">
        <v>10</v>
      </c>
      <c r="S574">
        <v>1000</v>
      </c>
      <c r="T574" s="4">
        <v>1281.6531350004659</v>
      </c>
      <c r="U574">
        <f t="shared" si="538"/>
        <v>12.816531350004659</v>
      </c>
      <c r="V574">
        <f t="shared" ref="V574:W574" si="602">V550</f>
        <v>3</v>
      </c>
      <c r="W574">
        <f t="shared" si="602"/>
        <v>3</v>
      </c>
      <c r="X574" s="9">
        <v>3.1256213000000002</v>
      </c>
    </row>
    <row r="575" spans="1:24" x14ac:dyDescent="0.2">
      <c r="A575" s="41">
        <f t="shared" si="540"/>
        <v>45862.833333331946</v>
      </c>
      <c r="B575" s="42">
        <f t="shared" si="564"/>
        <v>5000</v>
      </c>
      <c r="C575" s="8">
        <v>25000</v>
      </c>
      <c r="D575" s="8">
        <v>0</v>
      </c>
      <c r="E575" s="8">
        <v>700</v>
      </c>
      <c r="F575" s="8">
        <v>15000</v>
      </c>
      <c r="G575" s="42">
        <f t="shared" si="565"/>
        <v>2400</v>
      </c>
      <c r="H575" s="8">
        <v>25000</v>
      </c>
      <c r="I575" s="42">
        <f t="shared" si="566"/>
        <v>5000</v>
      </c>
      <c r="J575" s="8">
        <v>25000</v>
      </c>
      <c r="K575" s="42">
        <f t="shared" si="567"/>
        <v>5000</v>
      </c>
      <c r="L575" s="8">
        <v>25000</v>
      </c>
      <c r="M575" s="9">
        <v>9</v>
      </c>
      <c r="N575" s="9">
        <v>16.100000000000001</v>
      </c>
      <c r="O575" s="9">
        <v>14</v>
      </c>
      <c r="P575" s="9">
        <v>19.5</v>
      </c>
      <c r="Q575" s="92">
        <v>3.0890228999999998</v>
      </c>
      <c r="R575">
        <v>10</v>
      </c>
      <c r="S575">
        <v>1000</v>
      </c>
      <c r="T575" s="4">
        <v>1237.9559277222675</v>
      </c>
      <c r="U575">
        <f t="shared" si="538"/>
        <v>12.379559277222675</v>
      </c>
      <c r="V575">
        <f t="shared" ref="V575:W575" si="603">V551</f>
        <v>2.8</v>
      </c>
      <c r="W575">
        <f t="shared" si="603"/>
        <v>3.1</v>
      </c>
      <c r="X575" s="9">
        <v>3.0890228999999998</v>
      </c>
    </row>
    <row r="576" spans="1:24" x14ac:dyDescent="0.2">
      <c r="A576" s="41">
        <f t="shared" si="540"/>
        <v>45862.87499999861</v>
      </c>
      <c r="B576" s="42">
        <f t="shared" si="564"/>
        <v>5000</v>
      </c>
      <c r="C576" s="8">
        <v>25000</v>
      </c>
      <c r="D576" s="8">
        <v>0</v>
      </c>
      <c r="E576" s="8">
        <v>700</v>
      </c>
      <c r="F576" s="8">
        <v>15000</v>
      </c>
      <c r="G576" s="42">
        <f t="shared" si="565"/>
        <v>2400</v>
      </c>
      <c r="H576" s="8">
        <v>25000</v>
      </c>
      <c r="I576" s="42">
        <f t="shared" si="566"/>
        <v>5000</v>
      </c>
      <c r="J576" s="8">
        <v>25000</v>
      </c>
      <c r="K576" s="42">
        <f t="shared" si="567"/>
        <v>5000</v>
      </c>
      <c r="L576" s="8">
        <v>25000</v>
      </c>
      <c r="M576" s="9">
        <v>9</v>
      </c>
      <c r="N576" s="9">
        <v>16.100000000000001</v>
      </c>
      <c r="O576" s="9">
        <v>14</v>
      </c>
      <c r="P576" s="9">
        <v>19.5</v>
      </c>
      <c r="Q576" s="92">
        <v>3.0593989000000001</v>
      </c>
      <c r="R576">
        <v>10</v>
      </c>
      <c r="S576">
        <v>1000</v>
      </c>
      <c r="T576" s="4">
        <v>1142.7584404376212</v>
      </c>
      <c r="U576">
        <f t="shared" si="538"/>
        <v>11.427584404376212</v>
      </c>
      <c r="V576">
        <f t="shared" ref="V576:W576" si="604">V552</f>
        <v>3.5</v>
      </c>
      <c r="W576">
        <f t="shared" si="604"/>
        <v>3.1</v>
      </c>
      <c r="X576" s="9">
        <v>3.0593989000000001</v>
      </c>
    </row>
    <row r="577" spans="1:24" x14ac:dyDescent="0.2">
      <c r="A577" s="41">
        <f t="shared" si="540"/>
        <v>45862.916666665275</v>
      </c>
      <c r="B577" s="42">
        <f t="shared" si="564"/>
        <v>5000</v>
      </c>
      <c r="C577" s="8">
        <v>25000</v>
      </c>
      <c r="D577" s="8">
        <v>0</v>
      </c>
      <c r="E577" s="8">
        <v>700</v>
      </c>
      <c r="F577" s="8">
        <v>15000</v>
      </c>
      <c r="G577" s="42">
        <f t="shared" si="565"/>
        <v>2400</v>
      </c>
      <c r="H577" s="8">
        <v>25000</v>
      </c>
      <c r="I577" s="42">
        <f t="shared" si="566"/>
        <v>5000</v>
      </c>
      <c r="J577" s="8">
        <v>25000</v>
      </c>
      <c r="K577" s="42">
        <f t="shared" si="567"/>
        <v>5000</v>
      </c>
      <c r="L577" s="8">
        <v>25000</v>
      </c>
      <c r="M577" s="9">
        <v>9</v>
      </c>
      <c r="N577" s="9">
        <v>16.100000000000001</v>
      </c>
      <c r="O577" s="9">
        <v>14</v>
      </c>
      <c r="P577" s="9">
        <v>19.5</v>
      </c>
      <c r="Q577" s="92">
        <v>3.0277400000000001</v>
      </c>
      <c r="R577">
        <v>10</v>
      </c>
      <c r="S577">
        <v>1000</v>
      </c>
      <c r="T577" s="4">
        <v>918.02994586403031</v>
      </c>
      <c r="U577">
        <f t="shared" si="538"/>
        <v>9.1802994586403024</v>
      </c>
      <c r="V577">
        <f t="shared" ref="V577:W577" si="605">V553</f>
        <v>2.9</v>
      </c>
      <c r="W577">
        <f t="shared" si="605"/>
        <v>3.1</v>
      </c>
      <c r="X577" s="9">
        <v>3.0277400000000001</v>
      </c>
    </row>
    <row r="578" spans="1:24" x14ac:dyDescent="0.2">
      <c r="A578" s="41">
        <f t="shared" si="540"/>
        <v>45862.958333331939</v>
      </c>
      <c r="B578" s="42">
        <f t="shared" si="564"/>
        <v>5000</v>
      </c>
      <c r="C578" s="8">
        <v>25000</v>
      </c>
      <c r="D578" s="8">
        <v>0</v>
      </c>
      <c r="E578" s="8">
        <v>700</v>
      </c>
      <c r="F578" s="8">
        <v>15000</v>
      </c>
      <c r="G578" s="42">
        <f t="shared" si="565"/>
        <v>2400</v>
      </c>
      <c r="H578" s="8">
        <v>25000</v>
      </c>
      <c r="I578" s="42">
        <f t="shared" si="566"/>
        <v>5000</v>
      </c>
      <c r="J578" s="8">
        <v>25000</v>
      </c>
      <c r="K578" s="42">
        <f t="shared" si="567"/>
        <v>5000</v>
      </c>
      <c r="L578" s="8">
        <v>25000</v>
      </c>
      <c r="M578" s="9">
        <v>9</v>
      </c>
      <c r="N578" s="9">
        <v>16.100000000000001</v>
      </c>
      <c r="O578" s="9">
        <v>14</v>
      </c>
      <c r="P578" s="9">
        <v>19.5</v>
      </c>
      <c r="Q578" s="92">
        <v>2.9326799000000001</v>
      </c>
      <c r="R578">
        <v>10</v>
      </c>
      <c r="S578">
        <v>1000</v>
      </c>
      <c r="T578" s="4">
        <v>562.52257661079261</v>
      </c>
      <c r="U578">
        <f t="shared" si="538"/>
        <v>5.6252257661079259</v>
      </c>
      <c r="V578">
        <f t="shared" ref="V578:W578" si="606">V554</f>
        <v>3.6</v>
      </c>
      <c r="W578">
        <f t="shared" si="606"/>
        <v>3.1</v>
      </c>
      <c r="X578" s="9">
        <v>2.9326799000000001</v>
      </c>
    </row>
    <row r="579" spans="1:24" x14ac:dyDescent="0.2">
      <c r="A579" s="41">
        <f t="shared" si="540"/>
        <v>45862.999999998603</v>
      </c>
      <c r="B579" s="42">
        <f t="shared" si="564"/>
        <v>5000</v>
      </c>
      <c r="C579" s="8">
        <v>25000</v>
      </c>
      <c r="D579" s="8">
        <v>0</v>
      </c>
      <c r="E579" s="8">
        <v>700</v>
      </c>
      <c r="F579" s="8">
        <v>15000</v>
      </c>
      <c r="G579" s="42">
        <f t="shared" si="565"/>
        <v>2400</v>
      </c>
      <c r="H579" s="8">
        <v>25000</v>
      </c>
      <c r="I579" s="42">
        <f t="shared" si="566"/>
        <v>5000</v>
      </c>
      <c r="J579" s="8">
        <v>25000</v>
      </c>
      <c r="K579" s="42">
        <f t="shared" si="567"/>
        <v>5000</v>
      </c>
      <c r="L579" s="8">
        <v>25000</v>
      </c>
      <c r="M579" s="9">
        <v>9</v>
      </c>
      <c r="N579" s="9">
        <v>16.100000000000001</v>
      </c>
      <c r="O579" s="9">
        <v>14</v>
      </c>
      <c r="P579" s="9">
        <v>19.5</v>
      </c>
      <c r="Q579" s="92">
        <v>2.8367070999999999</v>
      </c>
      <c r="R579">
        <v>10</v>
      </c>
      <c r="S579">
        <v>1000</v>
      </c>
      <c r="T579" s="4">
        <v>328.43039476330199</v>
      </c>
      <c r="U579">
        <f t="shared" si="538"/>
        <v>3.28430394763302</v>
      </c>
      <c r="V579">
        <f t="shared" ref="V579:W579" si="607">V555</f>
        <v>3</v>
      </c>
      <c r="W579">
        <f t="shared" si="607"/>
        <v>3.2</v>
      </c>
      <c r="X579" s="9">
        <v>2.8367070999999999</v>
      </c>
    </row>
    <row r="580" spans="1:24" x14ac:dyDescent="0.2">
      <c r="A580" s="41">
        <f t="shared" si="540"/>
        <v>45863.041666665267</v>
      </c>
      <c r="B580" s="42">
        <f t="shared" si="564"/>
        <v>5000</v>
      </c>
      <c r="C580" s="8">
        <v>25000</v>
      </c>
      <c r="D580" s="8">
        <v>0</v>
      </c>
      <c r="E580" s="8">
        <v>700</v>
      </c>
      <c r="F580" s="8">
        <v>15000</v>
      </c>
      <c r="G580" s="42">
        <f t="shared" si="565"/>
        <v>2400</v>
      </c>
      <c r="H580" s="8">
        <v>25000</v>
      </c>
      <c r="I580" s="42">
        <f t="shared" si="566"/>
        <v>5000</v>
      </c>
      <c r="J580" s="8">
        <v>25000</v>
      </c>
      <c r="K580" s="42">
        <f t="shared" si="567"/>
        <v>5000</v>
      </c>
      <c r="L580" s="8">
        <v>25000</v>
      </c>
      <c r="M580" s="9">
        <v>9</v>
      </c>
      <c r="N580" s="9">
        <v>16.100000000000001</v>
      </c>
      <c r="O580" s="9">
        <v>14</v>
      </c>
      <c r="P580" s="9">
        <v>19.5</v>
      </c>
      <c r="Q580" s="92">
        <v>2.7599320000000001</v>
      </c>
      <c r="R580">
        <v>10</v>
      </c>
      <c r="S580">
        <v>1000</v>
      </c>
      <c r="T580" s="4">
        <v>318.44246167114238</v>
      </c>
      <c r="U580">
        <f t="shared" ref="U580:U626" si="608">T580/100</f>
        <v>3.1844246167114236</v>
      </c>
      <c r="V580">
        <f t="shared" ref="V580:W580" si="609">V556</f>
        <v>2.6</v>
      </c>
      <c r="W580">
        <f t="shared" si="609"/>
        <v>3.2</v>
      </c>
      <c r="X580" s="9">
        <v>2.7599320000000001</v>
      </c>
    </row>
    <row r="581" spans="1:24" x14ac:dyDescent="0.2">
      <c r="A581" s="41">
        <f t="shared" ref="A581:A644" si="610">A580+TIME(1,0,0)</f>
        <v>45863.083333331931</v>
      </c>
      <c r="B581" s="42">
        <f t="shared" si="564"/>
        <v>5000</v>
      </c>
      <c r="C581" s="8">
        <v>25000</v>
      </c>
      <c r="D581" s="8">
        <v>0</v>
      </c>
      <c r="E581" s="8">
        <v>700</v>
      </c>
      <c r="F581" s="8">
        <v>15000</v>
      </c>
      <c r="G581" s="42">
        <f t="shared" si="565"/>
        <v>2400</v>
      </c>
      <c r="H581" s="8">
        <v>25000</v>
      </c>
      <c r="I581" s="42">
        <f t="shared" si="566"/>
        <v>5000</v>
      </c>
      <c r="J581" s="8">
        <v>25000</v>
      </c>
      <c r="K581" s="42">
        <f t="shared" si="567"/>
        <v>5000</v>
      </c>
      <c r="L581" s="8">
        <v>25000</v>
      </c>
      <c r="M581" s="9">
        <v>9</v>
      </c>
      <c r="N581" s="9">
        <v>16.100000000000001</v>
      </c>
      <c r="O581" s="9">
        <v>14</v>
      </c>
      <c r="P581" s="9">
        <v>19.5</v>
      </c>
      <c r="Q581" s="92">
        <v>2.8298844999999999</v>
      </c>
      <c r="R581">
        <v>10</v>
      </c>
      <c r="S581">
        <v>1000</v>
      </c>
      <c r="T581" s="4">
        <v>318.44246167114238</v>
      </c>
      <c r="U581">
        <f t="shared" si="608"/>
        <v>3.1844246167114236</v>
      </c>
      <c r="V581">
        <f t="shared" ref="V581:W581" si="611">V557</f>
        <v>2.8</v>
      </c>
      <c r="W581">
        <f t="shared" si="611"/>
        <v>3.2</v>
      </c>
      <c r="X581" s="9">
        <v>2.8298844999999999</v>
      </c>
    </row>
    <row r="582" spans="1:24" x14ac:dyDescent="0.2">
      <c r="A582" s="41">
        <f t="shared" si="610"/>
        <v>45863.124999998596</v>
      </c>
      <c r="B582" s="42">
        <f t="shared" si="564"/>
        <v>5000</v>
      </c>
      <c r="C582" s="8">
        <v>25000</v>
      </c>
      <c r="D582" s="8">
        <v>0</v>
      </c>
      <c r="E582" s="8">
        <v>700</v>
      </c>
      <c r="F582" s="8">
        <v>15000</v>
      </c>
      <c r="G582" s="42">
        <f t="shared" si="565"/>
        <v>2400</v>
      </c>
      <c r="H582" s="8">
        <v>25000</v>
      </c>
      <c r="I582" s="42">
        <f t="shared" si="566"/>
        <v>5000</v>
      </c>
      <c r="J582" s="8">
        <v>25000</v>
      </c>
      <c r="K582" s="42">
        <f t="shared" si="567"/>
        <v>5000</v>
      </c>
      <c r="L582" s="8">
        <v>25000</v>
      </c>
      <c r="M582" s="9">
        <v>9</v>
      </c>
      <c r="N582" s="9">
        <v>16.100000000000001</v>
      </c>
      <c r="O582" s="9">
        <v>14</v>
      </c>
      <c r="P582" s="9">
        <v>19.5</v>
      </c>
      <c r="Q582" s="92">
        <v>2.8883402</v>
      </c>
      <c r="R582">
        <v>10</v>
      </c>
      <c r="S582">
        <v>1000</v>
      </c>
      <c r="T582" s="4">
        <v>396.47318895363924</v>
      </c>
      <c r="U582">
        <f t="shared" si="608"/>
        <v>3.9647318895363926</v>
      </c>
      <c r="V582">
        <f t="shared" ref="V582:W582" si="612">V558</f>
        <v>2.7</v>
      </c>
      <c r="W582">
        <f t="shared" si="612"/>
        <v>3.2</v>
      </c>
      <c r="X582" s="9">
        <v>2.8883402</v>
      </c>
    </row>
    <row r="583" spans="1:24" x14ac:dyDescent="0.2">
      <c r="A583" s="41">
        <f t="shared" si="610"/>
        <v>45863.16666666526</v>
      </c>
      <c r="B583" s="42">
        <f t="shared" si="564"/>
        <v>5000</v>
      </c>
      <c r="C583" s="8">
        <v>25000</v>
      </c>
      <c r="D583" s="8">
        <v>0</v>
      </c>
      <c r="E583" s="8">
        <v>700</v>
      </c>
      <c r="F583" s="8">
        <v>15000</v>
      </c>
      <c r="G583" s="42">
        <f t="shared" si="565"/>
        <v>2400</v>
      </c>
      <c r="H583" s="8">
        <v>25000</v>
      </c>
      <c r="I583" s="42">
        <f t="shared" si="566"/>
        <v>5000</v>
      </c>
      <c r="J583" s="8">
        <v>25000</v>
      </c>
      <c r="K583" s="42">
        <f t="shared" si="567"/>
        <v>5000</v>
      </c>
      <c r="L583" s="8">
        <v>25000</v>
      </c>
      <c r="M583" s="9">
        <v>9</v>
      </c>
      <c r="N583" s="9">
        <v>16.100000000000001</v>
      </c>
      <c r="O583" s="9">
        <v>14</v>
      </c>
      <c r="P583" s="9">
        <v>19.5</v>
      </c>
      <c r="Q583" s="92">
        <v>2.9127181000000002</v>
      </c>
      <c r="R583">
        <v>10</v>
      </c>
      <c r="S583">
        <v>1000</v>
      </c>
      <c r="T583" s="4">
        <v>466.70084350788647</v>
      </c>
      <c r="U583">
        <f t="shared" si="608"/>
        <v>4.6670084350788645</v>
      </c>
      <c r="V583">
        <f t="shared" ref="V583:W583" si="613">V559</f>
        <v>3</v>
      </c>
      <c r="W583">
        <f t="shared" si="613"/>
        <v>3.1</v>
      </c>
      <c r="X583" s="9">
        <v>2.9127181000000002</v>
      </c>
    </row>
    <row r="584" spans="1:24" x14ac:dyDescent="0.2">
      <c r="A584" s="41">
        <f t="shared" si="610"/>
        <v>45863.208333331924</v>
      </c>
      <c r="B584" s="42">
        <f t="shared" si="564"/>
        <v>5000</v>
      </c>
      <c r="C584" s="8">
        <v>25000</v>
      </c>
      <c r="D584" s="8">
        <v>0</v>
      </c>
      <c r="E584" s="8">
        <v>700</v>
      </c>
      <c r="F584" s="8">
        <v>15000</v>
      </c>
      <c r="G584" s="42">
        <f t="shared" si="565"/>
        <v>2400</v>
      </c>
      <c r="H584" s="8">
        <v>25000</v>
      </c>
      <c r="I584" s="42">
        <f t="shared" si="566"/>
        <v>5000</v>
      </c>
      <c r="J584" s="8">
        <v>25000</v>
      </c>
      <c r="K584" s="42">
        <f t="shared" si="567"/>
        <v>5000</v>
      </c>
      <c r="L584" s="8">
        <v>25000</v>
      </c>
      <c r="M584" s="9">
        <v>9</v>
      </c>
      <c r="N584" s="9">
        <v>16.100000000000001</v>
      </c>
      <c r="O584" s="9">
        <v>14</v>
      </c>
      <c r="P584" s="9">
        <v>19.5</v>
      </c>
      <c r="Q584" s="92">
        <v>2.9824866999999999</v>
      </c>
      <c r="R584">
        <v>10</v>
      </c>
      <c r="S584">
        <v>1000</v>
      </c>
      <c r="T584" s="4">
        <v>466.70084350788647</v>
      </c>
      <c r="U584">
        <f t="shared" si="608"/>
        <v>4.6670084350788645</v>
      </c>
      <c r="V584">
        <f t="shared" ref="V584:W584" si="614">V560</f>
        <v>2.9</v>
      </c>
      <c r="W584">
        <f t="shared" si="614"/>
        <v>3.1</v>
      </c>
      <c r="X584" s="9">
        <v>2.9824866999999999</v>
      </c>
    </row>
    <row r="585" spans="1:24" x14ac:dyDescent="0.2">
      <c r="A585" s="41">
        <f t="shared" si="610"/>
        <v>45863.249999998588</v>
      </c>
      <c r="B585" s="42">
        <f t="shared" si="564"/>
        <v>8000</v>
      </c>
      <c r="C585" s="8">
        <v>25000</v>
      </c>
      <c r="D585" s="8">
        <v>0</v>
      </c>
      <c r="E585" s="8">
        <v>700</v>
      </c>
      <c r="F585" s="8">
        <v>15000</v>
      </c>
      <c r="G585" s="42">
        <f t="shared" si="565"/>
        <v>2400</v>
      </c>
      <c r="H585" s="8">
        <v>25000</v>
      </c>
      <c r="I585" s="42">
        <f t="shared" si="566"/>
        <v>8000</v>
      </c>
      <c r="J585" s="8">
        <v>25000</v>
      </c>
      <c r="K585" s="42">
        <f t="shared" si="567"/>
        <v>8000</v>
      </c>
      <c r="L585" s="8">
        <v>25000</v>
      </c>
      <c r="M585" s="9">
        <v>9</v>
      </c>
      <c r="N585" s="9">
        <v>16.100000000000001</v>
      </c>
      <c r="O585" s="9">
        <v>14</v>
      </c>
      <c r="P585" s="9">
        <v>19.5</v>
      </c>
      <c r="Q585" s="92">
        <v>3.0992891999999999</v>
      </c>
      <c r="R585">
        <v>10</v>
      </c>
      <c r="S585">
        <v>1000</v>
      </c>
      <c r="T585" s="4">
        <v>362.76391476760062</v>
      </c>
      <c r="U585">
        <f t="shared" si="608"/>
        <v>3.6276391476760064</v>
      </c>
      <c r="V585">
        <f t="shared" ref="V585:W585" si="615">V561</f>
        <v>2.5</v>
      </c>
      <c r="W585">
        <f t="shared" si="615"/>
        <v>3.1</v>
      </c>
      <c r="X585" s="9">
        <v>3.0992891999999999</v>
      </c>
    </row>
    <row r="586" spans="1:24" x14ac:dyDescent="0.2">
      <c r="A586" s="41">
        <f t="shared" si="610"/>
        <v>45863.291666665253</v>
      </c>
      <c r="B586" s="42">
        <f t="shared" si="564"/>
        <v>8000</v>
      </c>
      <c r="C586" s="8">
        <v>25000</v>
      </c>
      <c r="D586" s="8">
        <v>0</v>
      </c>
      <c r="E586" s="8">
        <v>700</v>
      </c>
      <c r="F586" s="8">
        <v>15000</v>
      </c>
      <c r="G586" s="42">
        <f t="shared" si="565"/>
        <v>2400</v>
      </c>
      <c r="H586" s="8">
        <v>25000</v>
      </c>
      <c r="I586" s="42">
        <f t="shared" si="566"/>
        <v>8000</v>
      </c>
      <c r="J586" s="8">
        <v>25000</v>
      </c>
      <c r="K586" s="42">
        <f t="shared" si="567"/>
        <v>8000</v>
      </c>
      <c r="L586" s="8">
        <v>25000</v>
      </c>
      <c r="M586" s="9">
        <v>9</v>
      </c>
      <c r="N586" s="9">
        <v>16.100000000000001</v>
      </c>
      <c r="O586" s="9">
        <v>14</v>
      </c>
      <c r="P586" s="9">
        <v>19.5</v>
      </c>
      <c r="Q586" s="92">
        <v>3.2376782999999998</v>
      </c>
      <c r="R586">
        <v>10</v>
      </c>
      <c r="S586">
        <v>1000</v>
      </c>
      <c r="T586" s="4">
        <v>369.00637295020039</v>
      </c>
      <c r="U586">
        <f t="shared" si="608"/>
        <v>3.690063729502004</v>
      </c>
      <c r="V586">
        <f t="shared" ref="V586:W586" si="616">V562</f>
        <v>2.5</v>
      </c>
      <c r="W586">
        <f t="shared" si="616"/>
        <v>3.1</v>
      </c>
      <c r="X586" s="9">
        <v>3.2376782999999998</v>
      </c>
    </row>
    <row r="587" spans="1:24" x14ac:dyDescent="0.2">
      <c r="A587" s="41">
        <f t="shared" si="610"/>
        <v>45863.333333331917</v>
      </c>
      <c r="B587" s="42">
        <f t="shared" si="564"/>
        <v>8000</v>
      </c>
      <c r="C587" s="8">
        <v>25000</v>
      </c>
      <c r="D587" s="8">
        <v>0</v>
      </c>
      <c r="E587" s="8">
        <v>700</v>
      </c>
      <c r="F587" s="8">
        <v>15000</v>
      </c>
      <c r="G587" s="42">
        <f t="shared" si="565"/>
        <v>2400</v>
      </c>
      <c r="H587" s="8">
        <v>25000</v>
      </c>
      <c r="I587" s="42">
        <f t="shared" si="566"/>
        <v>8000</v>
      </c>
      <c r="J587" s="8">
        <v>25000</v>
      </c>
      <c r="K587" s="42">
        <f t="shared" si="567"/>
        <v>8000</v>
      </c>
      <c r="L587" s="8">
        <v>25000</v>
      </c>
      <c r="M587" s="9">
        <v>9</v>
      </c>
      <c r="N587" s="9">
        <v>16.100000000000001</v>
      </c>
      <c r="O587" s="9">
        <v>14</v>
      </c>
      <c r="P587" s="9">
        <v>19.5</v>
      </c>
      <c r="Q587" s="92">
        <v>3.2945416000000001</v>
      </c>
      <c r="R587">
        <v>10</v>
      </c>
      <c r="S587">
        <v>1000</v>
      </c>
      <c r="T587" s="4">
        <v>386.17313295234976</v>
      </c>
      <c r="U587">
        <f t="shared" si="608"/>
        <v>3.8617313295234976</v>
      </c>
      <c r="V587">
        <f t="shared" ref="V587:W587" si="617">V563</f>
        <v>3.2</v>
      </c>
      <c r="W587">
        <f t="shared" si="617"/>
        <v>3</v>
      </c>
      <c r="X587" s="9">
        <v>3.2945416000000001</v>
      </c>
    </row>
    <row r="588" spans="1:24" x14ac:dyDescent="0.2">
      <c r="A588" s="41">
        <f t="shared" si="610"/>
        <v>45863.374999998581</v>
      </c>
      <c r="B588" s="42">
        <f t="shared" si="564"/>
        <v>8000</v>
      </c>
      <c r="C588" s="8">
        <v>25000</v>
      </c>
      <c r="D588" s="8">
        <v>0</v>
      </c>
      <c r="E588" s="8">
        <v>700</v>
      </c>
      <c r="F588" s="8">
        <v>15000</v>
      </c>
      <c r="G588" s="42">
        <f t="shared" si="565"/>
        <v>2400</v>
      </c>
      <c r="H588" s="8">
        <v>25000</v>
      </c>
      <c r="I588" s="42">
        <f t="shared" si="566"/>
        <v>8000</v>
      </c>
      <c r="J588" s="8">
        <v>25000</v>
      </c>
      <c r="K588" s="42">
        <f t="shared" si="567"/>
        <v>8000</v>
      </c>
      <c r="L588" s="8">
        <v>25000</v>
      </c>
      <c r="M588" s="9">
        <v>9</v>
      </c>
      <c r="N588" s="9">
        <v>16.100000000000001</v>
      </c>
      <c r="O588" s="9">
        <v>14</v>
      </c>
      <c r="P588" s="9">
        <v>19.5</v>
      </c>
      <c r="Q588" s="92">
        <v>3.3307959999999999</v>
      </c>
      <c r="R588">
        <v>10</v>
      </c>
      <c r="S588">
        <v>1000</v>
      </c>
      <c r="T588" s="4">
        <v>364.32452931325059</v>
      </c>
      <c r="U588">
        <f t="shared" si="608"/>
        <v>3.6432452931325061</v>
      </c>
      <c r="V588">
        <f t="shared" ref="V588:W588" si="618">V564</f>
        <v>2.9</v>
      </c>
      <c r="W588">
        <f t="shared" si="618"/>
        <v>3</v>
      </c>
      <c r="X588" s="9">
        <v>3.3307959999999999</v>
      </c>
    </row>
    <row r="589" spans="1:24" x14ac:dyDescent="0.2">
      <c r="A589" s="41">
        <f t="shared" si="610"/>
        <v>45863.416666665245</v>
      </c>
      <c r="B589" s="42">
        <f t="shared" si="564"/>
        <v>8000</v>
      </c>
      <c r="C589" s="8">
        <v>25000</v>
      </c>
      <c r="D589" s="8">
        <v>0</v>
      </c>
      <c r="E589" s="8">
        <v>700</v>
      </c>
      <c r="F589" s="8">
        <v>15000</v>
      </c>
      <c r="G589" s="42">
        <f t="shared" si="565"/>
        <v>2400</v>
      </c>
      <c r="H589" s="8">
        <v>25000</v>
      </c>
      <c r="I589" s="42">
        <f t="shared" si="566"/>
        <v>8000</v>
      </c>
      <c r="J589" s="8">
        <v>25000</v>
      </c>
      <c r="K589" s="42">
        <f t="shared" si="567"/>
        <v>8000</v>
      </c>
      <c r="L589" s="8">
        <v>25000</v>
      </c>
      <c r="M589" s="9">
        <v>9</v>
      </c>
      <c r="N589" s="9">
        <v>16.100000000000001</v>
      </c>
      <c r="O589" s="9">
        <v>14</v>
      </c>
      <c r="P589" s="9">
        <v>19.5</v>
      </c>
      <c r="Q589" s="92">
        <v>3.398927</v>
      </c>
      <c r="R589">
        <v>10</v>
      </c>
      <c r="S589">
        <v>1000</v>
      </c>
      <c r="T589" s="4">
        <v>343.41229440154143</v>
      </c>
      <c r="U589">
        <f t="shared" si="608"/>
        <v>3.4341229440154142</v>
      </c>
      <c r="V589">
        <f t="shared" ref="V589:W589" si="619">V565</f>
        <v>2.9</v>
      </c>
      <c r="W589">
        <f t="shared" si="619"/>
        <v>3</v>
      </c>
      <c r="X589" s="9">
        <v>3.398927</v>
      </c>
    </row>
    <row r="590" spans="1:24" x14ac:dyDescent="0.2">
      <c r="A590" s="41">
        <f t="shared" si="610"/>
        <v>45863.45833333191</v>
      </c>
      <c r="B590" s="42">
        <f t="shared" si="564"/>
        <v>8000</v>
      </c>
      <c r="C590" s="8">
        <v>25000</v>
      </c>
      <c r="D590" s="8">
        <v>0</v>
      </c>
      <c r="E590" s="8">
        <v>700</v>
      </c>
      <c r="F590" s="8">
        <v>15000</v>
      </c>
      <c r="G590" s="42">
        <f t="shared" si="565"/>
        <v>2400</v>
      </c>
      <c r="H590" s="8">
        <v>25000</v>
      </c>
      <c r="I590" s="42">
        <f t="shared" si="566"/>
        <v>8000</v>
      </c>
      <c r="J590" s="8">
        <v>25000</v>
      </c>
      <c r="K590" s="42">
        <f t="shared" si="567"/>
        <v>8000</v>
      </c>
      <c r="L590" s="8">
        <v>25000</v>
      </c>
      <c r="M590" s="9">
        <v>9</v>
      </c>
      <c r="N590" s="9">
        <v>16.100000000000001</v>
      </c>
      <c r="O590" s="9">
        <v>14</v>
      </c>
      <c r="P590" s="9">
        <v>19.5</v>
      </c>
      <c r="Q590" s="92">
        <v>3.3382580000000002</v>
      </c>
      <c r="R590">
        <v>10</v>
      </c>
      <c r="S590">
        <v>1000</v>
      </c>
      <c r="T590" s="4">
        <v>340.29106531024155</v>
      </c>
      <c r="U590">
        <f t="shared" si="608"/>
        <v>3.4029106531024156</v>
      </c>
      <c r="V590">
        <f t="shared" ref="V590:W590" si="620">V566</f>
        <v>3.4</v>
      </c>
      <c r="W590">
        <f t="shared" si="620"/>
        <v>3</v>
      </c>
      <c r="X590" s="9">
        <v>3.3382580000000002</v>
      </c>
    </row>
    <row r="591" spans="1:24" x14ac:dyDescent="0.2">
      <c r="A591" s="41">
        <f t="shared" si="610"/>
        <v>45863.499999998574</v>
      </c>
      <c r="B591" s="42">
        <f t="shared" si="564"/>
        <v>8000</v>
      </c>
      <c r="C591" s="8">
        <v>25000</v>
      </c>
      <c r="D591" s="8">
        <v>0</v>
      </c>
      <c r="E591" s="8">
        <v>700</v>
      </c>
      <c r="F591" s="8">
        <v>15000</v>
      </c>
      <c r="G591" s="42">
        <f t="shared" si="565"/>
        <v>2400</v>
      </c>
      <c r="H591" s="8">
        <v>25000</v>
      </c>
      <c r="I591" s="42">
        <f t="shared" si="566"/>
        <v>8000</v>
      </c>
      <c r="J591" s="8">
        <v>25000</v>
      </c>
      <c r="K591" s="42">
        <f t="shared" si="567"/>
        <v>8000</v>
      </c>
      <c r="L591" s="8">
        <v>25000</v>
      </c>
      <c r="M591" s="9">
        <v>9</v>
      </c>
      <c r="N591" s="9">
        <v>16.100000000000001</v>
      </c>
      <c r="O591" s="9">
        <v>14</v>
      </c>
      <c r="P591" s="9">
        <v>19.5</v>
      </c>
      <c r="Q591" s="92">
        <v>3.2039938000000001</v>
      </c>
      <c r="R591">
        <v>10</v>
      </c>
      <c r="S591">
        <v>1000</v>
      </c>
      <c r="T591" s="4">
        <v>369.94274167759033</v>
      </c>
      <c r="U591">
        <f t="shared" si="608"/>
        <v>3.6994274167759031</v>
      </c>
      <c r="V591">
        <f t="shared" ref="V591:W591" si="621">V567</f>
        <v>3.1</v>
      </c>
      <c r="W591">
        <f t="shared" si="621"/>
        <v>2.9</v>
      </c>
      <c r="X591" s="9">
        <v>3.2039938000000001</v>
      </c>
    </row>
    <row r="592" spans="1:24" x14ac:dyDescent="0.2">
      <c r="A592" s="41">
        <f t="shared" si="610"/>
        <v>45863.541666665238</v>
      </c>
      <c r="B592" s="42">
        <f t="shared" si="564"/>
        <v>8000</v>
      </c>
      <c r="C592" s="8">
        <v>25000</v>
      </c>
      <c r="D592" s="8">
        <v>0</v>
      </c>
      <c r="E592" s="8">
        <v>700</v>
      </c>
      <c r="F592" s="8">
        <v>15000</v>
      </c>
      <c r="G592" s="42">
        <f t="shared" si="565"/>
        <v>2400</v>
      </c>
      <c r="H592" s="8">
        <v>25000</v>
      </c>
      <c r="I592" s="42">
        <f t="shared" si="566"/>
        <v>8000</v>
      </c>
      <c r="J592" s="8">
        <v>25000</v>
      </c>
      <c r="K592" s="42">
        <f t="shared" si="567"/>
        <v>8000</v>
      </c>
      <c r="L592" s="8">
        <v>25000</v>
      </c>
      <c r="M592" s="9">
        <v>9</v>
      </c>
      <c r="N592" s="9">
        <v>16.100000000000001</v>
      </c>
      <c r="O592" s="9">
        <v>14</v>
      </c>
      <c r="P592" s="9">
        <v>19.5</v>
      </c>
      <c r="Q592" s="92">
        <v>3.0252186999999999</v>
      </c>
      <c r="R592">
        <v>10</v>
      </c>
      <c r="S592">
        <v>1000</v>
      </c>
      <c r="T592" s="4">
        <v>402.40414847292726</v>
      </c>
      <c r="U592">
        <f t="shared" si="608"/>
        <v>4.0240414847292723</v>
      </c>
      <c r="V592">
        <f t="shared" ref="V592:W592" si="622">V568</f>
        <v>3.2</v>
      </c>
      <c r="W592">
        <f t="shared" si="622"/>
        <v>2.9</v>
      </c>
      <c r="X592" s="9">
        <v>3.0252186999999999</v>
      </c>
    </row>
    <row r="593" spans="1:24" x14ac:dyDescent="0.2">
      <c r="A593" s="41">
        <f t="shared" si="610"/>
        <v>45863.583333331902</v>
      </c>
      <c r="B593" s="42">
        <f t="shared" si="564"/>
        <v>8000</v>
      </c>
      <c r="C593" s="8">
        <v>25000</v>
      </c>
      <c r="D593" s="8">
        <v>0</v>
      </c>
      <c r="E593" s="8">
        <v>700</v>
      </c>
      <c r="F593" s="8">
        <v>15000</v>
      </c>
      <c r="G593" s="42">
        <f t="shared" si="565"/>
        <v>2400</v>
      </c>
      <c r="H593" s="8">
        <v>25000</v>
      </c>
      <c r="I593" s="42">
        <f t="shared" si="566"/>
        <v>8000</v>
      </c>
      <c r="J593" s="8">
        <v>25000</v>
      </c>
      <c r="K593" s="42">
        <f t="shared" si="567"/>
        <v>8000</v>
      </c>
      <c r="L593" s="8">
        <v>25000</v>
      </c>
      <c r="M593" s="9">
        <v>9</v>
      </c>
      <c r="N593" s="9">
        <v>16.100000000000001</v>
      </c>
      <c r="O593" s="9">
        <v>14</v>
      </c>
      <c r="P593" s="9">
        <v>19.5</v>
      </c>
      <c r="Q593" s="92">
        <v>3.0245110999999998</v>
      </c>
      <c r="R593">
        <v>10</v>
      </c>
      <c r="S593">
        <v>1000</v>
      </c>
      <c r="T593" s="4">
        <v>655.22245637658079</v>
      </c>
      <c r="U593">
        <f t="shared" si="608"/>
        <v>6.5522245637658081</v>
      </c>
      <c r="V593">
        <f t="shared" ref="V593:W593" si="623">V569</f>
        <v>3.5</v>
      </c>
      <c r="W593">
        <f t="shared" si="623"/>
        <v>2.9</v>
      </c>
      <c r="X593" s="9">
        <v>3.0245110999999998</v>
      </c>
    </row>
    <row r="594" spans="1:24" x14ac:dyDescent="0.2">
      <c r="A594" s="41">
        <f t="shared" si="610"/>
        <v>45863.624999998567</v>
      </c>
      <c r="B594" s="42">
        <f t="shared" si="564"/>
        <v>8000</v>
      </c>
      <c r="C594" s="8">
        <v>25000</v>
      </c>
      <c r="D594" s="8">
        <v>0</v>
      </c>
      <c r="E594" s="8">
        <v>700</v>
      </c>
      <c r="F594" s="8">
        <v>15000</v>
      </c>
      <c r="G594" s="42">
        <f t="shared" si="565"/>
        <v>2400</v>
      </c>
      <c r="H594" s="8">
        <v>25000</v>
      </c>
      <c r="I594" s="42">
        <f t="shared" si="566"/>
        <v>8000</v>
      </c>
      <c r="J594" s="8">
        <v>25000</v>
      </c>
      <c r="K594" s="42">
        <f t="shared" si="567"/>
        <v>8000</v>
      </c>
      <c r="L594" s="8">
        <v>25000</v>
      </c>
      <c r="M594" s="9">
        <v>9</v>
      </c>
      <c r="N594" s="9">
        <v>16.100000000000001</v>
      </c>
      <c r="O594" s="9">
        <v>14</v>
      </c>
      <c r="P594" s="9">
        <v>19.5</v>
      </c>
      <c r="Q594" s="92">
        <v>3.3710214999999999</v>
      </c>
      <c r="R594">
        <v>10</v>
      </c>
      <c r="S594">
        <v>1000</v>
      </c>
      <c r="T594" s="4">
        <v>753.54117275252679</v>
      </c>
      <c r="U594">
        <f t="shared" si="608"/>
        <v>7.5354117275252683</v>
      </c>
      <c r="V594">
        <f t="shared" ref="V594:W594" si="624">V570</f>
        <v>3.2</v>
      </c>
      <c r="W594">
        <f t="shared" si="624"/>
        <v>2.9</v>
      </c>
      <c r="X594" s="9">
        <v>3.3710214999999999</v>
      </c>
    </row>
    <row r="595" spans="1:24" x14ac:dyDescent="0.2">
      <c r="A595" s="41">
        <f t="shared" si="610"/>
        <v>45863.666666665231</v>
      </c>
      <c r="B595" s="42">
        <f t="shared" si="564"/>
        <v>8000</v>
      </c>
      <c r="C595" s="8">
        <v>25000</v>
      </c>
      <c r="D595" s="8">
        <v>0</v>
      </c>
      <c r="E595" s="8">
        <v>700</v>
      </c>
      <c r="F595" s="8">
        <v>15000</v>
      </c>
      <c r="G595" s="42">
        <f t="shared" si="565"/>
        <v>2400</v>
      </c>
      <c r="H595" s="8">
        <v>25000</v>
      </c>
      <c r="I595" s="42">
        <f t="shared" si="566"/>
        <v>8000</v>
      </c>
      <c r="J595" s="8">
        <v>25000</v>
      </c>
      <c r="K595" s="42">
        <f t="shared" si="567"/>
        <v>8000</v>
      </c>
      <c r="L595" s="8">
        <v>25000</v>
      </c>
      <c r="M595" s="9">
        <v>9</v>
      </c>
      <c r="N595" s="9">
        <v>16.100000000000001</v>
      </c>
      <c r="O595" s="9">
        <v>14</v>
      </c>
      <c r="P595" s="9">
        <v>19.5</v>
      </c>
      <c r="Q595" s="92">
        <v>3.2764316</v>
      </c>
      <c r="R595">
        <v>10</v>
      </c>
      <c r="S595">
        <v>1000</v>
      </c>
      <c r="T595" s="4">
        <v>974.21206950742805</v>
      </c>
      <c r="U595">
        <f t="shared" si="608"/>
        <v>9.7421206950742807</v>
      </c>
      <c r="V595">
        <f t="shared" ref="V595:W595" si="625">V571</f>
        <v>3.5</v>
      </c>
      <c r="W595">
        <f t="shared" si="625"/>
        <v>3</v>
      </c>
      <c r="X595" s="9">
        <v>3.2764316</v>
      </c>
    </row>
    <row r="596" spans="1:24" x14ac:dyDescent="0.2">
      <c r="A596" s="41">
        <f t="shared" si="610"/>
        <v>45863.708333331895</v>
      </c>
      <c r="B596" s="42">
        <f t="shared" si="564"/>
        <v>8000</v>
      </c>
      <c r="C596" s="8">
        <v>25000</v>
      </c>
      <c r="D596" s="8">
        <v>0</v>
      </c>
      <c r="E596" s="8">
        <v>700</v>
      </c>
      <c r="F596" s="8">
        <v>15000</v>
      </c>
      <c r="G596" s="42">
        <f t="shared" si="565"/>
        <v>2400</v>
      </c>
      <c r="H596" s="8">
        <v>25000</v>
      </c>
      <c r="I596" s="42">
        <f t="shared" si="566"/>
        <v>8000</v>
      </c>
      <c r="J596" s="8">
        <v>25000</v>
      </c>
      <c r="K596" s="42">
        <f t="shared" si="567"/>
        <v>8000</v>
      </c>
      <c r="L596" s="8">
        <v>25000</v>
      </c>
      <c r="M596" s="9">
        <v>9</v>
      </c>
      <c r="N596" s="9">
        <v>16.100000000000001</v>
      </c>
      <c r="O596" s="9">
        <v>14</v>
      </c>
      <c r="P596" s="9">
        <v>19.5</v>
      </c>
      <c r="Q596" s="92">
        <v>3.2011818999999999</v>
      </c>
      <c r="R596">
        <v>10</v>
      </c>
      <c r="S596">
        <v>1000</v>
      </c>
      <c r="T596" s="4">
        <v>1241.0771568135674</v>
      </c>
      <c r="U596">
        <f t="shared" si="608"/>
        <v>12.410771568135674</v>
      </c>
      <c r="V596">
        <f t="shared" ref="V596:W596" si="626">V572</f>
        <v>3.6</v>
      </c>
      <c r="W596">
        <f t="shared" si="626"/>
        <v>3</v>
      </c>
      <c r="X596" s="9">
        <v>3.2011818999999999</v>
      </c>
    </row>
    <row r="597" spans="1:24" x14ac:dyDescent="0.2">
      <c r="A597" s="41">
        <f t="shared" si="610"/>
        <v>45863.749999998559</v>
      </c>
      <c r="B597" s="42">
        <f t="shared" si="564"/>
        <v>5000</v>
      </c>
      <c r="C597" s="8">
        <v>25000</v>
      </c>
      <c r="D597" s="8">
        <v>0</v>
      </c>
      <c r="E597" s="8">
        <v>700</v>
      </c>
      <c r="F597" s="8">
        <v>15000</v>
      </c>
      <c r="G597" s="42">
        <f t="shared" si="565"/>
        <v>2400</v>
      </c>
      <c r="H597" s="8">
        <v>25000</v>
      </c>
      <c r="I597" s="42">
        <f t="shared" si="566"/>
        <v>5000</v>
      </c>
      <c r="J597" s="8">
        <v>25000</v>
      </c>
      <c r="K597" s="42">
        <f t="shared" si="567"/>
        <v>5000</v>
      </c>
      <c r="L597" s="8">
        <v>25000</v>
      </c>
      <c r="M597" s="9">
        <v>9</v>
      </c>
      <c r="N597" s="9">
        <v>16.100000000000001</v>
      </c>
      <c r="O597" s="9">
        <v>14</v>
      </c>
      <c r="P597" s="9">
        <v>19.5</v>
      </c>
      <c r="Q597" s="92">
        <v>3.1851916</v>
      </c>
      <c r="R597">
        <v>10</v>
      </c>
      <c r="S597">
        <v>1000</v>
      </c>
      <c r="T597" s="4">
        <v>1284.7743640917656</v>
      </c>
      <c r="U597">
        <f t="shared" si="608"/>
        <v>12.847743640917656</v>
      </c>
      <c r="V597">
        <f t="shared" ref="V597:W597" si="627">V573</f>
        <v>2.9</v>
      </c>
      <c r="W597">
        <f t="shared" si="627"/>
        <v>3</v>
      </c>
      <c r="X597" s="9">
        <v>3.1851916</v>
      </c>
    </row>
    <row r="598" spans="1:24" x14ac:dyDescent="0.2">
      <c r="A598" s="41">
        <f t="shared" si="610"/>
        <v>45863.791666665224</v>
      </c>
      <c r="B598" s="42">
        <f t="shared" si="564"/>
        <v>5000</v>
      </c>
      <c r="C598" s="8">
        <v>25000</v>
      </c>
      <c r="D598" s="8">
        <v>0</v>
      </c>
      <c r="E598" s="8">
        <v>700</v>
      </c>
      <c r="F598" s="8">
        <v>15000</v>
      </c>
      <c r="G598" s="42">
        <f t="shared" si="565"/>
        <v>2400</v>
      </c>
      <c r="H598" s="8">
        <v>25000</v>
      </c>
      <c r="I598" s="42">
        <f t="shared" si="566"/>
        <v>5000</v>
      </c>
      <c r="J598" s="8">
        <v>25000</v>
      </c>
      <c r="K598" s="42">
        <f t="shared" si="567"/>
        <v>5000</v>
      </c>
      <c r="L598" s="8">
        <v>25000</v>
      </c>
      <c r="M598" s="9">
        <v>9</v>
      </c>
      <c r="N598" s="9">
        <v>16.100000000000001</v>
      </c>
      <c r="O598" s="9">
        <v>14</v>
      </c>
      <c r="P598" s="9">
        <v>19.5</v>
      </c>
      <c r="Q598" s="92">
        <v>3.1480915999999999</v>
      </c>
      <c r="R598">
        <v>10</v>
      </c>
      <c r="S598">
        <v>1000</v>
      </c>
      <c r="T598" s="4">
        <v>1281.6531350004659</v>
      </c>
      <c r="U598">
        <f t="shared" si="608"/>
        <v>12.816531350004659</v>
      </c>
      <c r="V598">
        <f t="shared" ref="V598:W598" si="628">V574</f>
        <v>3</v>
      </c>
      <c r="W598">
        <f t="shared" si="628"/>
        <v>3</v>
      </c>
      <c r="X598" s="9">
        <v>3.1480915999999999</v>
      </c>
    </row>
    <row r="599" spans="1:24" x14ac:dyDescent="0.2">
      <c r="A599" s="41">
        <f t="shared" si="610"/>
        <v>45863.833333331888</v>
      </c>
      <c r="B599" s="42">
        <f t="shared" si="564"/>
        <v>5000</v>
      </c>
      <c r="C599" s="8">
        <v>25000</v>
      </c>
      <c r="D599" s="8">
        <v>0</v>
      </c>
      <c r="E599" s="8">
        <v>700</v>
      </c>
      <c r="F599" s="8">
        <v>15000</v>
      </c>
      <c r="G599" s="42">
        <f t="shared" si="565"/>
        <v>2400</v>
      </c>
      <c r="H599" s="8">
        <v>25000</v>
      </c>
      <c r="I599" s="42">
        <f t="shared" si="566"/>
        <v>5000</v>
      </c>
      <c r="J599" s="8">
        <v>25000</v>
      </c>
      <c r="K599" s="42">
        <f t="shared" si="567"/>
        <v>5000</v>
      </c>
      <c r="L599" s="8">
        <v>25000</v>
      </c>
      <c r="M599" s="9">
        <v>9</v>
      </c>
      <c r="N599" s="9">
        <v>16.100000000000001</v>
      </c>
      <c r="O599" s="9">
        <v>14</v>
      </c>
      <c r="P599" s="9">
        <v>19.5</v>
      </c>
      <c r="Q599" s="92">
        <v>3.1108763000000001</v>
      </c>
      <c r="R599">
        <v>10</v>
      </c>
      <c r="S599">
        <v>1000</v>
      </c>
      <c r="T599" s="4">
        <v>1237.9559277222675</v>
      </c>
      <c r="U599">
        <f t="shared" si="608"/>
        <v>12.379559277222675</v>
      </c>
      <c r="V599">
        <f t="shared" ref="V599:W599" si="629">V575</f>
        <v>2.8</v>
      </c>
      <c r="W599">
        <f t="shared" si="629"/>
        <v>3.1</v>
      </c>
      <c r="X599" s="9">
        <v>3.1108763000000001</v>
      </c>
    </row>
    <row r="600" spans="1:24" x14ac:dyDescent="0.2">
      <c r="A600" s="41">
        <f t="shared" si="610"/>
        <v>45863.874999998552</v>
      </c>
      <c r="B600" s="42">
        <f t="shared" si="564"/>
        <v>5000</v>
      </c>
      <c r="C600" s="8">
        <v>25000</v>
      </c>
      <c r="D600" s="8">
        <v>0</v>
      </c>
      <c r="E600" s="8">
        <v>700</v>
      </c>
      <c r="F600" s="8">
        <v>15000</v>
      </c>
      <c r="G600" s="42">
        <f t="shared" si="565"/>
        <v>2400</v>
      </c>
      <c r="H600" s="8">
        <v>25000</v>
      </c>
      <c r="I600" s="42">
        <f t="shared" si="566"/>
        <v>5000</v>
      </c>
      <c r="J600" s="8">
        <v>25000</v>
      </c>
      <c r="K600" s="42">
        <f t="shared" si="567"/>
        <v>5000</v>
      </c>
      <c r="L600" s="8">
        <v>25000</v>
      </c>
      <c r="M600" s="9">
        <v>9</v>
      </c>
      <c r="N600" s="9">
        <v>16.100000000000001</v>
      </c>
      <c r="O600" s="9">
        <v>14</v>
      </c>
      <c r="P600" s="9">
        <v>19.5</v>
      </c>
      <c r="Q600" s="92">
        <v>3.0770871999999998</v>
      </c>
      <c r="R600">
        <v>10</v>
      </c>
      <c r="S600">
        <v>1000</v>
      </c>
      <c r="T600" s="4">
        <v>1142.7584404376212</v>
      </c>
      <c r="U600">
        <f t="shared" si="608"/>
        <v>11.427584404376212</v>
      </c>
      <c r="V600">
        <f t="shared" ref="V600:W600" si="630">V576</f>
        <v>3.5</v>
      </c>
      <c r="W600">
        <f t="shared" si="630"/>
        <v>3.1</v>
      </c>
      <c r="X600" s="9">
        <v>3.0770871999999998</v>
      </c>
    </row>
    <row r="601" spans="1:24" x14ac:dyDescent="0.2">
      <c r="A601" s="41">
        <f t="shared" si="610"/>
        <v>45863.916666665216</v>
      </c>
      <c r="B601" s="42">
        <f t="shared" si="564"/>
        <v>5000</v>
      </c>
      <c r="C601" s="8">
        <v>25000</v>
      </c>
      <c r="D601" s="8">
        <v>0</v>
      </c>
      <c r="E601" s="8">
        <v>700</v>
      </c>
      <c r="F601" s="8">
        <v>15000</v>
      </c>
      <c r="G601" s="42">
        <f t="shared" si="565"/>
        <v>2400</v>
      </c>
      <c r="H601" s="8">
        <v>25000</v>
      </c>
      <c r="I601" s="42">
        <f t="shared" si="566"/>
        <v>5000</v>
      </c>
      <c r="J601" s="8">
        <v>25000</v>
      </c>
      <c r="K601" s="42">
        <f t="shared" si="567"/>
        <v>5000</v>
      </c>
      <c r="L601" s="8">
        <v>25000</v>
      </c>
      <c r="M601" s="9">
        <v>9</v>
      </c>
      <c r="N601" s="9">
        <v>16.100000000000001</v>
      </c>
      <c r="O601" s="9">
        <v>14</v>
      </c>
      <c r="P601" s="9">
        <v>19.5</v>
      </c>
      <c r="Q601" s="92">
        <v>3.0366825999999998</v>
      </c>
      <c r="R601">
        <v>10</v>
      </c>
      <c r="S601">
        <v>1000</v>
      </c>
      <c r="T601" s="4">
        <v>918.02994586403031</v>
      </c>
      <c r="U601">
        <f t="shared" si="608"/>
        <v>9.1802994586403024</v>
      </c>
      <c r="V601">
        <f t="shared" ref="V601:W601" si="631">V577</f>
        <v>2.9</v>
      </c>
      <c r="W601">
        <f t="shared" si="631"/>
        <v>3.1</v>
      </c>
      <c r="X601" s="9">
        <v>3.0366825999999998</v>
      </c>
    </row>
    <row r="602" spans="1:24" x14ac:dyDescent="0.2">
      <c r="A602" s="41">
        <f t="shared" si="610"/>
        <v>45863.958333331881</v>
      </c>
      <c r="B602" s="42">
        <f t="shared" si="564"/>
        <v>5000</v>
      </c>
      <c r="C602" s="8">
        <v>25000</v>
      </c>
      <c r="D602" s="8">
        <v>0</v>
      </c>
      <c r="E602" s="8">
        <v>700</v>
      </c>
      <c r="F602" s="8">
        <v>15000</v>
      </c>
      <c r="G602" s="42">
        <f t="shared" si="565"/>
        <v>2400</v>
      </c>
      <c r="H602" s="8">
        <v>25000</v>
      </c>
      <c r="I602" s="42">
        <f t="shared" si="566"/>
        <v>5000</v>
      </c>
      <c r="J602" s="8">
        <v>25000</v>
      </c>
      <c r="K602" s="42">
        <f t="shared" si="567"/>
        <v>5000</v>
      </c>
      <c r="L602" s="8">
        <v>25000</v>
      </c>
      <c r="M602" s="9">
        <v>9</v>
      </c>
      <c r="N602" s="9">
        <v>16.100000000000001</v>
      </c>
      <c r="O602" s="9">
        <v>14</v>
      </c>
      <c r="P602" s="9">
        <v>19.5</v>
      </c>
      <c r="Q602" s="92">
        <v>2.9351552000000001</v>
      </c>
      <c r="R602">
        <v>10</v>
      </c>
      <c r="S602">
        <v>1000</v>
      </c>
      <c r="T602" s="4">
        <v>562.52257661079261</v>
      </c>
      <c r="U602">
        <f t="shared" si="608"/>
        <v>5.6252257661079259</v>
      </c>
      <c r="V602">
        <f t="shared" ref="V602:W602" si="632">V578</f>
        <v>3.6</v>
      </c>
      <c r="W602">
        <f t="shared" si="632"/>
        <v>3.1</v>
      </c>
      <c r="X602" s="9">
        <v>2.9351552000000001</v>
      </c>
    </row>
    <row r="603" spans="1:24" x14ac:dyDescent="0.2">
      <c r="A603" s="41">
        <f t="shared" si="610"/>
        <v>45863.999999998545</v>
      </c>
      <c r="B603" s="42">
        <f t="shared" si="564"/>
        <v>5000</v>
      </c>
      <c r="C603" s="8">
        <v>25000</v>
      </c>
      <c r="D603" s="8">
        <v>0</v>
      </c>
      <c r="E603" s="8">
        <v>700</v>
      </c>
      <c r="F603" s="8">
        <v>15000</v>
      </c>
      <c r="G603" s="42">
        <f t="shared" si="565"/>
        <v>2400</v>
      </c>
      <c r="H603" s="8">
        <v>25000</v>
      </c>
      <c r="I603" s="42">
        <f t="shared" si="566"/>
        <v>5000</v>
      </c>
      <c r="J603" s="8">
        <v>25000</v>
      </c>
      <c r="K603" s="42">
        <f t="shared" si="567"/>
        <v>5000</v>
      </c>
      <c r="L603" s="8">
        <v>25000</v>
      </c>
      <c r="M603" s="9">
        <v>9</v>
      </c>
      <c r="N603" s="9">
        <v>16.100000000000001</v>
      </c>
      <c r="O603" s="9">
        <v>14</v>
      </c>
      <c r="P603" s="9">
        <v>19.5</v>
      </c>
      <c r="Q603" s="92">
        <v>2.8514173</v>
      </c>
      <c r="R603">
        <v>10</v>
      </c>
      <c r="S603">
        <v>1000</v>
      </c>
      <c r="T603" s="4">
        <v>393.97934309477978</v>
      </c>
      <c r="U603">
        <f t="shared" si="608"/>
        <v>3.9397934309477978</v>
      </c>
      <c r="V603">
        <f t="shared" ref="V603:W603" si="633">V579</f>
        <v>3</v>
      </c>
      <c r="W603">
        <f t="shared" si="633"/>
        <v>3.2</v>
      </c>
      <c r="X603" s="9">
        <v>2.8514173</v>
      </c>
    </row>
    <row r="604" spans="1:24" x14ac:dyDescent="0.2">
      <c r="A604" s="41">
        <f t="shared" si="610"/>
        <v>45864.041666665209</v>
      </c>
      <c r="B604" s="42">
        <f t="shared" ref="B604:B667" si="634">B580</f>
        <v>5000</v>
      </c>
      <c r="C604" s="8">
        <v>25000</v>
      </c>
      <c r="D604" s="8">
        <v>0</v>
      </c>
      <c r="E604" s="8">
        <v>700</v>
      </c>
      <c r="F604" s="8">
        <v>15000</v>
      </c>
      <c r="G604" s="42">
        <f t="shared" ref="G604:G667" si="635">G580</f>
        <v>2400</v>
      </c>
      <c r="H604" s="8">
        <v>25000</v>
      </c>
      <c r="I604" s="42">
        <f t="shared" ref="I604:I667" si="636">I580</f>
        <v>5000</v>
      </c>
      <c r="J604" s="8">
        <v>25000</v>
      </c>
      <c r="K604" s="42">
        <f t="shared" ref="K604:K667" si="637">K580</f>
        <v>5000</v>
      </c>
      <c r="L604" s="8">
        <v>25000</v>
      </c>
      <c r="M604" s="9">
        <v>9</v>
      </c>
      <c r="N604" s="9">
        <v>16.100000000000001</v>
      </c>
      <c r="O604" s="9">
        <v>14</v>
      </c>
      <c r="P604" s="9">
        <v>19.5</v>
      </c>
      <c r="Q604" s="92">
        <v>2.798362</v>
      </c>
      <c r="R604">
        <v>10</v>
      </c>
      <c r="S604">
        <v>1000</v>
      </c>
      <c r="T604" s="4">
        <v>384.29812364944195</v>
      </c>
      <c r="U604">
        <f t="shared" si="608"/>
        <v>3.8429812364944196</v>
      </c>
      <c r="V604">
        <f t="shared" ref="V604:W604" si="638">V580</f>
        <v>2.6</v>
      </c>
      <c r="W604">
        <f t="shared" si="638"/>
        <v>3.2</v>
      </c>
      <c r="X604" s="9">
        <v>2.798362</v>
      </c>
    </row>
    <row r="605" spans="1:24" x14ac:dyDescent="0.2">
      <c r="A605" s="41">
        <f t="shared" si="610"/>
        <v>45864.083333331873</v>
      </c>
      <c r="B605" s="42">
        <f t="shared" si="634"/>
        <v>5000</v>
      </c>
      <c r="C605" s="8">
        <v>25000</v>
      </c>
      <c r="D605" s="8">
        <v>0</v>
      </c>
      <c r="E605" s="8">
        <v>700</v>
      </c>
      <c r="F605" s="8">
        <v>15000</v>
      </c>
      <c r="G605" s="42">
        <f t="shared" si="635"/>
        <v>2400</v>
      </c>
      <c r="H605" s="8">
        <v>25000</v>
      </c>
      <c r="I605" s="42">
        <f t="shared" si="636"/>
        <v>5000</v>
      </c>
      <c r="J605" s="8">
        <v>25000</v>
      </c>
      <c r="K605" s="42">
        <f t="shared" si="637"/>
        <v>5000</v>
      </c>
      <c r="L605" s="8">
        <v>25000</v>
      </c>
      <c r="M605" s="9">
        <v>9</v>
      </c>
      <c r="N605" s="9">
        <v>16.100000000000001</v>
      </c>
      <c r="O605" s="9">
        <v>14</v>
      </c>
      <c r="P605" s="9">
        <v>19.5</v>
      </c>
      <c r="Q605" s="92">
        <v>2.8581230999999998</v>
      </c>
      <c r="R605">
        <v>10</v>
      </c>
      <c r="S605">
        <v>1000</v>
      </c>
      <c r="T605" s="4">
        <v>384.29812364944195</v>
      </c>
      <c r="U605">
        <f t="shared" si="608"/>
        <v>3.8429812364944196</v>
      </c>
      <c r="V605">
        <f t="shared" ref="V605:W605" si="639">V581</f>
        <v>2.8</v>
      </c>
      <c r="W605">
        <f t="shared" si="639"/>
        <v>3.2</v>
      </c>
      <c r="X605" s="9">
        <v>2.8581230999999998</v>
      </c>
    </row>
    <row r="606" spans="1:24" x14ac:dyDescent="0.2">
      <c r="A606" s="41">
        <f t="shared" si="610"/>
        <v>45864.124999998538</v>
      </c>
      <c r="B606" s="42">
        <f t="shared" si="634"/>
        <v>5000</v>
      </c>
      <c r="C606" s="8">
        <v>25000</v>
      </c>
      <c r="D606" s="8">
        <v>0</v>
      </c>
      <c r="E606" s="8">
        <v>700</v>
      </c>
      <c r="F606" s="8">
        <v>15000</v>
      </c>
      <c r="G606" s="42">
        <f t="shared" si="635"/>
        <v>2400</v>
      </c>
      <c r="H606" s="8">
        <v>25000</v>
      </c>
      <c r="I606" s="42">
        <f t="shared" si="636"/>
        <v>5000</v>
      </c>
      <c r="J606" s="8">
        <v>25000</v>
      </c>
      <c r="K606" s="42">
        <f t="shared" si="637"/>
        <v>5000</v>
      </c>
      <c r="L606" s="8">
        <v>25000</v>
      </c>
      <c r="M606" s="9">
        <v>9</v>
      </c>
      <c r="N606" s="9">
        <v>16.100000000000001</v>
      </c>
      <c r="O606" s="9">
        <v>14</v>
      </c>
      <c r="P606" s="9">
        <v>19.5</v>
      </c>
      <c r="Q606" s="92">
        <v>2.9050837</v>
      </c>
      <c r="R606">
        <v>10</v>
      </c>
      <c r="S606">
        <v>1000</v>
      </c>
      <c r="T606" s="4">
        <v>452.36919787447414</v>
      </c>
      <c r="U606">
        <f t="shared" si="608"/>
        <v>4.5236919787447416</v>
      </c>
      <c r="V606">
        <f t="shared" ref="V606:W606" si="640">V582</f>
        <v>2.7</v>
      </c>
      <c r="W606">
        <f t="shared" si="640"/>
        <v>3.2</v>
      </c>
      <c r="X606" s="9">
        <v>2.9050837</v>
      </c>
    </row>
    <row r="607" spans="1:24" x14ac:dyDescent="0.2">
      <c r="A607" s="41">
        <f t="shared" si="610"/>
        <v>45864.166666665202</v>
      </c>
      <c r="B607" s="42">
        <f t="shared" si="634"/>
        <v>5000</v>
      </c>
      <c r="C607" s="8">
        <v>25000</v>
      </c>
      <c r="D607" s="8">
        <v>0</v>
      </c>
      <c r="E607" s="8">
        <v>700</v>
      </c>
      <c r="F607" s="8">
        <v>15000</v>
      </c>
      <c r="G607" s="42">
        <f t="shared" si="635"/>
        <v>2400</v>
      </c>
      <c r="H607" s="8">
        <v>25000</v>
      </c>
      <c r="I607" s="42">
        <f t="shared" si="636"/>
        <v>5000</v>
      </c>
      <c r="J607" s="8">
        <v>25000</v>
      </c>
      <c r="K607" s="42">
        <f t="shared" si="637"/>
        <v>5000</v>
      </c>
      <c r="L607" s="8">
        <v>25000</v>
      </c>
      <c r="M607" s="9">
        <v>9</v>
      </c>
      <c r="N607" s="9">
        <v>16.100000000000001</v>
      </c>
      <c r="O607" s="9">
        <v>14</v>
      </c>
      <c r="P607" s="9">
        <v>19.5</v>
      </c>
      <c r="Q607" s="92">
        <v>2.9288175000000001</v>
      </c>
      <c r="R607">
        <v>10</v>
      </c>
      <c r="S607">
        <v>1000</v>
      </c>
      <c r="T607" s="4">
        <v>452.36919787447414</v>
      </c>
      <c r="U607">
        <f t="shared" si="608"/>
        <v>4.5236919787447416</v>
      </c>
      <c r="V607">
        <f t="shared" ref="V607:W607" si="641">V583</f>
        <v>3</v>
      </c>
      <c r="W607">
        <f t="shared" si="641"/>
        <v>3.1</v>
      </c>
      <c r="X607" s="9">
        <v>2.9288175000000001</v>
      </c>
    </row>
    <row r="608" spans="1:24" x14ac:dyDescent="0.2">
      <c r="A608" s="41">
        <f t="shared" si="610"/>
        <v>45864.208333331866</v>
      </c>
      <c r="B608" s="42">
        <f t="shared" si="634"/>
        <v>5000</v>
      </c>
      <c r="C608" s="8">
        <v>25000</v>
      </c>
      <c r="D608" s="8">
        <v>0</v>
      </c>
      <c r="E608" s="8">
        <v>700</v>
      </c>
      <c r="F608" s="8">
        <v>15000</v>
      </c>
      <c r="G608" s="42">
        <f t="shared" si="635"/>
        <v>2400</v>
      </c>
      <c r="H608" s="8">
        <v>25000</v>
      </c>
      <c r="I608" s="42">
        <f t="shared" si="636"/>
        <v>5000</v>
      </c>
      <c r="J608" s="8">
        <v>25000</v>
      </c>
      <c r="K608" s="42">
        <f t="shared" si="637"/>
        <v>5000</v>
      </c>
      <c r="L608" s="8">
        <v>25000</v>
      </c>
      <c r="M608" s="9">
        <v>9</v>
      </c>
      <c r="N608" s="9">
        <v>16.100000000000001</v>
      </c>
      <c r="O608" s="9">
        <v>14</v>
      </c>
      <c r="P608" s="9">
        <v>19.5</v>
      </c>
      <c r="Q608" s="92">
        <v>3.0009432</v>
      </c>
      <c r="R608">
        <v>10</v>
      </c>
      <c r="S608">
        <v>1000</v>
      </c>
      <c r="T608" s="4">
        <v>452.36919787447414</v>
      </c>
      <c r="U608">
        <f t="shared" si="608"/>
        <v>4.5236919787447416</v>
      </c>
      <c r="V608">
        <f t="shared" ref="V608:W608" si="642">V584</f>
        <v>2.9</v>
      </c>
      <c r="W608">
        <f t="shared" si="642"/>
        <v>3.1</v>
      </c>
      <c r="X608" s="9">
        <v>3.0009432</v>
      </c>
    </row>
    <row r="609" spans="1:24" x14ac:dyDescent="0.2">
      <c r="A609" s="41">
        <f t="shared" si="610"/>
        <v>45864.24999999853</v>
      </c>
      <c r="B609" s="42">
        <f t="shared" si="634"/>
        <v>8000</v>
      </c>
      <c r="C609" s="8">
        <v>25000</v>
      </c>
      <c r="D609" s="8">
        <v>0</v>
      </c>
      <c r="E609" s="8">
        <v>700</v>
      </c>
      <c r="F609" s="8">
        <v>15000</v>
      </c>
      <c r="G609" s="42">
        <f t="shared" si="635"/>
        <v>2400</v>
      </c>
      <c r="H609" s="8">
        <v>25000</v>
      </c>
      <c r="I609" s="42">
        <f t="shared" si="636"/>
        <v>8000</v>
      </c>
      <c r="J609" s="8">
        <v>25000</v>
      </c>
      <c r="K609" s="42">
        <f t="shared" si="637"/>
        <v>8000</v>
      </c>
      <c r="L609" s="8">
        <v>25000</v>
      </c>
      <c r="M609" s="9">
        <v>9</v>
      </c>
      <c r="N609" s="9">
        <v>16.100000000000001</v>
      </c>
      <c r="O609" s="9">
        <v>14</v>
      </c>
      <c r="P609" s="9">
        <v>19.5</v>
      </c>
      <c r="Q609" s="92">
        <v>3.1199050000000002</v>
      </c>
      <c r="R609">
        <v>10</v>
      </c>
      <c r="S609">
        <v>1000</v>
      </c>
      <c r="T609" s="4">
        <v>344.06055532975626</v>
      </c>
      <c r="U609">
        <f t="shared" si="608"/>
        <v>3.4406055532975626</v>
      </c>
      <c r="V609">
        <f t="shared" ref="V609:W609" si="643">V585</f>
        <v>2.5</v>
      </c>
      <c r="W609">
        <f t="shared" si="643"/>
        <v>3.1</v>
      </c>
      <c r="X609" s="9">
        <v>3.1199050000000002</v>
      </c>
    </row>
    <row r="610" spans="1:24" x14ac:dyDescent="0.2">
      <c r="A610" s="41">
        <f t="shared" si="610"/>
        <v>45864.291666665194</v>
      </c>
      <c r="B610" s="42">
        <f t="shared" si="634"/>
        <v>8000</v>
      </c>
      <c r="C610" s="8">
        <v>25000</v>
      </c>
      <c r="D610" s="8">
        <v>0</v>
      </c>
      <c r="E610" s="8">
        <v>700</v>
      </c>
      <c r="F610" s="8">
        <v>15000</v>
      </c>
      <c r="G610" s="42">
        <f t="shared" si="635"/>
        <v>2400</v>
      </c>
      <c r="H610" s="8">
        <v>25000</v>
      </c>
      <c r="I610" s="42">
        <f t="shared" si="636"/>
        <v>8000</v>
      </c>
      <c r="J610" s="8">
        <v>25000</v>
      </c>
      <c r="K610" s="42">
        <f t="shared" si="637"/>
        <v>8000</v>
      </c>
      <c r="L610" s="8">
        <v>25000</v>
      </c>
      <c r="M610" s="9">
        <v>9</v>
      </c>
      <c r="N610" s="9">
        <v>16.100000000000001</v>
      </c>
      <c r="O610" s="9">
        <v>14</v>
      </c>
      <c r="P610" s="9">
        <v>19.5</v>
      </c>
      <c r="Q610" s="92">
        <v>3.2598688999999998</v>
      </c>
      <c r="R610">
        <v>10</v>
      </c>
      <c r="S610">
        <v>1000</v>
      </c>
      <c r="T610" s="4">
        <v>351.6240080214265</v>
      </c>
      <c r="U610">
        <f t="shared" si="608"/>
        <v>3.5162400802142653</v>
      </c>
      <c r="V610">
        <f t="shared" ref="V610:W610" si="644">V586</f>
        <v>2.5</v>
      </c>
      <c r="W610">
        <f t="shared" si="644"/>
        <v>3.1</v>
      </c>
      <c r="X610" s="9">
        <v>3.2598688999999998</v>
      </c>
    </row>
    <row r="611" spans="1:24" x14ac:dyDescent="0.2">
      <c r="A611" s="41">
        <f t="shared" si="610"/>
        <v>45864.333333331859</v>
      </c>
      <c r="B611" s="42">
        <f t="shared" si="634"/>
        <v>8000</v>
      </c>
      <c r="C611" s="8">
        <v>25000</v>
      </c>
      <c r="D611" s="8">
        <v>0</v>
      </c>
      <c r="E611" s="8">
        <v>700</v>
      </c>
      <c r="F611" s="8">
        <v>15000</v>
      </c>
      <c r="G611" s="42">
        <f t="shared" si="635"/>
        <v>2400</v>
      </c>
      <c r="H611" s="8">
        <v>25000</v>
      </c>
      <c r="I611" s="42">
        <f t="shared" si="636"/>
        <v>8000</v>
      </c>
      <c r="J611" s="8">
        <v>25000</v>
      </c>
      <c r="K611" s="42">
        <f t="shared" si="637"/>
        <v>8000</v>
      </c>
      <c r="L611" s="8">
        <v>25000</v>
      </c>
      <c r="M611" s="9">
        <v>9</v>
      </c>
      <c r="N611" s="9">
        <v>16.100000000000001</v>
      </c>
      <c r="O611" s="9">
        <v>14</v>
      </c>
      <c r="P611" s="9">
        <v>19.5</v>
      </c>
      <c r="Q611" s="92">
        <v>3.31724</v>
      </c>
      <c r="R611">
        <v>10</v>
      </c>
      <c r="S611">
        <v>1000</v>
      </c>
      <c r="T611" s="4">
        <v>366.750913404767</v>
      </c>
      <c r="U611">
        <f t="shared" si="608"/>
        <v>3.6675091340476702</v>
      </c>
      <c r="V611">
        <f t="shared" ref="V611:W611" si="645">V587</f>
        <v>3.2</v>
      </c>
      <c r="W611">
        <f t="shared" si="645"/>
        <v>3</v>
      </c>
      <c r="X611" s="9">
        <v>3.31724</v>
      </c>
    </row>
    <row r="612" spans="1:24" x14ac:dyDescent="0.2">
      <c r="A612" s="41">
        <f t="shared" si="610"/>
        <v>45864.374999998523</v>
      </c>
      <c r="B612" s="42">
        <f t="shared" si="634"/>
        <v>8000</v>
      </c>
      <c r="C612" s="8">
        <v>25000</v>
      </c>
      <c r="D612" s="8">
        <v>0</v>
      </c>
      <c r="E612" s="8">
        <v>700</v>
      </c>
      <c r="F612" s="8">
        <v>15000</v>
      </c>
      <c r="G612" s="42">
        <f t="shared" si="635"/>
        <v>2400</v>
      </c>
      <c r="H612" s="8">
        <v>25000</v>
      </c>
      <c r="I612" s="42">
        <f t="shared" si="636"/>
        <v>8000</v>
      </c>
      <c r="J612" s="8">
        <v>25000</v>
      </c>
      <c r="K612" s="42">
        <f t="shared" si="637"/>
        <v>8000</v>
      </c>
      <c r="L612" s="8">
        <v>25000</v>
      </c>
      <c r="M612" s="9">
        <v>9</v>
      </c>
      <c r="N612" s="9">
        <v>16.100000000000001</v>
      </c>
      <c r="O612" s="9">
        <v>14</v>
      </c>
      <c r="P612" s="9">
        <v>19.5</v>
      </c>
      <c r="Q612" s="92">
        <v>3.3582907</v>
      </c>
      <c r="R612">
        <v>10</v>
      </c>
      <c r="S612">
        <v>1000</v>
      </c>
      <c r="T612" s="4">
        <v>345.57324586809034</v>
      </c>
      <c r="U612">
        <f t="shared" si="608"/>
        <v>3.4557324586809033</v>
      </c>
      <c r="V612">
        <f t="shared" ref="V612:W612" si="646">V588</f>
        <v>2.9</v>
      </c>
      <c r="W612">
        <f t="shared" si="646"/>
        <v>3</v>
      </c>
      <c r="X612" s="9">
        <v>3.3582907</v>
      </c>
    </row>
    <row r="613" spans="1:24" x14ac:dyDescent="0.2">
      <c r="A613" s="41">
        <f t="shared" si="610"/>
        <v>45864.416666665187</v>
      </c>
      <c r="B613" s="42">
        <f t="shared" si="634"/>
        <v>8000</v>
      </c>
      <c r="C613" s="8">
        <v>25000</v>
      </c>
      <c r="D613" s="8">
        <v>0</v>
      </c>
      <c r="E613" s="8">
        <v>700</v>
      </c>
      <c r="F613" s="8">
        <v>15000</v>
      </c>
      <c r="G613" s="42">
        <f t="shared" si="635"/>
        <v>2400</v>
      </c>
      <c r="H613" s="8">
        <v>25000</v>
      </c>
      <c r="I613" s="42">
        <f t="shared" si="636"/>
        <v>8000</v>
      </c>
      <c r="J613" s="8">
        <v>25000</v>
      </c>
      <c r="K613" s="42">
        <f t="shared" si="637"/>
        <v>8000</v>
      </c>
      <c r="L613" s="8">
        <v>25000</v>
      </c>
      <c r="M613" s="9">
        <v>9</v>
      </c>
      <c r="N613" s="9">
        <v>16.100000000000001</v>
      </c>
      <c r="O613" s="9">
        <v>14</v>
      </c>
      <c r="P613" s="9">
        <v>19.5</v>
      </c>
      <c r="Q613" s="92">
        <v>3.4230849999999999</v>
      </c>
      <c r="R613">
        <v>10</v>
      </c>
      <c r="S613">
        <v>1000</v>
      </c>
      <c r="T613" s="4">
        <v>326.81588319274812</v>
      </c>
      <c r="U613">
        <f t="shared" si="608"/>
        <v>3.2681588319274812</v>
      </c>
      <c r="V613">
        <f t="shared" ref="V613:W613" si="647">V589</f>
        <v>2.9</v>
      </c>
      <c r="W613">
        <f t="shared" si="647"/>
        <v>3</v>
      </c>
      <c r="X613" s="9">
        <v>3.4230849999999999</v>
      </c>
    </row>
    <row r="614" spans="1:24" x14ac:dyDescent="0.2">
      <c r="A614" s="41">
        <f t="shared" si="610"/>
        <v>45864.458333331851</v>
      </c>
      <c r="B614" s="42">
        <f t="shared" si="634"/>
        <v>8000</v>
      </c>
      <c r="C614" s="8">
        <v>25000</v>
      </c>
      <c r="D614" s="8">
        <v>0</v>
      </c>
      <c r="E614" s="8">
        <v>700</v>
      </c>
      <c r="F614" s="8">
        <v>15000</v>
      </c>
      <c r="G614" s="42">
        <f t="shared" si="635"/>
        <v>2400</v>
      </c>
      <c r="H614" s="8">
        <v>25000</v>
      </c>
      <c r="I614" s="42">
        <f t="shared" si="636"/>
        <v>8000</v>
      </c>
      <c r="J614" s="8">
        <v>25000</v>
      </c>
      <c r="K614" s="42">
        <f t="shared" si="637"/>
        <v>8000</v>
      </c>
      <c r="L614" s="8">
        <v>25000</v>
      </c>
      <c r="M614" s="9">
        <v>9</v>
      </c>
      <c r="N614" s="9">
        <v>16.100000000000001</v>
      </c>
      <c r="O614" s="9">
        <v>14</v>
      </c>
      <c r="P614" s="9">
        <v>19.5</v>
      </c>
      <c r="Q614" s="92">
        <v>3.3580744</v>
      </c>
      <c r="R614">
        <v>10</v>
      </c>
      <c r="S614">
        <v>1000</v>
      </c>
      <c r="T614" s="4">
        <v>322.27781157774598</v>
      </c>
      <c r="U614">
        <f t="shared" si="608"/>
        <v>3.22277811577746</v>
      </c>
      <c r="V614">
        <f t="shared" ref="V614:W614" si="648">V590</f>
        <v>3.4</v>
      </c>
      <c r="W614">
        <f t="shared" si="648"/>
        <v>3</v>
      </c>
      <c r="X614" s="9">
        <v>3.3580744</v>
      </c>
    </row>
    <row r="615" spans="1:24" x14ac:dyDescent="0.2">
      <c r="A615" s="41">
        <f t="shared" si="610"/>
        <v>45864.499999998516</v>
      </c>
      <c r="B615" s="42">
        <f t="shared" si="634"/>
        <v>8000</v>
      </c>
      <c r="C615" s="8">
        <v>25000</v>
      </c>
      <c r="D615" s="8">
        <v>0</v>
      </c>
      <c r="E615" s="8">
        <v>700</v>
      </c>
      <c r="F615" s="8">
        <v>15000</v>
      </c>
      <c r="G615" s="42">
        <f t="shared" si="635"/>
        <v>2400</v>
      </c>
      <c r="H615" s="8">
        <v>25000</v>
      </c>
      <c r="I615" s="42">
        <f t="shared" si="636"/>
        <v>8000</v>
      </c>
      <c r="J615" s="8">
        <v>25000</v>
      </c>
      <c r="K615" s="42">
        <f t="shared" si="637"/>
        <v>8000</v>
      </c>
      <c r="L615" s="8">
        <v>25000</v>
      </c>
      <c r="M615" s="9">
        <v>9</v>
      </c>
      <c r="N615" s="9">
        <v>16.100000000000001</v>
      </c>
      <c r="O615" s="9">
        <v>14</v>
      </c>
      <c r="P615" s="9">
        <v>19.5</v>
      </c>
      <c r="Q615" s="92">
        <v>3.2136230000000001</v>
      </c>
      <c r="R615">
        <v>10</v>
      </c>
      <c r="S615">
        <v>1000</v>
      </c>
      <c r="T615" s="4">
        <v>322.27781157774598</v>
      </c>
      <c r="U615">
        <f t="shared" si="608"/>
        <v>3.22277811577746</v>
      </c>
      <c r="V615">
        <f t="shared" ref="V615:W615" si="649">V591</f>
        <v>3.1</v>
      </c>
      <c r="W615">
        <f t="shared" si="649"/>
        <v>2.9</v>
      </c>
      <c r="X615" s="9">
        <v>3.2136230000000001</v>
      </c>
    </row>
    <row r="616" spans="1:24" x14ac:dyDescent="0.2">
      <c r="A616" s="41">
        <f t="shared" si="610"/>
        <v>45864.54166666518</v>
      </c>
      <c r="B616" s="42">
        <f t="shared" si="634"/>
        <v>8000</v>
      </c>
      <c r="C616" s="8">
        <v>25000</v>
      </c>
      <c r="D616" s="8">
        <v>0</v>
      </c>
      <c r="E616" s="8">
        <v>700</v>
      </c>
      <c r="F616" s="8">
        <v>15000</v>
      </c>
      <c r="G616" s="42">
        <f t="shared" si="635"/>
        <v>2400</v>
      </c>
      <c r="H616" s="8">
        <v>25000</v>
      </c>
      <c r="I616" s="42">
        <f t="shared" si="636"/>
        <v>8000</v>
      </c>
      <c r="J616" s="8">
        <v>25000</v>
      </c>
      <c r="K616" s="42">
        <f t="shared" si="637"/>
        <v>8000</v>
      </c>
      <c r="L616" s="8">
        <v>25000</v>
      </c>
      <c r="M616" s="9">
        <v>9</v>
      </c>
      <c r="N616" s="9">
        <v>16.100000000000001</v>
      </c>
      <c r="O616" s="9">
        <v>14</v>
      </c>
      <c r="P616" s="9">
        <v>19.5</v>
      </c>
      <c r="Q616" s="92">
        <v>3.0238923999999998</v>
      </c>
      <c r="R616">
        <v>10</v>
      </c>
      <c r="S616">
        <v>1000</v>
      </c>
      <c r="T616" s="4">
        <v>371.89466631131808</v>
      </c>
      <c r="U616">
        <f t="shared" si="608"/>
        <v>3.7189466631131807</v>
      </c>
      <c r="V616">
        <f t="shared" ref="V616:W616" si="650">V592</f>
        <v>3.2</v>
      </c>
      <c r="W616">
        <f t="shared" si="650"/>
        <v>2.9</v>
      </c>
      <c r="X616" s="9">
        <v>3.0238923999999998</v>
      </c>
    </row>
    <row r="617" spans="1:24" x14ac:dyDescent="0.2">
      <c r="A617" s="41">
        <f t="shared" si="610"/>
        <v>45864.583333331844</v>
      </c>
      <c r="B617" s="42">
        <f t="shared" si="634"/>
        <v>8000</v>
      </c>
      <c r="C617" s="8">
        <v>25000</v>
      </c>
      <c r="D617" s="8">
        <v>0</v>
      </c>
      <c r="E617" s="8">
        <v>700</v>
      </c>
      <c r="F617" s="8">
        <v>15000</v>
      </c>
      <c r="G617" s="42">
        <f t="shared" si="635"/>
        <v>2400</v>
      </c>
      <c r="H617" s="8">
        <v>25000</v>
      </c>
      <c r="I617" s="42">
        <f t="shared" si="636"/>
        <v>8000</v>
      </c>
      <c r="J617" s="8">
        <v>25000</v>
      </c>
      <c r="K617" s="42">
        <f t="shared" si="637"/>
        <v>8000</v>
      </c>
      <c r="L617" s="8">
        <v>25000</v>
      </c>
      <c r="M617" s="9">
        <v>9</v>
      </c>
      <c r="N617" s="9">
        <v>16.100000000000001</v>
      </c>
      <c r="O617" s="9">
        <v>14</v>
      </c>
      <c r="P617" s="9">
        <v>19.5</v>
      </c>
      <c r="Q617" s="92">
        <v>2.9290090000000002</v>
      </c>
      <c r="R617">
        <v>10</v>
      </c>
      <c r="S617">
        <v>1000</v>
      </c>
      <c r="T617" s="4">
        <v>626.02546659900759</v>
      </c>
      <c r="U617">
        <f t="shared" si="608"/>
        <v>6.2602546659900762</v>
      </c>
      <c r="V617">
        <f t="shared" ref="V617:W617" si="651">V593</f>
        <v>3.5</v>
      </c>
      <c r="W617">
        <f t="shared" si="651"/>
        <v>2.9</v>
      </c>
      <c r="X617" s="9">
        <v>2.9290090000000002</v>
      </c>
    </row>
    <row r="618" spans="1:24" x14ac:dyDescent="0.2">
      <c r="A618" s="41">
        <f t="shared" si="610"/>
        <v>45864.624999998508</v>
      </c>
      <c r="B618" s="42">
        <f t="shared" si="634"/>
        <v>8000</v>
      </c>
      <c r="C618" s="8">
        <v>25000</v>
      </c>
      <c r="D618" s="8">
        <v>0</v>
      </c>
      <c r="E618" s="8">
        <v>700</v>
      </c>
      <c r="F618" s="8">
        <v>15000</v>
      </c>
      <c r="G618" s="42">
        <f t="shared" si="635"/>
        <v>2400</v>
      </c>
      <c r="H618" s="8">
        <v>25000</v>
      </c>
      <c r="I618" s="42">
        <f t="shared" si="636"/>
        <v>8000</v>
      </c>
      <c r="J618" s="8">
        <v>25000</v>
      </c>
      <c r="K618" s="42">
        <f t="shared" si="637"/>
        <v>8000</v>
      </c>
      <c r="L618" s="8">
        <v>25000</v>
      </c>
      <c r="M618" s="9">
        <v>9</v>
      </c>
      <c r="N618" s="9">
        <v>16.100000000000001</v>
      </c>
      <c r="O618" s="9">
        <v>14</v>
      </c>
      <c r="P618" s="9">
        <v>19.5</v>
      </c>
      <c r="Q618" s="92">
        <v>3.0735749999999999</v>
      </c>
      <c r="R618">
        <v>10</v>
      </c>
      <c r="S618">
        <v>1000</v>
      </c>
      <c r="T618" s="4">
        <v>645.69044359735017</v>
      </c>
      <c r="U618">
        <f t="shared" si="608"/>
        <v>6.4569044359735015</v>
      </c>
      <c r="V618">
        <f t="shared" ref="V618:W618" si="652">V594</f>
        <v>3.2</v>
      </c>
      <c r="W618">
        <f t="shared" si="652"/>
        <v>2.9</v>
      </c>
      <c r="X618" s="9">
        <v>3.0735749999999999</v>
      </c>
    </row>
    <row r="619" spans="1:24" x14ac:dyDescent="0.2">
      <c r="A619" s="41">
        <f t="shared" si="610"/>
        <v>45864.666666665173</v>
      </c>
      <c r="B619" s="42">
        <f t="shared" si="634"/>
        <v>8000</v>
      </c>
      <c r="C619" s="8">
        <v>25000</v>
      </c>
      <c r="D619" s="8">
        <v>0</v>
      </c>
      <c r="E619" s="8">
        <v>700</v>
      </c>
      <c r="F619" s="8">
        <v>15000</v>
      </c>
      <c r="G619" s="42">
        <f t="shared" si="635"/>
        <v>2400</v>
      </c>
      <c r="H619" s="8">
        <v>25000</v>
      </c>
      <c r="I619" s="42">
        <f t="shared" si="636"/>
        <v>8000</v>
      </c>
      <c r="J619" s="8">
        <v>25000</v>
      </c>
      <c r="K619" s="42">
        <f t="shared" si="637"/>
        <v>8000</v>
      </c>
      <c r="L619" s="8">
        <v>25000</v>
      </c>
      <c r="M619" s="9">
        <v>9</v>
      </c>
      <c r="N619" s="9">
        <v>16.100000000000001</v>
      </c>
      <c r="O619" s="9">
        <v>14</v>
      </c>
      <c r="P619" s="9">
        <v>19.5</v>
      </c>
      <c r="Q619" s="92">
        <v>3.3711674</v>
      </c>
      <c r="R619">
        <v>10</v>
      </c>
      <c r="S619">
        <v>1000</v>
      </c>
      <c r="T619" s="4">
        <v>929.16865048115073</v>
      </c>
      <c r="U619">
        <f t="shared" si="608"/>
        <v>9.2916865048115067</v>
      </c>
      <c r="V619">
        <f t="shared" ref="V619:W619" si="653">V595</f>
        <v>3.5</v>
      </c>
      <c r="W619">
        <f t="shared" si="653"/>
        <v>3</v>
      </c>
      <c r="X619" s="9">
        <v>3.3711674</v>
      </c>
    </row>
    <row r="620" spans="1:24" x14ac:dyDescent="0.2">
      <c r="A620" s="41">
        <f t="shared" si="610"/>
        <v>45864.708333331837</v>
      </c>
      <c r="B620" s="42">
        <f t="shared" si="634"/>
        <v>8000</v>
      </c>
      <c r="C620" s="8">
        <v>25000</v>
      </c>
      <c r="D620" s="8">
        <v>0</v>
      </c>
      <c r="E620" s="8">
        <v>700</v>
      </c>
      <c r="F620" s="8">
        <v>15000</v>
      </c>
      <c r="G620" s="42">
        <f t="shared" si="635"/>
        <v>2400</v>
      </c>
      <c r="H620" s="8">
        <v>25000</v>
      </c>
      <c r="I620" s="42">
        <f t="shared" si="636"/>
        <v>8000</v>
      </c>
      <c r="J620" s="8">
        <v>25000</v>
      </c>
      <c r="K620" s="42">
        <f t="shared" si="637"/>
        <v>8000</v>
      </c>
      <c r="L620" s="8">
        <v>25000</v>
      </c>
      <c r="M620" s="9">
        <v>9</v>
      </c>
      <c r="N620" s="9">
        <v>16.100000000000001</v>
      </c>
      <c r="O620" s="9">
        <v>14</v>
      </c>
      <c r="P620" s="9">
        <v>19.5</v>
      </c>
      <c r="Q620" s="92">
        <v>3.2652898000000001</v>
      </c>
      <c r="R620">
        <v>10</v>
      </c>
      <c r="S620">
        <v>1000</v>
      </c>
      <c r="T620" s="4">
        <v>1109.1788245429025</v>
      </c>
      <c r="U620">
        <f t="shared" si="608"/>
        <v>11.091788245429024</v>
      </c>
      <c r="V620">
        <f t="shared" ref="V620:W620" si="654">V596</f>
        <v>3.6</v>
      </c>
      <c r="W620">
        <f t="shared" si="654"/>
        <v>3</v>
      </c>
      <c r="X620" s="9">
        <v>3.2652898000000001</v>
      </c>
    </row>
    <row r="621" spans="1:24" x14ac:dyDescent="0.2">
      <c r="A621" s="41">
        <f t="shared" si="610"/>
        <v>45864.749999998501</v>
      </c>
      <c r="B621" s="42">
        <f t="shared" si="634"/>
        <v>5000</v>
      </c>
      <c r="C621" s="8">
        <v>25000</v>
      </c>
      <c r="D621" s="8">
        <v>0</v>
      </c>
      <c r="E621" s="8">
        <v>700</v>
      </c>
      <c r="F621" s="8">
        <v>15000</v>
      </c>
      <c r="G621" s="42">
        <f t="shared" si="635"/>
        <v>2400</v>
      </c>
      <c r="H621" s="8">
        <v>25000</v>
      </c>
      <c r="I621" s="42">
        <f t="shared" si="636"/>
        <v>5000</v>
      </c>
      <c r="J621" s="8">
        <v>25000</v>
      </c>
      <c r="K621" s="42">
        <f t="shared" si="637"/>
        <v>5000</v>
      </c>
      <c r="L621" s="8">
        <v>25000</v>
      </c>
      <c r="M621" s="9">
        <v>9</v>
      </c>
      <c r="N621" s="9">
        <v>16.100000000000001</v>
      </c>
      <c r="O621" s="9">
        <v>14</v>
      </c>
      <c r="P621" s="9">
        <v>19.5</v>
      </c>
      <c r="Q621" s="92">
        <v>3.2100737000000001</v>
      </c>
      <c r="R621">
        <v>10</v>
      </c>
      <c r="S621">
        <v>1000</v>
      </c>
      <c r="T621" s="4">
        <v>1192.3768041512753</v>
      </c>
      <c r="U621">
        <f t="shared" si="608"/>
        <v>11.923768041512753</v>
      </c>
      <c r="V621">
        <f t="shared" ref="V621:W621" si="655">V597</f>
        <v>2.9</v>
      </c>
      <c r="W621">
        <f t="shared" si="655"/>
        <v>3</v>
      </c>
      <c r="X621" s="9">
        <v>3.2100737000000001</v>
      </c>
    </row>
    <row r="622" spans="1:24" x14ac:dyDescent="0.2">
      <c r="A622" s="41">
        <f t="shared" si="610"/>
        <v>45864.791666665165</v>
      </c>
      <c r="B622" s="42">
        <f t="shared" si="634"/>
        <v>5000</v>
      </c>
      <c r="C622" s="8">
        <v>25000</v>
      </c>
      <c r="D622" s="8">
        <v>0</v>
      </c>
      <c r="E622" s="8">
        <v>700</v>
      </c>
      <c r="F622" s="8">
        <v>15000</v>
      </c>
      <c r="G622" s="42">
        <f t="shared" si="635"/>
        <v>2400</v>
      </c>
      <c r="H622" s="8">
        <v>25000</v>
      </c>
      <c r="I622" s="42">
        <f t="shared" si="636"/>
        <v>5000</v>
      </c>
      <c r="J622" s="8">
        <v>25000</v>
      </c>
      <c r="K622" s="42">
        <f t="shared" si="637"/>
        <v>5000</v>
      </c>
      <c r="L622" s="8">
        <v>25000</v>
      </c>
      <c r="M622" s="9">
        <v>9</v>
      </c>
      <c r="N622" s="9">
        <v>16.100000000000001</v>
      </c>
      <c r="O622" s="9">
        <v>14</v>
      </c>
      <c r="P622" s="9">
        <v>19.5</v>
      </c>
      <c r="Q622" s="92">
        <v>3.2364888000000001</v>
      </c>
      <c r="R622">
        <v>10</v>
      </c>
      <c r="S622">
        <v>1000</v>
      </c>
      <c r="T622" s="4">
        <v>1227.1686865329582</v>
      </c>
      <c r="U622">
        <f t="shared" si="608"/>
        <v>12.271686865329581</v>
      </c>
      <c r="V622">
        <f t="shared" ref="V622:W622" si="656">V598</f>
        <v>3</v>
      </c>
      <c r="W622">
        <f t="shared" si="656"/>
        <v>3</v>
      </c>
      <c r="X622" s="9">
        <v>3.2364888000000001</v>
      </c>
    </row>
    <row r="623" spans="1:24" x14ac:dyDescent="0.2">
      <c r="A623" s="41">
        <f t="shared" si="610"/>
        <v>45864.83333333183</v>
      </c>
      <c r="B623" s="42">
        <f t="shared" si="634"/>
        <v>5000</v>
      </c>
      <c r="C623" s="8">
        <v>25000</v>
      </c>
      <c r="D623" s="8">
        <v>0</v>
      </c>
      <c r="E623" s="8">
        <v>700</v>
      </c>
      <c r="F623" s="8">
        <v>15000</v>
      </c>
      <c r="G623" s="42">
        <f t="shared" si="635"/>
        <v>2400</v>
      </c>
      <c r="H623" s="8">
        <v>25000</v>
      </c>
      <c r="I623" s="42">
        <f t="shared" si="636"/>
        <v>5000</v>
      </c>
      <c r="J623" s="8">
        <v>25000</v>
      </c>
      <c r="K623" s="42">
        <f t="shared" si="637"/>
        <v>5000</v>
      </c>
      <c r="L623" s="8">
        <v>25000</v>
      </c>
      <c r="M623" s="9">
        <v>9</v>
      </c>
      <c r="N623" s="9">
        <v>16.100000000000001</v>
      </c>
      <c r="O623" s="9">
        <v>14</v>
      </c>
      <c r="P623" s="9">
        <v>19.5</v>
      </c>
      <c r="Q623" s="92">
        <v>3.2492391999999999</v>
      </c>
      <c r="R623">
        <v>10</v>
      </c>
      <c r="S623">
        <v>1000</v>
      </c>
      <c r="T623" s="4">
        <v>1180.2752798446029</v>
      </c>
      <c r="U623">
        <f t="shared" si="608"/>
        <v>11.802752798446029</v>
      </c>
      <c r="V623">
        <f t="shared" ref="V623:W623" si="657">V599</f>
        <v>2.8</v>
      </c>
      <c r="W623">
        <f t="shared" si="657"/>
        <v>3.1</v>
      </c>
      <c r="X623" s="9">
        <v>3.2492391999999999</v>
      </c>
    </row>
    <row r="624" spans="1:24" x14ac:dyDescent="0.2">
      <c r="A624" s="41">
        <f t="shared" si="610"/>
        <v>45864.874999998494</v>
      </c>
      <c r="B624" s="42">
        <f t="shared" si="634"/>
        <v>5000</v>
      </c>
      <c r="C624" s="8">
        <v>25000</v>
      </c>
      <c r="D624" s="8">
        <v>0</v>
      </c>
      <c r="E624" s="8">
        <v>700</v>
      </c>
      <c r="F624" s="8">
        <v>15000</v>
      </c>
      <c r="G624" s="42">
        <f t="shared" si="635"/>
        <v>2400</v>
      </c>
      <c r="H624" s="8">
        <v>25000</v>
      </c>
      <c r="I624" s="42">
        <f t="shared" si="636"/>
        <v>5000</v>
      </c>
      <c r="J624" s="8">
        <v>25000</v>
      </c>
      <c r="K624" s="42">
        <f t="shared" si="637"/>
        <v>5000</v>
      </c>
      <c r="L624" s="8">
        <v>25000</v>
      </c>
      <c r="M624" s="9">
        <v>9</v>
      </c>
      <c r="N624" s="9">
        <v>16.100000000000001</v>
      </c>
      <c r="O624" s="9">
        <v>14</v>
      </c>
      <c r="P624" s="9">
        <v>19.5</v>
      </c>
      <c r="Q624" s="92">
        <v>3.2285127999999998</v>
      </c>
      <c r="R624">
        <v>10</v>
      </c>
      <c r="S624">
        <v>1000</v>
      </c>
      <c r="T624" s="4">
        <v>1098.5899907745643</v>
      </c>
      <c r="U624">
        <f t="shared" si="608"/>
        <v>10.985899907745642</v>
      </c>
      <c r="V624">
        <f t="shared" ref="V624:W624" si="658">V600</f>
        <v>3.5</v>
      </c>
      <c r="W624">
        <f t="shared" si="658"/>
        <v>3.1</v>
      </c>
      <c r="X624" s="9">
        <v>3.2285127999999998</v>
      </c>
    </row>
    <row r="625" spans="1:24" x14ac:dyDescent="0.2">
      <c r="A625" s="41">
        <f t="shared" si="610"/>
        <v>45864.916666665158</v>
      </c>
      <c r="B625" s="42">
        <f t="shared" si="634"/>
        <v>5000</v>
      </c>
      <c r="C625" s="8">
        <v>25000</v>
      </c>
      <c r="D625" s="8">
        <v>0</v>
      </c>
      <c r="E625" s="8">
        <v>700</v>
      </c>
      <c r="F625" s="8">
        <v>15000</v>
      </c>
      <c r="G625" s="42">
        <f t="shared" si="635"/>
        <v>2400</v>
      </c>
      <c r="H625" s="8">
        <v>25000</v>
      </c>
      <c r="I625" s="42">
        <f t="shared" si="636"/>
        <v>5000</v>
      </c>
      <c r="J625" s="8">
        <v>25000</v>
      </c>
      <c r="K625" s="42">
        <f t="shared" si="637"/>
        <v>5000</v>
      </c>
      <c r="L625" s="8">
        <v>25000</v>
      </c>
      <c r="M625" s="9">
        <v>9</v>
      </c>
      <c r="N625" s="9">
        <v>16.100000000000001</v>
      </c>
      <c r="O625" s="9">
        <v>14</v>
      </c>
      <c r="P625" s="9">
        <v>19.5</v>
      </c>
      <c r="Q625" s="92">
        <v>3.1827182999999999</v>
      </c>
      <c r="R625">
        <v>10</v>
      </c>
      <c r="S625">
        <v>1000</v>
      </c>
      <c r="T625" s="4">
        <v>889.83869648446557</v>
      </c>
      <c r="U625">
        <f t="shared" si="608"/>
        <v>8.8983869648446561</v>
      </c>
      <c r="V625">
        <f t="shared" ref="V625:W625" si="659">V601</f>
        <v>2.9</v>
      </c>
      <c r="W625">
        <f t="shared" si="659"/>
        <v>3.1</v>
      </c>
      <c r="X625" s="9">
        <v>3.1827182999999999</v>
      </c>
    </row>
    <row r="626" spans="1:24" x14ac:dyDescent="0.2">
      <c r="A626" s="41">
        <f t="shared" si="610"/>
        <v>45864.958333331822</v>
      </c>
      <c r="B626" s="42">
        <f t="shared" si="634"/>
        <v>5000</v>
      </c>
      <c r="C626" s="8">
        <v>25000</v>
      </c>
      <c r="D626" s="8">
        <v>0</v>
      </c>
      <c r="E626" s="8">
        <v>700</v>
      </c>
      <c r="F626" s="8">
        <v>15000</v>
      </c>
      <c r="G626" s="42">
        <f t="shared" si="635"/>
        <v>2400</v>
      </c>
      <c r="H626" s="8">
        <v>25000</v>
      </c>
      <c r="I626" s="42">
        <f t="shared" si="636"/>
        <v>5000</v>
      </c>
      <c r="J626" s="8">
        <v>25000</v>
      </c>
      <c r="K626" s="42">
        <f t="shared" si="637"/>
        <v>5000</v>
      </c>
      <c r="L626" s="8">
        <v>25000</v>
      </c>
      <c r="M626" s="9">
        <v>9</v>
      </c>
      <c r="N626" s="9">
        <v>16.100000000000001</v>
      </c>
      <c r="O626" s="9">
        <v>14</v>
      </c>
      <c r="P626" s="9">
        <v>19.5</v>
      </c>
      <c r="Q626" s="92">
        <v>3.1073455999999999</v>
      </c>
      <c r="R626">
        <v>10</v>
      </c>
      <c r="S626">
        <v>1000</v>
      </c>
      <c r="T626" s="4">
        <v>681.08740219436697</v>
      </c>
      <c r="U626">
        <f t="shared" si="608"/>
        <v>6.8108740219436701</v>
      </c>
      <c r="V626">
        <f t="shared" ref="V626:W626" si="660">V602</f>
        <v>3.6</v>
      </c>
      <c r="W626">
        <f t="shared" si="660"/>
        <v>3.1</v>
      </c>
      <c r="X626" s="9">
        <v>3.1073455999999999</v>
      </c>
    </row>
    <row r="627" spans="1:24" x14ac:dyDescent="0.2">
      <c r="A627" s="41">
        <f t="shared" si="610"/>
        <v>45864.999999998487</v>
      </c>
      <c r="B627" s="42">
        <f t="shared" si="634"/>
        <v>5000</v>
      </c>
      <c r="C627" s="8">
        <v>25000</v>
      </c>
      <c r="D627" s="8">
        <v>0</v>
      </c>
      <c r="E627" s="8">
        <v>700</v>
      </c>
      <c r="F627" s="8">
        <v>15000</v>
      </c>
      <c r="G627" s="42">
        <f t="shared" si="635"/>
        <v>2400</v>
      </c>
      <c r="H627" s="8">
        <v>25000</v>
      </c>
      <c r="I627" s="42">
        <f t="shared" si="636"/>
        <v>5000</v>
      </c>
      <c r="J627" s="8">
        <v>25000</v>
      </c>
      <c r="K627" s="42">
        <f t="shared" si="637"/>
        <v>5000</v>
      </c>
      <c r="L627" s="8">
        <v>25000</v>
      </c>
      <c r="M627" s="9">
        <v>9</v>
      </c>
      <c r="N627" s="9">
        <v>16.100000000000001</v>
      </c>
      <c r="O627" s="9">
        <v>14</v>
      </c>
      <c r="P627" s="9">
        <v>19.5</v>
      </c>
      <c r="Q627" s="93">
        <v>3.0372998999999998</v>
      </c>
      <c r="R627">
        <v>10</v>
      </c>
      <c r="S627">
        <v>1000</v>
      </c>
      <c r="V627">
        <f t="shared" ref="V627:W627" si="661">V603</f>
        <v>3</v>
      </c>
      <c r="W627">
        <f t="shared" si="661"/>
        <v>3.2</v>
      </c>
      <c r="X627">
        <v>3.0372998999999998</v>
      </c>
    </row>
    <row r="628" spans="1:24" x14ac:dyDescent="0.2">
      <c r="A628" s="41">
        <f t="shared" si="610"/>
        <v>45865.041666665151</v>
      </c>
      <c r="B628" s="42">
        <f t="shared" si="634"/>
        <v>5000</v>
      </c>
      <c r="C628" s="8">
        <v>25000</v>
      </c>
      <c r="D628" s="8">
        <v>0</v>
      </c>
      <c r="E628" s="8">
        <v>700</v>
      </c>
      <c r="F628" s="8">
        <v>15000</v>
      </c>
      <c r="G628" s="42">
        <f t="shared" si="635"/>
        <v>2400</v>
      </c>
      <c r="H628" s="8">
        <v>25000</v>
      </c>
      <c r="I628" s="42">
        <f t="shared" si="636"/>
        <v>5000</v>
      </c>
      <c r="J628" s="8">
        <v>25000</v>
      </c>
      <c r="K628" s="42">
        <f t="shared" si="637"/>
        <v>5000</v>
      </c>
      <c r="L628" s="8">
        <v>25000</v>
      </c>
      <c r="M628" s="9">
        <v>9</v>
      </c>
      <c r="N628" s="9">
        <v>16.100000000000001</v>
      </c>
      <c r="O628" s="9">
        <v>14</v>
      </c>
      <c r="P628" s="9">
        <v>19.5</v>
      </c>
      <c r="Q628" s="93">
        <v>3.0525186</v>
      </c>
      <c r="R628">
        <v>10</v>
      </c>
      <c r="S628">
        <v>1000</v>
      </c>
      <c r="V628">
        <f t="shared" ref="V628:W628" si="662">V604</f>
        <v>2.6</v>
      </c>
      <c r="W628">
        <f t="shared" si="662"/>
        <v>3.2</v>
      </c>
      <c r="X628">
        <v>3.0525186</v>
      </c>
    </row>
    <row r="629" spans="1:24" x14ac:dyDescent="0.2">
      <c r="A629" s="41">
        <f t="shared" si="610"/>
        <v>45865.083333331815</v>
      </c>
      <c r="B629" s="42">
        <f t="shared" si="634"/>
        <v>5000</v>
      </c>
      <c r="C629" s="8">
        <v>25000</v>
      </c>
      <c r="D629" s="8">
        <v>0</v>
      </c>
      <c r="E629" s="8">
        <v>700</v>
      </c>
      <c r="F629" s="8">
        <v>15000</v>
      </c>
      <c r="G629" s="42">
        <f t="shared" si="635"/>
        <v>2400</v>
      </c>
      <c r="H629" s="8">
        <v>25000</v>
      </c>
      <c r="I629" s="42">
        <f t="shared" si="636"/>
        <v>5000</v>
      </c>
      <c r="J629" s="8">
        <v>25000</v>
      </c>
      <c r="K629" s="42">
        <f t="shared" si="637"/>
        <v>5000</v>
      </c>
      <c r="L629" s="8">
        <v>25000</v>
      </c>
      <c r="M629" s="9">
        <v>9</v>
      </c>
      <c r="N629" s="9">
        <v>16.100000000000001</v>
      </c>
      <c r="O629" s="9">
        <v>14</v>
      </c>
      <c r="P629" s="9">
        <v>19.5</v>
      </c>
      <c r="Q629" s="93">
        <v>3.0989428000000001</v>
      </c>
      <c r="R629">
        <v>10</v>
      </c>
      <c r="S629">
        <v>1000</v>
      </c>
      <c r="V629">
        <f t="shared" ref="V629:W629" si="663">V605</f>
        <v>2.8</v>
      </c>
      <c r="W629">
        <f t="shared" si="663"/>
        <v>3.2</v>
      </c>
      <c r="X629">
        <v>3.0989428000000001</v>
      </c>
    </row>
    <row r="630" spans="1:24" x14ac:dyDescent="0.2">
      <c r="A630" s="41">
        <f t="shared" si="610"/>
        <v>45865.124999998479</v>
      </c>
      <c r="B630" s="42">
        <f t="shared" si="634"/>
        <v>5000</v>
      </c>
      <c r="C630" s="8">
        <v>25000</v>
      </c>
      <c r="D630" s="8">
        <v>0</v>
      </c>
      <c r="E630" s="8">
        <v>700</v>
      </c>
      <c r="F630" s="8">
        <v>15000</v>
      </c>
      <c r="G630" s="42">
        <f t="shared" si="635"/>
        <v>2400</v>
      </c>
      <c r="H630" s="8">
        <v>25000</v>
      </c>
      <c r="I630" s="42">
        <f t="shared" si="636"/>
        <v>5000</v>
      </c>
      <c r="J630" s="8">
        <v>25000</v>
      </c>
      <c r="K630" s="42">
        <f t="shared" si="637"/>
        <v>5000</v>
      </c>
      <c r="L630" s="8">
        <v>25000</v>
      </c>
      <c r="M630" s="9">
        <v>9</v>
      </c>
      <c r="N630" s="9">
        <v>16.100000000000001</v>
      </c>
      <c r="O630" s="9">
        <v>14</v>
      </c>
      <c r="P630" s="9">
        <v>19.5</v>
      </c>
      <c r="Q630" s="93">
        <v>3.1649503999999999</v>
      </c>
      <c r="R630">
        <v>10</v>
      </c>
      <c r="S630">
        <v>1000</v>
      </c>
      <c r="V630">
        <f t="shared" ref="V630:W630" si="664">V606</f>
        <v>2.7</v>
      </c>
      <c r="W630">
        <f t="shared" si="664"/>
        <v>3.2</v>
      </c>
      <c r="X630">
        <v>3.1649503999999999</v>
      </c>
    </row>
    <row r="631" spans="1:24" x14ac:dyDescent="0.2">
      <c r="A631" s="41">
        <f t="shared" si="610"/>
        <v>45865.166666665144</v>
      </c>
      <c r="B631" s="42">
        <f t="shared" si="634"/>
        <v>5000</v>
      </c>
      <c r="C631" s="8">
        <v>25000</v>
      </c>
      <c r="D631" s="8">
        <v>0</v>
      </c>
      <c r="E631" s="8">
        <v>700</v>
      </c>
      <c r="F631" s="8">
        <v>15000</v>
      </c>
      <c r="G631" s="42">
        <f t="shared" si="635"/>
        <v>2400</v>
      </c>
      <c r="H631" s="8">
        <v>25000</v>
      </c>
      <c r="I631" s="42">
        <f t="shared" si="636"/>
        <v>5000</v>
      </c>
      <c r="J631" s="8">
        <v>25000</v>
      </c>
      <c r="K631" s="42">
        <f t="shared" si="637"/>
        <v>5000</v>
      </c>
      <c r="L631" s="8">
        <v>25000</v>
      </c>
      <c r="M631" s="9">
        <v>9</v>
      </c>
      <c r="N631" s="9">
        <v>16.100000000000001</v>
      </c>
      <c r="O631" s="9">
        <v>14</v>
      </c>
      <c r="P631" s="9">
        <v>19.5</v>
      </c>
      <c r="Q631" s="93">
        <v>3.191195</v>
      </c>
      <c r="R631">
        <v>10</v>
      </c>
      <c r="S631">
        <v>1000</v>
      </c>
      <c r="V631">
        <f t="shared" ref="V631:W631" si="665">V607</f>
        <v>3</v>
      </c>
      <c r="W631">
        <f t="shared" si="665"/>
        <v>3.1</v>
      </c>
      <c r="X631">
        <v>3.191195</v>
      </c>
    </row>
    <row r="632" spans="1:24" x14ac:dyDescent="0.2">
      <c r="A632" s="41">
        <f t="shared" si="610"/>
        <v>45865.208333331808</v>
      </c>
      <c r="B632" s="42">
        <f t="shared" si="634"/>
        <v>5000</v>
      </c>
      <c r="C632" s="8">
        <v>25000</v>
      </c>
      <c r="D632" s="8">
        <v>0</v>
      </c>
      <c r="E632" s="8">
        <v>700</v>
      </c>
      <c r="F632" s="8">
        <v>15000</v>
      </c>
      <c r="G632" s="42">
        <f t="shared" si="635"/>
        <v>2400</v>
      </c>
      <c r="H632" s="8">
        <v>25000</v>
      </c>
      <c r="I632" s="42">
        <f t="shared" si="636"/>
        <v>5000</v>
      </c>
      <c r="J632" s="8">
        <v>25000</v>
      </c>
      <c r="K632" s="42">
        <f t="shared" si="637"/>
        <v>5000</v>
      </c>
      <c r="L632" s="8">
        <v>25000</v>
      </c>
      <c r="M632" s="9">
        <v>9</v>
      </c>
      <c r="N632" s="9">
        <v>16.100000000000001</v>
      </c>
      <c r="O632" s="9">
        <v>14</v>
      </c>
      <c r="P632" s="9">
        <v>19.5</v>
      </c>
      <c r="Q632" s="93">
        <v>3.2521024000000001</v>
      </c>
      <c r="R632">
        <v>10</v>
      </c>
      <c r="S632">
        <v>1000</v>
      </c>
      <c r="V632">
        <f t="shared" ref="V632:W632" si="666">V608</f>
        <v>2.9</v>
      </c>
      <c r="W632">
        <f t="shared" si="666"/>
        <v>3.1</v>
      </c>
      <c r="X632">
        <v>3.2521024000000001</v>
      </c>
    </row>
    <row r="633" spans="1:24" x14ac:dyDescent="0.2">
      <c r="A633" s="41">
        <f t="shared" si="610"/>
        <v>45865.249999998472</v>
      </c>
      <c r="B633" s="42">
        <f t="shared" si="634"/>
        <v>8000</v>
      </c>
      <c r="C633" s="8">
        <v>25000</v>
      </c>
      <c r="D633" s="8">
        <v>0</v>
      </c>
      <c r="E633" s="8">
        <v>700</v>
      </c>
      <c r="F633" s="8">
        <v>15000</v>
      </c>
      <c r="G633" s="42">
        <f t="shared" si="635"/>
        <v>2400</v>
      </c>
      <c r="H633" s="8">
        <v>25000</v>
      </c>
      <c r="I633" s="42">
        <f t="shared" si="636"/>
        <v>8000</v>
      </c>
      <c r="J633" s="8">
        <v>25000</v>
      </c>
      <c r="K633" s="42">
        <f t="shared" si="637"/>
        <v>8000</v>
      </c>
      <c r="L633" s="8">
        <v>25000</v>
      </c>
      <c r="M633" s="9">
        <v>9</v>
      </c>
      <c r="N633" s="9">
        <v>16.100000000000001</v>
      </c>
      <c r="O633" s="9">
        <v>14</v>
      </c>
      <c r="P633" s="9">
        <v>19.5</v>
      </c>
      <c r="Q633" s="93">
        <v>3.3424632999999999</v>
      </c>
      <c r="R633">
        <v>10</v>
      </c>
      <c r="S633">
        <v>1000</v>
      </c>
      <c r="V633">
        <f t="shared" ref="V633:W633" si="667">V609</f>
        <v>2.5</v>
      </c>
      <c r="W633">
        <f t="shared" si="667"/>
        <v>3.1</v>
      </c>
      <c r="X633">
        <v>3.3424632999999999</v>
      </c>
    </row>
    <row r="634" spans="1:24" x14ac:dyDescent="0.2">
      <c r="A634" s="41">
        <f t="shared" si="610"/>
        <v>45865.291666665136</v>
      </c>
      <c r="B634" s="42">
        <f t="shared" si="634"/>
        <v>8000</v>
      </c>
      <c r="C634" s="8">
        <v>25000</v>
      </c>
      <c r="D634" s="8">
        <v>0</v>
      </c>
      <c r="E634" s="8">
        <v>700</v>
      </c>
      <c r="F634" s="8">
        <v>15000</v>
      </c>
      <c r="G634" s="42">
        <f t="shared" si="635"/>
        <v>2400</v>
      </c>
      <c r="H634" s="8">
        <v>25000</v>
      </c>
      <c r="I634" s="42">
        <f t="shared" si="636"/>
        <v>8000</v>
      </c>
      <c r="J634" s="8">
        <v>25000</v>
      </c>
      <c r="K634" s="42">
        <f t="shared" si="637"/>
        <v>8000</v>
      </c>
      <c r="L634" s="8">
        <v>25000</v>
      </c>
      <c r="M634" s="9">
        <v>9</v>
      </c>
      <c r="N634" s="9">
        <v>16.100000000000001</v>
      </c>
      <c r="O634" s="9">
        <v>14</v>
      </c>
      <c r="P634" s="9">
        <v>19.5</v>
      </c>
      <c r="Q634" s="93">
        <v>3.3354930999999999</v>
      </c>
      <c r="R634">
        <v>10</v>
      </c>
      <c r="S634">
        <v>1000</v>
      </c>
      <c r="V634">
        <f t="shared" ref="V634:W634" si="668">V610</f>
        <v>2.5</v>
      </c>
      <c r="W634">
        <f t="shared" si="668"/>
        <v>3.1</v>
      </c>
      <c r="X634">
        <v>3.3354930999999999</v>
      </c>
    </row>
    <row r="635" spans="1:24" x14ac:dyDescent="0.2">
      <c r="A635" s="41">
        <f t="shared" si="610"/>
        <v>45865.333333331801</v>
      </c>
      <c r="B635" s="42">
        <f t="shared" si="634"/>
        <v>8000</v>
      </c>
      <c r="C635" s="8">
        <v>25000</v>
      </c>
      <c r="D635" s="8">
        <v>0</v>
      </c>
      <c r="E635" s="8">
        <v>700</v>
      </c>
      <c r="F635" s="8">
        <v>15000</v>
      </c>
      <c r="G635" s="42">
        <f t="shared" si="635"/>
        <v>2400</v>
      </c>
      <c r="H635" s="8">
        <v>25000</v>
      </c>
      <c r="I635" s="42">
        <f t="shared" si="636"/>
        <v>8000</v>
      </c>
      <c r="J635" s="8">
        <v>25000</v>
      </c>
      <c r="K635" s="42">
        <f t="shared" si="637"/>
        <v>8000</v>
      </c>
      <c r="L635" s="8">
        <v>25000</v>
      </c>
      <c r="M635" s="9">
        <v>9</v>
      </c>
      <c r="N635" s="9">
        <v>16.100000000000001</v>
      </c>
      <c r="O635" s="9">
        <v>14</v>
      </c>
      <c r="P635" s="9">
        <v>19.5</v>
      </c>
      <c r="Q635" s="93">
        <v>3.4117069</v>
      </c>
      <c r="R635">
        <v>10</v>
      </c>
      <c r="S635">
        <v>1000</v>
      </c>
      <c r="V635">
        <f t="shared" ref="V635:W635" si="669">V611</f>
        <v>3.2</v>
      </c>
      <c r="W635">
        <f t="shared" si="669"/>
        <v>3</v>
      </c>
      <c r="X635">
        <v>3.4117069</v>
      </c>
    </row>
    <row r="636" spans="1:24" x14ac:dyDescent="0.2">
      <c r="A636" s="41">
        <f t="shared" si="610"/>
        <v>45865.374999998465</v>
      </c>
      <c r="B636" s="42">
        <f t="shared" si="634"/>
        <v>8000</v>
      </c>
      <c r="C636" s="8">
        <v>25000</v>
      </c>
      <c r="D636" s="8">
        <v>0</v>
      </c>
      <c r="E636" s="8">
        <v>700</v>
      </c>
      <c r="F636" s="8">
        <v>15000</v>
      </c>
      <c r="G636" s="42">
        <f t="shared" si="635"/>
        <v>2400</v>
      </c>
      <c r="H636" s="8">
        <v>25000</v>
      </c>
      <c r="I636" s="42">
        <f t="shared" si="636"/>
        <v>8000</v>
      </c>
      <c r="J636" s="8">
        <v>25000</v>
      </c>
      <c r="K636" s="42">
        <f t="shared" si="637"/>
        <v>8000</v>
      </c>
      <c r="L636" s="8">
        <v>25000</v>
      </c>
      <c r="M636" s="9">
        <v>9</v>
      </c>
      <c r="N636" s="9">
        <v>16.100000000000001</v>
      </c>
      <c r="O636" s="9">
        <v>14</v>
      </c>
      <c r="P636" s="9">
        <v>19.5</v>
      </c>
      <c r="Q636" s="93">
        <v>3.5161712000000001</v>
      </c>
      <c r="R636">
        <v>10</v>
      </c>
      <c r="S636">
        <v>1000</v>
      </c>
      <c r="V636">
        <f t="shared" ref="V636:W636" si="670">V612</f>
        <v>2.9</v>
      </c>
      <c r="W636">
        <f t="shared" si="670"/>
        <v>3</v>
      </c>
      <c r="X636">
        <v>3.5161712000000001</v>
      </c>
    </row>
    <row r="637" spans="1:24" x14ac:dyDescent="0.2">
      <c r="A637" s="41">
        <f t="shared" si="610"/>
        <v>45865.416666665129</v>
      </c>
      <c r="B637" s="42">
        <f t="shared" si="634"/>
        <v>8000</v>
      </c>
      <c r="C637" s="8">
        <v>25000</v>
      </c>
      <c r="D637" s="8">
        <v>0</v>
      </c>
      <c r="E637" s="8">
        <v>700</v>
      </c>
      <c r="F637" s="8">
        <v>15000</v>
      </c>
      <c r="G637" s="42">
        <f t="shared" si="635"/>
        <v>2400</v>
      </c>
      <c r="H637" s="8">
        <v>25000</v>
      </c>
      <c r="I637" s="42">
        <f t="shared" si="636"/>
        <v>8000</v>
      </c>
      <c r="J637" s="8">
        <v>25000</v>
      </c>
      <c r="K637" s="42">
        <f t="shared" si="637"/>
        <v>8000</v>
      </c>
      <c r="L637" s="8">
        <v>25000</v>
      </c>
      <c r="M637" s="9">
        <v>9</v>
      </c>
      <c r="N637" s="9">
        <v>16.100000000000001</v>
      </c>
      <c r="O637" s="9">
        <v>14</v>
      </c>
      <c r="P637" s="9">
        <v>19.5</v>
      </c>
      <c r="Q637" s="93">
        <v>3.4835150000000001</v>
      </c>
      <c r="R637">
        <v>10</v>
      </c>
      <c r="S637">
        <v>1000</v>
      </c>
      <c r="V637">
        <f t="shared" ref="V637:W637" si="671">V613</f>
        <v>2.9</v>
      </c>
      <c r="W637">
        <f t="shared" si="671"/>
        <v>3</v>
      </c>
      <c r="X637">
        <v>3.4835150000000001</v>
      </c>
    </row>
    <row r="638" spans="1:24" x14ac:dyDescent="0.2">
      <c r="A638" s="41">
        <f t="shared" si="610"/>
        <v>45865.458333331793</v>
      </c>
      <c r="B638" s="42">
        <f t="shared" si="634"/>
        <v>8000</v>
      </c>
      <c r="C638" s="8">
        <v>25000</v>
      </c>
      <c r="D638" s="8">
        <v>0</v>
      </c>
      <c r="E638" s="8">
        <v>700</v>
      </c>
      <c r="F638" s="8">
        <v>15000</v>
      </c>
      <c r="G638" s="42">
        <f t="shared" si="635"/>
        <v>2400</v>
      </c>
      <c r="H638" s="8">
        <v>25000</v>
      </c>
      <c r="I638" s="42">
        <f t="shared" si="636"/>
        <v>8000</v>
      </c>
      <c r="J638" s="8">
        <v>25000</v>
      </c>
      <c r="K638" s="42">
        <f t="shared" si="637"/>
        <v>8000</v>
      </c>
      <c r="L638" s="8">
        <v>25000</v>
      </c>
      <c r="M638" s="9">
        <v>9</v>
      </c>
      <c r="N638" s="9">
        <v>16.100000000000001</v>
      </c>
      <c r="O638" s="9">
        <v>14</v>
      </c>
      <c r="P638" s="9">
        <v>19.5</v>
      </c>
      <c r="Q638" s="93">
        <v>3.2939539</v>
      </c>
      <c r="R638">
        <v>10</v>
      </c>
      <c r="S638">
        <v>1000</v>
      </c>
      <c r="V638">
        <f t="shared" ref="V638:W638" si="672">V614</f>
        <v>3.4</v>
      </c>
      <c r="W638">
        <f t="shared" si="672"/>
        <v>3</v>
      </c>
      <c r="X638">
        <v>3.2939539</v>
      </c>
    </row>
    <row r="639" spans="1:24" x14ac:dyDescent="0.2">
      <c r="A639" s="41">
        <f t="shared" si="610"/>
        <v>45865.499999998457</v>
      </c>
      <c r="B639" s="42">
        <f t="shared" si="634"/>
        <v>8000</v>
      </c>
      <c r="C639" s="8">
        <v>25000</v>
      </c>
      <c r="D639" s="8">
        <v>0</v>
      </c>
      <c r="E639" s="8">
        <v>700</v>
      </c>
      <c r="F639" s="8">
        <v>15000</v>
      </c>
      <c r="G639" s="42">
        <f t="shared" si="635"/>
        <v>2400</v>
      </c>
      <c r="H639" s="8">
        <v>25000</v>
      </c>
      <c r="I639" s="42">
        <f t="shared" si="636"/>
        <v>8000</v>
      </c>
      <c r="J639" s="8">
        <v>25000</v>
      </c>
      <c r="K639" s="42">
        <f t="shared" si="637"/>
        <v>8000</v>
      </c>
      <c r="L639" s="8">
        <v>25000</v>
      </c>
      <c r="M639" s="9">
        <v>9</v>
      </c>
      <c r="N639" s="9">
        <v>16.100000000000001</v>
      </c>
      <c r="O639" s="9">
        <v>14</v>
      </c>
      <c r="P639" s="9">
        <v>19.5</v>
      </c>
      <c r="Q639" s="93">
        <v>3.0834571999999998</v>
      </c>
      <c r="R639">
        <v>10</v>
      </c>
      <c r="S639">
        <v>1000</v>
      </c>
      <c r="V639">
        <f t="shared" ref="V639:W639" si="673">V615</f>
        <v>3.1</v>
      </c>
      <c r="W639">
        <f t="shared" si="673"/>
        <v>2.9</v>
      </c>
      <c r="X639">
        <v>3.0834571999999998</v>
      </c>
    </row>
    <row r="640" spans="1:24" x14ac:dyDescent="0.2">
      <c r="A640" s="41">
        <f t="shared" si="610"/>
        <v>45865.541666665122</v>
      </c>
      <c r="B640" s="42">
        <f t="shared" si="634"/>
        <v>8000</v>
      </c>
      <c r="C640" s="8">
        <v>25000</v>
      </c>
      <c r="D640" s="8">
        <v>0</v>
      </c>
      <c r="E640" s="8">
        <v>700</v>
      </c>
      <c r="F640" s="8">
        <v>15000</v>
      </c>
      <c r="G640" s="42">
        <f t="shared" si="635"/>
        <v>2400</v>
      </c>
      <c r="H640" s="8">
        <v>25000</v>
      </c>
      <c r="I640" s="42">
        <f t="shared" si="636"/>
        <v>8000</v>
      </c>
      <c r="J640" s="8">
        <v>25000</v>
      </c>
      <c r="K640" s="42">
        <f t="shared" si="637"/>
        <v>8000</v>
      </c>
      <c r="L640" s="8">
        <v>25000</v>
      </c>
      <c r="M640" s="9">
        <v>9</v>
      </c>
      <c r="N640" s="9">
        <v>16.100000000000001</v>
      </c>
      <c r="O640" s="9">
        <v>14</v>
      </c>
      <c r="P640" s="9">
        <v>19.5</v>
      </c>
      <c r="Q640" s="93">
        <v>2.9676075000000002</v>
      </c>
      <c r="R640">
        <v>10</v>
      </c>
      <c r="S640">
        <v>1000</v>
      </c>
      <c r="V640">
        <f t="shared" ref="V640:W640" si="674">V616</f>
        <v>3.2</v>
      </c>
      <c r="W640">
        <f t="shared" si="674"/>
        <v>2.9</v>
      </c>
      <c r="X640">
        <v>2.9676075000000002</v>
      </c>
    </row>
    <row r="641" spans="1:24" x14ac:dyDescent="0.2">
      <c r="A641" s="41">
        <f t="shared" si="610"/>
        <v>45865.583333331786</v>
      </c>
      <c r="B641" s="42">
        <f t="shared" si="634"/>
        <v>8000</v>
      </c>
      <c r="C641" s="8">
        <v>25000</v>
      </c>
      <c r="D641" s="8">
        <v>0</v>
      </c>
      <c r="E641" s="8">
        <v>700</v>
      </c>
      <c r="F641" s="8">
        <v>15000</v>
      </c>
      <c r="G641" s="42">
        <f t="shared" si="635"/>
        <v>2400</v>
      </c>
      <c r="H641" s="8">
        <v>25000</v>
      </c>
      <c r="I641" s="42">
        <f t="shared" si="636"/>
        <v>8000</v>
      </c>
      <c r="J641" s="8">
        <v>25000</v>
      </c>
      <c r="K641" s="42">
        <f t="shared" si="637"/>
        <v>8000</v>
      </c>
      <c r="L641" s="8">
        <v>25000</v>
      </c>
      <c r="M641" s="9">
        <v>9</v>
      </c>
      <c r="N641" s="9">
        <v>16.100000000000001</v>
      </c>
      <c r="O641" s="9">
        <v>14</v>
      </c>
      <c r="P641" s="9">
        <v>19.5</v>
      </c>
      <c r="Q641" s="93">
        <v>3.0548953999999999</v>
      </c>
      <c r="R641">
        <v>10</v>
      </c>
      <c r="S641">
        <v>1000</v>
      </c>
      <c r="V641">
        <f t="shared" ref="V641:W641" si="675">V617</f>
        <v>3.5</v>
      </c>
      <c r="W641">
        <f t="shared" si="675"/>
        <v>2.9</v>
      </c>
      <c r="X641">
        <v>3.0548953999999999</v>
      </c>
    </row>
    <row r="642" spans="1:24" x14ac:dyDescent="0.2">
      <c r="A642" s="41">
        <f t="shared" si="610"/>
        <v>45865.62499999845</v>
      </c>
      <c r="B642" s="42">
        <f t="shared" si="634"/>
        <v>8000</v>
      </c>
      <c r="C642" s="8">
        <v>25000</v>
      </c>
      <c r="D642" s="8">
        <v>0</v>
      </c>
      <c r="E642" s="8">
        <v>700</v>
      </c>
      <c r="F642" s="8">
        <v>15000</v>
      </c>
      <c r="G642" s="42">
        <f t="shared" si="635"/>
        <v>2400</v>
      </c>
      <c r="H642" s="8">
        <v>25000</v>
      </c>
      <c r="I642" s="42">
        <f t="shared" si="636"/>
        <v>8000</v>
      </c>
      <c r="J642" s="8">
        <v>25000</v>
      </c>
      <c r="K642" s="42">
        <f t="shared" si="637"/>
        <v>8000</v>
      </c>
      <c r="L642" s="8">
        <v>25000</v>
      </c>
      <c r="M642" s="9">
        <v>9</v>
      </c>
      <c r="N642" s="9">
        <v>16.100000000000001</v>
      </c>
      <c r="O642" s="9">
        <v>14</v>
      </c>
      <c r="P642" s="9">
        <v>19.5</v>
      </c>
      <c r="Q642" s="93">
        <v>3.4689996000000001</v>
      </c>
      <c r="R642">
        <v>10</v>
      </c>
      <c r="S642">
        <v>1000</v>
      </c>
      <c r="V642">
        <f t="shared" ref="V642:W642" si="676">V618</f>
        <v>3.2</v>
      </c>
      <c r="W642">
        <f t="shared" si="676"/>
        <v>2.9</v>
      </c>
      <c r="X642">
        <v>3.4689996000000001</v>
      </c>
    </row>
    <row r="643" spans="1:24" x14ac:dyDescent="0.2">
      <c r="A643" s="41">
        <f t="shared" si="610"/>
        <v>45865.666666665114</v>
      </c>
      <c r="B643" s="42">
        <f t="shared" si="634"/>
        <v>8000</v>
      </c>
      <c r="C643" s="8">
        <v>25000</v>
      </c>
      <c r="D643" s="8">
        <v>0</v>
      </c>
      <c r="E643" s="8">
        <v>700</v>
      </c>
      <c r="F643" s="8">
        <v>15000</v>
      </c>
      <c r="G643" s="42">
        <f t="shared" si="635"/>
        <v>2400</v>
      </c>
      <c r="H643" s="8">
        <v>25000</v>
      </c>
      <c r="I643" s="42">
        <f t="shared" si="636"/>
        <v>8000</v>
      </c>
      <c r="J643" s="8">
        <v>25000</v>
      </c>
      <c r="K643" s="42">
        <f t="shared" si="637"/>
        <v>8000</v>
      </c>
      <c r="L643" s="8">
        <v>25000</v>
      </c>
      <c r="M643" s="9">
        <v>9</v>
      </c>
      <c r="N643" s="9">
        <v>16.100000000000001</v>
      </c>
      <c r="O643" s="9">
        <v>14</v>
      </c>
      <c r="P643" s="9">
        <v>19.5</v>
      </c>
      <c r="Q643" s="93">
        <v>3.4126861000000002</v>
      </c>
      <c r="R643">
        <v>10</v>
      </c>
      <c r="S643">
        <v>1000</v>
      </c>
      <c r="V643">
        <f t="shared" ref="V643:W643" si="677">V619</f>
        <v>3.5</v>
      </c>
      <c r="W643">
        <f t="shared" si="677"/>
        <v>3</v>
      </c>
      <c r="X643">
        <v>3.4126861000000002</v>
      </c>
    </row>
    <row r="644" spans="1:24" x14ac:dyDescent="0.2">
      <c r="A644" s="41">
        <f t="shared" si="610"/>
        <v>45865.708333331779</v>
      </c>
      <c r="B644" s="42">
        <f t="shared" si="634"/>
        <v>8000</v>
      </c>
      <c r="C644" s="8">
        <v>25000</v>
      </c>
      <c r="D644" s="8">
        <v>0</v>
      </c>
      <c r="E644" s="8">
        <v>700</v>
      </c>
      <c r="F644" s="8">
        <v>15000</v>
      </c>
      <c r="G644" s="42">
        <f t="shared" si="635"/>
        <v>2400</v>
      </c>
      <c r="H644" s="8">
        <v>25000</v>
      </c>
      <c r="I644" s="42">
        <f t="shared" si="636"/>
        <v>8000</v>
      </c>
      <c r="J644" s="8">
        <v>25000</v>
      </c>
      <c r="K644" s="42">
        <f t="shared" si="637"/>
        <v>8000</v>
      </c>
      <c r="L644" s="8">
        <v>25000</v>
      </c>
      <c r="M644" s="9">
        <v>9</v>
      </c>
      <c r="N644" s="9">
        <v>16.100000000000001</v>
      </c>
      <c r="O644" s="9">
        <v>14</v>
      </c>
      <c r="P644" s="9">
        <v>19.5</v>
      </c>
      <c r="Q644" s="93">
        <v>3.2988110000000002</v>
      </c>
      <c r="R644">
        <v>10</v>
      </c>
      <c r="S644">
        <v>1000</v>
      </c>
      <c r="V644">
        <f t="shared" ref="V644:W644" si="678">V620</f>
        <v>3.6</v>
      </c>
      <c r="W644">
        <f t="shared" si="678"/>
        <v>3</v>
      </c>
      <c r="X644">
        <v>3.2988110000000002</v>
      </c>
    </row>
    <row r="645" spans="1:24" x14ac:dyDescent="0.2">
      <c r="A645" s="41">
        <f t="shared" ref="A645:A708" si="679">A644+TIME(1,0,0)</f>
        <v>45865.749999998443</v>
      </c>
      <c r="B645" s="42">
        <f t="shared" si="634"/>
        <v>5000</v>
      </c>
      <c r="C645" s="8">
        <v>25000</v>
      </c>
      <c r="D645" s="8">
        <v>0</v>
      </c>
      <c r="E645" s="8">
        <v>700</v>
      </c>
      <c r="F645" s="8">
        <v>15000</v>
      </c>
      <c r="G645" s="42">
        <f t="shared" si="635"/>
        <v>2400</v>
      </c>
      <c r="H645" s="8">
        <v>25000</v>
      </c>
      <c r="I645" s="42">
        <f t="shared" si="636"/>
        <v>5000</v>
      </c>
      <c r="J645" s="8">
        <v>25000</v>
      </c>
      <c r="K645" s="42">
        <f t="shared" si="637"/>
        <v>5000</v>
      </c>
      <c r="L645" s="8">
        <v>25000</v>
      </c>
      <c r="M645" s="9">
        <v>9</v>
      </c>
      <c r="N645" s="9">
        <v>16.100000000000001</v>
      </c>
      <c r="O645" s="9">
        <v>14</v>
      </c>
      <c r="P645" s="9">
        <v>19.5</v>
      </c>
      <c r="Q645" s="93">
        <v>3.2723775000000002</v>
      </c>
      <c r="R645">
        <v>10</v>
      </c>
      <c r="S645">
        <v>1000</v>
      </c>
      <c r="V645">
        <f t="shared" ref="V645:W645" si="680">V621</f>
        <v>2.9</v>
      </c>
      <c r="W645">
        <f t="shared" si="680"/>
        <v>3</v>
      </c>
      <c r="X645">
        <v>3.2723775000000002</v>
      </c>
    </row>
    <row r="646" spans="1:24" x14ac:dyDescent="0.2">
      <c r="A646" s="41">
        <f t="shared" si="679"/>
        <v>45865.791666665107</v>
      </c>
      <c r="B646" s="42">
        <f t="shared" si="634"/>
        <v>5000</v>
      </c>
      <c r="C646" s="8">
        <v>25000</v>
      </c>
      <c r="D646" s="8">
        <v>0</v>
      </c>
      <c r="E646" s="8">
        <v>700</v>
      </c>
      <c r="F646" s="8">
        <v>15000</v>
      </c>
      <c r="G646" s="42">
        <f t="shared" si="635"/>
        <v>2400</v>
      </c>
      <c r="H646" s="8">
        <v>25000</v>
      </c>
      <c r="I646" s="42">
        <f t="shared" si="636"/>
        <v>5000</v>
      </c>
      <c r="J646" s="8">
        <v>25000</v>
      </c>
      <c r="K646" s="42">
        <f t="shared" si="637"/>
        <v>5000</v>
      </c>
      <c r="L646" s="8">
        <v>25000</v>
      </c>
      <c r="M646" s="9">
        <v>9</v>
      </c>
      <c r="N646" s="9">
        <v>16.100000000000001</v>
      </c>
      <c r="O646" s="9">
        <v>14</v>
      </c>
      <c r="P646" s="9">
        <v>19.5</v>
      </c>
      <c r="Q646" s="93">
        <v>3.3051037999999999</v>
      </c>
      <c r="R646">
        <v>10</v>
      </c>
      <c r="S646">
        <v>1000</v>
      </c>
      <c r="V646">
        <f t="shared" ref="V646:W646" si="681">V622</f>
        <v>3</v>
      </c>
      <c r="W646">
        <f t="shared" si="681"/>
        <v>3</v>
      </c>
      <c r="X646">
        <v>3.3051037999999999</v>
      </c>
    </row>
    <row r="647" spans="1:24" x14ac:dyDescent="0.2">
      <c r="A647" s="41">
        <f t="shared" si="679"/>
        <v>45865.833333331771</v>
      </c>
      <c r="B647" s="42">
        <f t="shared" si="634"/>
        <v>5000</v>
      </c>
      <c r="C647" s="8">
        <v>25000</v>
      </c>
      <c r="D647" s="8">
        <v>0</v>
      </c>
      <c r="E647" s="8">
        <v>700</v>
      </c>
      <c r="F647" s="8">
        <v>15000</v>
      </c>
      <c r="G647" s="42">
        <f t="shared" si="635"/>
        <v>2400</v>
      </c>
      <c r="H647" s="8">
        <v>25000</v>
      </c>
      <c r="I647" s="42">
        <f t="shared" si="636"/>
        <v>5000</v>
      </c>
      <c r="J647" s="8">
        <v>25000</v>
      </c>
      <c r="K647" s="42">
        <f t="shared" si="637"/>
        <v>5000</v>
      </c>
      <c r="L647" s="8">
        <v>25000</v>
      </c>
      <c r="M647" s="9">
        <v>9</v>
      </c>
      <c r="N647" s="9">
        <v>16.100000000000001</v>
      </c>
      <c r="O647" s="9">
        <v>14</v>
      </c>
      <c r="P647" s="9">
        <v>19.5</v>
      </c>
      <c r="Q647" s="93">
        <v>3.2898945999999998</v>
      </c>
      <c r="R647">
        <v>10</v>
      </c>
      <c r="S647">
        <v>1000</v>
      </c>
      <c r="V647">
        <f t="shared" ref="V647:W647" si="682">V623</f>
        <v>2.8</v>
      </c>
      <c r="W647">
        <f t="shared" si="682"/>
        <v>3.1</v>
      </c>
      <c r="X647">
        <v>3.2898945999999998</v>
      </c>
    </row>
    <row r="648" spans="1:24" x14ac:dyDescent="0.2">
      <c r="A648" s="41">
        <f t="shared" si="679"/>
        <v>45865.874999998436</v>
      </c>
      <c r="B648" s="42">
        <f t="shared" si="634"/>
        <v>5000</v>
      </c>
      <c r="C648" s="8">
        <v>25000</v>
      </c>
      <c r="D648" s="8">
        <v>0</v>
      </c>
      <c r="E648" s="8">
        <v>700</v>
      </c>
      <c r="F648" s="8">
        <v>15000</v>
      </c>
      <c r="G648" s="42">
        <f t="shared" si="635"/>
        <v>2400</v>
      </c>
      <c r="H648" s="8">
        <v>25000</v>
      </c>
      <c r="I648" s="42">
        <f t="shared" si="636"/>
        <v>5000</v>
      </c>
      <c r="J648" s="8">
        <v>25000</v>
      </c>
      <c r="K648" s="42">
        <f t="shared" si="637"/>
        <v>5000</v>
      </c>
      <c r="L648" s="8">
        <v>25000</v>
      </c>
      <c r="M648" s="9">
        <v>9</v>
      </c>
      <c r="N648" s="9">
        <v>16.100000000000001</v>
      </c>
      <c r="O648" s="9">
        <v>14</v>
      </c>
      <c r="P648" s="9">
        <v>19.5</v>
      </c>
      <c r="Q648" s="93">
        <v>3.2111976000000002</v>
      </c>
      <c r="R648">
        <v>10</v>
      </c>
      <c r="S648">
        <v>1000</v>
      </c>
      <c r="V648">
        <f t="shared" ref="V648:W648" si="683">V624</f>
        <v>3.5</v>
      </c>
      <c r="W648">
        <f t="shared" si="683"/>
        <v>3.1</v>
      </c>
      <c r="X648">
        <v>3.2111976000000002</v>
      </c>
    </row>
    <row r="649" spans="1:24" x14ac:dyDescent="0.2">
      <c r="A649" s="41">
        <f t="shared" si="679"/>
        <v>45865.9166666651</v>
      </c>
      <c r="B649" s="42">
        <f t="shared" si="634"/>
        <v>5000</v>
      </c>
      <c r="C649" s="8">
        <v>25000</v>
      </c>
      <c r="D649" s="8">
        <v>0</v>
      </c>
      <c r="E649" s="8">
        <v>700</v>
      </c>
      <c r="F649" s="8">
        <v>15000</v>
      </c>
      <c r="G649" s="42">
        <f t="shared" si="635"/>
        <v>2400</v>
      </c>
      <c r="H649" s="8">
        <v>25000</v>
      </c>
      <c r="I649" s="42">
        <f t="shared" si="636"/>
        <v>5000</v>
      </c>
      <c r="J649" s="8">
        <v>25000</v>
      </c>
      <c r="K649" s="42">
        <f t="shared" si="637"/>
        <v>5000</v>
      </c>
      <c r="L649" s="8">
        <v>25000</v>
      </c>
      <c r="M649" s="9">
        <v>9</v>
      </c>
      <c r="N649" s="9">
        <v>16.100000000000001</v>
      </c>
      <c r="O649" s="9">
        <v>14</v>
      </c>
      <c r="P649" s="9">
        <v>19.5</v>
      </c>
      <c r="Q649" s="93">
        <v>3.1327425999999998</v>
      </c>
      <c r="R649">
        <v>10</v>
      </c>
      <c r="S649">
        <v>1000</v>
      </c>
      <c r="V649">
        <f t="shared" ref="V649:W649" si="684">V625</f>
        <v>2.9</v>
      </c>
      <c r="W649">
        <f t="shared" si="684"/>
        <v>3.1</v>
      </c>
      <c r="X649">
        <v>3.1327425999999998</v>
      </c>
    </row>
    <row r="650" spans="1:24" x14ac:dyDescent="0.2">
      <c r="A650" s="41">
        <f t="shared" si="679"/>
        <v>45865.958333331764</v>
      </c>
      <c r="B650" s="42">
        <f t="shared" si="634"/>
        <v>5000</v>
      </c>
      <c r="C650" s="8">
        <v>25000</v>
      </c>
      <c r="D650" s="8">
        <v>0</v>
      </c>
      <c r="E650" s="8">
        <v>700</v>
      </c>
      <c r="F650" s="8">
        <v>15000</v>
      </c>
      <c r="G650" s="42">
        <f t="shared" si="635"/>
        <v>2400</v>
      </c>
      <c r="H650" s="8">
        <v>25000</v>
      </c>
      <c r="I650" s="42">
        <f t="shared" si="636"/>
        <v>5000</v>
      </c>
      <c r="J650" s="8">
        <v>25000</v>
      </c>
      <c r="K650" s="42">
        <f t="shared" si="637"/>
        <v>5000</v>
      </c>
      <c r="L650" s="8">
        <v>25000</v>
      </c>
      <c r="M650" s="9">
        <v>9</v>
      </c>
      <c r="N650" s="9">
        <v>16.100000000000001</v>
      </c>
      <c r="O650" s="9">
        <v>14</v>
      </c>
      <c r="P650" s="9">
        <v>19.5</v>
      </c>
      <c r="Q650" s="93">
        <v>3.0738916000000001</v>
      </c>
      <c r="R650">
        <v>10</v>
      </c>
      <c r="S650">
        <v>1000</v>
      </c>
      <c r="V650">
        <f t="shared" ref="V650:W650" si="685">V626</f>
        <v>3.6</v>
      </c>
      <c r="W650">
        <f t="shared" si="685"/>
        <v>3.1</v>
      </c>
      <c r="X650">
        <v>3.0738916000000001</v>
      </c>
    </row>
    <row r="651" spans="1:24" x14ac:dyDescent="0.2">
      <c r="A651" s="41">
        <f t="shared" si="679"/>
        <v>45865.999999998428</v>
      </c>
      <c r="B651" s="42">
        <f t="shared" si="634"/>
        <v>5000</v>
      </c>
      <c r="C651" s="8">
        <v>25000</v>
      </c>
      <c r="D651" s="8">
        <v>0</v>
      </c>
      <c r="E651" s="8">
        <v>700</v>
      </c>
      <c r="F651" s="8">
        <v>15000</v>
      </c>
      <c r="G651" s="42">
        <f t="shared" si="635"/>
        <v>2400</v>
      </c>
      <c r="H651" s="8">
        <v>25000</v>
      </c>
      <c r="I651" s="42">
        <f t="shared" si="636"/>
        <v>5000</v>
      </c>
      <c r="J651" s="8">
        <v>25000</v>
      </c>
      <c r="K651" s="42">
        <f t="shared" si="637"/>
        <v>5000</v>
      </c>
      <c r="L651" s="8">
        <v>25000</v>
      </c>
      <c r="M651" s="9">
        <v>9</v>
      </c>
      <c r="N651" s="9">
        <v>16.100000000000001</v>
      </c>
      <c r="O651" s="9">
        <v>14</v>
      </c>
      <c r="P651" s="9">
        <v>19.5</v>
      </c>
      <c r="Q651" s="93">
        <v>3.0741160000000001</v>
      </c>
      <c r="R651">
        <v>10</v>
      </c>
      <c r="S651">
        <v>1000</v>
      </c>
      <c r="V651">
        <f t="shared" ref="V651:W651" si="686">V627</f>
        <v>3</v>
      </c>
      <c r="W651">
        <f t="shared" si="686"/>
        <v>3.2</v>
      </c>
      <c r="X651">
        <v>3.0741160000000001</v>
      </c>
    </row>
    <row r="652" spans="1:24" x14ac:dyDescent="0.2">
      <c r="A652" s="41">
        <f t="shared" si="679"/>
        <v>45866.041666665093</v>
      </c>
      <c r="B652" s="42">
        <f t="shared" si="634"/>
        <v>5000</v>
      </c>
      <c r="C652" s="8">
        <v>25000</v>
      </c>
      <c r="D652" s="8">
        <v>0</v>
      </c>
      <c r="E652" s="8">
        <v>700</v>
      </c>
      <c r="F652" s="8">
        <v>15000</v>
      </c>
      <c r="G652" s="42">
        <f t="shared" si="635"/>
        <v>2400</v>
      </c>
      <c r="H652" s="8">
        <v>25000</v>
      </c>
      <c r="I652" s="42">
        <f t="shared" si="636"/>
        <v>5000</v>
      </c>
      <c r="J652" s="8">
        <v>25000</v>
      </c>
      <c r="K652" s="42">
        <f t="shared" si="637"/>
        <v>5000</v>
      </c>
      <c r="L652" s="8">
        <v>25000</v>
      </c>
      <c r="M652" s="9">
        <v>9</v>
      </c>
      <c r="N652" s="9">
        <v>16.100000000000001</v>
      </c>
      <c r="O652" s="9">
        <v>14</v>
      </c>
      <c r="P652" s="9">
        <v>19.5</v>
      </c>
      <c r="Q652" s="93">
        <v>3.1008298000000001</v>
      </c>
      <c r="R652">
        <v>10</v>
      </c>
      <c r="S652">
        <v>1000</v>
      </c>
      <c r="V652">
        <f t="shared" ref="V652:W652" si="687">V628</f>
        <v>2.6</v>
      </c>
      <c r="W652">
        <f t="shared" si="687"/>
        <v>3.2</v>
      </c>
      <c r="X652">
        <v>3.1008298000000001</v>
      </c>
    </row>
    <row r="653" spans="1:24" x14ac:dyDescent="0.2">
      <c r="A653" s="41">
        <f t="shared" si="679"/>
        <v>45866.083333331757</v>
      </c>
      <c r="B653" s="42">
        <f t="shared" si="634"/>
        <v>5000</v>
      </c>
      <c r="C653" s="8">
        <v>25000</v>
      </c>
      <c r="D653" s="8">
        <v>0</v>
      </c>
      <c r="E653" s="8">
        <v>700</v>
      </c>
      <c r="F653" s="8">
        <v>15000</v>
      </c>
      <c r="G653" s="42">
        <f t="shared" si="635"/>
        <v>2400</v>
      </c>
      <c r="H653" s="8">
        <v>25000</v>
      </c>
      <c r="I653" s="42">
        <f t="shared" si="636"/>
        <v>5000</v>
      </c>
      <c r="J653" s="8">
        <v>25000</v>
      </c>
      <c r="K653" s="42">
        <f t="shared" si="637"/>
        <v>5000</v>
      </c>
      <c r="L653" s="8">
        <v>25000</v>
      </c>
      <c r="M653" s="9">
        <v>9</v>
      </c>
      <c r="N653" s="9">
        <v>16.100000000000001</v>
      </c>
      <c r="O653" s="9">
        <v>14</v>
      </c>
      <c r="P653" s="9">
        <v>19.5</v>
      </c>
      <c r="Q653" s="93">
        <v>3.1383690999999998</v>
      </c>
      <c r="R653">
        <v>10</v>
      </c>
      <c r="S653">
        <v>1000</v>
      </c>
      <c r="V653">
        <f t="shared" ref="V653:W653" si="688">V629</f>
        <v>2.8</v>
      </c>
      <c r="W653">
        <f t="shared" si="688"/>
        <v>3.2</v>
      </c>
      <c r="X653">
        <v>3.1383690999999998</v>
      </c>
    </row>
    <row r="654" spans="1:24" x14ac:dyDescent="0.2">
      <c r="A654" s="41">
        <f t="shared" si="679"/>
        <v>45866.124999998421</v>
      </c>
      <c r="B654" s="42">
        <f t="shared" si="634"/>
        <v>5000</v>
      </c>
      <c r="C654" s="8">
        <v>25000</v>
      </c>
      <c r="D654" s="8">
        <v>0</v>
      </c>
      <c r="E654" s="8">
        <v>700</v>
      </c>
      <c r="F654" s="8">
        <v>15000</v>
      </c>
      <c r="G654" s="42">
        <f t="shared" si="635"/>
        <v>2400</v>
      </c>
      <c r="H654" s="8">
        <v>25000</v>
      </c>
      <c r="I654" s="42">
        <f t="shared" si="636"/>
        <v>5000</v>
      </c>
      <c r="J654" s="8">
        <v>25000</v>
      </c>
      <c r="K654" s="42">
        <f t="shared" si="637"/>
        <v>5000</v>
      </c>
      <c r="L654" s="8">
        <v>25000</v>
      </c>
      <c r="M654" s="9">
        <v>9</v>
      </c>
      <c r="N654" s="9">
        <v>16.100000000000001</v>
      </c>
      <c r="O654" s="9">
        <v>14</v>
      </c>
      <c r="P654" s="9">
        <v>19.5</v>
      </c>
      <c r="Q654" s="93">
        <v>3.1677213000000002</v>
      </c>
      <c r="R654">
        <v>10</v>
      </c>
      <c r="S654">
        <v>1000</v>
      </c>
      <c r="V654">
        <f t="shared" ref="V654:W654" si="689">V630</f>
        <v>2.7</v>
      </c>
      <c r="W654">
        <f t="shared" si="689"/>
        <v>3.2</v>
      </c>
      <c r="X654">
        <v>3.1677213000000002</v>
      </c>
    </row>
    <row r="655" spans="1:24" x14ac:dyDescent="0.2">
      <c r="A655" s="41">
        <f t="shared" si="679"/>
        <v>45866.166666665085</v>
      </c>
      <c r="B655" s="42">
        <f t="shared" si="634"/>
        <v>5000</v>
      </c>
      <c r="C655" s="8">
        <v>25000</v>
      </c>
      <c r="D655" s="8">
        <v>0</v>
      </c>
      <c r="E655" s="8">
        <v>700</v>
      </c>
      <c r="F655" s="8">
        <v>15000</v>
      </c>
      <c r="G655" s="42">
        <f t="shared" si="635"/>
        <v>2400</v>
      </c>
      <c r="H655" s="8">
        <v>25000</v>
      </c>
      <c r="I655" s="42">
        <f t="shared" si="636"/>
        <v>5000</v>
      </c>
      <c r="J655" s="8">
        <v>25000</v>
      </c>
      <c r="K655" s="42">
        <f t="shared" si="637"/>
        <v>5000</v>
      </c>
      <c r="L655" s="8">
        <v>25000</v>
      </c>
      <c r="M655" s="9">
        <v>9</v>
      </c>
      <c r="N655" s="9">
        <v>16.100000000000001</v>
      </c>
      <c r="O655" s="9">
        <v>14</v>
      </c>
      <c r="P655" s="9">
        <v>19.5</v>
      </c>
      <c r="Q655" s="93">
        <v>3.1796514999999999</v>
      </c>
      <c r="R655">
        <v>10</v>
      </c>
      <c r="S655">
        <v>1000</v>
      </c>
      <c r="V655">
        <f t="shared" ref="V655:W655" si="690">V631</f>
        <v>3</v>
      </c>
      <c r="W655">
        <f t="shared" si="690"/>
        <v>3.1</v>
      </c>
      <c r="X655">
        <v>3.1796514999999999</v>
      </c>
    </row>
    <row r="656" spans="1:24" x14ac:dyDescent="0.2">
      <c r="A656" s="41">
        <f t="shared" si="679"/>
        <v>45866.20833333175</v>
      </c>
      <c r="B656" s="42">
        <f t="shared" si="634"/>
        <v>5000</v>
      </c>
      <c r="C656" s="8">
        <v>25000</v>
      </c>
      <c r="D656" s="8">
        <v>0</v>
      </c>
      <c r="E656" s="8">
        <v>700</v>
      </c>
      <c r="F656" s="8">
        <v>15000</v>
      </c>
      <c r="G656" s="42">
        <f t="shared" si="635"/>
        <v>2400</v>
      </c>
      <c r="H656" s="8">
        <v>25000</v>
      </c>
      <c r="I656" s="42">
        <f t="shared" si="636"/>
        <v>5000</v>
      </c>
      <c r="J656" s="8">
        <v>25000</v>
      </c>
      <c r="K656" s="42">
        <f t="shared" si="637"/>
        <v>5000</v>
      </c>
      <c r="L656" s="8">
        <v>25000</v>
      </c>
      <c r="M656" s="9">
        <v>9</v>
      </c>
      <c r="N656" s="9">
        <v>16.100000000000001</v>
      </c>
      <c r="O656" s="9">
        <v>14</v>
      </c>
      <c r="P656" s="9">
        <v>19.5</v>
      </c>
      <c r="Q656" s="93">
        <v>3.2310436</v>
      </c>
      <c r="R656">
        <v>10</v>
      </c>
      <c r="S656">
        <v>1000</v>
      </c>
      <c r="V656">
        <f t="shared" ref="V656:W656" si="691">V632</f>
        <v>2.9</v>
      </c>
      <c r="W656">
        <f t="shared" si="691"/>
        <v>3.1</v>
      </c>
      <c r="X656">
        <v>3.2310436</v>
      </c>
    </row>
    <row r="657" spans="1:24" x14ac:dyDescent="0.2">
      <c r="A657" s="41">
        <f t="shared" si="679"/>
        <v>45866.249999998414</v>
      </c>
      <c r="B657" s="42">
        <f t="shared" si="634"/>
        <v>8000</v>
      </c>
      <c r="C657" s="8">
        <v>25000</v>
      </c>
      <c r="D657" s="8">
        <v>0</v>
      </c>
      <c r="E657" s="8">
        <v>700</v>
      </c>
      <c r="F657" s="8">
        <v>15000</v>
      </c>
      <c r="G657" s="42">
        <f t="shared" si="635"/>
        <v>2400</v>
      </c>
      <c r="H657" s="8">
        <v>25000</v>
      </c>
      <c r="I657" s="42">
        <f t="shared" si="636"/>
        <v>8000</v>
      </c>
      <c r="J657" s="8">
        <v>25000</v>
      </c>
      <c r="K657" s="42">
        <f t="shared" si="637"/>
        <v>8000</v>
      </c>
      <c r="L657" s="8">
        <v>25000</v>
      </c>
      <c r="M657" s="9">
        <v>9</v>
      </c>
      <c r="N657" s="9">
        <v>16.100000000000001</v>
      </c>
      <c r="O657" s="9">
        <v>14</v>
      </c>
      <c r="P657" s="9">
        <v>19.5</v>
      </c>
      <c r="Q657" s="93">
        <v>3.2937973</v>
      </c>
      <c r="R657">
        <v>10</v>
      </c>
      <c r="S657">
        <v>1000</v>
      </c>
      <c r="V657">
        <f t="shared" ref="V657:W657" si="692">V633</f>
        <v>2.5</v>
      </c>
      <c r="W657">
        <f t="shared" si="692"/>
        <v>3.1</v>
      </c>
      <c r="X657">
        <v>3.2937973</v>
      </c>
    </row>
    <row r="658" spans="1:24" x14ac:dyDescent="0.2">
      <c r="A658" s="41">
        <f t="shared" si="679"/>
        <v>45866.291666665078</v>
      </c>
      <c r="B658" s="42">
        <f t="shared" si="634"/>
        <v>8000</v>
      </c>
      <c r="C658" s="8">
        <v>25000</v>
      </c>
      <c r="D658" s="8">
        <v>0</v>
      </c>
      <c r="E658" s="8">
        <v>700</v>
      </c>
      <c r="F658" s="8">
        <v>15000</v>
      </c>
      <c r="G658" s="42">
        <f t="shared" si="635"/>
        <v>2400</v>
      </c>
      <c r="H658" s="8">
        <v>25000</v>
      </c>
      <c r="I658" s="42">
        <f t="shared" si="636"/>
        <v>8000</v>
      </c>
      <c r="J658" s="8">
        <v>25000</v>
      </c>
      <c r="K658" s="42">
        <f t="shared" si="637"/>
        <v>8000</v>
      </c>
      <c r="L658" s="8">
        <v>25000</v>
      </c>
      <c r="M658" s="9">
        <v>9</v>
      </c>
      <c r="N658" s="9">
        <v>16.100000000000001</v>
      </c>
      <c r="O658" s="9">
        <v>14</v>
      </c>
      <c r="P658" s="9">
        <v>19.5</v>
      </c>
      <c r="Q658" s="93">
        <v>3.2920983000000001</v>
      </c>
      <c r="R658">
        <v>10</v>
      </c>
      <c r="S658">
        <v>1000</v>
      </c>
      <c r="V658">
        <f t="shared" ref="V658:W658" si="693">V634</f>
        <v>2.5</v>
      </c>
      <c r="W658">
        <f t="shared" si="693"/>
        <v>3.1</v>
      </c>
      <c r="X658">
        <v>3.2920983000000001</v>
      </c>
    </row>
    <row r="659" spans="1:24" x14ac:dyDescent="0.2">
      <c r="A659" s="41">
        <f t="shared" si="679"/>
        <v>45866.333333331742</v>
      </c>
      <c r="B659" s="42">
        <f t="shared" si="634"/>
        <v>8000</v>
      </c>
      <c r="C659" s="8">
        <v>25000</v>
      </c>
      <c r="D659" s="8">
        <v>0</v>
      </c>
      <c r="E659" s="8">
        <v>700</v>
      </c>
      <c r="F659" s="8">
        <v>15000</v>
      </c>
      <c r="G659" s="42">
        <f t="shared" si="635"/>
        <v>2400</v>
      </c>
      <c r="H659" s="8">
        <v>25000</v>
      </c>
      <c r="I659" s="42">
        <f t="shared" si="636"/>
        <v>8000</v>
      </c>
      <c r="J659" s="8">
        <v>25000</v>
      </c>
      <c r="K659" s="42">
        <f t="shared" si="637"/>
        <v>8000</v>
      </c>
      <c r="L659" s="8">
        <v>25000</v>
      </c>
      <c r="M659" s="9">
        <v>9</v>
      </c>
      <c r="N659" s="9">
        <v>16.100000000000001</v>
      </c>
      <c r="O659" s="9">
        <v>14</v>
      </c>
      <c r="P659" s="9">
        <v>19.5</v>
      </c>
      <c r="Q659" s="93">
        <v>3.3316870000000001</v>
      </c>
      <c r="R659">
        <v>10</v>
      </c>
      <c r="S659">
        <v>1000</v>
      </c>
      <c r="V659">
        <f t="shared" ref="V659:W659" si="694">V635</f>
        <v>3.2</v>
      </c>
      <c r="W659">
        <f t="shared" si="694"/>
        <v>3</v>
      </c>
      <c r="X659">
        <v>3.3316870000000001</v>
      </c>
    </row>
    <row r="660" spans="1:24" x14ac:dyDescent="0.2">
      <c r="A660" s="41">
        <f t="shared" si="679"/>
        <v>45866.374999998407</v>
      </c>
      <c r="B660" s="42">
        <f t="shared" si="634"/>
        <v>8000</v>
      </c>
      <c r="C660" s="8">
        <v>25000</v>
      </c>
      <c r="D660" s="8">
        <v>0</v>
      </c>
      <c r="E660" s="8">
        <v>700</v>
      </c>
      <c r="F660" s="8">
        <v>15000</v>
      </c>
      <c r="G660" s="42">
        <f t="shared" si="635"/>
        <v>2400</v>
      </c>
      <c r="H660" s="8">
        <v>25000</v>
      </c>
      <c r="I660" s="42">
        <f t="shared" si="636"/>
        <v>8000</v>
      </c>
      <c r="J660" s="8">
        <v>25000</v>
      </c>
      <c r="K660" s="42">
        <f t="shared" si="637"/>
        <v>8000</v>
      </c>
      <c r="L660" s="8">
        <v>25000</v>
      </c>
      <c r="M660" s="9">
        <v>9</v>
      </c>
      <c r="N660" s="9">
        <v>16.100000000000001</v>
      </c>
      <c r="O660" s="9">
        <v>14</v>
      </c>
      <c r="P660" s="9">
        <v>19.5</v>
      </c>
      <c r="Q660" s="93">
        <v>3.3968041000000002</v>
      </c>
      <c r="R660">
        <v>10</v>
      </c>
      <c r="S660">
        <v>1000</v>
      </c>
      <c r="V660">
        <f t="shared" ref="V660:W660" si="695">V636</f>
        <v>2.9</v>
      </c>
      <c r="W660">
        <f t="shared" si="695"/>
        <v>3</v>
      </c>
      <c r="X660">
        <v>3.3968041000000002</v>
      </c>
    </row>
    <row r="661" spans="1:24" x14ac:dyDescent="0.2">
      <c r="A661" s="41">
        <f t="shared" si="679"/>
        <v>45866.416666665071</v>
      </c>
      <c r="B661" s="42">
        <f t="shared" si="634"/>
        <v>8000</v>
      </c>
      <c r="C661" s="8">
        <v>25000</v>
      </c>
      <c r="D661" s="8">
        <v>0</v>
      </c>
      <c r="E661" s="8">
        <v>700</v>
      </c>
      <c r="F661" s="8">
        <v>15000</v>
      </c>
      <c r="G661" s="42">
        <f t="shared" si="635"/>
        <v>2400</v>
      </c>
      <c r="H661" s="8">
        <v>25000</v>
      </c>
      <c r="I661" s="42">
        <f t="shared" si="636"/>
        <v>8000</v>
      </c>
      <c r="J661" s="8">
        <v>25000</v>
      </c>
      <c r="K661" s="42">
        <f t="shared" si="637"/>
        <v>8000</v>
      </c>
      <c r="L661" s="8">
        <v>25000</v>
      </c>
      <c r="M661" s="9">
        <v>9</v>
      </c>
      <c r="N661" s="9">
        <v>16.100000000000001</v>
      </c>
      <c r="O661" s="9">
        <v>14</v>
      </c>
      <c r="P661" s="9">
        <v>19.5</v>
      </c>
      <c r="Q661" s="93">
        <v>3.3920881999999999</v>
      </c>
      <c r="R661">
        <v>10</v>
      </c>
      <c r="S661">
        <v>1000</v>
      </c>
      <c r="V661">
        <f t="shared" ref="V661:W661" si="696">V637</f>
        <v>2.9</v>
      </c>
      <c r="W661">
        <f t="shared" si="696"/>
        <v>3</v>
      </c>
      <c r="X661">
        <v>3.3920881999999999</v>
      </c>
    </row>
    <row r="662" spans="1:24" x14ac:dyDescent="0.2">
      <c r="A662" s="41">
        <f t="shared" si="679"/>
        <v>45866.458333331735</v>
      </c>
      <c r="B662" s="42">
        <f t="shared" si="634"/>
        <v>8000</v>
      </c>
      <c r="C662" s="8">
        <v>25000</v>
      </c>
      <c r="D662" s="8">
        <v>0</v>
      </c>
      <c r="E662" s="8">
        <v>700</v>
      </c>
      <c r="F662" s="8">
        <v>15000</v>
      </c>
      <c r="G662" s="42">
        <f t="shared" si="635"/>
        <v>2400</v>
      </c>
      <c r="H662" s="8">
        <v>25000</v>
      </c>
      <c r="I662" s="42">
        <f t="shared" si="636"/>
        <v>8000</v>
      </c>
      <c r="J662" s="8">
        <v>25000</v>
      </c>
      <c r="K662" s="42">
        <f t="shared" si="637"/>
        <v>8000</v>
      </c>
      <c r="L662" s="8">
        <v>25000</v>
      </c>
      <c r="M662" s="9">
        <v>9</v>
      </c>
      <c r="N662" s="9">
        <v>16.100000000000001</v>
      </c>
      <c r="O662" s="9">
        <v>14</v>
      </c>
      <c r="P662" s="9">
        <v>19.5</v>
      </c>
      <c r="Q662" s="93">
        <v>3.2269363000000002</v>
      </c>
      <c r="R662">
        <v>10</v>
      </c>
      <c r="S662">
        <v>1000</v>
      </c>
      <c r="V662">
        <f t="shared" ref="V662:W662" si="697">V638</f>
        <v>3.4</v>
      </c>
      <c r="W662">
        <f t="shared" si="697"/>
        <v>3</v>
      </c>
      <c r="X662">
        <v>3.2269363000000002</v>
      </c>
    </row>
    <row r="663" spans="1:24" x14ac:dyDescent="0.2">
      <c r="A663" s="41">
        <f t="shared" si="679"/>
        <v>45866.499999998399</v>
      </c>
      <c r="B663" s="42">
        <f t="shared" si="634"/>
        <v>8000</v>
      </c>
      <c r="C663" s="8">
        <v>25000</v>
      </c>
      <c r="D663" s="8">
        <v>0</v>
      </c>
      <c r="E663" s="8">
        <v>700</v>
      </c>
      <c r="F663" s="8">
        <v>15000</v>
      </c>
      <c r="G663" s="42">
        <f t="shared" si="635"/>
        <v>2400</v>
      </c>
      <c r="H663" s="8">
        <v>25000</v>
      </c>
      <c r="I663" s="42">
        <f t="shared" si="636"/>
        <v>8000</v>
      </c>
      <c r="J663" s="8">
        <v>25000</v>
      </c>
      <c r="K663" s="42">
        <f t="shared" si="637"/>
        <v>8000</v>
      </c>
      <c r="L663" s="8">
        <v>25000</v>
      </c>
      <c r="M663" s="9">
        <v>9</v>
      </c>
      <c r="N663" s="9">
        <v>16.100000000000001</v>
      </c>
      <c r="O663" s="9">
        <v>14</v>
      </c>
      <c r="P663" s="9">
        <v>19.5</v>
      </c>
      <c r="Q663" s="93">
        <v>3.0398765000000001</v>
      </c>
      <c r="R663">
        <v>10</v>
      </c>
      <c r="S663">
        <v>1000</v>
      </c>
      <c r="V663">
        <f t="shared" ref="V663:W663" si="698">V639</f>
        <v>3.1</v>
      </c>
      <c r="W663">
        <f t="shared" si="698"/>
        <v>2.9</v>
      </c>
      <c r="X663">
        <v>3.0398765000000001</v>
      </c>
    </row>
    <row r="664" spans="1:24" x14ac:dyDescent="0.2">
      <c r="A664" s="41">
        <f t="shared" si="679"/>
        <v>45866.541666665064</v>
      </c>
      <c r="B664" s="42">
        <f t="shared" si="634"/>
        <v>8000</v>
      </c>
      <c r="C664" s="8">
        <v>25000</v>
      </c>
      <c r="D664" s="8">
        <v>0</v>
      </c>
      <c r="E664" s="8">
        <v>700</v>
      </c>
      <c r="F664" s="8">
        <v>15000</v>
      </c>
      <c r="G664" s="42">
        <f t="shared" si="635"/>
        <v>2400</v>
      </c>
      <c r="H664" s="8">
        <v>25000</v>
      </c>
      <c r="I664" s="42">
        <f t="shared" si="636"/>
        <v>8000</v>
      </c>
      <c r="J664" s="8">
        <v>25000</v>
      </c>
      <c r="K664" s="42">
        <f t="shared" si="637"/>
        <v>8000</v>
      </c>
      <c r="L664" s="8">
        <v>25000</v>
      </c>
      <c r="M664" s="9">
        <v>9</v>
      </c>
      <c r="N664" s="9">
        <v>16.100000000000001</v>
      </c>
      <c r="O664" s="9">
        <v>14</v>
      </c>
      <c r="P664" s="9">
        <v>19.5</v>
      </c>
      <c r="Q664" s="93">
        <v>2.8682544000000001</v>
      </c>
      <c r="R664">
        <v>10</v>
      </c>
      <c r="S664">
        <v>1000</v>
      </c>
      <c r="V664">
        <f t="shared" ref="V664:W664" si="699">V640</f>
        <v>3.2</v>
      </c>
      <c r="W664">
        <f t="shared" si="699"/>
        <v>2.9</v>
      </c>
      <c r="X664">
        <v>2.8682544000000001</v>
      </c>
    </row>
    <row r="665" spans="1:24" x14ac:dyDescent="0.2">
      <c r="A665" s="41">
        <f t="shared" si="679"/>
        <v>45866.583333331728</v>
      </c>
      <c r="B665" s="42">
        <f t="shared" si="634"/>
        <v>8000</v>
      </c>
      <c r="C665" s="8">
        <v>25000</v>
      </c>
      <c r="D665" s="8">
        <v>0</v>
      </c>
      <c r="E665" s="8">
        <v>700</v>
      </c>
      <c r="F665" s="8">
        <v>15000</v>
      </c>
      <c r="G665" s="42">
        <f t="shared" si="635"/>
        <v>2400</v>
      </c>
      <c r="H665" s="8">
        <v>25000</v>
      </c>
      <c r="I665" s="42">
        <f t="shared" si="636"/>
        <v>8000</v>
      </c>
      <c r="J665" s="8">
        <v>25000</v>
      </c>
      <c r="K665" s="42">
        <f t="shared" si="637"/>
        <v>8000</v>
      </c>
      <c r="L665" s="8">
        <v>25000</v>
      </c>
      <c r="M665" s="9">
        <v>9</v>
      </c>
      <c r="N665" s="9">
        <v>16.100000000000001</v>
      </c>
      <c r="O665" s="9">
        <v>14</v>
      </c>
      <c r="P665" s="9">
        <v>19.5</v>
      </c>
      <c r="Q665" s="93">
        <v>2.9373007000000002</v>
      </c>
      <c r="R665">
        <v>10</v>
      </c>
      <c r="S665">
        <v>1000</v>
      </c>
      <c r="V665">
        <f t="shared" ref="V665:W665" si="700">V641</f>
        <v>3.5</v>
      </c>
      <c r="W665">
        <f t="shared" si="700"/>
        <v>2.9</v>
      </c>
      <c r="X665">
        <v>2.9373007000000002</v>
      </c>
    </row>
    <row r="666" spans="1:24" x14ac:dyDescent="0.2">
      <c r="A666" s="41">
        <f t="shared" si="679"/>
        <v>45866.624999998392</v>
      </c>
      <c r="B666" s="42">
        <f t="shared" si="634"/>
        <v>8000</v>
      </c>
      <c r="C666" s="8">
        <v>25000</v>
      </c>
      <c r="D666" s="8">
        <v>0</v>
      </c>
      <c r="E666" s="8">
        <v>700</v>
      </c>
      <c r="F666" s="8">
        <v>15000</v>
      </c>
      <c r="G666" s="42">
        <f t="shared" si="635"/>
        <v>2400</v>
      </c>
      <c r="H666" s="8">
        <v>25000</v>
      </c>
      <c r="I666" s="42">
        <f t="shared" si="636"/>
        <v>8000</v>
      </c>
      <c r="J666" s="8">
        <v>25000</v>
      </c>
      <c r="K666" s="42">
        <f t="shared" si="637"/>
        <v>8000</v>
      </c>
      <c r="L666" s="8">
        <v>25000</v>
      </c>
      <c r="M666" s="9">
        <v>9</v>
      </c>
      <c r="N666" s="9">
        <v>16.100000000000001</v>
      </c>
      <c r="O666" s="9">
        <v>14</v>
      </c>
      <c r="P666" s="9">
        <v>19.5</v>
      </c>
      <c r="Q666" s="93">
        <v>3.3027215000000001</v>
      </c>
      <c r="R666">
        <v>10</v>
      </c>
      <c r="S666">
        <v>1000</v>
      </c>
      <c r="V666">
        <f t="shared" ref="V666:W666" si="701">V642</f>
        <v>3.2</v>
      </c>
      <c r="W666">
        <f t="shared" si="701"/>
        <v>2.9</v>
      </c>
      <c r="X666">
        <v>3.3027215000000001</v>
      </c>
    </row>
    <row r="667" spans="1:24" x14ac:dyDescent="0.2">
      <c r="A667" s="41">
        <f t="shared" si="679"/>
        <v>45866.666666665056</v>
      </c>
      <c r="B667" s="42">
        <f t="shared" si="634"/>
        <v>8000</v>
      </c>
      <c r="C667" s="8">
        <v>25000</v>
      </c>
      <c r="D667" s="8">
        <v>0</v>
      </c>
      <c r="E667" s="8">
        <v>700</v>
      </c>
      <c r="F667" s="8">
        <v>15000</v>
      </c>
      <c r="G667" s="42">
        <f t="shared" si="635"/>
        <v>2400</v>
      </c>
      <c r="H667" s="8">
        <v>25000</v>
      </c>
      <c r="I667" s="42">
        <f t="shared" si="636"/>
        <v>8000</v>
      </c>
      <c r="J667" s="8">
        <v>25000</v>
      </c>
      <c r="K667" s="42">
        <f t="shared" si="637"/>
        <v>8000</v>
      </c>
      <c r="L667" s="8">
        <v>25000</v>
      </c>
      <c r="M667" s="9">
        <v>9</v>
      </c>
      <c r="N667" s="9">
        <v>16.100000000000001</v>
      </c>
      <c r="O667" s="9">
        <v>14</v>
      </c>
      <c r="P667" s="9">
        <v>19.5</v>
      </c>
      <c r="Q667" s="93">
        <v>3.1862178000000001</v>
      </c>
      <c r="R667">
        <v>10</v>
      </c>
      <c r="S667">
        <v>1000</v>
      </c>
      <c r="V667">
        <f t="shared" ref="V667:W667" si="702">V643</f>
        <v>3.5</v>
      </c>
      <c r="W667">
        <f t="shared" si="702"/>
        <v>3</v>
      </c>
      <c r="X667">
        <v>3.1862178000000001</v>
      </c>
    </row>
    <row r="668" spans="1:24" x14ac:dyDescent="0.2">
      <c r="A668" s="41">
        <f t="shared" si="679"/>
        <v>45866.70833333172</v>
      </c>
      <c r="B668" s="42">
        <f t="shared" ref="B668:B731" si="703">B644</f>
        <v>8000</v>
      </c>
      <c r="C668" s="8">
        <v>25000</v>
      </c>
      <c r="D668" s="8">
        <v>0</v>
      </c>
      <c r="E668" s="8">
        <v>700</v>
      </c>
      <c r="F668" s="8">
        <v>15000</v>
      </c>
      <c r="G668" s="42">
        <f t="shared" ref="G668:G731" si="704">G644</f>
        <v>2400</v>
      </c>
      <c r="H668" s="8">
        <v>25000</v>
      </c>
      <c r="I668" s="42">
        <f t="shared" ref="I668:I731" si="705">I644</f>
        <v>8000</v>
      </c>
      <c r="J668" s="8">
        <v>25000</v>
      </c>
      <c r="K668" s="42">
        <f t="shared" ref="K668:K731" si="706">K644</f>
        <v>8000</v>
      </c>
      <c r="L668" s="8">
        <v>25000</v>
      </c>
      <c r="M668" s="9">
        <v>9</v>
      </c>
      <c r="N668" s="9">
        <v>16.100000000000001</v>
      </c>
      <c r="O668" s="9">
        <v>14</v>
      </c>
      <c r="P668" s="9">
        <v>19.5</v>
      </c>
      <c r="Q668" s="93">
        <v>3.1233795</v>
      </c>
      <c r="R668">
        <v>10</v>
      </c>
      <c r="S668">
        <v>1000</v>
      </c>
      <c r="V668">
        <f t="shared" ref="V668:W668" si="707">V644</f>
        <v>3.6</v>
      </c>
      <c r="W668">
        <f t="shared" si="707"/>
        <v>3</v>
      </c>
      <c r="X668">
        <v>3.1233795</v>
      </c>
    </row>
    <row r="669" spans="1:24" x14ac:dyDescent="0.2">
      <c r="A669" s="41">
        <f t="shared" si="679"/>
        <v>45866.749999998385</v>
      </c>
      <c r="B669" s="42">
        <f t="shared" si="703"/>
        <v>5000</v>
      </c>
      <c r="C669" s="8">
        <v>25000</v>
      </c>
      <c r="D669" s="8">
        <v>0</v>
      </c>
      <c r="E669" s="8">
        <v>700</v>
      </c>
      <c r="F669" s="8">
        <v>15000</v>
      </c>
      <c r="G669" s="42">
        <f t="shared" si="704"/>
        <v>2400</v>
      </c>
      <c r="H669" s="8">
        <v>25000</v>
      </c>
      <c r="I669" s="42">
        <f t="shared" si="705"/>
        <v>5000</v>
      </c>
      <c r="J669" s="8">
        <v>25000</v>
      </c>
      <c r="K669" s="42">
        <f t="shared" si="706"/>
        <v>5000</v>
      </c>
      <c r="L669" s="8">
        <v>25000</v>
      </c>
      <c r="M669" s="9">
        <v>9</v>
      </c>
      <c r="N669" s="9">
        <v>16.100000000000001</v>
      </c>
      <c r="O669" s="9">
        <v>14</v>
      </c>
      <c r="P669" s="9">
        <v>19.5</v>
      </c>
      <c r="Q669" s="93">
        <v>3.1158755</v>
      </c>
      <c r="R669">
        <v>10</v>
      </c>
      <c r="S669">
        <v>1000</v>
      </c>
      <c r="V669">
        <f t="shared" ref="V669:W669" si="708">V645</f>
        <v>2.9</v>
      </c>
      <c r="W669">
        <f t="shared" si="708"/>
        <v>3</v>
      </c>
      <c r="X669">
        <v>3.1158755</v>
      </c>
    </row>
    <row r="670" spans="1:24" x14ac:dyDescent="0.2">
      <c r="A670" s="41">
        <f t="shared" si="679"/>
        <v>45866.791666665049</v>
      </c>
      <c r="B670" s="42">
        <f t="shared" si="703"/>
        <v>5000</v>
      </c>
      <c r="C670" s="8">
        <v>25000</v>
      </c>
      <c r="D670" s="8">
        <v>0</v>
      </c>
      <c r="E670" s="8">
        <v>700</v>
      </c>
      <c r="F670" s="8">
        <v>15000</v>
      </c>
      <c r="G670" s="42">
        <f t="shared" si="704"/>
        <v>2400</v>
      </c>
      <c r="H670" s="8">
        <v>25000</v>
      </c>
      <c r="I670" s="42">
        <f t="shared" si="705"/>
        <v>5000</v>
      </c>
      <c r="J670" s="8">
        <v>25000</v>
      </c>
      <c r="K670" s="42">
        <f t="shared" si="706"/>
        <v>5000</v>
      </c>
      <c r="L670" s="8">
        <v>25000</v>
      </c>
      <c r="M670" s="9">
        <v>9</v>
      </c>
      <c r="N670" s="9">
        <v>16.100000000000001</v>
      </c>
      <c r="O670" s="9">
        <v>14</v>
      </c>
      <c r="P670" s="9">
        <v>19.5</v>
      </c>
      <c r="Q670" s="93">
        <v>3.0776401</v>
      </c>
      <c r="R670">
        <v>10</v>
      </c>
      <c r="S670">
        <v>1000</v>
      </c>
      <c r="V670">
        <f t="shared" ref="V670:W670" si="709">V646</f>
        <v>3</v>
      </c>
      <c r="W670">
        <f t="shared" si="709"/>
        <v>3</v>
      </c>
      <c r="X670">
        <v>3.0776401</v>
      </c>
    </row>
    <row r="671" spans="1:24" x14ac:dyDescent="0.2">
      <c r="A671" s="41">
        <f t="shared" si="679"/>
        <v>45866.833333331713</v>
      </c>
      <c r="B671" s="42">
        <f t="shared" si="703"/>
        <v>5000</v>
      </c>
      <c r="C671" s="8">
        <v>25000</v>
      </c>
      <c r="D671" s="8">
        <v>0</v>
      </c>
      <c r="E671" s="8">
        <v>700</v>
      </c>
      <c r="F671" s="8">
        <v>15000</v>
      </c>
      <c r="G671" s="42">
        <f t="shared" si="704"/>
        <v>2400</v>
      </c>
      <c r="H671" s="8">
        <v>25000</v>
      </c>
      <c r="I671" s="42">
        <f t="shared" si="705"/>
        <v>5000</v>
      </c>
      <c r="J671" s="8">
        <v>25000</v>
      </c>
      <c r="K671" s="42">
        <f t="shared" si="706"/>
        <v>5000</v>
      </c>
      <c r="L671" s="8">
        <v>25000</v>
      </c>
      <c r="M671" s="9">
        <v>9</v>
      </c>
      <c r="N671" s="9">
        <v>16.100000000000001</v>
      </c>
      <c r="O671" s="9">
        <v>14</v>
      </c>
      <c r="P671" s="9">
        <v>19.5</v>
      </c>
      <c r="Q671" s="93">
        <v>3.042357</v>
      </c>
      <c r="R671">
        <v>10</v>
      </c>
      <c r="S671">
        <v>1000</v>
      </c>
      <c r="V671">
        <f t="shared" ref="V671:W671" si="710">V647</f>
        <v>2.8</v>
      </c>
      <c r="W671">
        <f t="shared" si="710"/>
        <v>3.1</v>
      </c>
      <c r="X671">
        <v>3.042357</v>
      </c>
    </row>
    <row r="672" spans="1:24" x14ac:dyDescent="0.2">
      <c r="A672" s="41">
        <f t="shared" si="679"/>
        <v>45866.874999998377</v>
      </c>
      <c r="B672" s="42">
        <f t="shared" si="703"/>
        <v>5000</v>
      </c>
      <c r="C672" s="8">
        <v>25000</v>
      </c>
      <c r="D672" s="8">
        <v>0</v>
      </c>
      <c r="E672" s="8">
        <v>700</v>
      </c>
      <c r="F672" s="8">
        <v>15000</v>
      </c>
      <c r="G672" s="42">
        <f t="shared" si="704"/>
        <v>2400</v>
      </c>
      <c r="H672" s="8">
        <v>25000</v>
      </c>
      <c r="I672" s="42">
        <f t="shared" si="705"/>
        <v>5000</v>
      </c>
      <c r="J672" s="8">
        <v>25000</v>
      </c>
      <c r="K672" s="42">
        <f t="shared" si="706"/>
        <v>5000</v>
      </c>
      <c r="L672" s="8">
        <v>25000</v>
      </c>
      <c r="M672" s="9">
        <v>9</v>
      </c>
      <c r="N672" s="9">
        <v>16.100000000000001</v>
      </c>
      <c r="O672" s="9">
        <v>14</v>
      </c>
      <c r="P672" s="9">
        <v>19.5</v>
      </c>
      <c r="Q672" s="93">
        <v>3.0061418999999998</v>
      </c>
      <c r="R672">
        <v>10</v>
      </c>
      <c r="S672">
        <v>1000</v>
      </c>
      <c r="V672">
        <f t="shared" ref="V672:W672" si="711">V648</f>
        <v>3.5</v>
      </c>
      <c r="W672">
        <f t="shared" si="711"/>
        <v>3.1</v>
      </c>
      <c r="X672">
        <v>3.0061418999999998</v>
      </c>
    </row>
    <row r="673" spans="1:24" x14ac:dyDescent="0.2">
      <c r="A673" s="41">
        <f t="shared" si="679"/>
        <v>45866.916666665042</v>
      </c>
      <c r="B673" s="42">
        <f t="shared" si="703"/>
        <v>5000</v>
      </c>
      <c r="C673" s="8">
        <v>25000</v>
      </c>
      <c r="D673" s="8">
        <v>0</v>
      </c>
      <c r="E673" s="8">
        <v>700</v>
      </c>
      <c r="F673" s="8">
        <v>15000</v>
      </c>
      <c r="G673" s="42">
        <f t="shared" si="704"/>
        <v>2400</v>
      </c>
      <c r="H673" s="8">
        <v>25000</v>
      </c>
      <c r="I673" s="42">
        <f t="shared" si="705"/>
        <v>5000</v>
      </c>
      <c r="J673" s="8">
        <v>25000</v>
      </c>
      <c r="K673" s="42">
        <f t="shared" si="706"/>
        <v>5000</v>
      </c>
      <c r="L673" s="8">
        <v>25000</v>
      </c>
      <c r="M673" s="9">
        <v>9</v>
      </c>
      <c r="N673" s="9">
        <v>16.100000000000001</v>
      </c>
      <c r="O673" s="9">
        <v>14</v>
      </c>
      <c r="P673" s="9">
        <v>19.5</v>
      </c>
      <c r="Q673" s="93">
        <v>2.9584494000000001</v>
      </c>
      <c r="R673">
        <v>10</v>
      </c>
      <c r="S673">
        <v>1000</v>
      </c>
      <c r="V673">
        <f t="shared" ref="V673:W673" si="712">V649</f>
        <v>2.9</v>
      </c>
      <c r="W673">
        <f t="shared" si="712"/>
        <v>3.1</v>
      </c>
      <c r="X673">
        <v>2.9584494000000001</v>
      </c>
    </row>
    <row r="674" spans="1:24" x14ac:dyDescent="0.2">
      <c r="A674" s="41">
        <f t="shared" si="679"/>
        <v>45866.958333331706</v>
      </c>
      <c r="B674" s="42">
        <f t="shared" si="703"/>
        <v>5000</v>
      </c>
      <c r="C674" s="8">
        <v>25000</v>
      </c>
      <c r="D674" s="8">
        <v>0</v>
      </c>
      <c r="E674" s="8">
        <v>700</v>
      </c>
      <c r="F674" s="8">
        <v>15000</v>
      </c>
      <c r="G674" s="42">
        <f t="shared" si="704"/>
        <v>2400</v>
      </c>
      <c r="H674" s="8">
        <v>25000</v>
      </c>
      <c r="I674" s="42">
        <f t="shared" si="705"/>
        <v>5000</v>
      </c>
      <c r="J674" s="8">
        <v>25000</v>
      </c>
      <c r="K674" s="42">
        <f t="shared" si="706"/>
        <v>5000</v>
      </c>
      <c r="L674" s="8">
        <v>25000</v>
      </c>
      <c r="M674" s="9">
        <v>9</v>
      </c>
      <c r="N674" s="9">
        <v>16.100000000000001</v>
      </c>
      <c r="O674" s="9">
        <v>14</v>
      </c>
      <c r="P674" s="9">
        <v>19.5</v>
      </c>
      <c r="Q674" s="93">
        <v>2.8546882</v>
      </c>
      <c r="R674">
        <v>10</v>
      </c>
      <c r="S674">
        <v>1000</v>
      </c>
      <c r="V674">
        <f t="shared" ref="V674:W674" si="713">V650</f>
        <v>3.6</v>
      </c>
      <c r="W674">
        <f t="shared" si="713"/>
        <v>3.1</v>
      </c>
      <c r="X674">
        <v>2.8546882</v>
      </c>
    </row>
    <row r="675" spans="1:24" x14ac:dyDescent="0.2">
      <c r="A675" s="41">
        <f t="shared" si="679"/>
        <v>45866.99999999837</v>
      </c>
      <c r="B675" s="42">
        <f t="shared" si="703"/>
        <v>5000</v>
      </c>
      <c r="C675" s="8">
        <v>25000</v>
      </c>
      <c r="D675" s="8">
        <v>0</v>
      </c>
      <c r="E675" s="8">
        <v>700</v>
      </c>
      <c r="F675" s="8">
        <v>15000</v>
      </c>
      <c r="G675" s="42">
        <f t="shared" si="704"/>
        <v>2400</v>
      </c>
      <c r="H675" s="8">
        <v>25000</v>
      </c>
      <c r="I675" s="42">
        <f t="shared" si="705"/>
        <v>5000</v>
      </c>
      <c r="J675" s="8">
        <v>25000</v>
      </c>
      <c r="K675" s="42">
        <f t="shared" si="706"/>
        <v>5000</v>
      </c>
      <c r="L675" s="8">
        <v>25000</v>
      </c>
      <c r="M675" s="9">
        <v>9</v>
      </c>
      <c r="N675" s="9">
        <v>16.100000000000001</v>
      </c>
      <c r="O675" s="9">
        <v>14</v>
      </c>
      <c r="P675" s="9">
        <v>19.5</v>
      </c>
      <c r="Q675" s="93">
        <v>2.7858486</v>
      </c>
      <c r="R675">
        <v>10</v>
      </c>
      <c r="S675">
        <v>1000</v>
      </c>
      <c r="V675">
        <f t="shared" ref="V675:W675" si="714">V651</f>
        <v>3</v>
      </c>
      <c r="W675">
        <f t="shared" si="714"/>
        <v>3.2</v>
      </c>
      <c r="X675">
        <v>2.7858486</v>
      </c>
    </row>
    <row r="676" spans="1:24" x14ac:dyDescent="0.2">
      <c r="A676" s="41">
        <f t="shared" si="679"/>
        <v>45867.041666665034</v>
      </c>
      <c r="B676" s="42">
        <f t="shared" si="703"/>
        <v>5000</v>
      </c>
      <c r="C676" s="8">
        <v>25000</v>
      </c>
      <c r="D676" s="8">
        <v>0</v>
      </c>
      <c r="E676" s="8">
        <v>700</v>
      </c>
      <c r="F676" s="8">
        <v>15000</v>
      </c>
      <c r="G676" s="42">
        <f t="shared" si="704"/>
        <v>2400</v>
      </c>
      <c r="H676" s="8">
        <v>25000</v>
      </c>
      <c r="I676" s="42">
        <f t="shared" si="705"/>
        <v>5000</v>
      </c>
      <c r="J676" s="8">
        <v>25000</v>
      </c>
      <c r="K676" s="42">
        <f t="shared" si="706"/>
        <v>5000</v>
      </c>
      <c r="L676" s="8">
        <v>25000</v>
      </c>
      <c r="M676" s="9">
        <v>9</v>
      </c>
      <c r="N676" s="9">
        <v>16.100000000000001</v>
      </c>
      <c r="O676" s="9">
        <v>14</v>
      </c>
      <c r="P676" s="9">
        <v>19.5</v>
      </c>
      <c r="Q676" s="93">
        <v>2.7594883000000001</v>
      </c>
      <c r="R676">
        <v>10</v>
      </c>
      <c r="S676">
        <v>1000</v>
      </c>
      <c r="V676">
        <f t="shared" ref="V676:W676" si="715">V652</f>
        <v>2.6</v>
      </c>
      <c r="W676">
        <f t="shared" si="715"/>
        <v>3.2</v>
      </c>
      <c r="X676">
        <v>2.7594883000000001</v>
      </c>
    </row>
    <row r="677" spans="1:24" x14ac:dyDescent="0.2">
      <c r="A677" s="41">
        <f t="shared" si="679"/>
        <v>45867.083333331699</v>
      </c>
      <c r="B677" s="42">
        <f t="shared" si="703"/>
        <v>5000</v>
      </c>
      <c r="C677" s="8">
        <v>25000</v>
      </c>
      <c r="D677" s="8">
        <v>0</v>
      </c>
      <c r="E677" s="8">
        <v>700</v>
      </c>
      <c r="F677" s="8">
        <v>15000</v>
      </c>
      <c r="G677" s="42">
        <f t="shared" si="704"/>
        <v>2400</v>
      </c>
      <c r="H677" s="8">
        <v>25000</v>
      </c>
      <c r="I677" s="42">
        <f t="shared" si="705"/>
        <v>5000</v>
      </c>
      <c r="J677" s="8">
        <v>25000</v>
      </c>
      <c r="K677" s="42">
        <f t="shared" si="706"/>
        <v>5000</v>
      </c>
      <c r="L677" s="8">
        <v>25000</v>
      </c>
      <c r="M677" s="9">
        <v>9</v>
      </c>
      <c r="N677" s="9">
        <v>16.100000000000001</v>
      </c>
      <c r="O677" s="9">
        <v>14</v>
      </c>
      <c r="P677" s="9">
        <v>19.5</v>
      </c>
      <c r="Q677" s="93">
        <v>2.8025188000000001</v>
      </c>
      <c r="R677">
        <v>10</v>
      </c>
      <c r="S677">
        <v>1000</v>
      </c>
      <c r="V677">
        <f t="shared" ref="V677:W677" si="716">V653</f>
        <v>2.8</v>
      </c>
      <c r="W677">
        <f t="shared" si="716"/>
        <v>3.2</v>
      </c>
      <c r="X677">
        <v>2.8025188000000001</v>
      </c>
    </row>
    <row r="678" spans="1:24" x14ac:dyDescent="0.2">
      <c r="A678" s="41">
        <f t="shared" si="679"/>
        <v>45867.124999998363</v>
      </c>
      <c r="B678" s="42">
        <f t="shared" si="703"/>
        <v>5000</v>
      </c>
      <c r="C678" s="8">
        <v>25000</v>
      </c>
      <c r="D678" s="8">
        <v>0</v>
      </c>
      <c r="E678" s="8">
        <v>700</v>
      </c>
      <c r="F678" s="8">
        <v>15000</v>
      </c>
      <c r="G678" s="42">
        <f t="shared" si="704"/>
        <v>2400</v>
      </c>
      <c r="H678" s="8">
        <v>25000</v>
      </c>
      <c r="I678" s="42">
        <f t="shared" si="705"/>
        <v>5000</v>
      </c>
      <c r="J678" s="8">
        <v>25000</v>
      </c>
      <c r="K678" s="42">
        <f t="shared" si="706"/>
        <v>5000</v>
      </c>
      <c r="L678" s="8">
        <v>25000</v>
      </c>
      <c r="M678" s="9">
        <v>9</v>
      </c>
      <c r="N678" s="9">
        <v>16.100000000000001</v>
      </c>
      <c r="O678" s="9">
        <v>14</v>
      </c>
      <c r="P678" s="9">
        <v>19.5</v>
      </c>
      <c r="Q678" s="93">
        <v>2.8368134</v>
      </c>
      <c r="R678">
        <v>10</v>
      </c>
      <c r="S678">
        <v>1000</v>
      </c>
      <c r="V678">
        <f t="shared" ref="V678:W678" si="717">V654</f>
        <v>2.7</v>
      </c>
      <c r="W678">
        <f t="shared" si="717"/>
        <v>3.2</v>
      </c>
      <c r="X678">
        <v>2.8368134</v>
      </c>
    </row>
    <row r="679" spans="1:24" x14ac:dyDescent="0.2">
      <c r="A679" s="41">
        <f t="shared" si="679"/>
        <v>45867.166666665027</v>
      </c>
      <c r="B679" s="42">
        <f t="shared" si="703"/>
        <v>5000</v>
      </c>
      <c r="C679" s="8">
        <v>25000</v>
      </c>
      <c r="D679" s="8">
        <v>0</v>
      </c>
      <c r="E679" s="8">
        <v>700</v>
      </c>
      <c r="F679" s="8">
        <v>15000</v>
      </c>
      <c r="G679" s="42">
        <f t="shared" si="704"/>
        <v>2400</v>
      </c>
      <c r="H679" s="8">
        <v>25000</v>
      </c>
      <c r="I679" s="42">
        <f t="shared" si="705"/>
        <v>5000</v>
      </c>
      <c r="J679" s="8">
        <v>25000</v>
      </c>
      <c r="K679" s="42">
        <f t="shared" si="706"/>
        <v>5000</v>
      </c>
      <c r="L679" s="8">
        <v>25000</v>
      </c>
      <c r="M679" s="9">
        <v>9</v>
      </c>
      <c r="N679" s="9">
        <v>16.100000000000001</v>
      </c>
      <c r="O679" s="9">
        <v>14</v>
      </c>
      <c r="P679" s="9">
        <v>19.5</v>
      </c>
      <c r="Q679" s="93">
        <v>2.8564436</v>
      </c>
      <c r="R679">
        <v>10</v>
      </c>
      <c r="S679">
        <v>1000</v>
      </c>
      <c r="V679">
        <f t="shared" ref="V679:W679" si="718">V655</f>
        <v>3</v>
      </c>
      <c r="W679">
        <f t="shared" si="718"/>
        <v>3.1</v>
      </c>
      <c r="X679">
        <v>2.8564436</v>
      </c>
    </row>
    <row r="680" spans="1:24" x14ac:dyDescent="0.2">
      <c r="A680" s="41">
        <f t="shared" si="679"/>
        <v>45867.208333331691</v>
      </c>
      <c r="B680" s="42">
        <f t="shared" si="703"/>
        <v>5000</v>
      </c>
      <c r="C680" s="8">
        <v>25000</v>
      </c>
      <c r="D680" s="8">
        <v>0</v>
      </c>
      <c r="E680" s="8">
        <v>700</v>
      </c>
      <c r="F680" s="8">
        <v>15000</v>
      </c>
      <c r="G680" s="42">
        <f t="shared" si="704"/>
        <v>2400</v>
      </c>
      <c r="H680" s="8">
        <v>25000</v>
      </c>
      <c r="I680" s="42">
        <f t="shared" si="705"/>
        <v>5000</v>
      </c>
      <c r="J680" s="8">
        <v>25000</v>
      </c>
      <c r="K680" s="42">
        <f t="shared" si="706"/>
        <v>5000</v>
      </c>
      <c r="L680" s="8">
        <v>25000</v>
      </c>
      <c r="M680" s="9">
        <v>9</v>
      </c>
      <c r="N680" s="9">
        <v>16.100000000000001</v>
      </c>
      <c r="O680" s="9">
        <v>14</v>
      </c>
      <c r="P680" s="9">
        <v>19.5</v>
      </c>
      <c r="Q680" s="93">
        <v>2.9266219000000002</v>
      </c>
      <c r="R680">
        <v>10</v>
      </c>
      <c r="S680">
        <v>1000</v>
      </c>
      <c r="V680">
        <f t="shared" ref="V680:W680" si="719">V656</f>
        <v>2.9</v>
      </c>
      <c r="W680">
        <f t="shared" si="719"/>
        <v>3.1</v>
      </c>
      <c r="X680">
        <v>2.9266219000000002</v>
      </c>
    </row>
    <row r="681" spans="1:24" x14ac:dyDescent="0.2">
      <c r="A681" s="41">
        <f t="shared" si="679"/>
        <v>45867.249999998356</v>
      </c>
      <c r="B681" s="42">
        <f t="shared" si="703"/>
        <v>8000</v>
      </c>
      <c r="C681" s="8">
        <v>25000</v>
      </c>
      <c r="D681" s="8">
        <v>0</v>
      </c>
      <c r="E681" s="8">
        <v>700</v>
      </c>
      <c r="F681" s="8">
        <v>15000</v>
      </c>
      <c r="G681" s="42">
        <f t="shared" si="704"/>
        <v>2400</v>
      </c>
      <c r="H681" s="8">
        <v>25000</v>
      </c>
      <c r="I681" s="42">
        <f t="shared" si="705"/>
        <v>8000</v>
      </c>
      <c r="J681" s="8">
        <v>25000</v>
      </c>
      <c r="K681" s="42">
        <f t="shared" si="706"/>
        <v>8000</v>
      </c>
      <c r="L681" s="8">
        <v>25000</v>
      </c>
      <c r="M681" s="9">
        <v>9</v>
      </c>
      <c r="N681" s="9">
        <v>16.100000000000001</v>
      </c>
      <c r="O681" s="9">
        <v>14</v>
      </c>
      <c r="P681" s="9">
        <v>19.5</v>
      </c>
      <c r="Q681" s="93">
        <v>3.0427350999999998</v>
      </c>
      <c r="R681">
        <v>10</v>
      </c>
      <c r="S681">
        <v>1000</v>
      </c>
      <c r="V681">
        <f t="shared" ref="V681:W681" si="720">V657</f>
        <v>2.5</v>
      </c>
      <c r="W681">
        <f t="shared" si="720"/>
        <v>3.1</v>
      </c>
      <c r="X681">
        <v>3.0427350999999998</v>
      </c>
    </row>
    <row r="682" spans="1:24" x14ac:dyDescent="0.2">
      <c r="A682" s="41">
        <f t="shared" si="679"/>
        <v>45867.29166666502</v>
      </c>
      <c r="B682" s="42">
        <f t="shared" si="703"/>
        <v>8000</v>
      </c>
      <c r="C682" s="8">
        <v>25000</v>
      </c>
      <c r="D682" s="8">
        <v>0</v>
      </c>
      <c r="E682" s="8">
        <v>700</v>
      </c>
      <c r="F682" s="8">
        <v>15000</v>
      </c>
      <c r="G682" s="42">
        <f t="shared" si="704"/>
        <v>2400</v>
      </c>
      <c r="H682" s="8">
        <v>25000</v>
      </c>
      <c r="I682" s="42">
        <f t="shared" si="705"/>
        <v>8000</v>
      </c>
      <c r="J682" s="8">
        <v>25000</v>
      </c>
      <c r="K682" s="42">
        <f t="shared" si="706"/>
        <v>8000</v>
      </c>
      <c r="L682" s="8">
        <v>25000</v>
      </c>
      <c r="M682" s="9">
        <v>9</v>
      </c>
      <c r="N682" s="9">
        <v>16.100000000000001</v>
      </c>
      <c r="O682" s="9">
        <v>14</v>
      </c>
      <c r="P682" s="9">
        <v>19.5</v>
      </c>
      <c r="Q682" s="93">
        <v>3.1817145</v>
      </c>
      <c r="R682">
        <v>10</v>
      </c>
      <c r="S682">
        <v>1000</v>
      </c>
      <c r="V682">
        <f t="shared" ref="V682:W682" si="721">V658</f>
        <v>2.5</v>
      </c>
      <c r="W682">
        <f t="shared" si="721"/>
        <v>3.1</v>
      </c>
      <c r="X682">
        <v>3.1817145</v>
      </c>
    </row>
    <row r="683" spans="1:24" x14ac:dyDescent="0.2">
      <c r="A683" s="41">
        <f t="shared" si="679"/>
        <v>45867.333333331684</v>
      </c>
      <c r="B683" s="42">
        <f t="shared" si="703"/>
        <v>8000</v>
      </c>
      <c r="C683" s="8">
        <v>25000</v>
      </c>
      <c r="D683" s="8">
        <v>0</v>
      </c>
      <c r="E683" s="8">
        <v>700</v>
      </c>
      <c r="F683" s="8">
        <v>15000</v>
      </c>
      <c r="G683" s="42">
        <f t="shared" si="704"/>
        <v>2400</v>
      </c>
      <c r="H683" s="8">
        <v>25000</v>
      </c>
      <c r="I683" s="42">
        <f t="shared" si="705"/>
        <v>8000</v>
      </c>
      <c r="J683" s="8">
        <v>25000</v>
      </c>
      <c r="K683" s="42">
        <f t="shared" si="706"/>
        <v>8000</v>
      </c>
      <c r="L683" s="8">
        <v>25000</v>
      </c>
      <c r="M683" s="9">
        <v>9</v>
      </c>
      <c r="N683" s="9">
        <v>16.100000000000001</v>
      </c>
      <c r="O683" s="9">
        <v>14</v>
      </c>
      <c r="P683" s="9">
        <v>19.5</v>
      </c>
      <c r="Q683" s="93">
        <v>3.2290861999999998</v>
      </c>
      <c r="R683">
        <v>10</v>
      </c>
      <c r="S683">
        <v>1000</v>
      </c>
      <c r="V683">
        <f t="shared" ref="V683:W683" si="722">V659</f>
        <v>3.2</v>
      </c>
      <c r="W683">
        <f t="shared" si="722"/>
        <v>3</v>
      </c>
      <c r="X683">
        <v>3.2290861999999998</v>
      </c>
    </row>
    <row r="684" spans="1:24" x14ac:dyDescent="0.2">
      <c r="A684" s="41">
        <f t="shared" si="679"/>
        <v>45867.374999998348</v>
      </c>
      <c r="B684" s="42">
        <f t="shared" si="703"/>
        <v>8000</v>
      </c>
      <c r="C684" s="8">
        <v>25000</v>
      </c>
      <c r="D684" s="8">
        <v>0</v>
      </c>
      <c r="E684" s="8">
        <v>700</v>
      </c>
      <c r="F684" s="8">
        <v>15000</v>
      </c>
      <c r="G684" s="42">
        <f t="shared" si="704"/>
        <v>2400</v>
      </c>
      <c r="H684" s="8">
        <v>25000</v>
      </c>
      <c r="I684" s="42">
        <f t="shared" si="705"/>
        <v>8000</v>
      </c>
      <c r="J684" s="8">
        <v>25000</v>
      </c>
      <c r="K684" s="42">
        <f t="shared" si="706"/>
        <v>8000</v>
      </c>
      <c r="L684" s="8">
        <v>25000</v>
      </c>
      <c r="M684" s="9">
        <v>9</v>
      </c>
      <c r="N684" s="9">
        <v>16.100000000000001</v>
      </c>
      <c r="O684" s="9">
        <v>14</v>
      </c>
      <c r="P684" s="9">
        <v>19.5</v>
      </c>
      <c r="Q684" s="93">
        <v>3.2683263</v>
      </c>
      <c r="R684">
        <v>10</v>
      </c>
      <c r="S684">
        <v>1000</v>
      </c>
      <c r="V684">
        <f t="shared" ref="V684:W684" si="723">V660</f>
        <v>2.9</v>
      </c>
      <c r="W684">
        <f t="shared" si="723"/>
        <v>3</v>
      </c>
      <c r="X684">
        <v>3.2683263</v>
      </c>
    </row>
    <row r="685" spans="1:24" x14ac:dyDescent="0.2">
      <c r="A685" s="41">
        <f t="shared" si="679"/>
        <v>45867.416666665013</v>
      </c>
      <c r="B685" s="42">
        <f t="shared" si="703"/>
        <v>8000</v>
      </c>
      <c r="C685" s="8">
        <v>25000</v>
      </c>
      <c r="D685" s="8">
        <v>0</v>
      </c>
      <c r="E685" s="8">
        <v>700</v>
      </c>
      <c r="F685" s="8">
        <v>15000</v>
      </c>
      <c r="G685" s="42">
        <f t="shared" si="704"/>
        <v>2400</v>
      </c>
      <c r="H685" s="8">
        <v>25000</v>
      </c>
      <c r="I685" s="42">
        <f t="shared" si="705"/>
        <v>8000</v>
      </c>
      <c r="J685" s="8">
        <v>25000</v>
      </c>
      <c r="K685" s="42">
        <f t="shared" si="706"/>
        <v>8000</v>
      </c>
      <c r="L685" s="8">
        <v>25000</v>
      </c>
      <c r="M685" s="9">
        <v>9</v>
      </c>
      <c r="N685" s="9">
        <v>16.100000000000001</v>
      </c>
      <c r="O685" s="9">
        <v>14</v>
      </c>
      <c r="P685" s="9">
        <v>19.5</v>
      </c>
      <c r="Q685" s="93">
        <v>3.3176291</v>
      </c>
      <c r="R685">
        <v>10</v>
      </c>
      <c r="S685">
        <v>1000</v>
      </c>
      <c r="V685">
        <f t="shared" ref="V685:W685" si="724">V661</f>
        <v>2.9</v>
      </c>
      <c r="W685">
        <f t="shared" si="724"/>
        <v>3</v>
      </c>
      <c r="X685">
        <v>3.3176291</v>
      </c>
    </row>
    <row r="686" spans="1:24" x14ac:dyDescent="0.2">
      <c r="A686" s="41">
        <f t="shared" si="679"/>
        <v>45867.458333331677</v>
      </c>
      <c r="B686" s="42">
        <f t="shared" si="703"/>
        <v>8000</v>
      </c>
      <c r="C686" s="8">
        <v>25000</v>
      </c>
      <c r="D686" s="8">
        <v>0</v>
      </c>
      <c r="E686" s="8">
        <v>700</v>
      </c>
      <c r="F686" s="8">
        <v>15000</v>
      </c>
      <c r="G686" s="42">
        <f t="shared" si="704"/>
        <v>2400</v>
      </c>
      <c r="H686" s="8">
        <v>25000</v>
      </c>
      <c r="I686" s="42">
        <f t="shared" si="705"/>
        <v>8000</v>
      </c>
      <c r="J686" s="8">
        <v>25000</v>
      </c>
      <c r="K686" s="42">
        <f t="shared" si="706"/>
        <v>8000</v>
      </c>
      <c r="L686" s="8">
        <v>25000</v>
      </c>
      <c r="M686" s="9">
        <v>9</v>
      </c>
      <c r="N686" s="9">
        <v>16.100000000000001</v>
      </c>
      <c r="O686" s="9">
        <v>14</v>
      </c>
      <c r="P686" s="9">
        <v>19.5</v>
      </c>
      <c r="Q686" s="93">
        <v>3.2525515999999999</v>
      </c>
      <c r="R686">
        <v>10</v>
      </c>
      <c r="S686">
        <v>1000</v>
      </c>
      <c r="V686">
        <f t="shared" ref="V686:W686" si="725">V662</f>
        <v>3.4</v>
      </c>
      <c r="W686">
        <f t="shared" si="725"/>
        <v>3</v>
      </c>
      <c r="X686">
        <v>3.2525515999999999</v>
      </c>
    </row>
    <row r="687" spans="1:24" x14ac:dyDescent="0.2">
      <c r="A687" s="41">
        <f t="shared" si="679"/>
        <v>45867.499999998341</v>
      </c>
      <c r="B687" s="42">
        <f t="shared" si="703"/>
        <v>8000</v>
      </c>
      <c r="C687" s="8">
        <v>25000</v>
      </c>
      <c r="D687" s="8">
        <v>0</v>
      </c>
      <c r="E687" s="8">
        <v>700</v>
      </c>
      <c r="F687" s="8">
        <v>15000</v>
      </c>
      <c r="G687" s="42">
        <f t="shared" si="704"/>
        <v>2400</v>
      </c>
      <c r="H687" s="8">
        <v>25000</v>
      </c>
      <c r="I687" s="42">
        <f t="shared" si="705"/>
        <v>8000</v>
      </c>
      <c r="J687" s="8">
        <v>25000</v>
      </c>
      <c r="K687" s="42">
        <f t="shared" si="706"/>
        <v>8000</v>
      </c>
      <c r="L687" s="8">
        <v>25000</v>
      </c>
      <c r="M687" s="9">
        <v>9</v>
      </c>
      <c r="N687" s="9">
        <v>16.100000000000001</v>
      </c>
      <c r="O687" s="9">
        <v>14</v>
      </c>
      <c r="P687" s="9">
        <v>19.5</v>
      </c>
      <c r="Q687" s="93">
        <v>3.1124597000000001</v>
      </c>
      <c r="R687">
        <v>10</v>
      </c>
      <c r="S687">
        <v>1000</v>
      </c>
      <c r="V687">
        <f t="shared" ref="V687:W687" si="726">V663</f>
        <v>3.1</v>
      </c>
      <c r="W687">
        <f t="shared" si="726"/>
        <v>2.9</v>
      </c>
      <c r="X687">
        <v>3.1124597000000001</v>
      </c>
    </row>
    <row r="688" spans="1:24" x14ac:dyDescent="0.2">
      <c r="A688" s="41">
        <f t="shared" si="679"/>
        <v>45867.541666665005</v>
      </c>
      <c r="B688" s="42">
        <f t="shared" si="703"/>
        <v>8000</v>
      </c>
      <c r="C688" s="8">
        <v>25000</v>
      </c>
      <c r="D688" s="8">
        <v>0</v>
      </c>
      <c r="E688" s="8">
        <v>700</v>
      </c>
      <c r="F688" s="8">
        <v>15000</v>
      </c>
      <c r="G688" s="42">
        <f t="shared" si="704"/>
        <v>2400</v>
      </c>
      <c r="H688" s="8">
        <v>25000</v>
      </c>
      <c r="I688" s="42">
        <f t="shared" si="705"/>
        <v>8000</v>
      </c>
      <c r="J688" s="8">
        <v>25000</v>
      </c>
      <c r="K688" s="42">
        <f t="shared" si="706"/>
        <v>8000</v>
      </c>
      <c r="L688" s="8">
        <v>25000</v>
      </c>
      <c r="M688" s="9">
        <v>9</v>
      </c>
      <c r="N688" s="9">
        <v>16.100000000000001</v>
      </c>
      <c r="O688" s="9">
        <v>14</v>
      </c>
      <c r="P688" s="9">
        <v>19.5</v>
      </c>
      <c r="Q688" s="93">
        <v>2.9478933999999999</v>
      </c>
      <c r="R688">
        <v>10</v>
      </c>
      <c r="S688">
        <v>1000</v>
      </c>
      <c r="V688">
        <f t="shared" ref="V688:W688" si="727">V664</f>
        <v>3.2</v>
      </c>
      <c r="W688">
        <f t="shared" si="727"/>
        <v>2.9</v>
      </c>
      <c r="X688">
        <v>2.9478933999999999</v>
      </c>
    </row>
    <row r="689" spans="1:24" x14ac:dyDescent="0.2">
      <c r="A689" s="41">
        <f t="shared" si="679"/>
        <v>45867.58333333167</v>
      </c>
      <c r="B689" s="42">
        <f t="shared" si="703"/>
        <v>8000</v>
      </c>
      <c r="C689" s="8">
        <v>25000</v>
      </c>
      <c r="D689" s="8">
        <v>0</v>
      </c>
      <c r="E689" s="8">
        <v>700</v>
      </c>
      <c r="F689" s="8">
        <v>15000</v>
      </c>
      <c r="G689" s="42">
        <f t="shared" si="704"/>
        <v>2400</v>
      </c>
      <c r="H689" s="8">
        <v>25000</v>
      </c>
      <c r="I689" s="42">
        <f t="shared" si="705"/>
        <v>8000</v>
      </c>
      <c r="J689" s="8">
        <v>25000</v>
      </c>
      <c r="K689" s="42">
        <f t="shared" si="706"/>
        <v>8000</v>
      </c>
      <c r="L689" s="8">
        <v>25000</v>
      </c>
      <c r="M689" s="9">
        <v>9</v>
      </c>
      <c r="N689" s="9">
        <v>16.100000000000001</v>
      </c>
      <c r="O689" s="9">
        <v>14</v>
      </c>
      <c r="P689" s="9">
        <v>19.5</v>
      </c>
      <c r="Q689" s="93">
        <v>2.9156176999999999</v>
      </c>
      <c r="R689">
        <v>10</v>
      </c>
      <c r="S689">
        <v>1000</v>
      </c>
      <c r="V689">
        <f t="shared" ref="V689:W689" si="728">V665</f>
        <v>3.5</v>
      </c>
      <c r="W689">
        <f t="shared" si="728"/>
        <v>2.9</v>
      </c>
      <c r="X689">
        <v>2.9156176999999999</v>
      </c>
    </row>
    <row r="690" spans="1:24" x14ac:dyDescent="0.2">
      <c r="A690" s="41">
        <f t="shared" si="679"/>
        <v>45867.624999998334</v>
      </c>
      <c r="B690" s="42">
        <f t="shared" si="703"/>
        <v>8000</v>
      </c>
      <c r="C690" s="8">
        <v>25000</v>
      </c>
      <c r="D690" s="8">
        <v>0</v>
      </c>
      <c r="E690" s="8">
        <v>700</v>
      </c>
      <c r="F690" s="8">
        <v>15000</v>
      </c>
      <c r="G690" s="42">
        <f t="shared" si="704"/>
        <v>2400</v>
      </c>
      <c r="H690" s="8">
        <v>25000</v>
      </c>
      <c r="I690" s="42">
        <f t="shared" si="705"/>
        <v>8000</v>
      </c>
      <c r="J690" s="8">
        <v>25000</v>
      </c>
      <c r="K690" s="42">
        <f t="shared" si="706"/>
        <v>8000</v>
      </c>
      <c r="L690" s="8">
        <v>25000</v>
      </c>
      <c r="M690" s="9">
        <v>9</v>
      </c>
      <c r="N690" s="9">
        <v>16.100000000000001</v>
      </c>
      <c r="O690" s="9">
        <v>14</v>
      </c>
      <c r="P690" s="9">
        <v>19.5</v>
      </c>
      <c r="Q690" s="93">
        <v>3.2561605</v>
      </c>
      <c r="R690">
        <v>10</v>
      </c>
      <c r="S690">
        <v>1000</v>
      </c>
      <c r="V690">
        <f t="shared" ref="V690:W690" si="729">V666</f>
        <v>3.2</v>
      </c>
      <c r="W690">
        <f t="shared" si="729"/>
        <v>2.9</v>
      </c>
      <c r="X690">
        <v>3.2561605</v>
      </c>
    </row>
    <row r="691" spans="1:24" x14ac:dyDescent="0.2">
      <c r="A691" s="41">
        <f t="shared" si="679"/>
        <v>45867.666666664998</v>
      </c>
      <c r="B691" s="42">
        <f t="shared" si="703"/>
        <v>8000</v>
      </c>
      <c r="C691" s="8">
        <v>25000</v>
      </c>
      <c r="D691" s="8">
        <v>0</v>
      </c>
      <c r="E691" s="8">
        <v>700</v>
      </c>
      <c r="F691" s="8">
        <v>15000</v>
      </c>
      <c r="G691" s="42">
        <f t="shared" si="704"/>
        <v>2400</v>
      </c>
      <c r="H691" s="8">
        <v>25000</v>
      </c>
      <c r="I691" s="42">
        <f t="shared" si="705"/>
        <v>8000</v>
      </c>
      <c r="J691" s="8">
        <v>25000</v>
      </c>
      <c r="K691" s="42">
        <f t="shared" si="706"/>
        <v>8000</v>
      </c>
      <c r="L691" s="8">
        <v>25000</v>
      </c>
      <c r="M691" s="9">
        <v>9</v>
      </c>
      <c r="N691" s="9">
        <v>16.100000000000001</v>
      </c>
      <c r="O691" s="9">
        <v>14</v>
      </c>
      <c r="P691" s="9">
        <v>19.5</v>
      </c>
      <c r="Q691" s="93">
        <v>3.1993317999999999</v>
      </c>
      <c r="R691">
        <v>10</v>
      </c>
      <c r="S691">
        <v>1000</v>
      </c>
      <c r="V691">
        <f t="shared" ref="V691:W691" si="730">V667</f>
        <v>3.5</v>
      </c>
      <c r="W691">
        <f t="shared" si="730"/>
        <v>3</v>
      </c>
      <c r="X691">
        <v>3.1993317999999999</v>
      </c>
    </row>
    <row r="692" spans="1:24" x14ac:dyDescent="0.2">
      <c r="A692" s="41">
        <f t="shared" si="679"/>
        <v>45867.708333331662</v>
      </c>
      <c r="B692" s="42">
        <f t="shared" si="703"/>
        <v>8000</v>
      </c>
      <c r="C692" s="8">
        <v>25000</v>
      </c>
      <c r="D692" s="8">
        <v>0</v>
      </c>
      <c r="E692" s="8">
        <v>700</v>
      </c>
      <c r="F692" s="8">
        <v>15000</v>
      </c>
      <c r="G692" s="42">
        <f t="shared" si="704"/>
        <v>2400</v>
      </c>
      <c r="H692" s="8">
        <v>25000</v>
      </c>
      <c r="I692" s="42">
        <f t="shared" si="705"/>
        <v>8000</v>
      </c>
      <c r="J692" s="8">
        <v>25000</v>
      </c>
      <c r="K692" s="42">
        <f t="shared" si="706"/>
        <v>8000</v>
      </c>
      <c r="L692" s="8">
        <v>25000</v>
      </c>
      <c r="M692" s="9">
        <v>9</v>
      </c>
      <c r="N692" s="9">
        <v>16.100000000000001</v>
      </c>
      <c r="O692" s="9">
        <v>14</v>
      </c>
      <c r="P692" s="9">
        <v>19.5</v>
      </c>
      <c r="Q692" s="93">
        <v>3.1254059999999999</v>
      </c>
      <c r="R692">
        <v>10</v>
      </c>
      <c r="S692">
        <v>1000</v>
      </c>
      <c r="V692">
        <f t="shared" ref="V692:W692" si="731">V668</f>
        <v>3.6</v>
      </c>
      <c r="W692">
        <f t="shared" si="731"/>
        <v>3</v>
      </c>
      <c r="X692">
        <v>3.1254059999999999</v>
      </c>
    </row>
    <row r="693" spans="1:24" x14ac:dyDescent="0.2">
      <c r="A693" s="41">
        <f t="shared" si="679"/>
        <v>45867.749999998327</v>
      </c>
      <c r="B693" s="42">
        <f t="shared" si="703"/>
        <v>5000</v>
      </c>
      <c r="C693" s="8">
        <v>25000</v>
      </c>
      <c r="D693" s="8">
        <v>0</v>
      </c>
      <c r="E693" s="8">
        <v>700</v>
      </c>
      <c r="F693" s="8">
        <v>15000</v>
      </c>
      <c r="G693" s="42">
        <f t="shared" si="704"/>
        <v>2400</v>
      </c>
      <c r="H693" s="8">
        <v>25000</v>
      </c>
      <c r="I693" s="42">
        <f t="shared" si="705"/>
        <v>5000</v>
      </c>
      <c r="J693" s="8">
        <v>25000</v>
      </c>
      <c r="K693" s="42">
        <f t="shared" si="706"/>
        <v>5000</v>
      </c>
      <c r="L693" s="8">
        <v>25000</v>
      </c>
      <c r="M693" s="9">
        <v>9</v>
      </c>
      <c r="N693" s="9">
        <v>16.100000000000001</v>
      </c>
      <c r="O693" s="9">
        <v>14</v>
      </c>
      <c r="P693" s="9">
        <v>19.5</v>
      </c>
      <c r="Q693" s="93">
        <v>3.1117601000000001</v>
      </c>
      <c r="R693">
        <v>10</v>
      </c>
      <c r="S693">
        <v>1000</v>
      </c>
      <c r="V693">
        <f t="shared" ref="V693:W693" si="732">V669</f>
        <v>2.9</v>
      </c>
      <c r="W693">
        <f t="shared" si="732"/>
        <v>3</v>
      </c>
      <c r="X693">
        <v>3.1117601000000001</v>
      </c>
    </row>
    <row r="694" spans="1:24" x14ac:dyDescent="0.2">
      <c r="A694" s="41">
        <f t="shared" si="679"/>
        <v>45867.791666664991</v>
      </c>
      <c r="B694" s="42">
        <f t="shared" si="703"/>
        <v>5000</v>
      </c>
      <c r="C694" s="8">
        <v>25000</v>
      </c>
      <c r="D694" s="8">
        <v>0</v>
      </c>
      <c r="E694" s="8">
        <v>700</v>
      </c>
      <c r="F694" s="8">
        <v>15000</v>
      </c>
      <c r="G694" s="42">
        <f t="shared" si="704"/>
        <v>2400</v>
      </c>
      <c r="H694" s="8">
        <v>25000</v>
      </c>
      <c r="I694" s="42">
        <f t="shared" si="705"/>
        <v>5000</v>
      </c>
      <c r="J694" s="8">
        <v>25000</v>
      </c>
      <c r="K694" s="42">
        <f t="shared" si="706"/>
        <v>5000</v>
      </c>
      <c r="L694" s="8">
        <v>25000</v>
      </c>
      <c r="M694" s="9">
        <v>9</v>
      </c>
      <c r="N694" s="9">
        <v>16.100000000000001</v>
      </c>
      <c r="O694" s="9">
        <v>14</v>
      </c>
      <c r="P694" s="9">
        <v>19.5</v>
      </c>
      <c r="Q694" s="93">
        <v>3.0836948999999998</v>
      </c>
      <c r="R694">
        <v>10</v>
      </c>
      <c r="S694">
        <v>1000</v>
      </c>
      <c r="V694">
        <f t="shared" ref="V694:W694" si="733">V670</f>
        <v>3</v>
      </c>
      <c r="W694">
        <f t="shared" si="733"/>
        <v>3</v>
      </c>
      <c r="X694">
        <v>3.0836948999999998</v>
      </c>
    </row>
    <row r="695" spans="1:24" x14ac:dyDescent="0.2">
      <c r="A695" s="41">
        <f t="shared" si="679"/>
        <v>45867.833333331655</v>
      </c>
      <c r="B695" s="42">
        <f t="shared" si="703"/>
        <v>5000</v>
      </c>
      <c r="C695" s="8">
        <v>25000</v>
      </c>
      <c r="D695" s="8">
        <v>0</v>
      </c>
      <c r="E695" s="8">
        <v>700</v>
      </c>
      <c r="F695" s="8">
        <v>15000</v>
      </c>
      <c r="G695" s="42">
        <f t="shared" si="704"/>
        <v>2400</v>
      </c>
      <c r="H695" s="8">
        <v>25000</v>
      </c>
      <c r="I695" s="42">
        <f t="shared" si="705"/>
        <v>5000</v>
      </c>
      <c r="J695" s="8">
        <v>25000</v>
      </c>
      <c r="K695" s="42">
        <f t="shared" si="706"/>
        <v>5000</v>
      </c>
      <c r="L695" s="8">
        <v>25000</v>
      </c>
      <c r="M695" s="9">
        <v>9</v>
      </c>
      <c r="N695" s="9">
        <v>16.100000000000001</v>
      </c>
      <c r="O695" s="9">
        <v>14</v>
      </c>
      <c r="P695" s="9">
        <v>19.5</v>
      </c>
      <c r="Q695" s="93">
        <v>3.0500484000000001</v>
      </c>
      <c r="R695">
        <v>10</v>
      </c>
      <c r="S695">
        <v>1000</v>
      </c>
      <c r="V695">
        <f t="shared" ref="V695:W695" si="734">V671</f>
        <v>2.8</v>
      </c>
      <c r="W695">
        <f t="shared" si="734"/>
        <v>3.1</v>
      </c>
      <c r="X695">
        <v>3.0500484000000001</v>
      </c>
    </row>
    <row r="696" spans="1:24" x14ac:dyDescent="0.2">
      <c r="A696" s="41">
        <f t="shared" si="679"/>
        <v>45867.874999998319</v>
      </c>
      <c r="B696" s="42">
        <f t="shared" si="703"/>
        <v>5000</v>
      </c>
      <c r="C696" s="8">
        <v>25000</v>
      </c>
      <c r="D696" s="8">
        <v>0</v>
      </c>
      <c r="E696" s="8">
        <v>700</v>
      </c>
      <c r="F696" s="8">
        <v>15000</v>
      </c>
      <c r="G696" s="42">
        <f t="shared" si="704"/>
        <v>2400</v>
      </c>
      <c r="H696" s="8">
        <v>25000</v>
      </c>
      <c r="I696" s="42">
        <f t="shared" si="705"/>
        <v>5000</v>
      </c>
      <c r="J696" s="8">
        <v>25000</v>
      </c>
      <c r="K696" s="42">
        <f t="shared" si="706"/>
        <v>5000</v>
      </c>
      <c r="L696" s="8">
        <v>25000</v>
      </c>
      <c r="M696" s="9">
        <v>9</v>
      </c>
      <c r="N696" s="9">
        <v>16.100000000000001</v>
      </c>
      <c r="O696" s="9">
        <v>14</v>
      </c>
      <c r="P696" s="9">
        <v>19.5</v>
      </c>
      <c r="Q696" s="93">
        <v>3.0244700999999998</v>
      </c>
      <c r="R696">
        <v>10</v>
      </c>
      <c r="S696">
        <v>1000</v>
      </c>
      <c r="V696">
        <f t="shared" ref="V696:W696" si="735">V672</f>
        <v>3.5</v>
      </c>
      <c r="W696">
        <f t="shared" si="735"/>
        <v>3.1</v>
      </c>
      <c r="X696">
        <v>3.0244700999999998</v>
      </c>
    </row>
    <row r="697" spans="1:24" x14ac:dyDescent="0.2">
      <c r="A697" s="41">
        <f t="shared" si="679"/>
        <v>45867.916666664983</v>
      </c>
      <c r="B697" s="42">
        <f t="shared" si="703"/>
        <v>5000</v>
      </c>
      <c r="C697" s="8">
        <v>25000</v>
      </c>
      <c r="D697" s="8">
        <v>0</v>
      </c>
      <c r="E697" s="8">
        <v>700</v>
      </c>
      <c r="F697" s="8">
        <v>15000</v>
      </c>
      <c r="G697" s="42">
        <f t="shared" si="704"/>
        <v>2400</v>
      </c>
      <c r="H697" s="8">
        <v>25000</v>
      </c>
      <c r="I697" s="42">
        <f t="shared" si="705"/>
        <v>5000</v>
      </c>
      <c r="J697" s="8">
        <v>25000</v>
      </c>
      <c r="K697" s="42">
        <f t="shared" si="706"/>
        <v>5000</v>
      </c>
      <c r="L697" s="8">
        <v>25000</v>
      </c>
      <c r="M697" s="9">
        <v>9</v>
      </c>
      <c r="N697" s="9">
        <v>16.100000000000001</v>
      </c>
      <c r="O697" s="9">
        <v>14</v>
      </c>
      <c r="P697" s="9">
        <v>19.5</v>
      </c>
      <c r="Q697" s="93">
        <v>2.9945202000000002</v>
      </c>
      <c r="R697">
        <v>10</v>
      </c>
      <c r="S697">
        <v>1000</v>
      </c>
      <c r="V697">
        <f t="shared" ref="V697:W697" si="736">V673</f>
        <v>2.9</v>
      </c>
      <c r="W697">
        <f t="shared" si="736"/>
        <v>3.1</v>
      </c>
      <c r="X697">
        <v>2.9945202000000002</v>
      </c>
    </row>
    <row r="698" spans="1:24" x14ac:dyDescent="0.2">
      <c r="A698" s="41">
        <f t="shared" si="679"/>
        <v>45867.958333331648</v>
      </c>
      <c r="B698" s="42">
        <f t="shared" si="703"/>
        <v>5000</v>
      </c>
      <c r="C698" s="8">
        <v>25000</v>
      </c>
      <c r="D698" s="8">
        <v>0</v>
      </c>
      <c r="E698" s="8">
        <v>700</v>
      </c>
      <c r="F698" s="8">
        <v>15000</v>
      </c>
      <c r="G698" s="42">
        <f t="shared" si="704"/>
        <v>2400</v>
      </c>
      <c r="H698" s="8">
        <v>25000</v>
      </c>
      <c r="I698" s="42">
        <f t="shared" si="705"/>
        <v>5000</v>
      </c>
      <c r="J698" s="8">
        <v>25000</v>
      </c>
      <c r="K698" s="42">
        <f t="shared" si="706"/>
        <v>5000</v>
      </c>
      <c r="L698" s="8">
        <v>25000</v>
      </c>
      <c r="M698" s="9">
        <v>9</v>
      </c>
      <c r="N698" s="9">
        <v>16.100000000000001</v>
      </c>
      <c r="O698" s="9">
        <v>14</v>
      </c>
      <c r="P698" s="9">
        <v>19.5</v>
      </c>
      <c r="Q698" s="93">
        <v>2.9042276999999999</v>
      </c>
      <c r="R698">
        <v>10</v>
      </c>
      <c r="S698">
        <v>1000</v>
      </c>
      <c r="V698">
        <f t="shared" ref="V698:W698" si="737">V674</f>
        <v>3.6</v>
      </c>
      <c r="W698">
        <f t="shared" si="737"/>
        <v>3.1</v>
      </c>
      <c r="X698">
        <v>2.9042276999999999</v>
      </c>
    </row>
    <row r="699" spans="1:24" x14ac:dyDescent="0.2">
      <c r="A699" s="41">
        <f t="shared" si="679"/>
        <v>45867.999999998312</v>
      </c>
      <c r="B699" s="42">
        <f t="shared" si="703"/>
        <v>5000</v>
      </c>
      <c r="C699" s="8">
        <v>25000</v>
      </c>
      <c r="D699" s="8">
        <v>0</v>
      </c>
      <c r="E699" s="8">
        <v>700</v>
      </c>
      <c r="F699" s="8">
        <v>15000</v>
      </c>
      <c r="G699" s="42">
        <f t="shared" si="704"/>
        <v>2400</v>
      </c>
      <c r="H699" s="8">
        <v>25000</v>
      </c>
      <c r="I699" s="42">
        <f t="shared" si="705"/>
        <v>5000</v>
      </c>
      <c r="J699" s="8">
        <v>25000</v>
      </c>
      <c r="K699" s="42">
        <f t="shared" si="706"/>
        <v>5000</v>
      </c>
      <c r="L699" s="8">
        <v>25000</v>
      </c>
      <c r="M699" s="9">
        <v>9</v>
      </c>
      <c r="N699" s="9">
        <v>16.100000000000001</v>
      </c>
      <c r="O699" s="9">
        <v>14</v>
      </c>
      <c r="P699" s="9">
        <v>19.5</v>
      </c>
      <c r="Q699" s="93">
        <v>2.8096652</v>
      </c>
      <c r="R699">
        <v>10</v>
      </c>
      <c r="S699">
        <v>1000</v>
      </c>
      <c r="V699">
        <f t="shared" ref="V699:W699" si="738">V675</f>
        <v>3</v>
      </c>
      <c r="W699">
        <f t="shared" si="738"/>
        <v>3.2</v>
      </c>
      <c r="X699">
        <v>2.8096652</v>
      </c>
    </row>
    <row r="700" spans="1:24" x14ac:dyDescent="0.2">
      <c r="A700" s="41">
        <f t="shared" si="679"/>
        <v>45868.041666664976</v>
      </c>
      <c r="B700" s="42">
        <f t="shared" si="703"/>
        <v>5000</v>
      </c>
      <c r="C700" s="8">
        <v>25000</v>
      </c>
      <c r="D700" s="8">
        <v>0</v>
      </c>
      <c r="E700" s="8">
        <v>700</v>
      </c>
      <c r="F700" s="8">
        <v>15000</v>
      </c>
      <c r="G700" s="42">
        <f t="shared" si="704"/>
        <v>2400</v>
      </c>
      <c r="H700" s="8">
        <v>25000</v>
      </c>
      <c r="I700" s="42">
        <f t="shared" si="705"/>
        <v>5000</v>
      </c>
      <c r="J700" s="8">
        <v>25000</v>
      </c>
      <c r="K700" s="42">
        <f t="shared" si="706"/>
        <v>5000</v>
      </c>
      <c r="L700" s="8">
        <v>25000</v>
      </c>
      <c r="M700" s="9">
        <v>9</v>
      </c>
      <c r="N700" s="9">
        <v>16.100000000000001</v>
      </c>
      <c r="O700" s="9">
        <v>14</v>
      </c>
      <c r="P700" s="9">
        <v>19.5</v>
      </c>
      <c r="Q700" s="93">
        <v>2.7342092999999998</v>
      </c>
      <c r="R700">
        <v>10</v>
      </c>
      <c r="S700">
        <v>1000</v>
      </c>
      <c r="V700">
        <f t="shared" ref="V700:W700" si="739">V676</f>
        <v>2.6</v>
      </c>
      <c r="W700">
        <f t="shared" si="739"/>
        <v>3.2</v>
      </c>
      <c r="X700">
        <v>2.7342092999999998</v>
      </c>
    </row>
    <row r="701" spans="1:24" x14ac:dyDescent="0.2">
      <c r="A701" s="41">
        <f t="shared" si="679"/>
        <v>45868.08333333164</v>
      </c>
      <c r="B701" s="42">
        <f t="shared" si="703"/>
        <v>5000</v>
      </c>
      <c r="C701" s="8">
        <v>25000</v>
      </c>
      <c r="D701" s="8">
        <v>0</v>
      </c>
      <c r="E701" s="8">
        <v>700</v>
      </c>
      <c r="F701" s="8">
        <v>15000</v>
      </c>
      <c r="G701" s="42">
        <f t="shared" si="704"/>
        <v>2400</v>
      </c>
      <c r="H701" s="8">
        <v>25000</v>
      </c>
      <c r="I701" s="42">
        <f t="shared" si="705"/>
        <v>5000</v>
      </c>
      <c r="J701" s="8">
        <v>25000</v>
      </c>
      <c r="K701" s="42">
        <f t="shared" si="706"/>
        <v>5000</v>
      </c>
      <c r="L701" s="8">
        <v>25000</v>
      </c>
      <c r="M701" s="9">
        <v>9</v>
      </c>
      <c r="N701" s="9">
        <v>16.100000000000001</v>
      </c>
      <c r="O701" s="9">
        <v>14</v>
      </c>
      <c r="P701" s="9">
        <v>19.5</v>
      </c>
      <c r="Q701" s="93">
        <v>2.797364</v>
      </c>
      <c r="R701">
        <v>10</v>
      </c>
      <c r="S701">
        <v>1000</v>
      </c>
      <c r="V701">
        <f t="shared" ref="V701:W701" si="740">V677</f>
        <v>2.8</v>
      </c>
      <c r="W701">
        <f t="shared" si="740"/>
        <v>3.2</v>
      </c>
      <c r="X701">
        <v>2.797364</v>
      </c>
    </row>
    <row r="702" spans="1:24" x14ac:dyDescent="0.2">
      <c r="A702" s="41">
        <f t="shared" si="679"/>
        <v>45868.124999998305</v>
      </c>
      <c r="B702" s="42">
        <f t="shared" si="703"/>
        <v>5000</v>
      </c>
      <c r="C702" s="8">
        <v>25000</v>
      </c>
      <c r="D702" s="8">
        <v>0</v>
      </c>
      <c r="E702" s="8">
        <v>700</v>
      </c>
      <c r="F702" s="8">
        <v>15000</v>
      </c>
      <c r="G702" s="42">
        <f t="shared" si="704"/>
        <v>2400</v>
      </c>
      <c r="H702" s="8">
        <v>25000</v>
      </c>
      <c r="I702" s="42">
        <f t="shared" si="705"/>
        <v>5000</v>
      </c>
      <c r="J702" s="8">
        <v>25000</v>
      </c>
      <c r="K702" s="42">
        <f t="shared" si="706"/>
        <v>5000</v>
      </c>
      <c r="L702" s="8">
        <v>25000</v>
      </c>
      <c r="M702" s="9">
        <v>9</v>
      </c>
      <c r="N702" s="9">
        <v>16.100000000000001</v>
      </c>
      <c r="O702" s="9">
        <v>14</v>
      </c>
      <c r="P702" s="9">
        <v>19.5</v>
      </c>
      <c r="Q702" s="93">
        <v>2.8535143999999999</v>
      </c>
      <c r="R702">
        <v>10</v>
      </c>
      <c r="S702">
        <v>1000</v>
      </c>
      <c r="V702">
        <f t="shared" ref="V702:W702" si="741">V678</f>
        <v>2.7</v>
      </c>
      <c r="W702">
        <f t="shared" si="741"/>
        <v>3.2</v>
      </c>
      <c r="X702">
        <v>2.8535143999999999</v>
      </c>
    </row>
    <row r="703" spans="1:24" x14ac:dyDescent="0.2">
      <c r="A703" s="41">
        <f t="shared" si="679"/>
        <v>45868.166666664969</v>
      </c>
      <c r="B703" s="42">
        <f t="shared" si="703"/>
        <v>5000</v>
      </c>
      <c r="C703" s="8">
        <v>25000</v>
      </c>
      <c r="D703" s="8">
        <v>0</v>
      </c>
      <c r="E703" s="8">
        <v>700</v>
      </c>
      <c r="F703" s="8">
        <v>15000</v>
      </c>
      <c r="G703" s="42">
        <f t="shared" si="704"/>
        <v>2400</v>
      </c>
      <c r="H703" s="8">
        <v>25000</v>
      </c>
      <c r="I703" s="42">
        <f t="shared" si="705"/>
        <v>5000</v>
      </c>
      <c r="J703" s="8">
        <v>25000</v>
      </c>
      <c r="K703" s="42">
        <f t="shared" si="706"/>
        <v>5000</v>
      </c>
      <c r="L703" s="8">
        <v>25000</v>
      </c>
      <c r="M703" s="9">
        <v>9</v>
      </c>
      <c r="N703" s="9">
        <v>16.100000000000001</v>
      </c>
      <c r="O703" s="9">
        <v>14</v>
      </c>
      <c r="P703" s="9">
        <v>19.5</v>
      </c>
      <c r="Q703" s="93">
        <v>2.8726210999999999</v>
      </c>
      <c r="R703">
        <v>10</v>
      </c>
      <c r="S703">
        <v>1000</v>
      </c>
      <c r="V703">
        <f t="shared" ref="V703:W703" si="742">V679</f>
        <v>3</v>
      </c>
      <c r="W703">
        <f t="shared" si="742"/>
        <v>3.1</v>
      </c>
      <c r="X703">
        <v>2.8726210999999999</v>
      </c>
    </row>
    <row r="704" spans="1:24" x14ac:dyDescent="0.2">
      <c r="A704" s="41">
        <f t="shared" si="679"/>
        <v>45868.208333331633</v>
      </c>
      <c r="B704" s="42">
        <f t="shared" si="703"/>
        <v>5000</v>
      </c>
      <c r="C704" s="8">
        <v>25000</v>
      </c>
      <c r="D704" s="8">
        <v>0</v>
      </c>
      <c r="E704" s="8">
        <v>700</v>
      </c>
      <c r="F704" s="8">
        <v>15000</v>
      </c>
      <c r="G704" s="42">
        <f t="shared" si="704"/>
        <v>2400</v>
      </c>
      <c r="H704" s="8">
        <v>25000</v>
      </c>
      <c r="I704" s="42">
        <f t="shared" si="705"/>
        <v>5000</v>
      </c>
      <c r="J704" s="8">
        <v>25000</v>
      </c>
      <c r="K704" s="42">
        <f t="shared" si="706"/>
        <v>5000</v>
      </c>
      <c r="L704" s="8">
        <v>25000</v>
      </c>
      <c r="M704" s="9">
        <v>9</v>
      </c>
      <c r="N704" s="9">
        <v>16.100000000000001</v>
      </c>
      <c r="O704" s="9">
        <v>14</v>
      </c>
      <c r="P704" s="9">
        <v>19.5</v>
      </c>
      <c r="Q704" s="93">
        <v>2.9364640999999998</v>
      </c>
      <c r="R704">
        <v>10</v>
      </c>
      <c r="S704">
        <v>1000</v>
      </c>
      <c r="V704">
        <f t="shared" ref="V704:W704" si="743">V680</f>
        <v>2.9</v>
      </c>
      <c r="W704">
        <f t="shared" si="743"/>
        <v>3.1</v>
      </c>
      <c r="X704">
        <v>2.9364640999999998</v>
      </c>
    </row>
    <row r="705" spans="1:24" x14ac:dyDescent="0.2">
      <c r="A705" s="41">
        <f t="shared" si="679"/>
        <v>45868.249999998297</v>
      </c>
      <c r="B705" s="42">
        <f t="shared" si="703"/>
        <v>8000</v>
      </c>
      <c r="C705" s="8">
        <v>25000</v>
      </c>
      <c r="D705" s="8">
        <v>0</v>
      </c>
      <c r="E705" s="8">
        <v>700</v>
      </c>
      <c r="F705" s="8">
        <v>15000</v>
      </c>
      <c r="G705" s="42">
        <f t="shared" si="704"/>
        <v>2400</v>
      </c>
      <c r="H705" s="8">
        <v>25000</v>
      </c>
      <c r="I705" s="42">
        <f t="shared" si="705"/>
        <v>8000</v>
      </c>
      <c r="J705" s="8">
        <v>25000</v>
      </c>
      <c r="K705" s="42">
        <f t="shared" si="706"/>
        <v>8000</v>
      </c>
      <c r="L705" s="8">
        <v>25000</v>
      </c>
      <c r="M705" s="9">
        <v>9</v>
      </c>
      <c r="N705" s="9">
        <v>16.100000000000001</v>
      </c>
      <c r="O705" s="9">
        <v>14</v>
      </c>
      <c r="P705" s="9">
        <v>19.5</v>
      </c>
      <c r="Q705" s="93">
        <v>3.0463591000000001</v>
      </c>
      <c r="R705">
        <v>10</v>
      </c>
      <c r="S705">
        <v>1000</v>
      </c>
      <c r="V705">
        <f t="shared" ref="V705:W705" si="744">V681</f>
        <v>2.5</v>
      </c>
      <c r="W705">
        <f t="shared" si="744"/>
        <v>3.1</v>
      </c>
      <c r="X705">
        <v>3.0463591000000001</v>
      </c>
    </row>
    <row r="706" spans="1:24" x14ac:dyDescent="0.2">
      <c r="A706" s="41">
        <f t="shared" si="679"/>
        <v>45868.291666664962</v>
      </c>
      <c r="B706" s="42">
        <f t="shared" si="703"/>
        <v>8000</v>
      </c>
      <c r="C706" s="8">
        <v>25000</v>
      </c>
      <c r="D706" s="8">
        <v>0</v>
      </c>
      <c r="E706" s="8">
        <v>700</v>
      </c>
      <c r="F706" s="8">
        <v>15000</v>
      </c>
      <c r="G706" s="42">
        <f t="shared" si="704"/>
        <v>2400</v>
      </c>
      <c r="H706" s="8">
        <v>25000</v>
      </c>
      <c r="I706" s="42">
        <f t="shared" si="705"/>
        <v>8000</v>
      </c>
      <c r="J706" s="8">
        <v>25000</v>
      </c>
      <c r="K706" s="42">
        <f t="shared" si="706"/>
        <v>8000</v>
      </c>
      <c r="L706" s="8">
        <v>25000</v>
      </c>
      <c r="M706" s="9">
        <v>9</v>
      </c>
      <c r="N706" s="9">
        <v>16.100000000000001</v>
      </c>
      <c r="O706" s="9">
        <v>14</v>
      </c>
      <c r="P706" s="9">
        <v>19.5</v>
      </c>
      <c r="Q706" s="93">
        <v>3.1807113</v>
      </c>
      <c r="R706">
        <v>10</v>
      </c>
      <c r="S706">
        <v>1000</v>
      </c>
      <c r="V706">
        <f t="shared" ref="V706:W706" si="745">V682</f>
        <v>2.5</v>
      </c>
      <c r="W706">
        <f t="shared" si="745"/>
        <v>3.1</v>
      </c>
      <c r="X706">
        <v>3.1807113</v>
      </c>
    </row>
    <row r="707" spans="1:24" x14ac:dyDescent="0.2">
      <c r="A707" s="41">
        <f t="shared" si="679"/>
        <v>45868.333333331626</v>
      </c>
      <c r="B707" s="42">
        <f t="shared" si="703"/>
        <v>8000</v>
      </c>
      <c r="C707" s="8">
        <v>25000</v>
      </c>
      <c r="D707" s="8">
        <v>0</v>
      </c>
      <c r="E707" s="8">
        <v>700</v>
      </c>
      <c r="F707" s="8">
        <v>15000</v>
      </c>
      <c r="G707" s="42">
        <f t="shared" si="704"/>
        <v>2400</v>
      </c>
      <c r="H707" s="8">
        <v>25000</v>
      </c>
      <c r="I707" s="42">
        <f t="shared" si="705"/>
        <v>8000</v>
      </c>
      <c r="J707" s="8">
        <v>25000</v>
      </c>
      <c r="K707" s="42">
        <f t="shared" si="706"/>
        <v>8000</v>
      </c>
      <c r="L707" s="8">
        <v>25000</v>
      </c>
      <c r="M707" s="9">
        <v>9</v>
      </c>
      <c r="N707" s="9">
        <v>16.100000000000001</v>
      </c>
      <c r="O707" s="9">
        <v>14</v>
      </c>
      <c r="P707" s="9">
        <v>19.5</v>
      </c>
      <c r="Q707" s="93">
        <v>3.2292752</v>
      </c>
      <c r="R707">
        <v>10</v>
      </c>
      <c r="S707">
        <v>1000</v>
      </c>
      <c r="V707">
        <f t="shared" ref="V707:W707" si="746">V683</f>
        <v>3.2</v>
      </c>
      <c r="W707">
        <f t="shared" si="746"/>
        <v>3</v>
      </c>
      <c r="X707">
        <v>3.2292752</v>
      </c>
    </row>
    <row r="708" spans="1:24" x14ac:dyDescent="0.2">
      <c r="A708" s="41">
        <f t="shared" si="679"/>
        <v>45868.37499999829</v>
      </c>
      <c r="B708" s="42">
        <f t="shared" si="703"/>
        <v>8000</v>
      </c>
      <c r="C708" s="8">
        <v>25000</v>
      </c>
      <c r="D708" s="8">
        <v>0</v>
      </c>
      <c r="E708" s="8">
        <v>700</v>
      </c>
      <c r="F708" s="8">
        <v>15000</v>
      </c>
      <c r="G708" s="42">
        <f t="shared" si="704"/>
        <v>2400</v>
      </c>
      <c r="H708" s="8">
        <v>25000</v>
      </c>
      <c r="I708" s="42">
        <f t="shared" si="705"/>
        <v>8000</v>
      </c>
      <c r="J708" s="8">
        <v>25000</v>
      </c>
      <c r="K708" s="42">
        <f t="shared" si="706"/>
        <v>8000</v>
      </c>
      <c r="L708" s="8">
        <v>25000</v>
      </c>
      <c r="M708" s="9">
        <v>9</v>
      </c>
      <c r="N708" s="9">
        <v>16.100000000000001</v>
      </c>
      <c r="O708" s="9">
        <v>14</v>
      </c>
      <c r="P708" s="9">
        <v>19.5</v>
      </c>
      <c r="Q708" s="93">
        <v>3.2575997999999999</v>
      </c>
      <c r="R708">
        <v>10</v>
      </c>
      <c r="S708">
        <v>1000</v>
      </c>
      <c r="V708">
        <f t="shared" ref="V708:W708" si="747">V684</f>
        <v>2.9</v>
      </c>
      <c r="W708">
        <f t="shared" si="747"/>
        <v>3</v>
      </c>
      <c r="X708">
        <v>3.2575997999999999</v>
      </c>
    </row>
    <row r="709" spans="1:24" x14ac:dyDescent="0.2">
      <c r="A709" s="41">
        <f t="shared" ref="A709:A746" si="748">A708+TIME(1,0,0)</f>
        <v>45868.416666664954</v>
      </c>
      <c r="B709" s="42">
        <f t="shared" si="703"/>
        <v>8000</v>
      </c>
      <c r="C709" s="8">
        <v>25000</v>
      </c>
      <c r="D709" s="8">
        <v>0</v>
      </c>
      <c r="E709" s="8">
        <v>700</v>
      </c>
      <c r="F709" s="8">
        <v>15000</v>
      </c>
      <c r="G709" s="42">
        <f t="shared" si="704"/>
        <v>2400</v>
      </c>
      <c r="H709" s="8">
        <v>25000</v>
      </c>
      <c r="I709" s="42">
        <f t="shared" si="705"/>
        <v>8000</v>
      </c>
      <c r="J709" s="8">
        <v>25000</v>
      </c>
      <c r="K709" s="42">
        <f t="shared" si="706"/>
        <v>8000</v>
      </c>
      <c r="L709" s="8">
        <v>25000</v>
      </c>
      <c r="M709" s="9">
        <v>9</v>
      </c>
      <c r="N709" s="9">
        <v>16.100000000000001</v>
      </c>
      <c r="O709" s="9">
        <v>14</v>
      </c>
      <c r="P709" s="9">
        <v>19.5</v>
      </c>
      <c r="Q709" s="93">
        <v>3.3107722000000002</v>
      </c>
      <c r="R709">
        <v>10</v>
      </c>
      <c r="S709">
        <v>1000</v>
      </c>
      <c r="V709">
        <f t="shared" ref="V709:W709" si="749">V685</f>
        <v>2.9</v>
      </c>
      <c r="W709">
        <f t="shared" si="749"/>
        <v>3</v>
      </c>
      <c r="X709">
        <v>3.3107722000000002</v>
      </c>
    </row>
    <row r="710" spans="1:24" x14ac:dyDescent="0.2">
      <c r="A710" s="41">
        <f t="shared" si="748"/>
        <v>45868.458333331619</v>
      </c>
      <c r="B710" s="42">
        <f t="shared" si="703"/>
        <v>8000</v>
      </c>
      <c r="C710" s="8">
        <v>25000</v>
      </c>
      <c r="D710" s="8">
        <v>0</v>
      </c>
      <c r="E710" s="8">
        <v>700</v>
      </c>
      <c r="F710" s="8">
        <v>15000</v>
      </c>
      <c r="G710" s="42">
        <f t="shared" si="704"/>
        <v>2400</v>
      </c>
      <c r="H710" s="8">
        <v>25000</v>
      </c>
      <c r="I710" s="42">
        <f t="shared" si="705"/>
        <v>8000</v>
      </c>
      <c r="J710" s="8">
        <v>25000</v>
      </c>
      <c r="K710" s="42">
        <f t="shared" si="706"/>
        <v>8000</v>
      </c>
      <c r="L710" s="8">
        <v>25000</v>
      </c>
      <c r="M710" s="9">
        <v>9</v>
      </c>
      <c r="N710" s="9">
        <v>16.100000000000001</v>
      </c>
      <c r="O710" s="9">
        <v>14</v>
      </c>
      <c r="P710" s="9">
        <v>19.5</v>
      </c>
      <c r="Q710" s="93">
        <v>3.2409756000000001</v>
      </c>
      <c r="R710">
        <v>10</v>
      </c>
      <c r="S710">
        <v>1000</v>
      </c>
      <c r="V710">
        <f t="shared" ref="V710:W710" si="750">V686</f>
        <v>3.4</v>
      </c>
      <c r="W710">
        <f t="shared" si="750"/>
        <v>3</v>
      </c>
      <c r="X710">
        <v>3.2409756000000001</v>
      </c>
    </row>
    <row r="711" spans="1:24" x14ac:dyDescent="0.2">
      <c r="A711" s="41">
        <f t="shared" si="748"/>
        <v>45868.499999998283</v>
      </c>
      <c r="B711" s="42">
        <f t="shared" si="703"/>
        <v>8000</v>
      </c>
      <c r="C711" s="8">
        <v>25000</v>
      </c>
      <c r="D711" s="8">
        <v>0</v>
      </c>
      <c r="E711" s="8">
        <v>700</v>
      </c>
      <c r="F711" s="8">
        <v>15000</v>
      </c>
      <c r="G711" s="42">
        <f t="shared" si="704"/>
        <v>2400</v>
      </c>
      <c r="H711" s="8">
        <v>25000</v>
      </c>
      <c r="I711" s="42">
        <f t="shared" si="705"/>
        <v>8000</v>
      </c>
      <c r="J711" s="8">
        <v>25000</v>
      </c>
      <c r="K711" s="42">
        <f t="shared" si="706"/>
        <v>8000</v>
      </c>
      <c r="L711" s="8">
        <v>25000</v>
      </c>
      <c r="M711" s="9">
        <v>9</v>
      </c>
      <c r="N711" s="9">
        <v>16.100000000000001</v>
      </c>
      <c r="O711" s="9">
        <v>14</v>
      </c>
      <c r="P711" s="9">
        <v>19.5</v>
      </c>
      <c r="Q711" s="93">
        <v>3.0979747999999998</v>
      </c>
      <c r="R711">
        <v>10</v>
      </c>
      <c r="S711">
        <v>1000</v>
      </c>
      <c r="V711">
        <f t="shared" ref="V711:W711" si="751">V687</f>
        <v>3.1</v>
      </c>
      <c r="W711">
        <f t="shared" si="751"/>
        <v>2.9</v>
      </c>
      <c r="X711">
        <v>3.0979747999999998</v>
      </c>
    </row>
    <row r="712" spans="1:24" x14ac:dyDescent="0.2">
      <c r="A712" s="41">
        <f t="shared" si="748"/>
        <v>45868.541666664947</v>
      </c>
      <c r="B712" s="42">
        <f t="shared" si="703"/>
        <v>8000</v>
      </c>
      <c r="C712" s="8">
        <v>25000</v>
      </c>
      <c r="D712" s="8">
        <v>0</v>
      </c>
      <c r="E712" s="8">
        <v>700</v>
      </c>
      <c r="F712" s="8">
        <v>15000</v>
      </c>
      <c r="G712" s="42">
        <f t="shared" si="704"/>
        <v>2400</v>
      </c>
      <c r="H712" s="8">
        <v>25000</v>
      </c>
      <c r="I712" s="42">
        <f t="shared" si="705"/>
        <v>8000</v>
      </c>
      <c r="J712" s="8">
        <v>25000</v>
      </c>
      <c r="K712" s="42">
        <f t="shared" si="706"/>
        <v>8000</v>
      </c>
      <c r="L712" s="8">
        <v>25000</v>
      </c>
      <c r="M712" s="9">
        <v>9</v>
      </c>
      <c r="N712" s="9">
        <v>16.100000000000001</v>
      </c>
      <c r="O712" s="9">
        <v>14</v>
      </c>
      <c r="P712" s="9">
        <v>19.5</v>
      </c>
      <c r="Q712" s="93">
        <v>2.92136</v>
      </c>
      <c r="R712">
        <v>10</v>
      </c>
      <c r="S712">
        <v>1000</v>
      </c>
      <c r="V712">
        <f t="shared" ref="V712:W712" si="752">V688</f>
        <v>3.2</v>
      </c>
      <c r="W712">
        <f t="shared" si="752"/>
        <v>2.9</v>
      </c>
      <c r="X712">
        <v>2.92136</v>
      </c>
    </row>
    <row r="713" spans="1:24" x14ac:dyDescent="0.2">
      <c r="A713" s="41">
        <f t="shared" si="748"/>
        <v>45868.583333331611</v>
      </c>
      <c r="B713" s="42">
        <f t="shared" si="703"/>
        <v>8000</v>
      </c>
      <c r="C713" s="8">
        <v>25000</v>
      </c>
      <c r="D713" s="8">
        <v>0</v>
      </c>
      <c r="E713" s="8">
        <v>700</v>
      </c>
      <c r="F713" s="8">
        <v>15000</v>
      </c>
      <c r="G713" s="42">
        <f t="shared" si="704"/>
        <v>2400</v>
      </c>
      <c r="H713" s="8">
        <v>25000</v>
      </c>
      <c r="I713" s="42">
        <f t="shared" si="705"/>
        <v>8000</v>
      </c>
      <c r="J713" s="8">
        <v>25000</v>
      </c>
      <c r="K713" s="42">
        <f t="shared" si="706"/>
        <v>8000</v>
      </c>
      <c r="L713" s="8">
        <v>25000</v>
      </c>
      <c r="M713" s="9">
        <v>9</v>
      </c>
      <c r="N713" s="9">
        <v>16.100000000000001</v>
      </c>
      <c r="O713" s="9">
        <v>14</v>
      </c>
      <c r="P713" s="9">
        <v>19.5</v>
      </c>
      <c r="Q713" s="93">
        <v>2.9165561000000002</v>
      </c>
      <c r="R713">
        <v>10</v>
      </c>
      <c r="S713">
        <v>1000</v>
      </c>
      <c r="V713">
        <f t="shared" ref="V713:W713" si="753">V689</f>
        <v>3.5</v>
      </c>
      <c r="W713">
        <f t="shared" si="753"/>
        <v>2.9</v>
      </c>
      <c r="X713">
        <v>2.9165561000000002</v>
      </c>
    </row>
    <row r="714" spans="1:24" x14ac:dyDescent="0.2">
      <c r="A714" s="41">
        <f t="shared" si="748"/>
        <v>45868.624999998276</v>
      </c>
      <c r="B714" s="42">
        <f t="shared" si="703"/>
        <v>8000</v>
      </c>
      <c r="C714" s="8">
        <v>25000</v>
      </c>
      <c r="D714" s="8">
        <v>0</v>
      </c>
      <c r="E714" s="8">
        <v>700</v>
      </c>
      <c r="F714" s="8">
        <v>15000</v>
      </c>
      <c r="G714" s="42">
        <f t="shared" si="704"/>
        <v>2400</v>
      </c>
      <c r="H714" s="8">
        <v>25000</v>
      </c>
      <c r="I714" s="42">
        <f t="shared" si="705"/>
        <v>8000</v>
      </c>
      <c r="J714" s="8">
        <v>25000</v>
      </c>
      <c r="K714" s="42">
        <f t="shared" si="706"/>
        <v>8000</v>
      </c>
      <c r="L714" s="8">
        <v>25000</v>
      </c>
      <c r="M714" s="9">
        <v>9</v>
      </c>
      <c r="N714" s="9">
        <v>16.100000000000001</v>
      </c>
      <c r="O714" s="9">
        <v>14</v>
      </c>
      <c r="P714" s="9">
        <v>19.5</v>
      </c>
      <c r="Q714" s="93">
        <v>3.2798311999999998</v>
      </c>
      <c r="R714">
        <v>10</v>
      </c>
      <c r="S714">
        <v>1000</v>
      </c>
      <c r="V714">
        <f t="shared" ref="V714:W714" si="754">V690</f>
        <v>3.2</v>
      </c>
      <c r="W714">
        <f t="shared" si="754"/>
        <v>2.9</v>
      </c>
      <c r="X714">
        <v>3.2798311999999998</v>
      </c>
    </row>
    <row r="715" spans="1:24" x14ac:dyDescent="0.2">
      <c r="A715" s="41">
        <f t="shared" si="748"/>
        <v>45868.66666666494</v>
      </c>
      <c r="B715" s="42">
        <f t="shared" si="703"/>
        <v>8000</v>
      </c>
      <c r="C715" s="8">
        <v>25000</v>
      </c>
      <c r="D715" s="8">
        <v>0</v>
      </c>
      <c r="E715" s="8">
        <v>700</v>
      </c>
      <c r="F715" s="8">
        <v>15000</v>
      </c>
      <c r="G715" s="42">
        <f t="shared" si="704"/>
        <v>2400</v>
      </c>
      <c r="H715" s="8">
        <v>25000</v>
      </c>
      <c r="I715" s="42">
        <f t="shared" si="705"/>
        <v>8000</v>
      </c>
      <c r="J715" s="8">
        <v>25000</v>
      </c>
      <c r="K715" s="42">
        <f t="shared" si="706"/>
        <v>8000</v>
      </c>
      <c r="L715" s="8">
        <v>25000</v>
      </c>
      <c r="M715" s="9">
        <v>9</v>
      </c>
      <c r="N715" s="9">
        <v>16.100000000000001</v>
      </c>
      <c r="O715" s="9">
        <v>14</v>
      </c>
      <c r="P715" s="9">
        <v>19.5</v>
      </c>
      <c r="Q715" s="93">
        <v>3.1889135999999998</v>
      </c>
      <c r="R715">
        <v>10</v>
      </c>
      <c r="S715">
        <v>1000</v>
      </c>
      <c r="V715">
        <f t="shared" ref="V715:W715" si="755">V691</f>
        <v>3.5</v>
      </c>
      <c r="W715">
        <f t="shared" si="755"/>
        <v>3</v>
      </c>
      <c r="X715">
        <v>3.1889135999999998</v>
      </c>
    </row>
    <row r="716" spans="1:24" x14ac:dyDescent="0.2">
      <c r="A716" s="41">
        <f t="shared" si="748"/>
        <v>45868.708333331604</v>
      </c>
      <c r="B716" s="42">
        <f t="shared" si="703"/>
        <v>8000</v>
      </c>
      <c r="C716" s="8">
        <v>25000</v>
      </c>
      <c r="D716" s="8">
        <v>0</v>
      </c>
      <c r="E716" s="8">
        <v>700</v>
      </c>
      <c r="F716" s="8">
        <v>15000</v>
      </c>
      <c r="G716" s="42">
        <f t="shared" si="704"/>
        <v>2400</v>
      </c>
      <c r="H716" s="8">
        <v>25000</v>
      </c>
      <c r="I716" s="42">
        <f t="shared" si="705"/>
        <v>8000</v>
      </c>
      <c r="J716" s="8">
        <v>25000</v>
      </c>
      <c r="K716" s="42">
        <f t="shared" si="706"/>
        <v>8000</v>
      </c>
      <c r="L716" s="8">
        <v>25000</v>
      </c>
      <c r="M716" s="9">
        <v>9</v>
      </c>
      <c r="N716" s="9">
        <v>16.100000000000001</v>
      </c>
      <c r="O716" s="9">
        <v>14</v>
      </c>
      <c r="P716" s="9">
        <v>19.5</v>
      </c>
      <c r="Q716" s="93">
        <v>3.1135483000000002</v>
      </c>
      <c r="R716">
        <v>10</v>
      </c>
      <c r="S716">
        <v>1000</v>
      </c>
      <c r="V716">
        <f t="shared" ref="V716:W716" si="756">V692</f>
        <v>3.6</v>
      </c>
      <c r="W716">
        <f t="shared" si="756"/>
        <v>3</v>
      </c>
      <c r="X716">
        <v>3.1135483000000002</v>
      </c>
    </row>
    <row r="717" spans="1:24" x14ac:dyDescent="0.2">
      <c r="A717" s="41">
        <f t="shared" si="748"/>
        <v>45868.749999998268</v>
      </c>
      <c r="B717" s="42">
        <f t="shared" si="703"/>
        <v>5000</v>
      </c>
      <c r="C717" s="8">
        <v>25000</v>
      </c>
      <c r="D717" s="8">
        <v>0</v>
      </c>
      <c r="E717" s="8">
        <v>700</v>
      </c>
      <c r="F717" s="8">
        <v>15000</v>
      </c>
      <c r="G717" s="42">
        <f t="shared" si="704"/>
        <v>2400</v>
      </c>
      <c r="H717" s="8">
        <v>25000</v>
      </c>
      <c r="I717" s="42">
        <f t="shared" si="705"/>
        <v>5000</v>
      </c>
      <c r="J717" s="8">
        <v>25000</v>
      </c>
      <c r="K717" s="42">
        <f t="shared" si="706"/>
        <v>5000</v>
      </c>
      <c r="L717" s="8">
        <v>25000</v>
      </c>
      <c r="M717" s="9">
        <v>9</v>
      </c>
      <c r="N717" s="9">
        <v>16.100000000000001</v>
      </c>
      <c r="O717" s="9">
        <v>14</v>
      </c>
      <c r="P717" s="9">
        <v>19.5</v>
      </c>
      <c r="Q717" s="93">
        <v>3.1045829999999999</v>
      </c>
      <c r="R717">
        <v>10</v>
      </c>
      <c r="S717">
        <v>1000</v>
      </c>
      <c r="V717">
        <f t="shared" ref="V717:W717" si="757">V693</f>
        <v>2.9</v>
      </c>
      <c r="W717">
        <f t="shared" si="757"/>
        <v>3</v>
      </c>
      <c r="X717">
        <v>3.1045829999999999</v>
      </c>
    </row>
    <row r="718" spans="1:24" x14ac:dyDescent="0.2">
      <c r="A718" s="41">
        <f t="shared" si="748"/>
        <v>45868.791666664933</v>
      </c>
      <c r="B718" s="42">
        <f t="shared" si="703"/>
        <v>5000</v>
      </c>
      <c r="C718" s="8">
        <v>25000</v>
      </c>
      <c r="D718" s="8">
        <v>0</v>
      </c>
      <c r="E718" s="8">
        <v>700</v>
      </c>
      <c r="F718" s="8">
        <v>15000</v>
      </c>
      <c r="G718" s="42">
        <f t="shared" si="704"/>
        <v>2400</v>
      </c>
      <c r="H718" s="8">
        <v>25000</v>
      </c>
      <c r="I718" s="42">
        <f t="shared" si="705"/>
        <v>5000</v>
      </c>
      <c r="J718" s="8">
        <v>25000</v>
      </c>
      <c r="K718" s="42">
        <f t="shared" si="706"/>
        <v>5000</v>
      </c>
      <c r="L718" s="8">
        <v>25000</v>
      </c>
      <c r="M718" s="9">
        <v>9</v>
      </c>
      <c r="N718" s="9">
        <v>16.100000000000001</v>
      </c>
      <c r="O718" s="9">
        <v>14</v>
      </c>
      <c r="P718" s="9">
        <v>19.5</v>
      </c>
      <c r="Q718" s="93">
        <v>3.0714343</v>
      </c>
      <c r="R718">
        <v>10</v>
      </c>
      <c r="S718">
        <v>1000</v>
      </c>
      <c r="V718">
        <f t="shared" ref="V718:W718" si="758">V694</f>
        <v>3</v>
      </c>
      <c r="W718">
        <f t="shared" si="758"/>
        <v>3</v>
      </c>
      <c r="X718">
        <v>3.0714343</v>
      </c>
    </row>
    <row r="719" spans="1:24" x14ac:dyDescent="0.2">
      <c r="A719" s="41">
        <f t="shared" si="748"/>
        <v>45868.833333331597</v>
      </c>
      <c r="B719" s="42">
        <f t="shared" si="703"/>
        <v>5000</v>
      </c>
      <c r="C719" s="8">
        <v>25000</v>
      </c>
      <c r="D719" s="8">
        <v>0</v>
      </c>
      <c r="E719" s="8">
        <v>700</v>
      </c>
      <c r="F719" s="8">
        <v>15000</v>
      </c>
      <c r="G719" s="42">
        <f t="shared" si="704"/>
        <v>2400</v>
      </c>
      <c r="H719" s="8">
        <v>25000</v>
      </c>
      <c r="I719" s="42">
        <f t="shared" si="705"/>
        <v>5000</v>
      </c>
      <c r="J719" s="8">
        <v>25000</v>
      </c>
      <c r="K719" s="42">
        <f t="shared" si="706"/>
        <v>5000</v>
      </c>
      <c r="L719" s="8">
        <v>25000</v>
      </c>
      <c r="M719" s="9">
        <v>9</v>
      </c>
      <c r="N719" s="9">
        <v>16.100000000000001</v>
      </c>
      <c r="O719" s="9">
        <v>14</v>
      </c>
      <c r="P719" s="9">
        <v>19.5</v>
      </c>
      <c r="Q719" s="93">
        <v>3.0366216000000001</v>
      </c>
      <c r="R719">
        <v>10</v>
      </c>
      <c r="S719">
        <v>1000</v>
      </c>
      <c r="V719">
        <f t="shared" ref="V719:W719" si="759">V695</f>
        <v>2.8</v>
      </c>
      <c r="W719">
        <f t="shared" si="759"/>
        <v>3.1</v>
      </c>
      <c r="X719">
        <v>3.0366216000000001</v>
      </c>
    </row>
    <row r="720" spans="1:24" x14ac:dyDescent="0.2">
      <c r="A720" s="41">
        <f t="shared" si="748"/>
        <v>45868.874999998261</v>
      </c>
      <c r="B720" s="42">
        <f t="shared" si="703"/>
        <v>5000</v>
      </c>
      <c r="C720" s="8">
        <v>25000</v>
      </c>
      <c r="D720" s="8">
        <v>0</v>
      </c>
      <c r="E720" s="8">
        <v>700</v>
      </c>
      <c r="F720" s="8">
        <v>15000</v>
      </c>
      <c r="G720" s="42">
        <f t="shared" si="704"/>
        <v>2400</v>
      </c>
      <c r="H720" s="8">
        <v>25000</v>
      </c>
      <c r="I720" s="42">
        <f t="shared" si="705"/>
        <v>5000</v>
      </c>
      <c r="J720" s="8">
        <v>25000</v>
      </c>
      <c r="K720" s="42">
        <f t="shared" si="706"/>
        <v>5000</v>
      </c>
      <c r="L720" s="8">
        <v>25000</v>
      </c>
      <c r="M720" s="9">
        <v>9</v>
      </c>
      <c r="N720" s="9">
        <v>16.100000000000001</v>
      </c>
      <c r="O720" s="9">
        <v>14</v>
      </c>
      <c r="P720" s="9">
        <v>19.5</v>
      </c>
      <c r="Q720" s="93">
        <v>3.0038790999999998</v>
      </c>
      <c r="R720">
        <v>10</v>
      </c>
      <c r="S720">
        <v>1000</v>
      </c>
      <c r="V720">
        <f t="shared" ref="V720:W720" si="760">V696</f>
        <v>3.5</v>
      </c>
      <c r="W720">
        <f t="shared" si="760"/>
        <v>3.1</v>
      </c>
      <c r="X720">
        <v>3.0038790999999998</v>
      </c>
    </row>
    <row r="721" spans="1:24" x14ac:dyDescent="0.2">
      <c r="A721" s="41">
        <f t="shared" si="748"/>
        <v>45868.916666664925</v>
      </c>
      <c r="B721" s="42">
        <f t="shared" si="703"/>
        <v>5000</v>
      </c>
      <c r="C721" s="8">
        <v>25000</v>
      </c>
      <c r="D721" s="8">
        <v>0</v>
      </c>
      <c r="E721" s="8">
        <v>700</v>
      </c>
      <c r="F721" s="8">
        <v>15000</v>
      </c>
      <c r="G721" s="42">
        <f t="shared" si="704"/>
        <v>2400</v>
      </c>
      <c r="H721" s="8">
        <v>25000</v>
      </c>
      <c r="I721" s="42">
        <f t="shared" si="705"/>
        <v>5000</v>
      </c>
      <c r="J721" s="8">
        <v>25000</v>
      </c>
      <c r="K721" s="42">
        <f t="shared" si="706"/>
        <v>5000</v>
      </c>
      <c r="L721" s="8">
        <v>25000</v>
      </c>
      <c r="M721" s="9">
        <v>9</v>
      </c>
      <c r="N721" s="9">
        <v>16.100000000000001</v>
      </c>
      <c r="O721" s="9">
        <v>14</v>
      </c>
      <c r="P721" s="9">
        <v>19.5</v>
      </c>
      <c r="Q721" s="93">
        <v>2.9666416999999998</v>
      </c>
      <c r="R721">
        <v>10</v>
      </c>
      <c r="S721">
        <v>1000</v>
      </c>
      <c r="V721">
        <f t="shared" ref="V721:W721" si="761">V697</f>
        <v>2.9</v>
      </c>
      <c r="W721">
        <f t="shared" si="761"/>
        <v>3.1</v>
      </c>
      <c r="X721">
        <v>2.9666416999999998</v>
      </c>
    </row>
    <row r="722" spans="1:24" x14ac:dyDescent="0.2">
      <c r="A722" s="41">
        <f t="shared" si="748"/>
        <v>45868.95833333159</v>
      </c>
      <c r="B722" s="42">
        <f t="shared" si="703"/>
        <v>5000</v>
      </c>
      <c r="C722" s="8">
        <v>25000</v>
      </c>
      <c r="D722" s="8">
        <v>0</v>
      </c>
      <c r="E722" s="8">
        <v>700</v>
      </c>
      <c r="F722" s="8">
        <v>15000</v>
      </c>
      <c r="G722" s="42">
        <f t="shared" si="704"/>
        <v>2400</v>
      </c>
      <c r="H722" s="8">
        <v>25000</v>
      </c>
      <c r="I722" s="42">
        <f t="shared" si="705"/>
        <v>5000</v>
      </c>
      <c r="J722" s="8">
        <v>25000</v>
      </c>
      <c r="K722" s="42">
        <f t="shared" si="706"/>
        <v>5000</v>
      </c>
      <c r="L722" s="8">
        <v>25000</v>
      </c>
      <c r="M722" s="9">
        <v>9</v>
      </c>
      <c r="N722" s="9">
        <v>16.100000000000001</v>
      </c>
      <c r="O722" s="9">
        <v>14</v>
      </c>
      <c r="P722" s="9">
        <v>19.5</v>
      </c>
      <c r="Q722" s="93">
        <v>2.864007</v>
      </c>
      <c r="R722">
        <v>10</v>
      </c>
      <c r="S722">
        <v>1000</v>
      </c>
      <c r="V722">
        <f t="shared" ref="V722:W722" si="762">V698</f>
        <v>3.6</v>
      </c>
      <c r="W722">
        <f t="shared" si="762"/>
        <v>3.1</v>
      </c>
      <c r="X722">
        <v>2.864007</v>
      </c>
    </row>
    <row r="723" spans="1:24" x14ac:dyDescent="0.2">
      <c r="A723" s="41">
        <f t="shared" si="748"/>
        <v>45868.999999998254</v>
      </c>
      <c r="B723" s="42">
        <f t="shared" si="703"/>
        <v>5000</v>
      </c>
      <c r="C723" s="8">
        <v>25000</v>
      </c>
      <c r="D723" s="8">
        <v>0</v>
      </c>
      <c r="E723" s="8">
        <v>700</v>
      </c>
      <c r="F723" s="8">
        <v>15000</v>
      </c>
      <c r="G723" s="42">
        <f t="shared" si="704"/>
        <v>2400</v>
      </c>
      <c r="H723" s="8">
        <v>25000</v>
      </c>
      <c r="I723" s="42">
        <f t="shared" si="705"/>
        <v>5000</v>
      </c>
      <c r="J723" s="8">
        <v>25000</v>
      </c>
      <c r="K723" s="42">
        <f t="shared" si="706"/>
        <v>5000</v>
      </c>
      <c r="L723" s="8">
        <v>25000</v>
      </c>
      <c r="M723" s="9">
        <v>9</v>
      </c>
      <c r="N723" s="9">
        <v>16.100000000000001</v>
      </c>
      <c r="O723" s="9">
        <v>14</v>
      </c>
      <c r="P723" s="9">
        <v>19.5</v>
      </c>
      <c r="Q723" s="93">
        <v>2.7791035000000002</v>
      </c>
      <c r="R723">
        <v>10</v>
      </c>
      <c r="S723">
        <v>1000</v>
      </c>
      <c r="V723">
        <f t="shared" ref="V723:W723" si="763">V699</f>
        <v>3</v>
      </c>
      <c r="W723">
        <f t="shared" si="763"/>
        <v>3.2</v>
      </c>
      <c r="X723">
        <v>2.7791035000000002</v>
      </c>
    </row>
    <row r="724" spans="1:24" x14ac:dyDescent="0.2">
      <c r="A724" s="41">
        <f t="shared" si="748"/>
        <v>45869.041666664918</v>
      </c>
      <c r="B724" s="42">
        <f t="shared" si="703"/>
        <v>5000</v>
      </c>
      <c r="C724" s="8">
        <v>25000</v>
      </c>
      <c r="D724" s="8">
        <v>0</v>
      </c>
      <c r="E724" s="8">
        <v>700</v>
      </c>
      <c r="F724" s="8">
        <v>15000</v>
      </c>
      <c r="G724" s="42">
        <f t="shared" si="704"/>
        <v>2400</v>
      </c>
      <c r="H724" s="8">
        <v>25000</v>
      </c>
      <c r="I724" s="42">
        <f t="shared" si="705"/>
        <v>5000</v>
      </c>
      <c r="J724" s="8">
        <v>25000</v>
      </c>
      <c r="K724" s="42">
        <f t="shared" si="706"/>
        <v>5000</v>
      </c>
      <c r="L724" s="8">
        <v>25000</v>
      </c>
      <c r="M724" s="9">
        <v>9</v>
      </c>
      <c r="N724" s="9">
        <v>16.100000000000001</v>
      </c>
      <c r="O724" s="9">
        <v>14</v>
      </c>
      <c r="P724" s="9">
        <v>19.5</v>
      </c>
      <c r="Q724" s="93">
        <v>2.7200400999999998</v>
      </c>
      <c r="R724">
        <v>10</v>
      </c>
      <c r="S724">
        <v>1000</v>
      </c>
      <c r="V724">
        <f t="shared" ref="V724:W724" si="764">V700</f>
        <v>2.6</v>
      </c>
      <c r="W724">
        <f t="shared" si="764"/>
        <v>3.2</v>
      </c>
      <c r="X724">
        <v>2.7200400999999998</v>
      </c>
    </row>
    <row r="725" spans="1:24" x14ac:dyDescent="0.2">
      <c r="A725" s="41">
        <f t="shared" si="748"/>
        <v>45869.083333331582</v>
      </c>
      <c r="B725" s="42">
        <f t="shared" si="703"/>
        <v>5000</v>
      </c>
      <c r="C725" s="8">
        <v>25000</v>
      </c>
      <c r="D725" s="8">
        <v>0</v>
      </c>
      <c r="E725" s="8">
        <v>700</v>
      </c>
      <c r="F725" s="8">
        <v>15000</v>
      </c>
      <c r="G725" s="42">
        <f t="shared" si="704"/>
        <v>2400</v>
      </c>
      <c r="H725" s="8">
        <v>25000</v>
      </c>
      <c r="I725" s="42">
        <f t="shared" si="705"/>
        <v>5000</v>
      </c>
      <c r="J725" s="8">
        <v>25000</v>
      </c>
      <c r="K725" s="42">
        <f t="shared" si="706"/>
        <v>5000</v>
      </c>
      <c r="L725" s="8">
        <v>25000</v>
      </c>
      <c r="M725" s="9">
        <v>9</v>
      </c>
      <c r="N725" s="9">
        <v>16.100000000000001</v>
      </c>
      <c r="O725" s="9">
        <v>14</v>
      </c>
      <c r="P725" s="9">
        <v>19.5</v>
      </c>
      <c r="Q725" s="93">
        <v>2.7823712999999999</v>
      </c>
      <c r="R725">
        <v>10</v>
      </c>
      <c r="S725">
        <v>1000</v>
      </c>
      <c r="V725">
        <f t="shared" ref="V725:W725" si="765">V701</f>
        <v>2.8</v>
      </c>
      <c r="W725">
        <f t="shared" si="765"/>
        <v>3.2</v>
      </c>
      <c r="X725">
        <v>2.7823712999999999</v>
      </c>
    </row>
    <row r="726" spans="1:24" x14ac:dyDescent="0.2">
      <c r="A726" s="41">
        <f t="shared" si="748"/>
        <v>45869.124999998246</v>
      </c>
      <c r="B726" s="42">
        <f t="shared" si="703"/>
        <v>5000</v>
      </c>
      <c r="C726" s="8">
        <v>25000</v>
      </c>
      <c r="D726" s="8">
        <v>0</v>
      </c>
      <c r="E726" s="8">
        <v>700</v>
      </c>
      <c r="F726" s="8">
        <v>15000</v>
      </c>
      <c r="G726" s="42">
        <f t="shared" si="704"/>
        <v>2400</v>
      </c>
      <c r="H726" s="8">
        <v>25000</v>
      </c>
      <c r="I726" s="42">
        <f t="shared" si="705"/>
        <v>5000</v>
      </c>
      <c r="J726" s="8">
        <v>25000</v>
      </c>
      <c r="K726" s="42">
        <f t="shared" si="706"/>
        <v>5000</v>
      </c>
      <c r="L726" s="8">
        <v>25000</v>
      </c>
      <c r="M726" s="9">
        <v>9</v>
      </c>
      <c r="N726" s="9">
        <v>16.100000000000001</v>
      </c>
      <c r="O726" s="9">
        <v>14</v>
      </c>
      <c r="P726" s="9">
        <v>19.5</v>
      </c>
      <c r="Q726" s="93">
        <v>2.8259037</v>
      </c>
      <c r="R726">
        <v>10</v>
      </c>
      <c r="S726">
        <v>1000</v>
      </c>
      <c r="V726">
        <f t="shared" ref="V726:W726" si="766">V702</f>
        <v>2.7</v>
      </c>
      <c r="W726">
        <f t="shared" si="766"/>
        <v>3.2</v>
      </c>
      <c r="X726">
        <v>2.8259037</v>
      </c>
    </row>
    <row r="727" spans="1:24" x14ac:dyDescent="0.2">
      <c r="A727" s="41">
        <f t="shared" si="748"/>
        <v>45869.166666664911</v>
      </c>
      <c r="B727" s="42">
        <f t="shared" si="703"/>
        <v>5000</v>
      </c>
      <c r="C727" s="8">
        <v>25000</v>
      </c>
      <c r="D727" s="8">
        <v>0</v>
      </c>
      <c r="E727" s="8">
        <v>700</v>
      </c>
      <c r="F727" s="8">
        <v>15000</v>
      </c>
      <c r="G727" s="42">
        <f t="shared" si="704"/>
        <v>2400</v>
      </c>
      <c r="H727" s="8">
        <v>25000</v>
      </c>
      <c r="I727" s="42">
        <f t="shared" si="705"/>
        <v>5000</v>
      </c>
      <c r="J727" s="8">
        <v>25000</v>
      </c>
      <c r="K727" s="42">
        <f t="shared" si="706"/>
        <v>5000</v>
      </c>
      <c r="L727" s="8">
        <v>25000</v>
      </c>
      <c r="M727" s="9">
        <v>9</v>
      </c>
      <c r="N727" s="9">
        <v>16.100000000000001</v>
      </c>
      <c r="O727" s="9">
        <v>14</v>
      </c>
      <c r="P727" s="9">
        <v>19.5</v>
      </c>
      <c r="Q727" s="93">
        <v>2.8444425999999998</v>
      </c>
      <c r="R727">
        <v>10</v>
      </c>
      <c r="S727">
        <v>1000</v>
      </c>
      <c r="V727">
        <f t="shared" ref="V727:W727" si="767">V703</f>
        <v>3</v>
      </c>
      <c r="W727">
        <f t="shared" si="767"/>
        <v>3.1</v>
      </c>
      <c r="X727">
        <v>2.8444425999999998</v>
      </c>
    </row>
    <row r="728" spans="1:24" x14ac:dyDescent="0.2">
      <c r="A728" s="41">
        <f t="shared" si="748"/>
        <v>45869.208333331575</v>
      </c>
      <c r="B728" s="42">
        <f t="shared" si="703"/>
        <v>5000</v>
      </c>
      <c r="C728" s="8">
        <v>25000</v>
      </c>
      <c r="D728" s="8">
        <v>0</v>
      </c>
      <c r="E728" s="8">
        <v>700</v>
      </c>
      <c r="F728" s="8">
        <v>15000</v>
      </c>
      <c r="G728" s="42">
        <f t="shared" si="704"/>
        <v>2400</v>
      </c>
      <c r="H728" s="8">
        <v>25000</v>
      </c>
      <c r="I728" s="42">
        <f t="shared" si="705"/>
        <v>5000</v>
      </c>
      <c r="J728" s="8">
        <v>25000</v>
      </c>
      <c r="K728" s="42">
        <f t="shared" si="706"/>
        <v>5000</v>
      </c>
      <c r="L728" s="8">
        <v>25000</v>
      </c>
      <c r="M728" s="9">
        <v>9</v>
      </c>
      <c r="N728" s="9">
        <v>16.100000000000001</v>
      </c>
      <c r="O728" s="9">
        <v>14</v>
      </c>
      <c r="P728" s="9">
        <v>19.5</v>
      </c>
      <c r="Q728" s="93">
        <v>2.9087209999999999</v>
      </c>
      <c r="R728">
        <v>10</v>
      </c>
      <c r="S728">
        <v>1000</v>
      </c>
      <c r="V728">
        <f t="shared" ref="V728:W728" si="768">V704</f>
        <v>2.9</v>
      </c>
      <c r="W728">
        <f t="shared" si="768"/>
        <v>3.1</v>
      </c>
      <c r="X728">
        <v>2.9087209999999999</v>
      </c>
    </row>
    <row r="729" spans="1:24" x14ac:dyDescent="0.2">
      <c r="A729" s="41">
        <f t="shared" si="748"/>
        <v>45869.249999998239</v>
      </c>
      <c r="B729" s="42">
        <f t="shared" si="703"/>
        <v>8000</v>
      </c>
      <c r="C729" s="8">
        <v>25000</v>
      </c>
      <c r="D729" s="8">
        <v>0</v>
      </c>
      <c r="E729" s="8">
        <v>700</v>
      </c>
      <c r="F729" s="8">
        <v>15000</v>
      </c>
      <c r="G729" s="42">
        <f t="shared" si="704"/>
        <v>2400</v>
      </c>
      <c r="H729" s="8">
        <v>25000</v>
      </c>
      <c r="I729" s="42">
        <f t="shared" si="705"/>
        <v>8000</v>
      </c>
      <c r="J729" s="8">
        <v>25000</v>
      </c>
      <c r="K729" s="42">
        <f t="shared" si="706"/>
        <v>8000</v>
      </c>
      <c r="L729" s="8">
        <v>25000</v>
      </c>
      <c r="M729" s="9">
        <v>9</v>
      </c>
      <c r="N729" s="9">
        <v>16.100000000000001</v>
      </c>
      <c r="O729" s="9">
        <v>14</v>
      </c>
      <c r="P729" s="9">
        <v>19.5</v>
      </c>
      <c r="Q729" s="93">
        <v>3.0135044999999998</v>
      </c>
      <c r="R729">
        <v>10</v>
      </c>
      <c r="S729">
        <v>1000</v>
      </c>
      <c r="V729">
        <f t="shared" ref="V729:W729" si="769">V705</f>
        <v>2.5</v>
      </c>
      <c r="W729">
        <f t="shared" si="769"/>
        <v>3.1</v>
      </c>
      <c r="X729">
        <v>3.0135044999999998</v>
      </c>
    </row>
    <row r="730" spans="1:24" x14ac:dyDescent="0.2">
      <c r="A730" s="41">
        <f t="shared" si="748"/>
        <v>45869.291666664903</v>
      </c>
      <c r="B730" s="42">
        <f t="shared" si="703"/>
        <v>8000</v>
      </c>
      <c r="C730" s="8">
        <v>25000</v>
      </c>
      <c r="D730" s="8">
        <v>0</v>
      </c>
      <c r="E730" s="8">
        <v>700</v>
      </c>
      <c r="F730" s="8">
        <v>15000</v>
      </c>
      <c r="G730" s="42">
        <f t="shared" si="704"/>
        <v>2400</v>
      </c>
      <c r="H730" s="8">
        <v>25000</v>
      </c>
      <c r="I730" s="42">
        <f t="shared" si="705"/>
        <v>8000</v>
      </c>
      <c r="J730" s="8">
        <v>25000</v>
      </c>
      <c r="K730" s="42">
        <f t="shared" si="706"/>
        <v>8000</v>
      </c>
      <c r="L730" s="8">
        <v>25000</v>
      </c>
      <c r="M730" s="9">
        <v>9</v>
      </c>
      <c r="N730" s="9">
        <v>16.100000000000001</v>
      </c>
      <c r="O730" s="9">
        <v>14</v>
      </c>
      <c r="P730" s="9">
        <v>19.5</v>
      </c>
      <c r="Q730" s="93">
        <v>3.1382441999999999</v>
      </c>
      <c r="R730">
        <v>10</v>
      </c>
      <c r="S730">
        <v>1000</v>
      </c>
      <c r="V730">
        <f t="shared" ref="V730:W730" si="770">V706</f>
        <v>2.5</v>
      </c>
      <c r="W730">
        <f t="shared" si="770"/>
        <v>3.1</v>
      </c>
      <c r="X730">
        <v>3.1382441999999999</v>
      </c>
    </row>
    <row r="731" spans="1:24" x14ac:dyDescent="0.2">
      <c r="A731" s="41">
        <f t="shared" si="748"/>
        <v>45869.333333331568</v>
      </c>
      <c r="B731" s="42">
        <f t="shared" si="703"/>
        <v>8000</v>
      </c>
      <c r="C731" s="8">
        <v>25000</v>
      </c>
      <c r="D731" s="8">
        <v>0</v>
      </c>
      <c r="E731" s="8">
        <v>700</v>
      </c>
      <c r="F731" s="8">
        <v>15000</v>
      </c>
      <c r="G731" s="42">
        <f t="shared" si="704"/>
        <v>2400</v>
      </c>
      <c r="H731" s="8">
        <v>25000</v>
      </c>
      <c r="I731" s="42">
        <f t="shared" si="705"/>
        <v>8000</v>
      </c>
      <c r="J731" s="8">
        <v>25000</v>
      </c>
      <c r="K731" s="42">
        <f t="shared" si="706"/>
        <v>8000</v>
      </c>
      <c r="L731" s="8">
        <v>25000</v>
      </c>
      <c r="M731" s="9">
        <v>9</v>
      </c>
      <c r="N731" s="9">
        <v>16.100000000000001</v>
      </c>
      <c r="O731" s="9">
        <v>14</v>
      </c>
      <c r="P731" s="9">
        <v>19.5</v>
      </c>
      <c r="Q731" s="93">
        <v>3.2002993000000002</v>
      </c>
      <c r="R731">
        <v>10</v>
      </c>
      <c r="S731">
        <v>1000</v>
      </c>
      <c r="V731">
        <f t="shared" ref="V731:W731" si="771">V707</f>
        <v>3.2</v>
      </c>
      <c r="W731">
        <f t="shared" si="771"/>
        <v>3</v>
      </c>
      <c r="X731">
        <v>3.2002993000000002</v>
      </c>
    </row>
    <row r="732" spans="1:24" x14ac:dyDescent="0.2">
      <c r="A732" s="41">
        <f t="shared" si="748"/>
        <v>45869.374999998232</v>
      </c>
      <c r="B732" s="42">
        <f t="shared" ref="B732:B746" si="772">B708</f>
        <v>8000</v>
      </c>
      <c r="C732" s="8">
        <v>25000</v>
      </c>
      <c r="D732" s="8">
        <v>0</v>
      </c>
      <c r="E732" s="8">
        <v>700</v>
      </c>
      <c r="F732" s="8">
        <v>15000</v>
      </c>
      <c r="G732" s="42">
        <f t="shared" ref="G732:G746" si="773">G708</f>
        <v>2400</v>
      </c>
      <c r="H732" s="8">
        <v>25000</v>
      </c>
      <c r="I732" s="42">
        <f t="shared" ref="I732:I746" si="774">I708</f>
        <v>8000</v>
      </c>
      <c r="J732" s="8">
        <v>25000</v>
      </c>
      <c r="K732" s="42">
        <f t="shared" ref="K732:K746" si="775">K708</f>
        <v>8000</v>
      </c>
      <c r="L732" s="8">
        <v>25000</v>
      </c>
      <c r="M732" s="9">
        <v>9</v>
      </c>
      <c r="N732" s="9">
        <v>16.100000000000001</v>
      </c>
      <c r="O732" s="9">
        <v>14</v>
      </c>
      <c r="P732" s="9">
        <v>19.5</v>
      </c>
      <c r="Q732" s="93">
        <v>3.2197428000000001</v>
      </c>
      <c r="R732">
        <v>10</v>
      </c>
      <c r="S732">
        <v>1000</v>
      </c>
      <c r="V732">
        <f t="shared" ref="V732:W732" si="776">V708</f>
        <v>2.9</v>
      </c>
      <c r="W732">
        <f t="shared" si="776"/>
        <v>3</v>
      </c>
      <c r="X732">
        <v>3.2197428000000001</v>
      </c>
    </row>
    <row r="733" spans="1:24" x14ac:dyDescent="0.2">
      <c r="A733" s="41">
        <f t="shared" si="748"/>
        <v>45869.416666664896</v>
      </c>
      <c r="B733" s="42">
        <f t="shared" si="772"/>
        <v>8000</v>
      </c>
      <c r="C733" s="8">
        <v>25000</v>
      </c>
      <c r="D733" s="8">
        <v>0</v>
      </c>
      <c r="E733" s="8">
        <v>700</v>
      </c>
      <c r="F733" s="8">
        <v>15000</v>
      </c>
      <c r="G733" s="42">
        <f t="shared" si="773"/>
        <v>2400</v>
      </c>
      <c r="H733" s="8">
        <v>25000</v>
      </c>
      <c r="I733" s="42">
        <f t="shared" si="774"/>
        <v>8000</v>
      </c>
      <c r="J733" s="8">
        <v>25000</v>
      </c>
      <c r="K733" s="42">
        <f t="shared" si="775"/>
        <v>8000</v>
      </c>
      <c r="L733" s="8">
        <v>25000</v>
      </c>
      <c r="M733" s="9">
        <v>9</v>
      </c>
      <c r="N733" s="9">
        <v>16.100000000000001</v>
      </c>
      <c r="O733" s="9">
        <v>14</v>
      </c>
      <c r="P733" s="9">
        <v>19.5</v>
      </c>
      <c r="Q733" s="93">
        <v>3.2692931000000001</v>
      </c>
      <c r="R733">
        <v>10</v>
      </c>
      <c r="S733">
        <v>1000</v>
      </c>
      <c r="V733">
        <f t="shared" ref="V733:W733" si="777">V709</f>
        <v>2.9</v>
      </c>
      <c r="W733">
        <f t="shared" si="777"/>
        <v>3</v>
      </c>
      <c r="X733">
        <v>3.2692931000000001</v>
      </c>
    </row>
    <row r="734" spans="1:24" x14ac:dyDescent="0.2">
      <c r="A734" s="41">
        <f t="shared" si="748"/>
        <v>45869.45833333156</v>
      </c>
      <c r="B734" s="42">
        <f t="shared" si="772"/>
        <v>8000</v>
      </c>
      <c r="C734" s="8">
        <v>25000</v>
      </c>
      <c r="D734" s="8">
        <v>0</v>
      </c>
      <c r="E734" s="8">
        <v>700</v>
      </c>
      <c r="F734" s="8">
        <v>15000</v>
      </c>
      <c r="G734" s="42">
        <f t="shared" si="773"/>
        <v>2400</v>
      </c>
      <c r="H734" s="8">
        <v>25000</v>
      </c>
      <c r="I734" s="42">
        <f t="shared" si="774"/>
        <v>8000</v>
      </c>
      <c r="J734" s="8">
        <v>25000</v>
      </c>
      <c r="K734" s="42">
        <f t="shared" si="775"/>
        <v>8000</v>
      </c>
      <c r="L734" s="8">
        <v>25000</v>
      </c>
      <c r="M734" s="9">
        <v>9</v>
      </c>
      <c r="N734" s="9">
        <v>16.100000000000001</v>
      </c>
      <c r="O734" s="9">
        <v>14</v>
      </c>
      <c r="P734" s="9">
        <v>19.5</v>
      </c>
      <c r="Q734" s="93">
        <v>3.2034034999999998</v>
      </c>
      <c r="R734">
        <v>10</v>
      </c>
      <c r="S734">
        <v>1000</v>
      </c>
      <c r="V734">
        <f t="shared" ref="V734:W734" si="778">V710</f>
        <v>3.4</v>
      </c>
      <c r="W734">
        <f t="shared" si="778"/>
        <v>3</v>
      </c>
      <c r="X734">
        <v>3.2034034999999998</v>
      </c>
    </row>
    <row r="735" spans="1:24" x14ac:dyDescent="0.2">
      <c r="A735" s="41">
        <f t="shared" si="748"/>
        <v>45869.499999998225</v>
      </c>
      <c r="B735" s="42">
        <f t="shared" si="772"/>
        <v>8000</v>
      </c>
      <c r="C735" s="8">
        <v>25000</v>
      </c>
      <c r="D735" s="8">
        <v>0</v>
      </c>
      <c r="E735" s="8">
        <v>700</v>
      </c>
      <c r="F735" s="8">
        <v>15000</v>
      </c>
      <c r="G735" s="42">
        <f t="shared" si="773"/>
        <v>2400</v>
      </c>
      <c r="H735" s="8">
        <v>25000</v>
      </c>
      <c r="I735" s="42">
        <f t="shared" si="774"/>
        <v>8000</v>
      </c>
      <c r="J735" s="8">
        <v>25000</v>
      </c>
      <c r="K735" s="42">
        <f t="shared" si="775"/>
        <v>8000</v>
      </c>
      <c r="L735" s="8">
        <v>25000</v>
      </c>
      <c r="M735" s="9">
        <v>9</v>
      </c>
      <c r="N735" s="9">
        <v>16.100000000000001</v>
      </c>
      <c r="O735" s="9">
        <v>14</v>
      </c>
      <c r="P735" s="9">
        <v>19.5</v>
      </c>
      <c r="Q735" s="93">
        <v>3.0651233000000002</v>
      </c>
      <c r="R735">
        <v>10</v>
      </c>
      <c r="S735">
        <v>1000</v>
      </c>
      <c r="V735">
        <f t="shared" ref="V735:W735" si="779">V711</f>
        <v>3.1</v>
      </c>
      <c r="W735">
        <f t="shared" si="779"/>
        <v>2.9</v>
      </c>
      <c r="X735">
        <v>3.0651233000000002</v>
      </c>
    </row>
    <row r="736" spans="1:24" x14ac:dyDescent="0.2">
      <c r="A736" s="41">
        <f t="shared" si="748"/>
        <v>45869.541666664889</v>
      </c>
      <c r="B736" s="42">
        <f t="shared" si="772"/>
        <v>8000</v>
      </c>
      <c r="C736" s="8">
        <v>25000</v>
      </c>
      <c r="D736" s="8">
        <v>0</v>
      </c>
      <c r="E736" s="8">
        <v>700</v>
      </c>
      <c r="F736" s="8">
        <v>15000</v>
      </c>
      <c r="G736" s="42">
        <f t="shared" si="773"/>
        <v>2400</v>
      </c>
      <c r="H736" s="8">
        <v>25000</v>
      </c>
      <c r="I736" s="42">
        <f t="shared" si="774"/>
        <v>8000</v>
      </c>
      <c r="J736" s="8">
        <v>25000</v>
      </c>
      <c r="K736" s="42">
        <f t="shared" si="775"/>
        <v>8000</v>
      </c>
      <c r="L736" s="8">
        <v>25000</v>
      </c>
      <c r="M736" s="9">
        <v>9</v>
      </c>
      <c r="N736" s="9">
        <v>16.100000000000001</v>
      </c>
      <c r="O736" s="9">
        <v>14</v>
      </c>
      <c r="P736" s="9">
        <v>19.5</v>
      </c>
      <c r="Q736" s="93">
        <v>2.9119345999999999</v>
      </c>
      <c r="R736">
        <v>10</v>
      </c>
      <c r="S736">
        <v>1000</v>
      </c>
      <c r="V736">
        <f t="shared" ref="V736:W736" si="780">V712</f>
        <v>3.2</v>
      </c>
      <c r="W736">
        <f t="shared" si="780"/>
        <v>2.9</v>
      </c>
      <c r="X736">
        <v>2.9119345999999999</v>
      </c>
    </row>
    <row r="737" spans="1:24" x14ac:dyDescent="0.2">
      <c r="A737" s="41">
        <f t="shared" si="748"/>
        <v>45869.583333331553</v>
      </c>
      <c r="B737" s="42">
        <f t="shared" si="772"/>
        <v>8000</v>
      </c>
      <c r="C737" s="8">
        <v>25000</v>
      </c>
      <c r="D737" s="8">
        <v>0</v>
      </c>
      <c r="E737" s="8">
        <v>700</v>
      </c>
      <c r="F737" s="8">
        <v>15000</v>
      </c>
      <c r="G737" s="42">
        <f t="shared" si="773"/>
        <v>2400</v>
      </c>
      <c r="H737" s="8">
        <v>25000</v>
      </c>
      <c r="I737" s="42">
        <f t="shared" si="774"/>
        <v>8000</v>
      </c>
      <c r="J737" s="8">
        <v>25000</v>
      </c>
      <c r="K737" s="42">
        <f t="shared" si="775"/>
        <v>8000</v>
      </c>
      <c r="L737" s="8">
        <v>25000</v>
      </c>
      <c r="M737" s="9">
        <v>9</v>
      </c>
      <c r="N737" s="9">
        <v>16.100000000000001</v>
      </c>
      <c r="O737" s="9">
        <v>14</v>
      </c>
      <c r="P737" s="9">
        <v>19.5</v>
      </c>
      <c r="Q737" s="93">
        <v>2.9261689</v>
      </c>
      <c r="R737">
        <v>10</v>
      </c>
      <c r="S737">
        <v>1000</v>
      </c>
      <c r="V737">
        <f t="shared" ref="V737:W737" si="781">V713</f>
        <v>3.5</v>
      </c>
      <c r="W737">
        <f t="shared" si="781"/>
        <v>2.9</v>
      </c>
      <c r="X737">
        <v>2.9261689</v>
      </c>
    </row>
    <row r="738" spans="1:24" x14ac:dyDescent="0.2">
      <c r="A738" s="41">
        <f t="shared" si="748"/>
        <v>45869.624999998217</v>
      </c>
      <c r="B738" s="42">
        <f t="shared" si="772"/>
        <v>8000</v>
      </c>
      <c r="C738" s="8">
        <v>25000</v>
      </c>
      <c r="D738" s="8">
        <v>0</v>
      </c>
      <c r="E738" s="8">
        <v>700</v>
      </c>
      <c r="F738" s="8">
        <v>15000</v>
      </c>
      <c r="G738" s="42">
        <f t="shared" si="773"/>
        <v>2400</v>
      </c>
      <c r="H738" s="8">
        <v>25000</v>
      </c>
      <c r="I738" s="42">
        <f t="shared" si="774"/>
        <v>8000</v>
      </c>
      <c r="J738" s="8">
        <v>25000</v>
      </c>
      <c r="K738" s="42">
        <f t="shared" si="775"/>
        <v>8000</v>
      </c>
      <c r="L738" s="8">
        <v>25000</v>
      </c>
      <c r="M738" s="9">
        <v>9</v>
      </c>
      <c r="N738" s="9">
        <v>16.100000000000001</v>
      </c>
      <c r="O738" s="9">
        <v>14</v>
      </c>
      <c r="P738" s="9">
        <v>19.5</v>
      </c>
      <c r="Q738" s="93">
        <v>3.2169897999999999</v>
      </c>
      <c r="R738">
        <v>10</v>
      </c>
      <c r="S738">
        <v>1000</v>
      </c>
      <c r="V738">
        <f t="shared" ref="V738:W738" si="782">V714</f>
        <v>3.2</v>
      </c>
      <c r="W738">
        <f t="shared" si="782"/>
        <v>2.9</v>
      </c>
      <c r="X738">
        <v>3.2169897999999999</v>
      </c>
    </row>
    <row r="739" spans="1:24" x14ac:dyDescent="0.2">
      <c r="A739" s="41">
        <f t="shared" si="748"/>
        <v>45869.666666664882</v>
      </c>
      <c r="B739" s="42">
        <f t="shared" si="772"/>
        <v>8000</v>
      </c>
      <c r="C739" s="8">
        <v>25000</v>
      </c>
      <c r="D739" s="8">
        <v>0</v>
      </c>
      <c r="E739" s="8">
        <v>700</v>
      </c>
      <c r="F739" s="8">
        <v>15000</v>
      </c>
      <c r="G739" s="42">
        <f t="shared" si="773"/>
        <v>2400</v>
      </c>
      <c r="H739" s="8">
        <v>25000</v>
      </c>
      <c r="I739" s="42">
        <f t="shared" si="774"/>
        <v>8000</v>
      </c>
      <c r="J739" s="8">
        <v>25000</v>
      </c>
      <c r="K739" s="42">
        <f t="shared" si="775"/>
        <v>8000</v>
      </c>
      <c r="L739" s="8">
        <v>25000</v>
      </c>
      <c r="M739" s="9">
        <v>9</v>
      </c>
      <c r="N739" s="9">
        <v>16.100000000000001</v>
      </c>
      <c r="O739" s="9">
        <v>14</v>
      </c>
      <c r="P739" s="9">
        <v>19.5</v>
      </c>
      <c r="Q739" s="93">
        <v>3.1324580000000002</v>
      </c>
      <c r="R739">
        <v>10</v>
      </c>
      <c r="S739">
        <v>1000</v>
      </c>
      <c r="V739">
        <f t="shared" ref="V739:W739" si="783">V715</f>
        <v>3.5</v>
      </c>
      <c r="W739">
        <f t="shared" si="783"/>
        <v>3</v>
      </c>
      <c r="X739">
        <v>3.1324580000000002</v>
      </c>
    </row>
    <row r="740" spans="1:24" x14ac:dyDescent="0.2">
      <c r="A740" s="41">
        <f t="shared" si="748"/>
        <v>45869.708333331546</v>
      </c>
      <c r="B740" s="42">
        <f t="shared" si="772"/>
        <v>8000</v>
      </c>
      <c r="C740" s="8">
        <v>25000</v>
      </c>
      <c r="D740" s="8">
        <v>0</v>
      </c>
      <c r="E740" s="8">
        <v>700</v>
      </c>
      <c r="F740" s="8">
        <v>15000</v>
      </c>
      <c r="G740" s="42">
        <f t="shared" si="773"/>
        <v>2400</v>
      </c>
      <c r="H740" s="8">
        <v>25000</v>
      </c>
      <c r="I740" s="42">
        <f t="shared" si="774"/>
        <v>8000</v>
      </c>
      <c r="J740" s="8">
        <v>25000</v>
      </c>
      <c r="K740" s="42">
        <f t="shared" si="775"/>
        <v>8000</v>
      </c>
      <c r="L740" s="8">
        <v>25000</v>
      </c>
      <c r="M740" s="9">
        <v>9</v>
      </c>
      <c r="N740" s="9">
        <v>16.100000000000001</v>
      </c>
      <c r="O740" s="9">
        <v>14</v>
      </c>
      <c r="P740" s="9">
        <v>19.5</v>
      </c>
      <c r="Q740" s="93">
        <v>3.0924222000000001</v>
      </c>
      <c r="R740">
        <v>10</v>
      </c>
      <c r="S740">
        <v>1000</v>
      </c>
      <c r="V740">
        <f t="shared" ref="V740:W740" si="784">V716</f>
        <v>3.6</v>
      </c>
      <c r="W740">
        <f t="shared" si="784"/>
        <v>3</v>
      </c>
      <c r="X740">
        <v>3.0924222000000001</v>
      </c>
    </row>
    <row r="741" spans="1:24" x14ac:dyDescent="0.2">
      <c r="A741" s="41">
        <f t="shared" si="748"/>
        <v>45869.74999999821</v>
      </c>
      <c r="B741" s="42">
        <f t="shared" si="772"/>
        <v>5000</v>
      </c>
      <c r="C741" s="8">
        <v>25000</v>
      </c>
      <c r="D741" s="8">
        <v>0</v>
      </c>
      <c r="E741" s="8">
        <v>700</v>
      </c>
      <c r="F741" s="8">
        <v>15000</v>
      </c>
      <c r="G741" s="42">
        <f t="shared" si="773"/>
        <v>2400</v>
      </c>
      <c r="H741" s="8">
        <v>25000</v>
      </c>
      <c r="I741" s="42">
        <f t="shared" si="774"/>
        <v>5000</v>
      </c>
      <c r="J741" s="8">
        <v>25000</v>
      </c>
      <c r="K741" s="42">
        <f t="shared" si="775"/>
        <v>5000</v>
      </c>
      <c r="L741" s="8">
        <v>25000</v>
      </c>
      <c r="M741" s="9">
        <v>9</v>
      </c>
      <c r="N741" s="9">
        <v>16.100000000000001</v>
      </c>
      <c r="O741" s="9">
        <v>14</v>
      </c>
      <c r="P741" s="9">
        <v>19.5</v>
      </c>
      <c r="Q741" s="93">
        <v>3.0387556999999998</v>
      </c>
      <c r="R741">
        <v>10</v>
      </c>
      <c r="S741">
        <v>1000</v>
      </c>
      <c r="V741">
        <f t="shared" ref="V741:W741" si="785">V717</f>
        <v>2.9</v>
      </c>
      <c r="W741">
        <f t="shared" si="785"/>
        <v>3</v>
      </c>
      <c r="X741">
        <v>3.0387556999999998</v>
      </c>
    </row>
    <row r="742" spans="1:24" x14ac:dyDescent="0.2">
      <c r="A742" s="41">
        <f t="shared" si="748"/>
        <v>45869.791666664874</v>
      </c>
      <c r="B742" s="42">
        <f t="shared" si="772"/>
        <v>5000</v>
      </c>
      <c r="C742" s="8">
        <v>25000</v>
      </c>
      <c r="D742" s="8">
        <v>0</v>
      </c>
      <c r="E742" s="8">
        <v>700</v>
      </c>
      <c r="F742" s="8">
        <v>15000</v>
      </c>
      <c r="G742" s="42">
        <f t="shared" si="773"/>
        <v>2400</v>
      </c>
      <c r="H742" s="8">
        <v>25000</v>
      </c>
      <c r="I742" s="42">
        <f t="shared" si="774"/>
        <v>5000</v>
      </c>
      <c r="J742" s="8">
        <v>25000</v>
      </c>
      <c r="K742" s="42">
        <f t="shared" si="775"/>
        <v>5000</v>
      </c>
      <c r="L742" s="8">
        <v>25000</v>
      </c>
      <c r="M742" s="9">
        <v>9</v>
      </c>
      <c r="N742" s="9">
        <v>16.100000000000001</v>
      </c>
      <c r="O742" s="9">
        <v>14</v>
      </c>
      <c r="P742" s="9">
        <v>19.5</v>
      </c>
      <c r="Q742" s="93">
        <v>2.9669864000000001</v>
      </c>
      <c r="R742">
        <v>10</v>
      </c>
      <c r="S742">
        <v>1000</v>
      </c>
      <c r="V742">
        <f t="shared" ref="V742:W742" si="786">V718</f>
        <v>3</v>
      </c>
      <c r="W742">
        <f t="shared" si="786"/>
        <v>3</v>
      </c>
      <c r="X742">
        <v>2.9669864000000001</v>
      </c>
    </row>
    <row r="743" spans="1:24" x14ac:dyDescent="0.2">
      <c r="A743" s="41">
        <f t="shared" si="748"/>
        <v>45869.833333331539</v>
      </c>
      <c r="B743" s="42">
        <f t="shared" si="772"/>
        <v>5000</v>
      </c>
      <c r="C743" s="8">
        <v>25000</v>
      </c>
      <c r="D743" s="8">
        <v>0</v>
      </c>
      <c r="E743" s="8">
        <v>700</v>
      </c>
      <c r="F743" s="8">
        <v>15000</v>
      </c>
      <c r="G743" s="42">
        <f t="shared" si="773"/>
        <v>2400</v>
      </c>
      <c r="H743" s="8">
        <v>25000</v>
      </c>
      <c r="I743" s="42">
        <f t="shared" si="774"/>
        <v>5000</v>
      </c>
      <c r="J743" s="8">
        <v>25000</v>
      </c>
      <c r="K743" s="42">
        <f t="shared" si="775"/>
        <v>5000</v>
      </c>
      <c r="L743" s="8">
        <v>25000</v>
      </c>
      <c r="M743" s="9">
        <v>9</v>
      </c>
      <c r="N743" s="9">
        <v>16.100000000000001</v>
      </c>
      <c r="O743" s="9">
        <v>14</v>
      </c>
      <c r="P743" s="9">
        <v>19.5</v>
      </c>
      <c r="Q743" s="93">
        <v>2.9263355999999998</v>
      </c>
      <c r="R743">
        <v>10</v>
      </c>
      <c r="S743">
        <v>1000</v>
      </c>
      <c r="V743">
        <f t="shared" ref="V743:W743" si="787">V719</f>
        <v>2.8</v>
      </c>
      <c r="W743">
        <f t="shared" si="787"/>
        <v>3.1</v>
      </c>
      <c r="X743">
        <v>2.9263355999999998</v>
      </c>
    </row>
    <row r="744" spans="1:24" x14ac:dyDescent="0.2">
      <c r="A744" s="41">
        <f t="shared" si="748"/>
        <v>45869.874999998203</v>
      </c>
      <c r="B744" s="42">
        <f t="shared" si="772"/>
        <v>5000</v>
      </c>
      <c r="C744" s="8">
        <v>25000</v>
      </c>
      <c r="D744" s="8">
        <v>0</v>
      </c>
      <c r="E744" s="8">
        <v>700</v>
      </c>
      <c r="F744" s="8">
        <v>15000</v>
      </c>
      <c r="G744" s="42">
        <f t="shared" si="773"/>
        <v>2400</v>
      </c>
      <c r="H744" s="8">
        <v>25000</v>
      </c>
      <c r="I744" s="42">
        <f t="shared" si="774"/>
        <v>5000</v>
      </c>
      <c r="J744" s="8">
        <v>25000</v>
      </c>
      <c r="K744" s="42">
        <f t="shared" si="775"/>
        <v>5000</v>
      </c>
      <c r="L744" s="8">
        <v>25000</v>
      </c>
      <c r="M744" s="9">
        <v>9</v>
      </c>
      <c r="N744" s="9">
        <v>16.100000000000001</v>
      </c>
      <c r="O744" s="9">
        <v>14</v>
      </c>
      <c r="P744" s="9">
        <v>19.5</v>
      </c>
      <c r="Q744" s="93">
        <v>2.9010636999999999</v>
      </c>
      <c r="R744">
        <v>10</v>
      </c>
      <c r="S744">
        <v>1000</v>
      </c>
      <c r="V744">
        <f t="shared" ref="V744:W744" si="788">V720</f>
        <v>3.5</v>
      </c>
      <c r="W744">
        <f t="shared" si="788"/>
        <v>3.1</v>
      </c>
      <c r="X744">
        <v>2.9010636999999999</v>
      </c>
    </row>
    <row r="745" spans="1:24" x14ac:dyDescent="0.2">
      <c r="A745" s="41">
        <f t="shared" si="748"/>
        <v>45869.916666664867</v>
      </c>
      <c r="B745" s="42">
        <f t="shared" si="772"/>
        <v>5000</v>
      </c>
      <c r="C745" s="8">
        <v>25000</v>
      </c>
      <c r="D745" s="8">
        <v>0</v>
      </c>
      <c r="E745" s="8">
        <v>700</v>
      </c>
      <c r="F745" s="8">
        <v>15000</v>
      </c>
      <c r="G745" s="42">
        <f t="shared" si="773"/>
        <v>2400</v>
      </c>
      <c r="H745" s="8">
        <v>25000</v>
      </c>
      <c r="I745" s="42">
        <f t="shared" si="774"/>
        <v>5000</v>
      </c>
      <c r="J745" s="8">
        <v>25000</v>
      </c>
      <c r="K745" s="42">
        <f t="shared" si="775"/>
        <v>5000</v>
      </c>
      <c r="L745" s="8">
        <v>25000</v>
      </c>
      <c r="M745" s="9">
        <v>9</v>
      </c>
      <c r="N745" s="9">
        <v>16.100000000000001</v>
      </c>
      <c r="O745" s="9">
        <v>14</v>
      </c>
      <c r="P745" s="9">
        <v>19.5</v>
      </c>
      <c r="Q745" s="93">
        <v>2.8584678000000001</v>
      </c>
      <c r="R745">
        <v>10</v>
      </c>
      <c r="S745">
        <v>1000</v>
      </c>
      <c r="V745">
        <f t="shared" ref="V745:W745" si="789">V721</f>
        <v>2.9</v>
      </c>
      <c r="W745">
        <f t="shared" si="789"/>
        <v>3.1</v>
      </c>
      <c r="X745">
        <v>2.8584678000000001</v>
      </c>
    </row>
    <row r="746" spans="1:24" x14ac:dyDescent="0.2">
      <c r="A746" s="41">
        <f t="shared" si="748"/>
        <v>45869.958333331531</v>
      </c>
      <c r="B746" s="42">
        <f t="shared" si="772"/>
        <v>5000</v>
      </c>
      <c r="C746" s="8">
        <v>25000</v>
      </c>
      <c r="D746" s="8">
        <v>0</v>
      </c>
      <c r="E746" s="8">
        <v>700</v>
      </c>
      <c r="F746" s="8">
        <v>15000</v>
      </c>
      <c r="G746" s="42">
        <f t="shared" si="773"/>
        <v>2400</v>
      </c>
      <c r="H746" s="8">
        <v>25000</v>
      </c>
      <c r="I746" s="42">
        <f t="shared" si="774"/>
        <v>5000</v>
      </c>
      <c r="J746" s="8">
        <v>25000</v>
      </c>
      <c r="K746" s="42">
        <f t="shared" si="775"/>
        <v>5000</v>
      </c>
      <c r="L746" s="8">
        <v>25000</v>
      </c>
      <c r="M746" s="9">
        <v>9</v>
      </c>
      <c r="N746" s="9">
        <v>16.100000000000001</v>
      </c>
      <c r="O746" s="9">
        <v>14</v>
      </c>
      <c r="P746" s="9">
        <v>19.5</v>
      </c>
      <c r="Q746" s="93">
        <v>2.7454746000000001</v>
      </c>
      <c r="R746">
        <v>10</v>
      </c>
      <c r="S746">
        <v>1000</v>
      </c>
      <c r="V746">
        <f t="shared" ref="V746:W746" si="790">V722</f>
        <v>3.6</v>
      </c>
      <c r="W746">
        <f t="shared" si="790"/>
        <v>3.1</v>
      </c>
      <c r="X746">
        <v>2.7454746000000001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2BD39-09F7-40A3-A7E8-FC85942D30B0}">
  <dimension ref="A1:E29"/>
  <sheetViews>
    <sheetView workbookViewId="0">
      <selection activeCell="B10" sqref="B10"/>
    </sheetView>
  </sheetViews>
  <sheetFormatPr baseColWidth="10" defaultColWidth="8.83203125" defaultRowHeight="15" x14ac:dyDescent="0.2"/>
  <cols>
    <col min="1" max="1" width="9.33203125" bestFit="1" customWidth="1"/>
    <col min="2" max="4" width="10.83203125" style="44" customWidth="1"/>
    <col min="5" max="5" width="10.83203125" customWidth="1"/>
  </cols>
  <sheetData>
    <row r="1" spans="1:5" ht="128" x14ac:dyDescent="0.2">
      <c r="B1" s="44" t="s">
        <v>129</v>
      </c>
      <c r="C1" s="44" t="s">
        <v>61</v>
      </c>
      <c r="D1" s="44" t="s">
        <v>38</v>
      </c>
      <c r="E1" s="44" t="s">
        <v>57</v>
      </c>
    </row>
    <row r="2" spans="1:5" x14ac:dyDescent="0.2">
      <c r="A2" t="s">
        <v>429</v>
      </c>
      <c r="B2" s="50" t="s">
        <v>151</v>
      </c>
      <c r="C2" s="50" t="s">
        <v>151</v>
      </c>
      <c r="D2" s="50" t="s">
        <v>153</v>
      </c>
      <c r="E2" s="53" t="s">
        <v>151</v>
      </c>
    </row>
    <row r="3" spans="1:5" x14ac:dyDescent="0.2">
      <c r="A3" s="52">
        <v>45839</v>
      </c>
      <c r="B3" s="8">
        <v>19322.099999999999</v>
      </c>
      <c r="C3" s="8">
        <v>5112</v>
      </c>
      <c r="D3" s="9">
        <v>15.5</v>
      </c>
      <c r="E3" s="4">
        <v>3.4573471398217918E-2</v>
      </c>
    </row>
    <row r="4" spans="1:5" x14ac:dyDescent="0.2">
      <c r="A4" s="52">
        <v>45840</v>
      </c>
      <c r="B4" s="8">
        <v>19322.099999999999</v>
      </c>
      <c r="C4" s="8">
        <v>5112</v>
      </c>
      <c r="D4" s="9">
        <v>15.5</v>
      </c>
      <c r="E4" s="4">
        <v>3.4573471398217918E-2</v>
      </c>
    </row>
    <row r="5" spans="1:5" x14ac:dyDescent="0.2">
      <c r="A5" s="52">
        <v>45841</v>
      </c>
      <c r="B5" s="8">
        <v>19322.099999999999</v>
      </c>
      <c r="C5" s="8">
        <v>5112</v>
      </c>
      <c r="D5" s="9">
        <v>15.5</v>
      </c>
      <c r="E5" s="4">
        <v>3.4573471398217918E-2</v>
      </c>
    </row>
    <row r="6" spans="1:5" x14ac:dyDescent="0.2">
      <c r="A6" s="52">
        <v>45842</v>
      </c>
      <c r="B6" s="8">
        <v>19322.099999999999</v>
      </c>
      <c r="C6" s="8">
        <v>5112</v>
      </c>
      <c r="D6" s="9">
        <v>15.5</v>
      </c>
      <c r="E6" s="4">
        <v>3.4573471398217918E-2</v>
      </c>
    </row>
    <row r="7" spans="1:5" x14ac:dyDescent="0.2">
      <c r="A7" s="52">
        <v>45843</v>
      </c>
      <c r="B7" s="8">
        <v>19322</v>
      </c>
      <c r="C7" s="8">
        <v>5112</v>
      </c>
      <c r="D7" s="9">
        <v>15.5</v>
      </c>
      <c r="E7" s="4">
        <v>3.4573471398217918E-2</v>
      </c>
    </row>
    <row r="8" spans="1:5" x14ac:dyDescent="0.2">
      <c r="A8" s="52">
        <v>45844</v>
      </c>
      <c r="B8" s="8">
        <v>16500</v>
      </c>
      <c r="C8" s="8">
        <v>5112</v>
      </c>
      <c r="D8" s="9">
        <v>15.5</v>
      </c>
      <c r="E8" s="4">
        <v>3.4573471398217918E-2</v>
      </c>
    </row>
    <row r="9" spans="1:5" x14ac:dyDescent="0.2">
      <c r="A9" s="52">
        <v>45845</v>
      </c>
      <c r="B9" s="8">
        <v>19322</v>
      </c>
      <c r="C9" s="8">
        <v>5112</v>
      </c>
      <c r="D9" s="9">
        <v>15.5</v>
      </c>
      <c r="E9" s="4">
        <v>3.4573471398217918E-2</v>
      </c>
    </row>
    <row r="10" spans="1:5" x14ac:dyDescent="0.2">
      <c r="A10" s="52">
        <v>45846</v>
      </c>
      <c r="B10" s="8">
        <v>19322</v>
      </c>
      <c r="C10" s="8">
        <v>5112</v>
      </c>
      <c r="D10" s="9">
        <v>15.5</v>
      </c>
      <c r="E10" s="4">
        <v>3.4573471398217918E-2</v>
      </c>
    </row>
    <row r="11" spans="1:5" x14ac:dyDescent="0.2">
      <c r="A11" s="52">
        <v>45847</v>
      </c>
      <c r="B11" s="8">
        <v>19322</v>
      </c>
      <c r="C11" s="8">
        <v>5112</v>
      </c>
      <c r="D11" s="9">
        <v>15.5</v>
      </c>
      <c r="E11" s="4">
        <v>3.4573471398217918E-2</v>
      </c>
    </row>
    <row r="12" spans="1:5" x14ac:dyDescent="0.2">
      <c r="A12" s="52">
        <v>45848</v>
      </c>
      <c r="B12" s="8">
        <v>19322</v>
      </c>
      <c r="C12" s="8">
        <v>5112</v>
      </c>
      <c r="D12" s="9">
        <v>15.5</v>
      </c>
      <c r="E12" s="4">
        <v>3.4573471398217918E-2</v>
      </c>
    </row>
    <row r="13" spans="1:5" x14ac:dyDescent="0.2">
      <c r="A13" s="52">
        <v>45849</v>
      </c>
      <c r="B13" s="8">
        <v>19322</v>
      </c>
      <c r="C13" s="8">
        <v>5112</v>
      </c>
      <c r="D13" s="9">
        <v>15.5</v>
      </c>
      <c r="E13" s="4">
        <v>3.4573471398217918E-2</v>
      </c>
    </row>
    <row r="14" spans="1:5" x14ac:dyDescent="0.2">
      <c r="A14" s="52">
        <v>45850</v>
      </c>
      <c r="B14" s="8">
        <v>17500</v>
      </c>
      <c r="C14" s="8">
        <v>5112</v>
      </c>
      <c r="D14" s="9">
        <v>15.5</v>
      </c>
      <c r="E14" s="4">
        <v>3.4573471398217918E-2</v>
      </c>
    </row>
    <row r="15" spans="1:5" x14ac:dyDescent="0.2">
      <c r="A15" s="52">
        <v>45851</v>
      </c>
      <c r="B15" s="8">
        <v>19322</v>
      </c>
      <c r="C15" s="8">
        <v>5112</v>
      </c>
      <c r="D15" s="9">
        <v>15.5</v>
      </c>
      <c r="E15" s="4">
        <v>3.4573471398217918E-2</v>
      </c>
    </row>
    <row r="16" spans="1:5" x14ac:dyDescent="0.2">
      <c r="A16" s="52">
        <v>45852</v>
      </c>
      <c r="B16" s="8">
        <v>19322</v>
      </c>
      <c r="C16" s="8">
        <v>5112</v>
      </c>
      <c r="D16" s="9">
        <v>15.5</v>
      </c>
      <c r="E16" s="4">
        <v>3.4573471398217918E-2</v>
      </c>
    </row>
    <row r="17" spans="1:5" x14ac:dyDescent="0.2">
      <c r="A17" s="52">
        <v>45853</v>
      </c>
      <c r="B17" s="8">
        <v>19322</v>
      </c>
      <c r="C17" s="8">
        <v>5112</v>
      </c>
      <c r="D17" s="9">
        <v>15.5</v>
      </c>
      <c r="E17" s="4">
        <v>3.4573471398217918E-2</v>
      </c>
    </row>
    <row r="18" spans="1:5" x14ac:dyDescent="0.2">
      <c r="A18" s="52">
        <v>45854</v>
      </c>
      <c r="B18" s="8">
        <v>19322</v>
      </c>
      <c r="C18" s="8">
        <v>5112</v>
      </c>
      <c r="D18" s="9">
        <v>15.5</v>
      </c>
      <c r="E18" s="4">
        <v>3.4573471398217918E-2</v>
      </c>
    </row>
    <row r="19" spans="1:5" x14ac:dyDescent="0.2">
      <c r="A19" s="52">
        <v>45855</v>
      </c>
      <c r="B19" s="8">
        <v>19322</v>
      </c>
      <c r="C19" s="8">
        <v>5112</v>
      </c>
      <c r="D19" s="9">
        <v>15.5</v>
      </c>
      <c r="E19" s="4">
        <v>3.4573471398217918E-2</v>
      </c>
    </row>
    <row r="20" spans="1:5" x14ac:dyDescent="0.2">
      <c r="A20" s="52">
        <v>45856</v>
      </c>
      <c r="B20" s="8">
        <v>19322</v>
      </c>
      <c r="C20" s="8">
        <v>5112</v>
      </c>
      <c r="D20" s="9">
        <v>15.5</v>
      </c>
      <c r="E20" s="4">
        <v>3.4573471398217918E-2</v>
      </c>
    </row>
    <row r="21" spans="1:5" x14ac:dyDescent="0.2">
      <c r="A21" s="52">
        <v>45857</v>
      </c>
      <c r="B21" s="8">
        <v>19322</v>
      </c>
      <c r="C21" s="8">
        <v>5112</v>
      </c>
      <c r="D21" s="9">
        <v>15.5</v>
      </c>
      <c r="E21" s="4">
        <v>3.4573471398217918E-2</v>
      </c>
    </row>
    <row r="22" spans="1:5" x14ac:dyDescent="0.2">
      <c r="A22" s="52">
        <v>45858</v>
      </c>
      <c r="B22" s="8">
        <v>19322</v>
      </c>
      <c r="C22" s="8">
        <v>5112</v>
      </c>
      <c r="D22" s="9">
        <v>15.5</v>
      </c>
      <c r="E22" s="4">
        <v>3.4573471398217918E-2</v>
      </c>
    </row>
    <row r="23" spans="1:5" x14ac:dyDescent="0.2">
      <c r="A23" s="52">
        <v>45859</v>
      </c>
      <c r="B23" s="8">
        <v>19322</v>
      </c>
      <c r="C23" s="8">
        <v>5112</v>
      </c>
      <c r="D23" s="9">
        <v>15.5</v>
      </c>
      <c r="E23" s="4">
        <v>3.4573471398217918E-2</v>
      </c>
    </row>
    <row r="24" spans="1:5" x14ac:dyDescent="0.2">
      <c r="A24" s="52">
        <v>45860</v>
      </c>
      <c r="B24" s="8">
        <v>19322</v>
      </c>
      <c r="C24" s="8">
        <v>5112</v>
      </c>
      <c r="D24" s="9">
        <v>15.5</v>
      </c>
      <c r="E24" s="4">
        <v>3.4573471398217918E-2</v>
      </c>
    </row>
    <row r="25" spans="1:5" x14ac:dyDescent="0.2">
      <c r="A25" s="52">
        <v>45861</v>
      </c>
      <c r="B25" s="8">
        <v>19322</v>
      </c>
      <c r="C25" s="8">
        <v>5112</v>
      </c>
      <c r="D25" s="9">
        <v>15.5</v>
      </c>
      <c r="E25" s="4">
        <v>3.4573471398217918E-2</v>
      </c>
    </row>
    <row r="26" spans="1:5" x14ac:dyDescent="0.2">
      <c r="A26" s="52">
        <v>45862</v>
      </c>
      <c r="B26" s="8">
        <v>19322</v>
      </c>
      <c r="C26" s="8">
        <v>5112</v>
      </c>
      <c r="D26" s="9">
        <v>15.5</v>
      </c>
      <c r="E26" s="4">
        <v>3.4573471398217918E-2</v>
      </c>
    </row>
    <row r="27" spans="1:5" x14ac:dyDescent="0.2">
      <c r="A27" s="52">
        <v>45863</v>
      </c>
      <c r="B27" s="8">
        <v>19322</v>
      </c>
      <c r="C27" s="8">
        <v>5112</v>
      </c>
      <c r="D27" s="9">
        <v>15.5</v>
      </c>
      <c r="E27" s="4">
        <v>3.4573471398217918E-2</v>
      </c>
    </row>
    <row r="28" spans="1:5" x14ac:dyDescent="0.2">
      <c r="A28" s="52">
        <v>45864</v>
      </c>
      <c r="B28" s="8">
        <v>19322</v>
      </c>
      <c r="C28" s="8">
        <v>5112</v>
      </c>
      <c r="D28" s="9">
        <v>15.5</v>
      </c>
      <c r="E28" s="4">
        <v>3.4573471398217918E-2</v>
      </c>
    </row>
    <row r="29" spans="1:5" x14ac:dyDescent="0.2">
      <c r="A29" s="5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B7A04-B687-4B29-8B43-B75768E7C5A7}">
  <sheetPr codeName="Sheet2"/>
  <dimension ref="A1:AB178"/>
  <sheetViews>
    <sheetView tabSelected="1" zoomScale="99" workbookViewId="0">
      <selection activeCell="H15" sqref="H15"/>
    </sheetView>
  </sheetViews>
  <sheetFormatPr baseColWidth="10" defaultColWidth="8.83203125" defaultRowHeight="15" x14ac:dyDescent="0.2"/>
  <cols>
    <col min="1" max="3" width="1.6640625" customWidth="1"/>
    <col min="4" max="4" width="22.5" bestFit="1" customWidth="1"/>
    <col min="5" max="5" width="10.1640625" customWidth="1"/>
    <col min="6" max="28" width="10.83203125" customWidth="1"/>
  </cols>
  <sheetData>
    <row r="1" spans="1:28" ht="25" thickBot="1" x14ac:dyDescent="0.35">
      <c r="D1" s="21" t="s">
        <v>118</v>
      </c>
      <c r="E1" s="21"/>
      <c r="F1" s="21"/>
      <c r="G1" s="21"/>
      <c r="H1" s="21"/>
      <c r="I1" s="21"/>
      <c r="J1" s="21"/>
      <c r="K1" s="21"/>
      <c r="L1" s="21"/>
      <c r="M1" s="21"/>
      <c r="N1" s="21"/>
      <c r="O1" s="21"/>
      <c r="P1" s="21"/>
      <c r="Q1" s="21"/>
      <c r="R1" s="21"/>
      <c r="S1" s="21"/>
      <c r="T1" s="21"/>
      <c r="U1" s="21"/>
      <c r="V1" s="21"/>
      <c r="W1" s="21"/>
      <c r="X1" s="21"/>
      <c r="Y1" s="21"/>
      <c r="Z1" s="21"/>
    </row>
    <row r="2" spans="1:28" ht="19" thickBot="1" x14ac:dyDescent="0.3">
      <c r="D2" s="22" t="s">
        <v>119</v>
      </c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  <c r="Z2" s="22"/>
    </row>
    <row r="3" spans="1:28" ht="16" thickTop="1" x14ac:dyDescent="0.2">
      <c r="D3" t="s">
        <v>124</v>
      </c>
      <c r="E3" s="4" t="s">
        <v>263</v>
      </c>
      <c r="F3" t="s">
        <v>117</v>
      </c>
      <c r="G3" s="30" t="str" cm="1">
        <f t="array" aca="1" ref="G3" ca="1">LEFT(CELL("filename", A3), FIND("[", CELL("filename", A3)) - 1) &amp; "Results/" &amp; E3</f>
        <v>/Users/marisusis/Documents/ANL/wapalib/weekly_model/TempRegPy/Results/Week10_WD_alt2</v>
      </c>
      <c r="H3" s="19"/>
    </row>
    <row r="5" spans="1:28" s="29" customFormat="1" ht="19" thickBot="1" x14ac:dyDescent="0.3">
      <c r="A5" s="28"/>
      <c r="B5" s="28"/>
      <c r="C5" s="28"/>
      <c r="D5" s="22" t="s">
        <v>130</v>
      </c>
      <c r="E5" s="22"/>
      <c r="F5" s="22"/>
      <c r="G5" s="22"/>
      <c r="H5" s="22"/>
      <c r="I5" s="22"/>
      <c r="J5" s="22"/>
      <c r="K5" s="22"/>
      <c r="L5" s="22"/>
      <c r="M5" s="22"/>
      <c r="N5" s="22"/>
      <c r="O5" s="22"/>
      <c r="P5" s="22"/>
      <c r="Q5" s="22"/>
      <c r="R5" s="22"/>
      <c r="S5" s="22"/>
      <c r="T5" s="22"/>
      <c r="U5" s="22"/>
      <c r="V5" s="22"/>
      <c r="X5" s="22"/>
      <c r="Y5" s="22"/>
      <c r="Z5" s="22"/>
      <c r="AA5" s="22"/>
      <c r="AB5" s="22"/>
    </row>
    <row r="6" spans="1:28" s="29" customFormat="1" ht="78" thickTop="1" thickBot="1" x14ac:dyDescent="0.3">
      <c r="A6" s="28"/>
      <c r="B6" s="28"/>
      <c r="C6" s="28"/>
      <c r="D6" s="39" t="s">
        <v>243</v>
      </c>
      <c r="E6" s="38" t="s">
        <v>151</v>
      </c>
      <c r="F6" s="37" t="s">
        <v>86</v>
      </c>
      <c r="G6" s="37" t="s">
        <v>248</v>
      </c>
      <c r="H6" s="37" t="s">
        <v>256</v>
      </c>
      <c r="I6" s="37" t="s">
        <v>255</v>
      </c>
      <c r="J6" s="37" t="s">
        <v>257</v>
      </c>
      <c r="K6" s="37" t="s">
        <v>244</v>
      </c>
      <c r="L6" s="37" t="s">
        <v>122</v>
      </c>
      <c r="M6" s="37" t="s">
        <v>123</v>
      </c>
      <c r="N6" s="37" t="s">
        <v>245</v>
      </c>
      <c r="O6" s="37" t="s">
        <v>246</v>
      </c>
      <c r="P6" s="37" t="s">
        <v>247</v>
      </c>
      <c r="Q6" s="37" t="s">
        <v>249</v>
      </c>
      <c r="R6" s="37" t="s">
        <v>250</v>
      </c>
      <c r="S6" s="37" t="s">
        <v>251</v>
      </c>
      <c r="T6" s="37" t="s">
        <v>252</v>
      </c>
      <c r="U6" s="37" t="s">
        <v>253</v>
      </c>
      <c r="V6" s="37" t="s">
        <v>254</v>
      </c>
      <c r="W6" s="37" t="s">
        <v>135</v>
      </c>
      <c r="X6" s="37" t="s">
        <v>136</v>
      </c>
      <c r="Y6" s="37" t="s">
        <v>137</v>
      </c>
      <c r="Z6" s="37" t="s">
        <v>138</v>
      </c>
      <c r="AA6" s="37" t="s">
        <v>131</v>
      </c>
      <c r="AB6" s="37" t="s">
        <v>133</v>
      </c>
    </row>
    <row r="7" spans="1:28" s="31" customFormat="1" ht="18" customHeight="1" thickTop="1" thickBot="1" x14ac:dyDescent="0.25">
      <c r="F7" s="32" t="s">
        <v>120</v>
      </c>
      <c r="G7" s="32" t="s">
        <v>121</v>
      </c>
      <c r="H7" s="32" t="s">
        <v>121</v>
      </c>
      <c r="I7" s="32" t="s">
        <v>121</v>
      </c>
      <c r="J7" s="32" t="s">
        <v>125</v>
      </c>
      <c r="K7" s="32" t="s">
        <v>258</v>
      </c>
      <c r="L7" s="32" t="s">
        <v>121</v>
      </c>
      <c r="M7" s="32" t="s">
        <v>121</v>
      </c>
      <c r="N7" s="32" t="s">
        <v>258</v>
      </c>
      <c r="O7" s="32" t="s">
        <v>258</v>
      </c>
      <c r="P7" s="32" t="s">
        <v>121</v>
      </c>
      <c r="Q7" s="32" t="s">
        <v>121</v>
      </c>
      <c r="R7" s="32" t="s">
        <v>121</v>
      </c>
      <c r="S7" s="32" t="s">
        <v>121</v>
      </c>
      <c r="T7" s="32" t="s">
        <v>121</v>
      </c>
      <c r="U7" s="32" t="s">
        <v>121</v>
      </c>
      <c r="V7" s="32" t="s">
        <v>121</v>
      </c>
      <c r="W7" s="32" t="s">
        <v>121</v>
      </c>
      <c r="X7" s="32" t="s">
        <v>121</v>
      </c>
      <c r="Y7" s="32" t="s">
        <v>121</v>
      </c>
      <c r="Z7" s="32" t="s">
        <v>121</v>
      </c>
      <c r="AA7" s="32" t="s">
        <v>132</v>
      </c>
      <c r="AB7" s="32" t="s">
        <v>134</v>
      </c>
    </row>
    <row r="8" spans="1:28" s="31" customFormat="1" ht="18" customHeight="1" thickBot="1" x14ac:dyDescent="0.25"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32"/>
      <c r="W8" s="32"/>
      <c r="X8" s="32"/>
      <c r="Y8" s="32"/>
      <c r="Z8" s="32"/>
      <c r="AA8" s="32"/>
      <c r="AB8" s="32"/>
    </row>
    <row r="9" spans="1:28" ht="16" thickBot="1" x14ac:dyDescent="0.25">
      <c r="F9" s="33">
        <f>SUM(F11:F178)</f>
        <v>26526.477063127604</v>
      </c>
      <c r="G9" s="33">
        <f>SUM(G11:G178)</f>
        <v>813131.54571190558</v>
      </c>
      <c r="H9" s="33">
        <f>SUM(H11:H178)</f>
        <v>767249.45428808976</v>
      </c>
      <c r="I9" s="33">
        <f>SUM(I11:I178)</f>
        <v>1580380.9999999972</v>
      </c>
      <c r="J9" s="33">
        <f>(SUMPRODUCT(Flows[q_gg],Flows[T_plant])+SUMPRODUCT(Flows[q_tot],Flows[T_plant]))/SUM(Flows[q_gg],I11:I178)</f>
        <v>12.446935343721195</v>
      </c>
      <c r="K9" s="33">
        <f>SUM(K11:K178)</f>
        <v>135</v>
      </c>
      <c r="L9" s="33">
        <f>AVERAGE(L11:L178)</f>
        <v>395.55289155860436</v>
      </c>
      <c r="M9" s="33">
        <f>AVERAGE(M11:M178)</f>
        <v>418.74114965302579</v>
      </c>
      <c r="N9" s="33">
        <f>SUM(N11:N178)</f>
        <v>13.000000000000037</v>
      </c>
      <c r="O9" s="33">
        <f>SUM(O11:O178)</f>
        <v>14.999999999999947</v>
      </c>
      <c r="P9" s="33">
        <f>SUM(P11:P178)</f>
        <v>0</v>
      </c>
      <c r="Q9" s="33">
        <f>AVERAGE(Q11:Q178)</f>
        <v>0</v>
      </c>
      <c r="R9" s="33">
        <f>AVERAGE(R11:R178)</f>
        <v>0</v>
      </c>
      <c r="S9" s="33">
        <f>SUM(S11:S178)</f>
        <v>0</v>
      </c>
      <c r="T9" s="33">
        <f>SUM(T11:T178)</f>
        <v>1580380.9999999972</v>
      </c>
      <c r="U9" s="33">
        <f>SUM(U11:U178)</f>
        <v>0</v>
      </c>
      <c r="V9" s="33">
        <f>SUM(V11:V178)</f>
        <v>1580380.9999999972</v>
      </c>
      <c r="W9" s="33">
        <f>AVERAGE(W11:W178)</f>
        <v>2500</v>
      </c>
      <c r="X9" s="33">
        <f>AVERAGE(X11:X178)</f>
        <v>4000</v>
      </c>
      <c r="Y9" s="33">
        <f>AVERAGE(Y11:Y178)</f>
        <v>10000</v>
      </c>
      <c r="Z9" s="33">
        <f>AVERAGE(Z11:Z178)</f>
        <v>10000</v>
      </c>
      <c r="AA9" s="33">
        <f>AVERAGE(AA11:AA34)</f>
        <v>5.7564583333333337</v>
      </c>
      <c r="AB9" s="33">
        <f>SUM(AB11:AB34)</f>
        <v>26140.319981475895</v>
      </c>
    </row>
    <row r="10" spans="1:28" x14ac:dyDescent="0.2">
      <c r="E10" t="s">
        <v>221</v>
      </c>
      <c r="F10" t="s">
        <v>222</v>
      </c>
      <c r="G10" t="s">
        <v>223</v>
      </c>
      <c r="H10" t="s">
        <v>239</v>
      </c>
      <c r="I10" t="s">
        <v>236</v>
      </c>
      <c r="J10" t="s">
        <v>242</v>
      </c>
      <c r="K10" t="s">
        <v>224</v>
      </c>
      <c r="L10" t="s">
        <v>225</v>
      </c>
      <c r="M10" t="s">
        <v>226</v>
      </c>
      <c r="N10" t="s">
        <v>227</v>
      </c>
      <c r="O10" t="s">
        <v>228</v>
      </c>
      <c r="P10" t="s">
        <v>229</v>
      </c>
      <c r="Q10" t="s">
        <v>230</v>
      </c>
      <c r="R10" t="s">
        <v>231</v>
      </c>
      <c r="S10" t="s">
        <v>232</v>
      </c>
      <c r="T10" t="s">
        <v>233</v>
      </c>
      <c r="U10" t="s">
        <v>234</v>
      </c>
      <c r="V10" t="s">
        <v>235</v>
      </c>
      <c r="W10" t="s">
        <v>237</v>
      </c>
      <c r="X10" t="s">
        <v>238</v>
      </c>
      <c r="Y10" t="s">
        <v>240</v>
      </c>
      <c r="Z10" t="s">
        <v>241</v>
      </c>
    </row>
    <row r="11" spans="1:28" x14ac:dyDescent="0.2">
      <c r="E11">
        <v>1</v>
      </c>
      <c r="F11" s="95">
        <v>82.976331355723005</v>
      </c>
      <c r="G11" s="94">
        <v>5300.4281829441152</v>
      </c>
      <c r="H11" s="94">
        <v>2400</v>
      </c>
      <c r="I11" s="94">
        <v>7700.4281829441161</v>
      </c>
      <c r="J11" s="94">
        <v>11.212863959661666</v>
      </c>
      <c r="K11" s="95">
        <v>1</v>
      </c>
      <c r="L11" s="95">
        <v>0</v>
      </c>
      <c r="M11" s="95">
        <v>0</v>
      </c>
      <c r="N11" s="95">
        <v>0</v>
      </c>
      <c r="O11" s="95">
        <v>0</v>
      </c>
      <c r="P11" s="95">
        <v>0</v>
      </c>
      <c r="Q11" s="95">
        <v>0</v>
      </c>
      <c r="R11" s="95">
        <v>0</v>
      </c>
      <c r="S11" s="95">
        <v>0</v>
      </c>
      <c r="T11" s="95">
        <v>7700.4281829441161</v>
      </c>
      <c r="U11" s="95">
        <v>0</v>
      </c>
      <c r="V11" s="95">
        <v>7700.4281829441161</v>
      </c>
      <c r="W11" s="95">
        <v>2500</v>
      </c>
      <c r="X11" s="95">
        <v>4000</v>
      </c>
      <c r="Y11" s="95">
        <v>10000</v>
      </c>
      <c r="Z11" s="95">
        <v>10000</v>
      </c>
      <c r="AA11" cm="1">
        <f t="array" ref="AA11:AA34">TRANSPOSE(Inputs!H87:AE87)</f>
        <v>4.4269657292841789</v>
      </c>
      <c r="AB11" s="40">
        <f>AA11*Flows[[#This Row],[p_tur]]</f>
        <v>367.33337525351396</v>
      </c>
    </row>
    <row r="12" spans="1:28" x14ac:dyDescent="0.2">
      <c r="E12">
        <v>2</v>
      </c>
      <c r="F12" s="95">
        <v>82.976331355723005</v>
      </c>
      <c r="G12" s="94">
        <v>4724.2295462560887</v>
      </c>
      <c r="H12" s="94">
        <v>2400</v>
      </c>
      <c r="I12" s="94">
        <v>7124.2295462560887</v>
      </c>
      <c r="J12" s="94">
        <v>11.391837585996205</v>
      </c>
      <c r="K12" s="95">
        <v>1</v>
      </c>
      <c r="L12" s="95">
        <v>576.19863668802702</v>
      </c>
      <c r="M12" s="95">
        <v>0</v>
      </c>
      <c r="N12" s="95">
        <v>1</v>
      </c>
      <c r="O12" s="95">
        <v>0</v>
      </c>
      <c r="P12" s="95">
        <v>0</v>
      </c>
      <c r="Q12" s="95">
        <v>0</v>
      </c>
      <c r="R12" s="95">
        <v>0</v>
      </c>
      <c r="S12" s="95">
        <v>0</v>
      </c>
      <c r="T12" s="95">
        <v>7124.2295462560887</v>
      </c>
      <c r="U12" s="95">
        <v>0</v>
      </c>
      <c r="V12" s="95">
        <v>7124.2295462560887</v>
      </c>
      <c r="W12" s="95">
        <v>2500</v>
      </c>
      <c r="X12" s="95">
        <v>4000</v>
      </c>
      <c r="Y12" s="95">
        <v>10000</v>
      </c>
      <c r="Z12" s="95">
        <v>10000</v>
      </c>
      <c r="AA12">
        <v>3.6227094893570682</v>
      </c>
      <c r="AB12" s="40">
        <f>AA12*Flows[[#This Row],[p_tur]]</f>
        <v>300.59914299441419</v>
      </c>
    </row>
    <row r="13" spans="1:28" x14ac:dyDescent="0.2">
      <c r="E13">
        <v>3</v>
      </c>
      <c r="F13" s="95">
        <v>82.976331355723005</v>
      </c>
      <c r="G13" s="94">
        <v>4724.2295462560887</v>
      </c>
      <c r="H13" s="94">
        <v>2400</v>
      </c>
      <c r="I13" s="94">
        <v>7124.2295462560887</v>
      </c>
      <c r="J13" s="94">
        <v>11.391837585996205</v>
      </c>
      <c r="K13" s="95">
        <v>1</v>
      </c>
      <c r="L13" s="95">
        <v>0</v>
      </c>
      <c r="M13" s="95">
        <v>0</v>
      </c>
      <c r="N13" s="95">
        <v>0</v>
      </c>
      <c r="O13" s="95">
        <v>0</v>
      </c>
      <c r="P13" s="95">
        <v>0</v>
      </c>
      <c r="Q13" s="95">
        <v>0</v>
      </c>
      <c r="R13" s="95">
        <v>0</v>
      </c>
      <c r="S13" s="95">
        <v>0</v>
      </c>
      <c r="T13" s="95">
        <v>7124.2295462560887</v>
      </c>
      <c r="U13" s="95">
        <v>0</v>
      </c>
      <c r="V13" s="95">
        <v>7124.2295462560887</v>
      </c>
      <c r="W13" s="95">
        <v>2500</v>
      </c>
      <c r="X13" s="95">
        <v>4000</v>
      </c>
      <c r="Y13" s="95">
        <v>10000</v>
      </c>
      <c r="Z13" s="95">
        <v>10000</v>
      </c>
      <c r="AA13">
        <v>3.6227094893570682</v>
      </c>
      <c r="AB13" s="40">
        <f>AA13*Flows[[#This Row],[p_tur]]</f>
        <v>300.59914299441419</v>
      </c>
    </row>
    <row r="14" spans="1:28" x14ac:dyDescent="0.2">
      <c r="E14">
        <v>4</v>
      </c>
      <c r="F14" s="95">
        <v>82.976331355723005</v>
      </c>
      <c r="G14" s="94">
        <v>4724.2295462560887</v>
      </c>
      <c r="H14" s="94">
        <v>2400</v>
      </c>
      <c r="I14" s="94">
        <v>7124.2295462560887</v>
      </c>
      <c r="J14" s="94">
        <v>11.391837585996205</v>
      </c>
      <c r="K14" s="95">
        <v>1</v>
      </c>
      <c r="L14" s="95">
        <v>0</v>
      </c>
      <c r="M14" s="95">
        <v>0</v>
      </c>
      <c r="N14" s="95">
        <v>0</v>
      </c>
      <c r="O14" s="95">
        <v>0</v>
      </c>
      <c r="P14" s="95">
        <v>0</v>
      </c>
      <c r="Q14" s="95">
        <v>0</v>
      </c>
      <c r="R14" s="95">
        <v>0</v>
      </c>
      <c r="S14" s="95">
        <v>0</v>
      </c>
      <c r="T14" s="95">
        <v>7124.2295462560887</v>
      </c>
      <c r="U14" s="95">
        <v>0</v>
      </c>
      <c r="V14" s="95">
        <v>7124.2295462560887</v>
      </c>
      <c r="W14" s="95">
        <v>2500</v>
      </c>
      <c r="X14" s="95">
        <v>4000</v>
      </c>
      <c r="Y14" s="95">
        <v>10000</v>
      </c>
      <c r="Z14" s="95">
        <v>10000</v>
      </c>
      <c r="AA14">
        <v>3.6227094893570682</v>
      </c>
      <c r="AB14" s="40">
        <f>AA14*Flows[[#This Row],[p_tur]]</f>
        <v>300.59914299441419</v>
      </c>
    </row>
    <row r="15" spans="1:28" x14ac:dyDescent="0.2">
      <c r="E15">
        <v>5</v>
      </c>
      <c r="F15" s="95">
        <v>82.976331355723005</v>
      </c>
      <c r="G15" s="94">
        <v>4724.2295462560887</v>
      </c>
      <c r="H15" s="94">
        <v>2400</v>
      </c>
      <c r="I15" s="94">
        <v>7124.2295462560887</v>
      </c>
      <c r="J15" s="94">
        <v>11.391837585996205</v>
      </c>
      <c r="K15" s="95">
        <v>1</v>
      </c>
      <c r="L15" s="95">
        <v>0</v>
      </c>
      <c r="M15" s="95">
        <v>0</v>
      </c>
      <c r="N15" s="95">
        <v>0</v>
      </c>
      <c r="O15" s="95">
        <v>0</v>
      </c>
      <c r="P15" s="95">
        <v>0</v>
      </c>
      <c r="Q15" s="95">
        <v>0</v>
      </c>
      <c r="R15" s="95">
        <v>0</v>
      </c>
      <c r="S15" s="95">
        <v>0</v>
      </c>
      <c r="T15" s="95">
        <v>7124.2295462560887</v>
      </c>
      <c r="U15" s="95">
        <v>0</v>
      </c>
      <c r="V15" s="95">
        <v>7124.2295462560887</v>
      </c>
      <c r="W15" s="95">
        <v>2500</v>
      </c>
      <c r="X15" s="95">
        <v>4000</v>
      </c>
      <c r="Y15" s="95">
        <v>10000</v>
      </c>
      <c r="Z15" s="95">
        <v>10000</v>
      </c>
      <c r="AA15">
        <v>4.2644032978095501</v>
      </c>
      <c r="AB15" s="40">
        <f>AA15*Flows[[#This Row],[p_tur]]</f>
        <v>353.84454107348319</v>
      </c>
    </row>
    <row r="16" spans="1:28" x14ac:dyDescent="0.2">
      <c r="E16">
        <v>6</v>
      </c>
      <c r="F16" s="95">
        <v>82.976331355723005</v>
      </c>
      <c r="G16" s="94">
        <v>4724.2295462560887</v>
      </c>
      <c r="H16" s="94">
        <v>2400</v>
      </c>
      <c r="I16" s="94">
        <v>7124.2295462560887</v>
      </c>
      <c r="J16" s="94">
        <v>11.391837585996205</v>
      </c>
      <c r="K16" s="95">
        <v>1</v>
      </c>
      <c r="L16" s="95">
        <v>0</v>
      </c>
      <c r="M16" s="95">
        <v>0</v>
      </c>
      <c r="N16" s="95">
        <v>0</v>
      </c>
      <c r="O16" s="95">
        <v>0</v>
      </c>
      <c r="P16" s="95">
        <v>0</v>
      </c>
      <c r="Q16" s="95">
        <v>0</v>
      </c>
      <c r="R16" s="95">
        <v>0</v>
      </c>
      <c r="S16" s="95">
        <v>0</v>
      </c>
      <c r="T16" s="95">
        <v>7124.2295462560887</v>
      </c>
      <c r="U16" s="95">
        <v>0</v>
      </c>
      <c r="V16" s="95">
        <v>7124.2295462560887</v>
      </c>
      <c r="W16" s="95">
        <v>2500</v>
      </c>
      <c r="X16" s="95">
        <v>4000</v>
      </c>
      <c r="Y16" s="95">
        <v>10000</v>
      </c>
      <c r="Z16" s="95">
        <v>10000</v>
      </c>
      <c r="AA16">
        <v>3.6227094893570682</v>
      </c>
      <c r="AB16" s="40">
        <f>AA16*Flows[[#This Row],[p_tur]]</f>
        <v>300.59914299441419</v>
      </c>
    </row>
    <row r="17" spans="5:28" x14ac:dyDescent="0.2">
      <c r="E17">
        <v>7</v>
      </c>
      <c r="F17" s="95">
        <v>82.976331355723005</v>
      </c>
      <c r="G17" s="94">
        <v>5600</v>
      </c>
      <c r="H17" s="94">
        <v>2400</v>
      </c>
      <c r="I17" s="94">
        <v>8000</v>
      </c>
      <c r="J17" s="94">
        <v>11.13</v>
      </c>
      <c r="K17" s="95">
        <v>1</v>
      </c>
      <c r="L17" s="95">
        <v>0</v>
      </c>
      <c r="M17" s="95">
        <v>875.77045374391139</v>
      </c>
      <c r="N17" s="95">
        <v>0</v>
      </c>
      <c r="O17" s="95">
        <v>1</v>
      </c>
      <c r="P17" s="95">
        <v>0</v>
      </c>
      <c r="Q17" s="95">
        <v>0</v>
      </c>
      <c r="R17" s="95">
        <v>0</v>
      </c>
      <c r="S17" s="95">
        <v>0</v>
      </c>
      <c r="T17" s="95">
        <v>8000</v>
      </c>
      <c r="U17" s="95">
        <v>0</v>
      </c>
      <c r="V17" s="95">
        <v>8000</v>
      </c>
      <c r="W17" s="95">
        <v>2500</v>
      </c>
      <c r="X17" s="95">
        <v>4000</v>
      </c>
      <c r="Y17" s="95">
        <v>10000</v>
      </c>
      <c r="Z17" s="95">
        <v>10000</v>
      </c>
      <c r="AA17">
        <v>3.0437590755088282</v>
      </c>
      <c r="AB17" s="40">
        <f>AA17*Flows[[#This Row],[p_tur]]</f>
        <v>252.55996161640965</v>
      </c>
    </row>
    <row r="18" spans="5:28" x14ac:dyDescent="0.2">
      <c r="E18">
        <v>8</v>
      </c>
      <c r="F18" s="95">
        <v>82.976331355723005</v>
      </c>
      <c r="G18" s="94">
        <v>5600</v>
      </c>
      <c r="H18" s="94">
        <v>2400</v>
      </c>
      <c r="I18" s="94">
        <v>8000</v>
      </c>
      <c r="J18" s="94">
        <v>11.13</v>
      </c>
      <c r="K18" s="95">
        <v>1</v>
      </c>
      <c r="L18" s="95">
        <v>0</v>
      </c>
      <c r="M18" s="95">
        <v>0</v>
      </c>
      <c r="N18" s="95">
        <v>0</v>
      </c>
      <c r="O18" s="95">
        <v>0</v>
      </c>
      <c r="P18" s="95">
        <v>0</v>
      </c>
      <c r="Q18" s="95">
        <v>0</v>
      </c>
      <c r="R18" s="95">
        <v>0</v>
      </c>
      <c r="S18" s="95">
        <v>0</v>
      </c>
      <c r="T18" s="95">
        <v>8000</v>
      </c>
      <c r="U18" s="95">
        <v>0</v>
      </c>
      <c r="V18" s="95">
        <v>8000</v>
      </c>
      <c r="W18" s="95">
        <v>2500</v>
      </c>
      <c r="X18" s="95">
        <v>4000</v>
      </c>
      <c r="Y18" s="95">
        <v>10000</v>
      </c>
      <c r="Z18" s="95">
        <v>10000</v>
      </c>
      <c r="AA18">
        <v>2.801341414537891</v>
      </c>
      <c r="AB18" s="40">
        <f>AA18*Flows[[#This Row],[p_tur]]</f>
        <v>232.44503345320584</v>
      </c>
    </row>
    <row r="19" spans="5:28" x14ac:dyDescent="0.2">
      <c r="E19">
        <v>9</v>
      </c>
      <c r="F19" s="95">
        <v>82.976331355723005</v>
      </c>
      <c r="G19" s="94">
        <v>5600</v>
      </c>
      <c r="H19" s="94">
        <v>2400</v>
      </c>
      <c r="I19" s="94">
        <v>8000</v>
      </c>
      <c r="J19" s="94">
        <v>11.13</v>
      </c>
      <c r="K19" s="95">
        <v>1</v>
      </c>
      <c r="L19" s="95">
        <v>0</v>
      </c>
      <c r="M19" s="95">
        <v>0</v>
      </c>
      <c r="N19" s="95">
        <v>0</v>
      </c>
      <c r="O19" s="95">
        <v>0</v>
      </c>
      <c r="P19" s="95">
        <v>0</v>
      </c>
      <c r="Q19" s="95">
        <v>0</v>
      </c>
      <c r="R19" s="95">
        <v>0</v>
      </c>
      <c r="S19" s="95">
        <v>0</v>
      </c>
      <c r="T19" s="95">
        <v>8000</v>
      </c>
      <c r="U19" s="95">
        <v>0</v>
      </c>
      <c r="V19" s="95">
        <v>8000</v>
      </c>
      <c r="W19" s="95">
        <v>2500</v>
      </c>
      <c r="X19" s="95">
        <v>4000</v>
      </c>
      <c r="Y19" s="95">
        <v>10000</v>
      </c>
      <c r="Z19" s="95">
        <v>10000</v>
      </c>
      <c r="AA19">
        <v>2.9439400386384427</v>
      </c>
      <c r="AB19" s="40">
        <f>AA19*Flows[[#This Row],[p_tur]]</f>
        <v>244.27734413744341</v>
      </c>
    </row>
    <row r="20" spans="5:28" x14ac:dyDescent="0.2">
      <c r="E20">
        <v>10</v>
      </c>
      <c r="F20" s="95">
        <v>82.976331355723005</v>
      </c>
      <c r="G20" s="94">
        <v>5600</v>
      </c>
      <c r="H20" s="94">
        <v>2400</v>
      </c>
      <c r="I20" s="94">
        <v>8000</v>
      </c>
      <c r="J20" s="94">
        <v>11.13</v>
      </c>
      <c r="K20" s="95">
        <v>1</v>
      </c>
      <c r="L20" s="95">
        <v>0</v>
      </c>
      <c r="M20" s="95">
        <v>0</v>
      </c>
      <c r="N20" s="95">
        <v>0</v>
      </c>
      <c r="O20" s="95">
        <v>0</v>
      </c>
      <c r="P20" s="95">
        <v>0</v>
      </c>
      <c r="Q20" s="95">
        <v>0</v>
      </c>
      <c r="R20" s="95">
        <v>0</v>
      </c>
      <c r="S20" s="95">
        <v>0</v>
      </c>
      <c r="T20" s="95">
        <v>8000</v>
      </c>
      <c r="U20" s="95">
        <v>0</v>
      </c>
      <c r="V20" s="95">
        <v>8000</v>
      </c>
      <c r="W20" s="95">
        <v>2500</v>
      </c>
      <c r="X20" s="95">
        <v>4000</v>
      </c>
      <c r="Y20" s="95">
        <v>10000</v>
      </c>
      <c r="Z20" s="95">
        <v>10000</v>
      </c>
      <c r="AA20">
        <v>3.1720978371993254</v>
      </c>
      <c r="AB20" s="40">
        <f>AA20*Flows[[#This Row],[p_tur]]</f>
        <v>263.20904123222351</v>
      </c>
    </row>
    <row r="21" spans="5:28" x14ac:dyDescent="0.2">
      <c r="E21">
        <v>11</v>
      </c>
      <c r="F21" s="95">
        <v>82.976331355723005</v>
      </c>
      <c r="G21" s="94">
        <v>5600</v>
      </c>
      <c r="H21" s="94">
        <v>2400</v>
      </c>
      <c r="I21" s="94">
        <v>8000</v>
      </c>
      <c r="J21" s="94">
        <v>11.13</v>
      </c>
      <c r="K21" s="95">
        <v>1</v>
      </c>
      <c r="L21" s="95">
        <v>0</v>
      </c>
      <c r="M21" s="95">
        <v>0</v>
      </c>
      <c r="N21" s="95">
        <v>0</v>
      </c>
      <c r="O21" s="95">
        <v>0</v>
      </c>
      <c r="P21" s="95">
        <v>0</v>
      </c>
      <c r="Q21" s="95">
        <v>0</v>
      </c>
      <c r="R21" s="95">
        <v>0</v>
      </c>
      <c r="S21" s="95">
        <v>0</v>
      </c>
      <c r="T21" s="95">
        <v>8000</v>
      </c>
      <c r="U21" s="95">
        <v>0</v>
      </c>
      <c r="V21" s="95">
        <v>8000</v>
      </c>
      <c r="W21" s="95">
        <v>2500</v>
      </c>
      <c r="X21" s="95">
        <v>4000</v>
      </c>
      <c r="Y21" s="95">
        <v>10000</v>
      </c>
      <c r="Z21" s="95">
        <v>10000</v>
      </c>
      <c r="AA21">
        <v>3.0808347177749722</v>
      </c>
      <c r="AB21" s="40">
        <f>AA21*Flows[[#This Row],[p_tur]]</f>
        <v>255.63636239431145</v>
      </c>
    </row>
    <row r="22" spans="5:28" x14ac:dyDescent="0.2">
      <c r="E22">
        <v>12</v>
      </c>
      <c r="F22" s="95">
        <v>82.976331355723005</v>
      </c>
      <c r="G22" s="94">
        <v>5600</v>
      </c>
      <c r="H22" s="94">
        <v>2400</v>
      </c>
      <c r="I22" s="94">
        <v>8000</v>
      </c>
      <c r="J22" s="94">
        <v>11.13</v>
      </c>
      <c r="K22" s="95">
        <v>1</v>
      </c>
      <c r="L22" s="95">
        <v>0</v>
      </c>
      <c r="M22" s="95">
        <v>0</v>
      </c>
      <c r="N22" s="95">
        <v>0</v>
      </c>
      <c r="O22" s="95">
        <v>0</v>
      </c>
      <c r="P22" s="95">
        <v>0</v>
      </c>
      <c r="Q22" s="95">
        <v>0</v>
      </c>
      <c r="R22" s="95">
        <v>0</v>
      </c>
      <c r="S22" s="95">
        <v>0</v>
      </c>
      <c r="T22" s="95">
        <v>8000</v>
      </c>
      <c r="U22" s="95">
        <v>0</v>
      </c>
      <c r="V22" s="95">
        <v>8000</v>
      </c>
      <c r="W22" s="95">
        <v>2500</v>
      </c>
      <c r="X22" s="95">
        <v>4000</v>
      </c>
      <c r="Y22" s="95">
        <v>10000</v>
      </c>
      <c r="Z22" s="95">
        <v>10000</v>
      </c>
      <c r="AA22">
        <v>3.0380551305448065</v>
      </c>
      <c r="AB22" s="40">
        <f>AA22*Flows[[#This Row],[p_tur]]</f>
        <v>252.08666918904018</v>
      </c>
    </row>
    <row r="23" spans="5:28" x14ac:dyDescent="0.2">
      <c r="E23">
        <v>13</v>
      </c>
      <c r="F23" s="95">
        <v>82.976331355723005</v>
      </c>
      <c r="G23" s="94">
        <v>5600</v>
      </c>
      <c r="H23" s="94">
        <v>2400</v>
      </c>
      <c r="I23" s="94">
        <v>8000</v>
      </c>
      <c r="J23" s="94">
        <v>11.13</v>
      </c>
      <c r="K23" s="95">
        <v>1</v>
      </c>
      <c r="L23" s="95">
        <v>0</v>
      </c>
      <c r="M23" s="95">
        <v>0</v>
      </c>
      <c r="N23" s="95">
        <v>0</v>
      </c>
      <c r="O23" s="95">
        <v>0</v>
      </c>
      <c r="P23" s="95">
        <v>0</v>
      </c>
      <c r="Q23" s="95">
        <v>0</v>
      </c>
      <c r="R23" s="95">
        <v>0</v>
      </c>
      <c r="S23" s="95">
        <v>0</v>
      </c>
      <c r="T23" s="95">
        <v>8000</v>
      </c>
      <c r="U23" s="95">
        <v>0</v>
      </c>
      <c r="V23" s="95">
        <v>8000</v>
      </c>
      <c r="W23" s="95">
        <v>2500</v>
      </c>
      <c r="X23" s="95">
        <v>4000</v>
      </c>
      <c r="Y23" s="95">
        <v>10000</v>
      </c>
      <c r="Z23" s="95">
        <v>10000</v>
      </c>
      <c r="AA23">
        <v>3.0380551305448065</v>
      </c>
      <c r="AB23" s="40">
        <f>AA23*Flows[[#This Row],[p_tur]]</f>
        <v>252.08666918904018</v>
      </c>
    </row>
    <row r="24" spans="5:28" x14ac:dyDescent="0.2">
      <c r="E24">
        <v>14</v>
      </c>
      <c r="F24" s="95">
        <v>82.976331355723005</v>
      </c>
      <c r="G24" s="94">
        <v>5600</v>
      </c>
      <c r="H24" s="94">
        <v>2400</v>
      </c>
      <c r="I24" s="94">
        <v>8000</v>
      </c>
      <c r="J24" s="94">
        <v>11.13</v>
      </c>
      <c r="K24" s="95">
        <v>1</v>
      </c>
      <c r="L24" s="95">
        <v>0</v>
      </c>
      <c r="M24" s="95">
        <v>0</v>
      </c>
      <c r="N24" s="95">
        <v>0</v>
      </c>
      <c r="O24" s="95">
        <v>0</v>
      </c>
      <c r="P24" s="95">
        <v>0</v>
      </c>
      <c r="Q24" s="95">
        <v>0</v>
      </c>
      <c r="R24" s="95">
        <v>0</v>
      </c>
      <c r="S24" s="95">
        <v>0</v>
      </c>
      <c r="T24" s="95">
        <v>8000</v>
      </c>
      <c r="U24" s="95">
        <v>0</v>
      </c>
      <c r="V24" s="95">
        <v>8000</v>
      </c>
      <c r="W24" s="95">
        <v>2500</v>
      </c>
      <c r="X24" s="95">
        <v>4000</v>
      </c>
      <c r="Y24" s="95">
        <v>10000</v>
      </c>
      <c r="Z24" s="95">
        <v>10000</v>
      </c>
      <c r="AA24">
        <v>3.53430404635969</v>
      </c>
      <c r="AB24" s="40">
        <f>AA24*Flows[[#This Row],[p_tur]]</f>
        <v>293.26358366261422</v>
      </c>
    </row>
    <row r="25" spans="5:28" x14ac:dyDescent="0.2">
      <c r="E25">
        <v>15</v>
      </c>
      <c r="F25" s="95">
        <v>82.976331355723005</v>
      </c>
      <c r="G25" s="94">
        <v>5600</v>
      </c>
      <c r="H25" s="94">
        <v>2400</v>
      </c>
      <c r="I25" s="94">
        <v>8000</v>
      </c>
      <c r="J25" s="94">
        <v>11.13</v>
      </c>
      <c r="K25" s="95">
        <v>1</v>
      </c>
      <c r="L25" s="95">
        <v>0</v>
      </c>
      <c r="M25" s="95">
        <v>0</v>
      </c>
      <c r="N25" s="95">
        <v>0</v>
      </c>
      <c r="O25" s="95">
        <v>0</v>
      </c>
      <c r="P25" s="95">
        <v>0</v>
      </c>
      <c r="Q25" s="95">
        <v>0</v>
      </c>
      <c r="R25" s="95">
        <v>0</v>
      </c>
      <c r="S25" s="95">
        <v>0</v>
      </c>
      <c r="T25" s="95">
        <v>8000</v>
      </c>
      <c r="U25" s="95">
        <v>0</v>
      </c>
      <c r="V25" s="95">
        <v>8000</v>
      </c>
      <c r="W25" s="95">
        <v>2500</v>
      </c>
      <c r="X25" s="95">
        <v>4000</v>
      </c>
      <c r="Y25" s="95">
        <v>10000</v>
      </c>
      <c r="Z25" s="95">
        <v>10000</v>
      </c>
      <c r="AA25">
        <v>5.8729100737188098</v>
      </c>
      <c r="AB25" s="40">
        <f>AA25*Flows[[#This Row],[p_tur]]</f>
        <v>487.31253229925557</v>
      </c>
    </row>
    <row r="26" spans="5:28" x14ac:dyDescent="0.2">
      <c r="E26">
        <v>16</v>
      </c>
      <c r="F26" s="95">
        <v>82.976331355723005</v>
      </c>
      <c r="G26" s="94">
        <v>5600</v>
      </c>
      <c r="H26" s="94">
        <v>2400</v>
      </c>
      <c r="I26" s="94">
        <v>8000</v>
      </c>
      <c r="J26" s="94">
        <v>11.13</v>
      </c>
      <c r="K26" s="95">
        <v>1</v>
      </c>
      <c r="L26" s="95">
        <v>0</v>
      </c>
      <c r="M26" s="95">
        <v>0</v>
      </c>
      <c r="N26" s="95">
        <v>0</v>
      </c>
      <c r="O26" s="95">
        <v>0</v>
      </c>
      <c r="P26" s="95">
        <v>0</v>
      </c>
      <c r="Q26" s="95">
        <v>0</v>
      </c>
      <c r="R26" s="95">
        <v>0</v>
      </c>
      <c r="S26" s="95">
        <v>0</v>
      </c>
      <c r="T26" s="95">
        <v>8000</v>
      </c>
      <c r="U26" s="95">
        <v>0</v>
      </c>
      <c r="V26" s="95">
        <v>8000</v>
      </c>
      <c r="W26" s="95">
        <v>2500</v>
      </c>
      <c r="X26" s="95">
        <v>4000</v>
      </c>
      <c r="Y26" s="95">
        <v>10000</v>
      </c>
      <c r="Z26" s="95">
        <v>10000</v>
      </c>
      <c r="AA26">
        <v>6.0440284226394718</v>
      </c>
      <c r="AB26" s="40">
        <f>AA26*Flows[[#This Row],[p_tur]]</f>
        <v>501.51130512034064</v>
      </c>
    </row>
    <row r="27" spans="5:28" x14ac:dyDescent="0.2">
      <c r="E27">
        <v>17</v>
      </c>
      <c r="F27" s="95">
        <v>82.976331355723005</v>
      </c>
      <c r="G27" s="94">
        <v>5600</v>
      </c>
      <c r="H27" s="94">
        <v>2400</v>
      </c>
      <c r="I27" s="94">
        <v>8000</v>
      </c>
      <c r="J27" s="94">
        <v>11.13</v>
      </c>
      <c r="K27" s="95">
        <v>1</v>
      </c>
      <c r="L27" s="95">
        <v>0</v>
      </c>
      <c r="M27" s="95">
        <v>0</v>
      </c>
      <c r="N27" s="95">
        <v>0</v>
      </c>
      <c r="O27" s="95">
        <v>0</v>
      </c>
      <c r="P27" s="95">
        <v>0</v>
      </c>
      <c r="Q27" s="95">
        <v>0</v>
      </c>
      <c r="R27" s="95">
        <v>0</v>
      </c>
      <c r="S27" s="95">
        <v>0</v>
      </c>
      <c r="T27" s="95">
        <v>8000</v>
      </c>
      <c r="U27" s="95">
        <v>0</v>
      </c>
      <c r="V27" s="95">
        <v>8000</v>
      </c>
      <c r="W27" s="95">
        <v>2500</v>
      </c>
      <c r="X27" s="95">
        <v>4000</v>
      </c>
      <c r="Y27" s="95">
        <v>10000</v>
      </c>
      <c r="Z27" s="95">
        <v>10000</v>
      </c>
      <c r="AA27">
        <v>8.7591062255139747</v>
      </c>
      <c r="AB27" s="40">
        <f>AA27*Flows[[#This Row],[p_tur]]</f>
        <v>726.79850054822384</v>
      </c>
    </row>
    <row r="28" spans="5:28" x14ac:dyDescent="0.2">
      <c r="E28">
        <v>18</v>
      </c>
      <c r="F28" s="95">
        <v>414.88165677861502</v>
      </c>
      <c r="G28" s="94">
        <v>0</v>
      </c>
      <c r="H28" s="94">
        <v>12000</v>
      </c>
      <c r="I28" s="94">
        <v>12000</v>
      </c>
      <c r="J28" s="94">
        <v>16.100000000000001</v>
      </c>
      <c r="K28" s="95">
        <v>0</v>
      </c>
      <c r="L28" s="95">
        <v>7500</v>
      </c>
      <c r="M28" s="95">
        <v>0</v>
      </c>
      <c r="N28" s="95">
        <v>1</v>
      </c>
      <c r="O28" s="95">
        <v>0</v>
      </c>
      <c r="P28" s="95">
        <v>0</v>
      </c>
      <c r="Q28" s="95">
        <v>0</v>
      </c>
      <c r="R28" s="95">
        <v>0</v>
      </c>
      <c r="S28" s="95">
        <v>0</v>
      </c>
      <c r="T28" s="95">
        <v>12000</v>
      </c>
      <c r="U28" s="95">
        <v>0</v>
      </c>
      <c r="V28" s="95">
        <v>12000</v>
      </c>
      <c r="W28" s="95">
        <v>2500</v>
      </c>
      <c r="X28" s="95">
        <v>4000</v>
      </c>
      <c r="Y28" s="95">
        <v>10000</v>
      </c>
      <c r="Z28" s="95">
        <v>10000</v>
      </c>
      <c r="AA28">
        <v>11.169022972813298</v>
      </c>
      <c r="AB28" s="40">
        <f>AA28*Flows[[#This Row],[p_tur]]</f>
        <v>4633.822755559193</v>
      </c>
    </row>
    <row r="29" spans="5:28" x14ac:dyDescent="0.2">
      <c r="E29">
        <v>19</v>
      </c>
      <c r="F29" s="95">
        <v>423.04893223951393</v>
      </c>
      <c r="G29" s="94">
        <v>0</v>
      </c>
      <c r="H29" s="94">
        <v>12236.229546256089</v>
      </c>
      <c r="I29" s="94">
        <v>12236.229546256089</v>
      </c>
      <c r="J29" s="94">
        <v>16.100000000000001</v>
      </c>
      <c r="K29" s="95">
        <v>0</v>
      </c>
      <c r="L29" s="95">
        <v>0</v>
      </c>
      <c r="M29" s="95">
        <v>0</v>
      </c>
      <c r="N29" s="95">
        <v>0</v>
      </c>
      <c r="O29" s="95">
        <v>0</v>
      </c>
      <c r="P29" s="95">
        <v>0</v>
      </c>
      <c r="Q29" s="95">
        <v>0</v>
      </c>
      <c r="R29" s="95">
        <v>0</v>
      </c>
      <c r="S29" s="95">
        <v>0</v>
      </c>
      <c r="T29" s="95">
        <v>12236.229546256089</v>
      </c>
      <c r="U29" s="95">
        <v>0</v>
      </c>
      <c r="V29" s="95">
        <v>12236.229546256089</v>
      </c>
      <c r="W29" s="95">
        <v>2500</v>
      </c>
      <c r="X29" s="95">
        <v>4000</v>
      </c>
      <c r="Y29" s="95">
        <v>10000</v>
      </c>
      <c r="Z29" s="95">
        <v>10000</v>
      </c>
      <c r="AA29">
        <v>11.568299120294842</v>
      </c>
      <c r="AB29" s="40">
        <f>AA29*Flows[[#This Row],[p_tur]]</f>
        <v>4893.9565906680409</v>
      </c>
    </row>
    <row r="30" spans="5:28" x14ac:dyDescent="0.2">
      <c r="E30">
        <v>20</v>
      </c>
      <c r="F30" s="95">
        <v>423.04893223951393</v>
      </c>
      <c r="G30" s="94">
        <v>0</v>
      </c>
      <c r="H30" s="94">
        <v>12236.229546256089</v>
      </c>
      <c r="I30" s="94">
        <v>12236.229546256089</v>
      </c>
      <c r="J30" s="94">
        <v>16.100000000000001</v>
      </c>
      <c r="K30" s="95">
        <v>0</v>
      </c>
      <c r="L30" s="95">
        <v>0</v>
      </c>
      <c r="M30" s="95">
        <v>0</v>
      </c>
      <c r="N30" s="95">
        <v>0</v>
      </c>
      <c r="O30" s="95">
        <v>0</v>
      </c>
      <c r="P30" s="95">
        <v>0</v>
      </c>
      <c r="Q30" s="95">
        <v>0</v>
      </c>
      <c r="R30" s="95">
        <v>0</v>
      </c>
      <c r="S30" s="95">
        <v>0</v>
      </c>
      <c r="T30" s="95">
        <v>12236.229546256089</v>
      </c>
      <c r="U30" s="95">
        <v>0</v>
      </c>
      <c r="V30" s="95">
        <v>12236.229546256089</v>
      </c>
      <c r="W30" s="95">
        <v>2500</v>
      </c>
      <c r="X30" s="95">
        <v>4000</v>
      </c>
      <c r="Y30" s="95">
        <v>10000</v>
      </c>
      <c r="Z30" s="95">
        <v>10000</v>
      </c>
      <c r="AA30">
        <v>11.568299120294842</v>
      </c>
      <c r="AB30" s="40">
        <f>AA30*Flows[[#This Row],[p_tur]]</f>
        <v>4893.9565906680409</v>
      </c>
    </row>
    <row r="31" spans="5:28" x14ac:dyDescent="0.2">
      <c r="E31">
        <v>21</v>
      </c>
      <c r="F31" s="95">
        <v>347.59314007455697</v>
      </c>
      <c r="G31" s="94">
        <v>0</v>
      </c>
      <c r="H31" s="94">
        <v>10053.752950375518</v>
      </c>
      <c r="I31" s="94">
        <v>10053.752950375518</v>
      </c>
      <c r="J31" s="94">
        <v>16.100000000000001</v>
      </c>
      <c r="K31" s="95">
        <v>0</v>
      </c>
      <c r="L31" s="95">
        <v>0</v>
      </c>
      <c r="M31" s="95">
        <v>0</v>
      </c>
      <c r="N31" s="95">
        <v>0</v>
      </c>
      <c r="O31" s="95">
        <v>0</v>
      </c>
      <c r="P31" s="95">
        <v>0</v>
      </c>
      <c r="Q31" s="95">
        <v>0</v>
      </c>
      <c r="R31" s="95">
        <v>0</v>
      </c>
      <c r="S31" s="95">
        <v>0</v>
      </c>
      <c r="T31" s="95">
        <v>10053.752950375518</v>
      </c>
      <c r="U31" s="95">
        <v>0</v>
      </c>
      <c r="V31" s="95">
        <v>10053.752950375518</v>
      </c>
      <c r="W31" s="95">
        <v>2500</v>
      </c>
      <c r="X31" s="95">
        <v>4000</v>
      </c>
      <c r="Y31" s="95">
        <v>10000</v>
      </c>
      <c r="Z31" s="95">
        <v>10000</v>
      </c>
      <c r="AA31">
        <v>11.140503247993186</v>
      </c>
      <c r="AB31" s="40">
        <f>AA31*Flows[[#This Row],[p_tur]]</f>
        <v>3872.3625059807523</v>
      </c>
    </row>
    <row r="32" spans="5:28" x14ac:dyDescent="0.2">
      <c r="E32">
        <v>22</v>
      </c>
      <c r="F32" s="95">
        <v>97.826446482907883</v>
      </c>
      <c r="G32" s="94">
        <v>4724.2295462561879</v>
      </c>
      <c r="H32" s="94">
        <v>2829.5234041193303</v>
      </c>
      <c r="I32" s="94">
        <v>7553.7529503755177</v>
      </c>
      <c r="J32" s="94">
        <v>11.659554303830991</v>
      </c>
      <c r="K32" s="95">
        <v>1</v>
      </c>
      <c r="L32" s="95">
        <v>0</v>
      </c>
      <c r="M32" s="95">
        <v>7500</v>
      </c>
      <c r="N32" s="95">
        <v>0</v>
      </c>
      <c r="O32" s="95">
        <v>1</v>
      </c>
      <c r="P32" s="95">
        <v>0</v>
      </c>
      <c r="Q32" s="95">
        <v>0</v>
      </c>
      <c r="R32" s="95">
        <v>0</v>
      </c>
      <c r="S32" s="95">
        <v>0</v>
      </c>
      <c r="T32" s="95">
        <v>7553.7529503755177</v>
      </c>
      <c r="U32" s="95">
        <v>0</v>
      </c>
      <c r="V32" s="95">
        <v>7553.7529503755177</v>
      </c>
      <c r="W32" s="95">
        <v>2500</v>
      </c>
      <c r="X32" s="95">
        <v>4000</v>
      </c>
      <c r="Y32" s="95">
        <v>10000</v>
      </c>
      <c r="Z32" s="95">
        <v>10000</v>
      </c>
      <c r="AA32">
        <v>10.341950953030096</v>
      </c>
      <c r="AB32" s="40">
        <f>AA32*Flows[[#This Row],[p_tur]]</f>
        <v>1011.7163114354569</v>
      </c>
    </row>
    <row r="33" spans="5:28" x14ac:dyDescent="0.2">
      <c r="E33">
        <v>23</v>
      </c>
      <c r="F33" s="95">
        <v>82.976331355723005</v>
      </c>
      <c r="G33" s="94">
        <v>4724.2295462560887</v>
      </c>
      <c r="H33" s="94">
        <v>2400</v>
      </c>
      <c r="I33" s="94">
        <v>7124.2295462560887</v>
      </c>
      <c r="J33" s="94">
        <v>11.391837585996205</v>
      </c>
      <c r="K33" s="95">
        <v>1</v>
      </c>
      <c r="L33" s="95">
        <v>9.9043973023071877E-11</v>
      </c>
      <c r="M33" s="95">
        <v>0</v>
      </c>
      <c r="N33" s="95">
        <v>0</v>
      </c>
      <c r="O33" s="95">
        <v>0</v>
      </c>
      <c r="P33" s="95">
        <v>0</v>
      </c>
      <c r="Q33" s="95">
        <v>0</v>
      </c>
      <c r="R33" s="95">
        <v>0</v>
      </c>
      <c r="S33" s="95">
        <v>0</v>
      </c>
      <c r="T33" s="95">
        <v>7124.2295462560887</v>
      </c>
      <c r="U33" s="95">
        <v>0</v>
      </c>
      <c r="V33" s="95">
        <v>7124.2295462560887</v>
      </c>
      <c r="W33" s="95">
        <v>2500</v>
      </c>
      <c r="X33" s="95">
        <v>4000</v>
      </c>
      <c r="Y33" s="95">
        <v>10000</v>
      </c>
      <c r="Z33" s="95">
        <v>10000</v>
      </c>
      <c r="AA33">
        <v>8.0746328298313266</v>
      </c>
      <c r="AB33" s="40">
        <f>AA33*Flows[[#This Row],[p_tur]]</f>
        <v>670.00340926388344</v>
      </c>
    </row>
    <row r="34" spans="5:28" x14ac:dyDescent="0.2">
      <c r="E34">
        <v>24</v>
      </c>
      <c r="F34" s="95">
        <v>82.976331355723005</v>
      </c>
      <c r="G34" s="94">
        <v>4724.2295462560887</v>
      </c>
      <c r="H34" s="94">
        <v>2400</v>
      </c>
      <c r="I34" s="94">
        <v>7124.2295462560887</v>
      </c>
      <c r="J34" s="94">
        <v>11.391837585996205</v>
      </c>
      <c r="K34" s="95">
        <v>1</v>
      </c>
      <c r="L34" s="95">
        <v>0</v>
      </c>
      <c r="M34" s="95">
        <v>0</v>
      </c>
      <c r="N34" s="95">
        <v>0</v>
      </c>
      <c r="O34" s="95">
        <v>0</v>
      </c>
      <c r="P34" s="95">
        <v>0</v>
      </c>
      <c r="Q34" s="95">
        <v>0</v>
      </c>
      <c r="R34" s="95">
        <v>0</v>
      </c>
      <c r="S34" s="95">
        <v>0</v>
      </c>
      <c r="T34" s="95">
        <v>7124.2295462560887</v>
      </c>
      <c r="U34" s="95">
        <v>0</v>
      </c>
      <c r="V34" s="95">
        <v>7124.2295462560887</v>
      </c>
      <c r="W34" s="95">
        <v>2500</v>
      </c>
      <c r="X34" s="95">
        <v>4000</v>
      </c>
      <c r="Y34" s="95">
        <v>10000</v>
      </c>
      <c r="Z34" s="95">
        <v>10000</v>
      </c>
      <c r="AA34">
        <v>5.7816526582394197</v>
      </c>
      <c r="AB34" s="40">
        <f>AA34*Flows[[#This Row],[p_tur]]</f>
        <v>479.74032675377083</v>
      </c>
    </row>
    <row r="35" spans="5:28" x14ac:dyDescent="0.2">
      <c r="E35">
        <v>25</v>
      </c>
      <c r="F35" s="95">
        <v>85.72789184824822</v>
      </c>
      <c r="G35" s="94">
        <v>6018.1264057748567</v>
      </c>
      <c r="H35" s="94">
        <v>2479.585890026277</v>
      </c>
      <c r="I35" s="94">
        <v>8497.7122958011332</v>
      </c>
      <c r="J35" s="94">
        <v>11.071741100000001</v>
      </c>
      <c r="K35" s="95">
        <v>1</v>
      </c>
      <c r="L35" s="95">
        <v>0</v>
      </c>
      <c r="M35" s="95">
        <v>1293.8968595187682</v>
      </c>
      <c r="N35" s="95">
        <v>0</v>
      </c>
      <c r="O35" s="95">
        <v>1</v>
      </c>
      <c r="P35" s="95">
        <v>0</v>
      </c>
      <c r="Q35" s="95">
        <v>0</v>
      </c>
      <c r="R35" s="95">
        <v>0</v>
      </c>
      <c r="S35" s="95">
        <v>0</v>
      </c>
      <c r="T35" s="95">
        <v>8497.7122958011332</v>
      </c>
      <c r="U35" s="95">
        <v>0</v>
      </c>
      <c r="V35" s="95">
        <v>8497.7122958011332</v>
      </c>
      <c r="W35" s="95">
        <v>2500</v>
      </c>
      <c r="X35" s="95">
        <v>4000</v>
      </c>
      <c r="Y35" s="95">
        <v>10000</v>
      </c>
      <c r="Z35" s="95">
        <v>10000</v>
      </c>
    </row>
    <row r="36" spans="5:28" x14ac:dyDescent="0.2">
      <c r="E36">
        <v>26</v>
      </c>
      <c r="F36" s="95">
        <v>83.10424388660536</v>
      </c>
      <c r="G36" s="94">
        <v>6018.1264057748604</v>
      </c>
      <c r="H36" s="94">
        <v>2403.699730623201</v>
      </c>
      <c r="I36" s="94">
        <v>8421.8261363980619</v>
      </c>
      <c r="J36" s="94">
        <v>11.026433199999998</v>
      </c>
      <c r="K36" s="95">
        <v>1</v>
      </c>
      <c r="L36" s="95">
        <v>0</v>
      </c>
      <c r="M36" s="95">
        <v>0</v>
      </c>
      <c r="N36" s="95">
        <v>0</v>
      </c>
      <c r="O36" s="95">
        <v>0</v>
      </c>
      <c r="P36" s="95">
        <v>0</v>
      </c>
      <c r="Q36" s="95">
        <v>0</v>
      </c>
      <c r="R36" s="95">
        <v>0</v>
      </c>
      <c r="S36" s="95">
        <v>0</v>
      </c>
      <c r="T36" s="95">
        <v>8421.8261363980619</v>
      </c>
      <c r="U36" s="95">
        <v>0</v>
      </c>
      <c r="V36" s="95">
        <v>8421.8261363980619</v>
      </c>
      <c r="W36" s="95">
        <v>2500</v>
      </c>
      <c r="X36" s="95">
        <v>4000</v>
      </c>
      <c r="Y36" s="95">
        <v>10000</v>
      </c>
      <c r="Z36" s="95">
        <v>10000</v>
      </c>
    </row>
    <row r="37" spans="5:28" x14ac:dyDescent="0.2">
      <c r="E37">
        <v>27</v>
      </c>
      <c r="F37" s="95">
        <v>82.976331355723005</v>
      </c>
      <c r="G37" s="94">
        <v>6018.1264057748567</v>
      </c>
      <c r="H37" s="94">
        <v>2400</v>
      </c>
      <c r="I37" s="94">
        <v>8418.1264057748576</v>
      </c>
      <c r="J37" s="94">
        <v>11.024203389047535</v>
      </c>
      <c r="K37" s="95">
        <v>1</v>
      </c>
      <c r="L37" s="95">
        <v>0</v>
      </c>
      <c r="M37" s="95">
        <v>0</v>
      </c>
      <c r="N37" s="95">
        <v>0</v>
      </c>
      <c r="O37" s="95">
        <v>0</v>
      </c>
      <c r="P37" s="95">
        <v>0</v>
      </c>
      <c r="Q37" s="95">
        <v>0</v>
      </c>
      <c r="R37" s="95">
        <v>0</v>
      </c>
      <c r="S37" s="95">
        <v>0</v>
      </c>
      <c r="T37" s="95">
        <v>8418.1264057748576</v>
      </c>
      <c r="U37" s="95">
        <v>0</v>
      </c>
      <c r="V37" s="95">
        <v>8418.1264057748576</v>
      </c>
      <c r="W37" s="95">
        <v>2500</v>
      </c>
      <c r="X37" s="95">
        <v>4000</v>
      </c>
      <c r="Y37" s="95">
        <v>10000</v>
      </c>
      <c r="Z37" s="95">
        <v>10000</v>
      </c>
    </row>
    <row r="38" spans="5:28" x14ac:dyDescent="0.2">
      <c r="E38">
        <v>28</v>
      </c>
      <c r="F38" s="95">
        <v>82.976331355723005</v>
      </c>
      <c r="G38" s="94">
        <v>6018.1264057748567</v>
      </c>
      <c r="H38" s="94">
        <v>2400</v>
      </c>
      <c r="I38" s="94">
        <v>8418.1264057748576</v>
      </c>
      <c r="J38" s="94">
        <v>11.024203389047535</v>
      </c>
      <c r="K38" s="95">
        <v>1</v>
      </c>
      <c r="L38" s="95">
        <v>0</v>
      </c>
      <c r="M38" s="95">
        <v>0</v>
      </c>
      <c r="N38" s="95">
        <v>0</v>
      </c>
      <c r="O38" s="95">
        <v>0</v>
      </c>
      <c r="P38" s="95">
        <v>0</v>
      </c>
      <c r="Q38" s="95">
        <v>0</v>
      </c>
      <c r="R38" s="95">
        <v>0</v>
      </c>
      <c r="S38" s="95">
        <v>0</v>
      </c>
      <c r="T38" s="95">
        <v>8418.1264057748576</v>
      </c>
      <c r="U38" s="95">
        <v>0</v>
      </c>
      <c r="V38" s="95">
        <v>8418.1264057748576</v>
      </c>
      <c r="W38" s="95">
        <v>2500</v>
      </c>
      <c r="X38" s="95">
        <v>4000</v>
      </c>
      <c r="Y38" s="95">
        <v>10000</v>
      </c>
      <c r="Z38" s="95">
        <v>10000</v>
      </c>
    </row>
    <row r="39" spans="5:28" x14ac:dyDescent="0.2">
      <c r="E39">
        <v>29</v>
      </c>
      <c r="F39" s="95">
        <v>82.976331355723005</v>
      </c>
      <c r="G39" s="94">
        <v>6018.1264057748567</v>
      </c>
      <c r="H39" s="94">
        <v>2400</v>
      </c>
      <c r="I39" s="94">
        <v>8418.1264057748576</v>
      </c>
      <c r="J39" s="94">
        <v>11.024203389047535</v>
      </c>
      <c r="K39" s="95">
        <v>1</v>
      </c>
      <c r="L39" s="95">
        <v>0</v>
      </c>
      <c r="M39" s="95">
        <v>0</v>
      </c>
      <c r="N39" s="95">
        <v>0</v>
      </c>
      <c r="O39" s="95">
        <v>0</v>
      </c>
      <c r="P39" s="95">
        <v>0</v>
      </c>
      <c r="Q39" s="95">
        <v>0</v>
      </c>
      <c r="R39" s="95">
        <v>0</v>
      </c>
      <c r="S39" s="95">
        <v>0</v>
      </c>
      <c r="T39" s="95">
        <v>8418.1264057748576</v>
      </c>
      <c r="U39" s="95">
        <v>0</v>
      </c>
      <c r="V39" s="95">
        <v>8418.1264057748576</v>
      </c>
      <c r="W39" s="95">
        <v>2500</v>
      </c>
      <c r="X39" s="95">
        <v>4000</v>
      </c>
      <c r="Y39" s="95">
        <v>10000</v>
      </c>
      <c r="Z39" s="95">
        <v>10000</v>
      </c>
    </row>
    <row r="40" spans="5:28" x14ac:dyDescent="0.2">
      <c r="E40">
        <v>30</v>
      </c>
      <c r="F40" s="95">
        <v>82.976331355722991</v>
      </c>
      <c r="G40" s="94">
        <v>6568.6291474717455</v>
      </c>
      <c r="H40" s="94">
        <v>2399.9999999999995</v>
      </c>
      <c r="I40" s="94">
        <v>8968.6291474717455</v>
      </c>
      <c r="J40" s="94">
        <v>10.899955915202888</v>
      </c>
      <c r="K40" s="95">
        <v>1</v>
      </c>
      <c r="L40" s="95">
        <v>0</v>
      </c>
      <c r="M40" s="95">
        <v>550.50274169688896</v>
      </c>
      <c r="N40" s="95">
        <v>0</v>
      </c>
      <c r="O40" s="95">
        <v>1</v>
      </c>
      <c r="P40" s="95">
        <v>0</v>
      </c>
      <c r="Q40" s="95">
        <v>0</v>
      </c>
      <c r="R40" s="95">
        <v>0</v>
      </c>
      <c r="S40" s="95">
        <v>0</v>
      </c>
      <c r="T40" s="95">
        <v>8968.6291474717455</v>
      </c>
      <c r="U40" s="95">
        <v>0</v>
      </c>
      <c r="V40" s="95">
        <v>8968.6291474717455</v>
      </c>
      <c r="W40" s="95">
        <v>2500</v>
      </c>
      <c r="X40" s="95">
        <v>4000</v>
      </c>
      <c r="Y40" s="95">
        <v>10000</v>
      </c>
      <c r="Z40" s="95">
        <v>10000</v>
      </c>
    </row>
    <row r="41" spans="5:28" x14ac:dyDescent="0.2">
      <c r="E41">
        <v>31</v>
      </c>
      <c r="F41" s="95">
        <v>82.976331355723005</v>
      </c>
      <c r="G41" s="94">
        <v>6568.6291474717455</v>
      </c>
      <c r="H41" s="94">
        <v>2400</v>
      </c>
      <c r="I41" s="94">
        <v>8968.6291474717455</v>
      </c>
      <c r="J41" s="94">
        <v>10.89995591520289</v>
      </c>
      <c r="K41" s="95">
        <v>1</v>
      </c>
      <c r="L41" s="95">
        <v>0</v>
      </c>
      <c r="M41" s="95">
        <v>0</v>
      </c>
      <c r="N41" s="95">
        <v>0</v>
      </c>
      <c r="O41" s="95">
        <v>0</v>
      </c>
      <c r="P41" s="95">
        <v>0</v>
      </c>
      <c r="Q41" s="95">
        <v>0</v>
      </c>
      <c r="R41" s="95">
        <v>0</v>
      </c>
      <c r="S41" s="95">
        <v>0</v>
      </c>
      <c r="T41" s="95">
        <v>8968.6291474717455</v>
      </c>
      <c r="U41" s="95">
        <v>0</v>
      </c>
      <c r="V41" s="95">
        <v>8968.6291474717455</v>
      </c>
      <c r="W41" s="95">
        <v>2500</v>
      </c>
      <c r="X41" s="95">
        <v>4000</v>
      </c>
      <c r="Y41" s="95">
        <v>10000</v>
      </c>
      <c r="Z41" s="95">
        <v>10000</v>
      </c>
    </row>
    <row r="42" spans="5:28" x14ac:dyDescent="0.2">
      <c r="E42">
        <v>32</v>
      </c>
      <c r="F42" s="95">
        <v>82.976331355723005</v>
      </c>
      <c r="G42" s="94">
        <v>6568.6291474717445</v>
      </c>
      <c r="H42" s="94">
        <v>2400</v>
      </c>
      <c r="I42" s="94">
        <v>8968.6291474717455</v>
      </c>
      <c r="J42" s="94">
        <v>10.899955915202892</v>
      </c>
      <c r="K42" s="95">
        <v>1</v>
      </c>
      <c r="L42" s="95">
        <v>0</v>
      </c>
      <c r="M42" s="95">
        <v>0</v>
      </c>
      <c r="N42" s="95">
        <v>0</v>
      </c>
      <c r="O42" s="95">
        <v>0</v>
      </c>
      <c r="P42" s="95">
        <v>0</v>
      </c>
      <c r="Q42" s="95">
        <v>0</v>
      </c>
      <c r="R42" s="95">
        <v>0</v>
      </c>
      <c r="S42" s="95">
        <v>0</v>
      </c>
      <c r="T42" s="95">
        <v>8968.6291474717455</v>
      </c>
      <c r="U42" s="95">
        <v>0</v>
      </c>
      <c r="V42" s="95">
        <v>8968.6291474717455</v>
      </c>
      <c r="W42" s="95">
        <v>2500</v>
      </c>
      <c r="X42" s="95">
        <v>4000</v>
      </c>
      <c r="Y42" s="95">
        <v>10000</v>
      </c>
      <c r="Z42" s="95">
        <v>10000</v>
      </c>
    </row>
    <row r="43" spans="5:28" x14ac:dyDescent="0.2">
      <c r="E43">
        <v>33</v>
      </c>
      <c r="F43" s="95">
        <v>82.976331355723005</v>
      </c>
      <c r="G43" s="94">
        <v>6568.6291474717445</v>
      </c>
      <c r="H43" s="94">
        <v>2400</v>
      </c>
      <c r="I43" s="94">
        <v>8968.6291474717455</v>
      </c>
      <c r="J43" s="94">
        <v>10.899955915202892</v>
      </c>
      <c r="K43" s="95">
        <v>1</v>
      </c>
      <c r="L43" s="95">
        <v>0</v>
      </c>
      <c r="M43" s="95">
        <v>0</v>
      </c>
      <c r="N43" s="95">
        <v>0</v>
      </c>
      <c r="O43" s="95">
        <v>0</v>
      </c>
      <c r="P43" s="95">
        <v>0</v>
      </c>
      <c r="Q43" s="95">
        <v>0</v>
      </c>
      <c r="R43" s="95">
        <v>0</v>
      </c>
      <c r="S43" s="95">
        <v>0</v>
      </c>
      <c r="T43" s="95">
        <v>8968.6291474717455</v>
      </c>
      <c r="U43" s="95">
        <v>0</v>
      </c>
      <c r="V43" s="95">
        <v>8968.6291474717455</v>
      </c>
      <c r="W43" s="95">
        <v>2500</v>
      </c>
      <c r="X43" s="95">
        <v>4000</v>
      </c>
      <c r="Y43" s="95">
        <v>10000</v>
      </c>
      <c r="Z43" s="95">
        <v>10000</v>
      </c>
    </row>
    <row r="44" spans="5:28" x14ac:dyDescent="0.2">
      <c r="E44">
        <v>34</v>
      </c>
      <c r="F44" s="95">
        <v>82.976331355723005</v>
      </c>
      <c r="G44" s="94">
        <v>6568.6291474717445</v>
      </c>
      <c r="H44" s="94">
        <v>2400</v>
      </c>
      <c r="I44" s="94">
        <v>8968.6291474717455</v>
      </c>
      <c r="J44" s="94">
        <v>10.899955915202892</v>
      </c>
      <c r="K44" s="95">
        <v>1</v>
      </c>
      <c r="L44" s="95">
        <v>0</v>
      </c>
      <c r="M44" s="95">
        <v>0</v>
      </c>
      <c r="N44" s="95">
        <v>0</v>
      </c>
      <c r="O44" s="95">
        <v>0</v>
      </c>
      <c r="P44" s="95">
        <v>0</v>
      </c>
      <c r="Q44" s="95">
        <v>0</v>
      </c>
      <c r="R44" s="95">
        <v>0</v>
      </c>
      <c r="S44" s="95">
        <v>0</v>
      </c>
      <c r="T44" s="95">
        <v>8968.6291474717455</v>
      </c>
      <c r="U44" s="95">
        <v>0</v>
      </c>
      <c r="V44" s="95">
        <v>8968.6291474717455</v>
      </c>
      <c r="W44" s="95">
        <v>2500</v>
      </c>
      <c r="X44" s="95">
        <v>4000</v>
      </c>
      <c r="Y44" s="95">
        <v>10000</v>
      </c>
      <c r="Z44" s="95">
        <v>10000</v>
      </c>
    </row>
    <row r="45" spans="5:28" x14ac:dyDescent="0.2">
      <c r="E45">
        <v>35</v>
      </c>
      <c r="F45" s="95">
        <v>82.976331355723005</v>
      </c>
      <c r="G45" s="94">
        <v>6568.6291474717445</v>
      </c>
      <c r="H45" s="94">
        <v>2400</v>
      </c>
      <c r="I45" s="94">
        <v>8968.6291474717455</v>
      </c>
      <c r="J45" s="94">
        <v>10.899955915202892</v>
      </c>
      <c r="K45" s="95">
        <v>1</v>
      </c>
      <c r="L45" s="95">
        <v>0</v>
      </c>
      <c r="M45" s="95">
        <v>0</v>
      </c>
      <c r="N45" s="95">
        <v>0</v>
      </c>
      <c r="O45" s="95">
        <v>0</v>
      </c>
      <c r="P45" s="95">
        <v>0</v>
      </c>
      <c r="Q45" s="95">
        <v>0</v>
      </c>
      <c r="R45" s="95">
        <v>0</v>
      </c>
      <c r="S45" s="95">
        <v>0</v>
      </c>
      <c r="T45" s="95">
        <v>8968.6291474717455</v>
      </c>
      <c r="U45" s="95">
        <v>0</v>
      </c>
      <c r="V45" s="95">
        <v>8968.6291474717455</v>
      </c>
      <c r="W45" s="95">
        <v>2500</v>
      </c>
      <c r="X45" s="95">
        <v>4000</v>
      </c>
      <c r="Y45" s="95">
        <v>10000</v>
      </c>
      <c r="Z45" s="95">
        <v>10000</v>
      </c>
    </row>
    <row r="46" spans="5:28" x14ac:dyDescent="0.2">
      <c r="E46">
        <v>36</v>
      </c>
      <c r="F46" s="95">
        <v>82.976331355723005</v>
      </c>
      <c r="G46" s="94">
        <v>6568.6291474717445</v>
      </c>
      <c r="H46" s="94">
        <v>2400</v>
      </c>
      <c r="I46" s="94">
        <v>8968.6291474717455</v>
      </c>
      <c r="J46" s="94">
        <v>10.899955915202892</v>
      </c>
      <c r="K46" s="95">
        <v>1</v>
      </c>
      <c r="L46" s="95">
        <v>0</v>
      </c>
      <c r="M46" s="95">
        <v>0</v>
      </c>
      <c r="N46" s="95">
        <v>0</v>
      </c>
      <c r="O46" s="95">
        <v>0</v>
      </c>
      <c r="P46" s="95">
        <v>0</v>
      </c>
      <c r="Q46" s="95">
        <v>0</v>
      </c>
      <c r="R46" s="95">
        <v>0</v>
      </c>
      <c r="S46" s="95">
        <v>0</v>
      </c>
      <c r="T46" s="95">
        <v>8968.6291474717455</v>
      </c>
      <c r="U46" s="95">
        <v>0</v>
      </c>
      <c r="V46" s="95">
        <v>8968.6291474717455</v>
      </c>
      <c r="W46" s="95">
        <v>2500</v>
      </c>
      <c r="X46" s="95">
        <v>4000</v>
      </c>
      <c r="Y46" s="95">
        <v>10000</v>
      </c>
      <c r="Z46" s="95">
        <v>10000</v>
      </c>
    </row>
    <row r="47" spans="5:28" x14ac:dyDescent="0.2">
      <c r="E47">
        <v>37</v>
      </c>
      <c r="F47" s="95">
        <v>86.078594156834924</v>
      </c>
      <c r="G47" s="94">
        <v>6568.6291474717455</v>
      </c>
      <c r="H47" s="94">
        <v>2489.7295722891113</v>
      </c>
      <c r="I47" s="94">
        <v>9058.3587197608576</v>
      </c>
      <c r="J47" s="94">
        <v>10.951466099999998</v>
      </c>
      <c r="K47" s="95">
        <v>1</v>
      </c>
      <c r="L47" s="95">
        <v>0</v>
      </c>
      <c r="M47" s="95">
        <v>0</v>
      </c>
      <c r="N47" s="95">
        <v>0</v>
      </c>
      <c r="O47" s="95">
        <v>0</v>
      </c>
      <c r="P47" s="95">
        <v>0</v>
      </c>
      <c r="Q47" s="95">
        <v>0</v>
      </c>
      <c r="R47" s="95">
        <v>0</v>
      </c>
      <c r="S47" s="95">
        <v>0</v>
      </c>
      <c r="T47" s="95">
        <v>9058.3587197608576</v>
      </c>
      <c r="U47" s="95">
        <v>0</v>
      </c>
      <c r="V47" s="95">
        <v>9058.3587197608576</v>
      </c>
      <c r="W47" s="95">
        <v>2500</v>
      </c>
      <c r="X47" s="95">
        <v>4000</v>
      </c>
      <c r="Y47" s="95">
        <v>10000</v>
      </c>
      <c r="Z47" s="95">
        <v>10000</v>
      </c>
    </row>
    <row r="48" spans="5:28" x14ac:dyDescent="0.2">
      <c r="E48">
        <v>38</v>
      </c>
      <c r="F48" s="95">
        <v>97.582748386763214</v>
      </c>
      <c r="G48" s="94">
        <v>6568.6291474717455</v>
      </c>
      <c r="H48" s="94">
        <v>2822.4747021438261</v>
      </c>
      <c r="I48" s="94">
        <v>9391.1038496155725</v>
      </c>
      <c r="J48" s="94">
        <v>11.1338887</v>
      </c>
      <c r="K48" s="95">
        <v>1</v>
      </c>
      <c r="L48" s="95">
        <v>0</v>
      </c>
      <c r="M48" s="95">
        <v>0</v>
      </c>
      <c r="N48" s="95">
        <v>0</v>
      </c>
      <c r="O48" s="95">
        <v>0</v>
      </c>
      <c r="P48" s="95">
        <v>0</v>
      </c>
      <c r="Q48" s="95">
        <v>0</v>
      </c>
      <c r="R48" s="95">
        <v>0</v>
      </c>
      <c r="S48" s="95">
        <v>0</v>
      </c>
      <c r="T48" s="95">
        <v>9391.1038496155725</v>
      </c>
      <c r="U48" s="95">
        <v>0</v>
      </c>
      <c r="V48" s="95">
        <v>9391.1038496155725</v>
      </c>
      <c r="W48" s="95">
        <v>2500</v>
      </c>
      <c r="X48" s="95">
        <v>4000</v>
      </c>
      <c r="Y48" s="95">
        <v>10000</v>
      </c>
      <c r="Z48" s="95">
        <v>10000</v>
      </c>
    </row>
    <row r="49" spans="5:26" x14ac:dyDescent="0.2">
      <c r="E49">
        <v>39</v>
      </c>
      <c r="F49" s="95">
        <v>94.804627122553285</v>
      </c>
      <c r="G49" s="94">
        <v>6568.6291474717455</v>
      </c>
      <c r="H49" s="94">
        <v>2742.1205707286877</v>
      </c>
      <c r="I49" s="94">
        <v>9310.7497182004336</v>
      </c>
      <c r="J49" s="94">
        <v>11.091029899999999</v>
      </c>
      <c r="K49" s="95">
        <v>1</v>
      </c>
      <c r="L49" s="95">
        <v>0</v>
      </c>
      <c r="M49" s="95">
        <v>0</v>
      </c>
      <c r="N49" s="95">
        <v>0</v>
      </c>
      <c r="O49" s="95">
        <v>0</v>
      </c>
      <c r="P49" s="95">
        <v>0</v>
      </c>
      <c r="Q49" s="95">
        <v>0</v>
      </c>
      <c r="R49" s="95">
        <v>0</v>
      </c>
      <c r="S49" s="95">
        <v>0</v>
      </c>
      <c r="T49" s="95">
        <v>9310.7497182004336</v>
      </c>
      <c r="U49" s="95">
        <v>0</v>
      </c>
      <c r="V49" s="95">
        <v>9310.7497182004336</v>
      </c>
      <c r="W49" s="95">
        <v>2500</v>
      </c>
      <c r="X49" s="95">
        <v>4000</v>
      </c>
      <c r="Y49" s="95">
        <v>10000</v>
      </c>
      <c r="Z49" s="95">
        <v>10000</v>
      </c>
    </row>
    <row r="50" spans="5:26" x14ac:dyDescent="0.2">
      <c r="E50">
        <v>40</v>
      </c>
      <c r="F50" s="95">
        <v>82.976331355723005</v>
      </c>
      <c r="G50" s="94">
        <v>6568.6291474717736</v>
      </c>
      <c r="H50" s="94">
        <v>2400</v>
      </c>
      <c r="I50" s="94">
        <v>8968.6291474717727</v>
      </c>
      <c r="J50" s="94">
        <v>10.899955915202884</v>
      </c>
      <c r="K50" s="95">
        <v>1</v>
      </c>
      <c r="L50" s="95">
        <v>0</v>
      </c>
      <c r="M50" s="95">
        <v>2.8887825465062633E-11</v>
      </c>
      <c r="N50" s="95">
        <v>0</v>
      </c>
      <c r="O50" s="95">
        <v>-1.6497325426568855E-14</v>
      </c>
      <c r="P50" s="95">
        <v>0</v>
      </c>
      <c r="Q50" s="95">
        <v>0</v>
      </c>
      <c r="R50" s="95">
        <v>0</v>
      </c>
      <c r="S50" s="95">
        <v>0</v>
      </c>
      <c r="T50" s="95">
        <v>8968.6291474717727</v>
      </c>
      <c r="U50" s="95">
        <v>0</v>
      </c>
      <c r="V50" s="95">
        <v>8968.6291474717727</v>
      </c>
      <c r="W50" s="95">
        <v>2500</v>
      </c>
      <c r="X50" s="95">
        <v>4000</v>
      </c>
      <c r="Y50" s="95">
        <v>10000</v>
      </c>
      <c r="Z50" s="95">
        <v>10000</v>
      </c>
    </row>
    <row r="51" spans="5:26" x14ac:dyDescent="0.2">
      <c r="E51">
        <v>41</v>
      </c>
      <c r="F51" s="95">
        <v>122.04872432215048</v>
      </c>
      <c r="G51" s="94">
        <v>6568.6291474717746</v>
      </c>
      <c r="H51" s="94">
        <v>3530.1264057748463</v>
      </c>
      <c r="I51" s="94">
        <v>10098.755553246621</v>
      </c>
      <c r="J51" s="94">
        <v>11.481879806759327</v>
      </c>
      <c r="K51" s="95">
        <v>1</v>
      </c>
      <c r="L51" s="95">
        <v>0</v>
      </c>
      <c r="M51" s="95">
        <v>0</v>
      </c>
      <c r="N51" s="95">
        <v>0</v>
      </c>
      <c r="O51" s="95">
        <v>0</v>
      </c>
      <c r="P51" s="95">
        <v>0</v>
      </c>
      <c r="Q51" s="95">
        <v>0</v>
      </c>
      <c r="R51" s="95">
        <v>0</v>
      </c>
      <c r="S51" s="95">
        <v>0</v>
      </c>
      <c r="T51" s="95">
        <v>10098.755553246621</v>
      </c>
      <c r="U51" s="95">
        <v>0</v>
      </c>
      <c r="V51" s="95">
        <v>10098.755553246621</v>
      </c>
      <c r="W51" s="95">
        <v>2500</v>
      </c>
      <c r="X51" s="95">
        <v>4000</v>
      </c>
      <c r="Y51" s="95">
        <v>10000</v>
      </c>
      <c r="Z51" s="95">
        <v>10000</v>
      </c>
    </row>
    <row r="52" spans="5:26" x14ac:dyDescent="0.2">
      <c r="E52">
        <v>42</v>
      </c>
      <c r="F52" s="95">
        <v>467.78343830432965</v>
      </c>
      <c r="G52" s="94">
        <v>0</v>
      </c>
      <c r="H52" s="94">
        <v>13530.126405774845</v>
      </c>
      <c r="I52" s="94">
        <v>13530.126405774845</v>
      </c>
      <c r="J52" s="94">
        <v>16.100000000000001</v>
      </c>
      <c r="K52" s="95">
        <v>0</v>
      </c>
      <c r="L52" s="95">
        <v>7500</v>
      </c>
      <c r="M52" s="95">
        <v>0</v>
      </c>
      <c r="N52" s="95">
        <v>1</v>
      </c>
      <c r="O52" s="95">
        <v>0</v>
      </c>
      <c r="P52" s="95">
        <v>0</v>
      </c>
      <c r="Q52" s="95">
        <v>0</v>
      </c>
      <c r="R52" s="95">
        <v>0</v>
      </c>
      <c r="S52" s="95">
        <v>0</v>
      </c>
      <c r="T52" s="95">
        <v>13530.126405774845</v>
      </c>
      <c r="U52" s="95">
        <v>0</v>
      </c>
      <c r="V52" s="95">
        <v>13530.126405774845</v>
      </c>
      <c r="W52" s="95">
        <v>2500</v>
      </c>
      <c r="X52" s="95">
        <v>4000</v>
      </c>
      <c r="Y52" s="95">
        <v>10000</v>
      </c>
      <c r="Z52" s="95">
        <v>10000</v>
      </c>
    </row>
    <row r="53" spans="5:26" x14ac:dyDescent="0.2">
      <c r="E53">
        <v>43</v>
      </c>
      <c r="F53" s="95">
        <v>467.78343830432993</v>
      </c>
      <c r="G53" s="94">
        <v>0</v>
      </c>
      <c r="H53" s="94">
        <v>13530.126405774854</v>
      </c>
      <c r="I53" s="94">
        <v>13530.126405774854</v>
      </c>
      <c r="J53" s="94">
        <v>16.100000000000001</v>
      </c>
      <c r="K53" s="95">
        <v>0</v>
      </c>
      <c r="L53" s="95">
        <v>0</v>
      </c>
      <c r="M53" s="95">
        <v>0</v>
      </c>
      <c r="N53" s="95">
        <v>0</v>
      </c>
      <c r="O53" s="95">
        <v>0</v>
      </c>
      <c r="P53" s="95">
        <v>0</v>
      </c>
      <c r="Q53" s="95">
        <v>0</v>
      </c>
      <c r="R53" s="95">
        <v>0</v>
      </c>
      <c r="S53" s="95">
        <v>0</v>
      </c>
      <c r="T53" s="95">
        <v>13530.126405774854</v>
      </c>
      <c r="U53" s="95">
        <v>0</v>
      </c>
      <c r="V53" s="95">
        <v>13530.126405774854</v>
      </c>
      <c r="W53" s="95">
        <v>2500</v>
      </c>
      <c r="X53" s="95">
        <v>4000</v>
      </c>
      <c r="Y53" s="95">
        <v>10000</v>
      </c>
      <c r="Z53" s="95">
        <v>10000</v>
      </c>
    </row>
    <row r="54" spans="5:26" x14ac:dyDescent="0.2">
      <c r="E54">
        <v>44</v>
      </c>
      <c r="F54" s="95">
        <v>467.78343830432993</v>
      </c>
      <c r="G54" s="94">
        <v>0</v>
      </c>
      <c r="H54" s="94">
        <v>13530.126405774854</v>
      </c>
      <c r="I54" s="94">
        <v>13530.126405774854</v>
      </c>
      <c r="J54" s="94">
        <v>16.100000000000001</v>
      </c>
      <c r="K54" s="95">
        <v>0</v>
      </c>
      <c r="L54" s="95">
        <v>0</v>
      </c>
      <c r="M54" s="95">
        <v>0</v>
      </c>
      <c r="N54" s="95">
        <v>0</v>
      </c>
      <c r="O54" s="95">
        <v>0</v>
      </c>
      <c r="P54" s="95">
        <v>0</v>
      </c>
      <c r="Q54" s="95">
        <v>0</v>
      </c>
      <c r="R54" s="95">
        <v>0</v>
      </c>
      <c r="S54" s="95">
        <v>0</v>
      </c>
      <c r="T54" s="95">
        <v>13530.126405774854</v>
      </c>
      <c r="U54" s="95">
        <v>0</v>
      </c>
      <c r="V54" s="95">
        <v>13530.126405774854</v>
      </c>
      <c r="W54" s="95">
        <v>2500</v>
      </c>
      <c r="X54" s="95">
        <v>4000</v>
      </c>
      <c r="Y54" s="95">
        <v>10000</v>
      </c>
      <c r="Z54" s="95">
        <v>10000</v>
      </c>
    </row>
    <row r="55" spans="5:26" x14ac:dyDescent="0.2">
      <c r="E55">
        <v>45</v>
      </c>
      <c r="F55" s="95">
        <v>466.80842595365789</v>
      </c>
      <c r="G55" s="94">
        <v>0</v>
      </c>
      <c r="H55" s="94">
        <v>13501.925235593189</v>
      </c>
      <c r="I55" s="94">
        <v>13501.925235593189</v>
      </c>
      <c r="J55" s="94">
        <v>16.100000000000001</v>
      </c>
      <c r="K55" s="95">
        <v>0</v>
      </c>
      <c r="L55" s="95">
        <v>0</v>
      </c>
      <c r="M55" s="95">
        <v>0</v>
      </c>
      <c r="N55" s="95">
        <v>0</v>
      </c>
      <c r="O55" s="95">
        <v>0</v>
      </c>
      <c r="P55" s="95">
        <v>0</v>
      </c>
      <c r="Q55" s="95">
        <v>0</v>
      </c>
      <c r="R55" s="95">
        <v>0</v>
      </c>
      <c r="S55" s="95">
        <v>0</v>
      </c>
      <c r="T55" s="95">
        <v>13501.925235593189</v>
      </c>
      <c r="U55" s="95">
        <v>0</v>
      </c>
      <c r="V55" s="95">
        <v>13501.925235593189</v>
      </c>
      <c r="W55" s="95">
        <v>2500</v>
      </c>
      <c r="X55" s="95">
        <v>4000</v>
      </c>
      <c r="Y55" s="95">
        <v>10000</v>
      </c>
      <c r="Z55" s="95">
        <v>10000</v>
      </c>
    </row>
    <row r="56" spans="5:26" x14ac:dyDescent="0.2">
      <c r="E56">
        <v>46</v>
      </c>
      <c r="F56" s="95">
        <v>380.37474745810812</v>
      </c>
      <c r="G56" s="94">
        <v>0</v>
      </c>
      <c r="H56" s="94">
        <v>11001.925235593048</v>
      </c>
      <c r="I56" s="94">
        <v>11001.925235593048</v>
      </c>
      <c r="J56" s="94">
        <v>16.100000000000001</v>
      </c>
      <c r="K56" s="95">
        <v>0</v>
      </c>
      <c r="L56" s="95">
        <v>0</v>
      </c>
      <c r="M56" s="95">
        <v>0</v>
      </c>
      <c r="N56" s="95">
        <v>0</v>
      </c>
      <c r="O56" s="95">
        <v>0</v>
      </c>
      <c r="P56" s="95">
        <v>0</v>
      </c>
      <c r="Q56" s="95">
        <v>0</v>
      </c>
      <c r="R56" s="95">
        <v>0</v>
      </c>
      <c r="S56" s="95">
        <v>0</v>
      </c>
      <c r="T56" s="95">
        <v>11001.925235593048</v>
      </c>
      <c r="U56" s="95">
        <v>0</v>
      </c>
      <c r="V56" s="95">
        <v>11001.925235593048</v>
      </c>
      <c r="W56" s="95">
        <v>2500</v>
      </c>
      <c r="X56" s="95">
        <v>4000</v>
      </c>
      <c r="Y56" s="95">
        <v>10000</v>
      </c>
      <c r="Z56" s="95">
        <v>10000</v>
      </c>
    </row>
    <row r="57" spans="5:26" x14ac:dyDescent="0.2">
      <c r="E57">
        <v>47</v>
      </c>
      <c r="F57" s="95">
        <v>96.780199365588189</v>
      </c>
      <c r="G57" s="94">
        <v>5702.6633896860521</v>
      </c>
      <c r="H57" s="94">
        <v>2799.2618459069949</v>
      </c>
      <c r="I57" s="94">
        <v>8501.9252355930475</v>
      </c>
      <c r="J57" s="94">
        <v>11.33767747365439</v>
      </c>
      <c r="K57" s="95">
        <v>1</v>
      </c>
      <c r="L57" s="95">
        <v>0</v>
      </c>
      <c r="M57" s="95">
        <v>7500</v>
      </c>
      <c r="N57" s="95">
        <v>0</v>
      </c>
      <c r="O57" s="95">
        <v>1</v>
      </c>
      <c r="P57" s="95">
        <v>0</v>
      </c>
      <c r="Q57" s="95">
        <v>0</v>
      </c>
      <c r="R57" s="95">
        <v>0</v>
      </c>
      <c r="S57" s="95">
        <v>0</v>
      </c>
      <c r="T57" s="95">
        <v>8501.9252355930475</v>
      </c>
      <c r="U57" s="95">
        <v>0</v>
      </c>
      <c r="V57" s="95">
        <v>8501.9252355930475</v>
      </c>
      <c r="W57" s="95">
        <v>2500</v>
      </c>
      <c r="X57" s="95">
        <v>4000</v>
      </c>
      <c r="Y57" s="95">
        <v>10000</v>
      </c>
      <c r="Z57" s="95">
        <v>10000</v>
      </c>
    </row>
    <row r="58" spans="5:26" x14ac:dyDescent="0.2">
      <c r="E58">
        <v>48</v>
      </c>
      <c r="F58" s="95">
        <v>93.882982919661416</v>
      </c>
      <c r="G58" s="94">
        <v>5702.6633896861476</v>
      </c>
      <c r="H58" s="94">
        <v>2715.4630160887054</v>
      </c>
      <c r="I58" s="94">
        <v>8418.1264057748522</v>
      </c>
      <c r="J58" s="94">
        <v>11.290270600000001</v>
      </c>
      <c r="K58" s="95">
        <v>1</v>
      </c>
      <c r="L58" s="95">
        <v>-4.4935214971497397E-11</v>
      </c>
      <c r="M58" s="95">
        <v>0</v>
      </c>
      <c r="N58" s="95">
        <v>0</v>
      </c>
      <c r="O58" s="95">
        <v>0</v>
      </c>
      <c r="P58" s="95">
        <v>0</v>
      </c>
      <c r="Q58" s="95">
        <v>0</v>
      </c>
      <c r="R58" s="95">
        <v>0</v>
      </c>
      <c r="S58" s="95">
        <v>0</v>
      </c>
      <c r="T58" s="95">
        <v>8418.1264057748522</v>
      </c>
      <c r="U58" s="95">
        <v>0</v>
      </c>
      <c r="V58" s="95">
        <v>8418.1264057748522</v>
      </c>
      <c r="W58" s="95">
        <v>2500</v>
      </c>
      <c r="X58" s="95">
        <v>4000</v>
      </c>
      <c r="Y58" s="95">
        <v>10000</v>
      </c>
      <c r="Z58" s="95">
        <v>10000</v>
      </c>
    </row>
    <row r="59" spans="5:26" x14ac:dyDescent="0.2">
      <c r="E59">
        <v>49</v>
      </c>
      <c r="F59" s="95">
        <v>97.674230051470488</v>
      </c>
      <c r="G59" s="94">
        <v>5702.6633896861476</v>
      </c>
      <c r="H59" s="94">
        <v>2825.1207096463295</v>
      </c>
      <c r="I59" s="94">
        <v>8527.7840993324771</v>
      </c>
      <c r="J59" s="94">
        <v>11.352118299999999</v>
      </c>
      <c r="K59" s="95">
        <v>1</v>
      </c>
      <c r="L59" s="95">
        <v>0</v>
      </c>
      <c r="M59" s="95">
        <v>0</v>
      </c>
      <c r="N59" s="95">
        <v>0</v>
      </c>
      <c r="O59" s="95">
        <v>0</v>
      </c>
      <c r="P59" s="95">
        <v>0</v>
      </c>
      <c r="Q59" s="95">
        <v>0</v>
      </c>
      <c r="R59" s="95">
        <v>0</v>
      </c>
      <c r="S59" s="95">
        <v>0</v>
      </c>
      <c r="T59" s="95">
        <v>8527.7840993324771</v>
      </c>
      <c r="U59" s="95">
        <v>0</v>
      </c>
      <c r="V59" s="95">
        <v>8527.7840993324771</v>
      </c>
      <c r="W59" s="95">
        <v>2500</v>
      </c>
      <c r="X59" s="95">
        <v>4000</v>
      </c>
      <c r="Y59" s="95">
        <v>10000</v>
      </c>
      <c r="Z59" s="95">
        <v>10000</v>
      </c>
    </row>
    <row r="60" spans="5:26" x14ac:dyDescent="0.2">
      <c r="E60">
        <v>50</v>
      </c>
      <c r="F60" s="95">
        <v>98.966495209826206</v>
      </c>
      <c r="G60" s="94">
        <v>5702.6633896861476</v>
      </c>
      <c r="H60" s="94">
        <v>2862.4980717130825</v>
      </c>
      <c r="I60" s="94">
        <v>8565.1614613992297</v>
      </c>
      <c r="J60" s="94">
        <v>11.372837499999999</v>
      </c>
      <c r="K60" s="95">
        <v>1</v>
      </c>
      <c r="L60" s="95">
        <v>0</v>
      </c>
      <c r="M60" s="95">
        <v>0</v>
      </c>
      <c r="N60" s="95">
        <v>0</v>
      </c>
      <c r="O60" s="95">
        <v>0</v>
      </c>
      <c r="P60" s="95">
        <v>0</v>
      </c>
      <c r="Q60" s="95">
        <v>0</v>
      </c>
      <c r="R60" s="95">
        <v>0</v>
      </c>
      <c r="S60" s="95">
        <v>0</v>
      </c>
      <c r="T60" s="95">
        <v>8565.1614613992297</v>
      </c>
      <c r="U60" s="95">
        <v>0</v>
      </c>
      <c r="V60" s="95">
        <v>8565.1614613992297</v>
      </c>
      <c r="W60" s="95">
        <v>2500</v>
      </c>
      <c r="X60" s="95">
        <v>4000</v>
      </c>
      <c r="Y60" s="95">
        <v>10000</v>
      </c>
      <c r="Z60" s="95">
        <v>10000</v>
      </c>
    </row>
    <row r="61" spans="5:26" x14ac:dyDescent="0.2">
      <c r="E61">
        <v>51</v>
      </c>
      <c r="F61" s="95">
        <v>95.186695443079287</v>
      </c>
      <c r="G61" s="94">
        <v>5702.6633896861476</v>
      </c>
      <c r="H61" s="94">
        <v>2753.1714807204944</v>
      </c>
      <c r="I61" s="94">
        <v>8455.8348704066411</v>
      </c>
      <c r="J61" s="94">
        <v>11.311719400000001</v>
      </c>
      <c r="K61" s="95">
        <v>1</v>
      </c>
      <c r="L61" s="95">
        <v>0</v>
      </c>
      <c r="M61" s="95">
        <v>0</v>
      </c>
      <c r="N61" s="95">
        <v>0</v>
      </c>
      <c r="O61" s="95">
        <v>0</v>
      </c>
      <c r="P61" s="95">
        <v>0</v>
      </c>
      <c r="Q61" s="95">
        <v>0</v>
      </c>
      <c r="R61" s="95">
        <v>0</v>
      </c>
      <c r="S61" s="95">
        <v>0</v>
      </c>
      <c r="T61" s="95">
        <v>8455.8348704066411</v>
      </c>
      <c r="U61" s="95">
        <v>0</v>
      </c>
      <c r="V61" s="95">
        <v>8455.8348704066411</v>
      </c>
      <c r="W61" s="95">
        <v>2500</v>
      </c>
      <c r="X61" s="95">
        <v>4000</v>
      </c>
      <c r="Y61" s="95">
        <v>10000</v>
      </c>
      <c r="Z61" s="95">
        <v>10000</v>
      </c>
    </row>
    <row r="62" spans="5:26" x14ac:dyDescent="0.2">
      <c r="E62">
        <v>52</v>
      </c>
      <c r="F62" s="95">
        <v>92.287401331208343</v>
      </c>
      <c r="G62" s="94">
        <v>5702.6633896861476</v>
      </c>
      <c r="H62" s="94">
        <v>2669.3125566779295</v>
      </c>
      <c r="I62" s="94">
        <v>8371.9759463640767</v>
      </c>
      <c r="J62" s="94">
        <v>11.263757</v>
      </c>
      <c r="K62" s="95">
        <v>1</v>
      </c>
      <c r="L62" s="95">
        <v>0</v>
      </c>
      <c r="M62" s="95">
        <v>0</v>
      </c>
      <c r="N62" s="95">
        <v>0</v>
      </c>
      <c r="O62" s="95">
        <v>0</v>
      </c>
      <c r="P62" s="95">
        <v>0</v>
      </c>
      <c r="Q62" s="95">
        <v>0</v>
      </c>
      <c r="R62" s="95">
        <v>0</v>
      </c>
      <c r="S62" s="95">
        <v>0</v>
      </c>
      <c r="T62" s="95">
        <v>8371.9759463640767</v>
      </c>
      <c r="U62" s="95">
        <v>0</v>
      </c>
      <c r="V62" s="95">
        <v>8371.9759463640767</v>
      </c>
      <c r="W62" s="95">
        <v>2500</v>
      </c>
      <c r="X62" s="95">
        <v>4000</v>
      </c>
      <c r="Y62" s="95">
        <v>10000</v>
      </c>
      <c r="Z62" s="95">
        <v>10000</v>
      </c>
    </row>
    <row r="63" spans="5:26" x14ac:dyDescent="0.2">
      <c r="E63">
        <v>53</v>
      </c>
      <c r="F63" s="95">
        <v>90.284643919606523</v>
      </c>
      <c r="G63" s="94">
        <v>5702.6633896861476</v>
      </c>
      <c r="H63" s="94">
        <v>2611.3849801110864</v>
      </c>
      <c r="I63" s="94">
        <v>8314.048369797234</v>
      </c>
      <c r="J63" s="94">
        <v>11.2300608</v>
      </c>
      <c r="K63" s="95">
        <v>1</v>
      </c>
      <c r="L63" s="95">
        <v>0</v>
      </c>
      <c r="M63" s="95">
        <v>0</v>
      </c>
      <c r="N63" s="95">
        <v>0</v>
      </c>
      <c r="O63" s="95">
        <v>0</v>
      </c>
      <c r="P63" s="95">
        <v>0</v>
      </c>
      <c r="Q63" s="95">
        <v>0</v>
      </c>
      <c r="R63" s="95">
        <v>0</v>
      </c>
      <c r="S63" s="95">
        <v>0</v>
      </c>
      <c r="T63" s="95">
        <v>8314.048369797234</v>
      </c>
      <c r="U63" s="95">
        <v>0</v>
      </c>
      <c r="V63" s="95">
        <v>8314.048369797234</v>
      </c>
      <c r="W63" s="95">
        <v>2500</v>
      </c>
      <c r="X63" s="95">
        <v>4000</v>
      </c>
      <c r="Y63" s="95">
        <v>10000</v>
      </c>
      <c r="Z63" s="95">
        <v>10000</v>
      </c>
    </row>
    <row r="64" spans="5:26" x14ac:dyDescent="0.2">
      <c r="E64">
        <v>54</v>
      </c>
      <c r="F64" s="95">
        <v>85.367657928912976</v>
      </c>
      <c r="G64" s="94">
        <v>5702.6633896861476</v>
      </c>
      <c r="H64" s="94">
        <v>2469.1665163051352</v>
      </c>
      <c r="I64" s="94">
        <v>8171.8299059912824</v>
      </c>
      <c r="J64" s="94">
        <v>11.145306800000002</v>
      </c>
      <c r="K64" s="95">
        <v>1</v>
      </c>
      <c r="L64" s="95">
        <v>0</v>
      </c>
      <c r="M64" s="95">
        <v>0</v>
      </c>
      <c r="N64" s="95">
        <v>0</v>
      </c>
      <c r="O64" s="95">
        <v>0</v>
      </c>
      <c r="P64" s="95">
        <v>0</v>
      </c>
      <c r="Q64" s="95">
        <v>0</v>
      </c>
      <c r="R64" s="95">
        <v>0</v>
      </c>
      <c r="S64" s="95">
        <v>0</v>
      </c>
      <c r="T64" s="95">
        <v>8171.8299059912824</v>
      </c>
      <c r="U64" s="95">
        <v>0</v>
      </c>
      <c r="V64" s="95">
        <v>8171.8299059912824</v>
      </c>
      <c r="W64" s="95">
        <v>2500</v>
      </c>
      <c r="X64" s="95">
        <v>4000</v>
      </c>
      <c r="Y64" s="95">
        <v>10000</v>
      </c>
      <c r="Z64" s="95">
        <v>10000</v>
      </c>
    </row>
    <row r="65" spans="5:26" x14ac:dyDescent="0.2">
      <c r="E65">
        <v>55</v>
      </c>
      <c r="F65" s="95">
        <v>85.367657928912976</v>
      </c>
      <c r="G65" s="94">
        <v>5702.6633896861476</v>
      </c>
      <c r="H65" s="94">
        <v>2469.1665163051352</v>
      </c>
      <c r="I65" s="94">
        <v>8171.8299059912824</v>
      </c>
      <c r="J65" s="94">
        <v>11.145306800000002</v>
      </c>
      <c r="K65" s="95">
        <v>1</v>
      </c>
      <c r="L65" s="95">
        <v>0</v>
      </c>
      <c r="M65" s="95">
        <v>0</v>
      </c>
      <c r="N65" s="95">
        <v>0</v>
      </c>
      <c r="O65" s="95">
        <v>0</v>
      </c>
      <c r="P65" s="95">
        <v>0</v>
      </c>
      <c r="Q65" s="95">
        <v>0</v>
      </c>
      <c r="R65" s="95">
        <v>0</v>
      </c>
      <c r="S65" s="95">
        <v>0</v>
      </c>
      <c r="T65" s="95">
        <v>8171.8299059912824</v>
      </c>
      <c r="U65" s="95">
        <v>0</v>
      </c>
      <c r="V65" s="95">
        <v>8171.8299059912824</v>
      </c>
      <c r="W65" s="95">
        <v>2500</v>
      </c>
      <c r="X65" s="95">
        <v>4000</v>
      </c>
      <c r="Y65" s="95">
        <v>10000</v>
      </c>
      <c r="Z65" s="95">
        <v>10000</v>
      </c>
    </row>
    <row r="66" spans="5:26" x14ac:dyDescent="0.2">
      <c r="E66">
        <v>56</v>
      </c>
      <c r="F66" s="95">
        <v>82.976331355723005</v>
      </c>
      <c r="G66" s="94">
        <v>6425.3824697951823</v>
      </c>
      <c r="H66" s="94">
        <v>2400</v>
      </c>
      <c r="I66" s="94">
        <v>8825.3824697951823</v>
      </c>
      <c r="J66" s="94">
        <v>10.93079450758302</v>
      </c>
      <c r="K66" s="95">
        <v>1</v>
      </c>
      <c r="L66" s="95">
        <v>0</v>
      </c>
      <c r="M66" s="95">
        <v>722.71908010903485</v>
      </c>
      <c r="N66" s="95">
        <v>0</v>
      </c>
      <c r="O66" s="95">
        <v>1</v>
      </c>
      <c r="P66" s="95">
        <v>0</v>
      </c>
      <c r="Q66" s="95">
        <v>0</v>
      </c>
      <c r="R66" s="95">
        <v>0</v>
      </c>
      <c r="S66" s="95">
        <v>0</v>
      </c>
      <c r="T66" s="95">
        <v>8825.3824697951823</v>
      </c>
      <c r="U66" s="95">
        <v>0</v>
      </c>
      <c r="V66" s="95">
        <v>8825.3824697951823</v>
      </c>
      <c r="W66" s="95">
        <v>2500</v>
      </c>
      <c r="X66" s="95">
        <v>4000</v>
      </c>
      <c r="Y66" s="95">
        <v>10000</v>
      </c>
      <c r="Z66" s="95">
        <v>10000</v>
      </c>
    </row>
    <row r="67" spans="5:26" x14ac:dyDescent="0.2">
      <c r="E67">
        <v>57</v>
      </c>
      <c r="F67" s="95">
        <v>82.976331355723005</v>
      </c>
      <c r="G67" s="94">
        <v>6425.3824697951823</v>
      </c>
      <c r="H67" s="94">
        <v>2400</v>
      </c>
      <c r="I67" s="94">
        <v>8825.3824697951823</v>
      </c>
      <c r="J67" s="94">
        <v>10.93079450758302</v>
      </c>
      <c r="K67" s="95">
        <v>1</v>
      </c>
      <c r="L67" s="95">
        <v>0</v>
      </c>
      <c r="M67" s="95">
        <v>0</v>
      </c>
      <c r="N67" s="95">
        <v>0</v>
      </c>
      <c r="O67" s="95">
        <v>0</v>
      </c>
      <c r="P67" s="95">
        <v>0</v>
      </c>
      <c r="Q67" s="95">
        <v>0</v>
      </c>
      <c r="R67" s="95">
        <v>0</v>
      </c>
      <c r="S67" s="95">
        <v>0</v>
      </c>
      <c r="T67" s="95">
        <v>8825.3824697951823</v>
      </c>
      <c r="U67" s="95">
        <v>0</v>
      </c>
      <c r="V67" s="95">
        <v>8825.3824697951823</v>
      </c>
      <c r="W67" s="95">
        <v>2500</v>
      </c>
      <c r="X67" s="95">
        <v>4000</v>
      </c>
      <c r="Y67" s="95">
        <v>10000</v>
      </c>
      <c r="Z67" s="95">
        <v>10000</v>
      </c>
    </row>
    <row r="68" spans="5:26" x14ac:dyDescent="0.2">
      <c r="E68">
        <v>58</v>
      </c>
      <c r="F68" s="95">
        <v>82.976331355723005</v>
      </c>
      <c r="G68" s="94">
        <v>6425.3824697951823</v>
      </c>
      <c r="H68" s="94">
        <v>2400</v>
      </c>
      <c r="I68" s="94">
        <v>8825.3824697951823</v>
      </c>
      <c r="J68" s="94">
        <v>10.93079450758302</v>
      </c>
      <c r="K68" s="95">
        <v>1</v>
      </c>
      <c r="L68" s="95">
        <v>0</v>
      </c>
      <c r="M68" s="95">
        <v>0</v>
      </c>
      <c r="N68" s="95">
        <v>0</v>
      </c>
      <c r="O68" s="95">
        <v>-1.7754690264352718E-14</v>
      </c>
      <c r="P68" s="95">
        <v>0</v>
      </c>
      <c r="Q68" s="95">
        <v>0</v>
      </c>
      <c r="R68" s="95">
        <v>0</v>
      </c>
      <c r="S68" s="95">
        <v>0</v>
      </c>
      <c r="T68" s="95">
        <v>8825.3824697951823</v>
      </c>
      <c r="U68" s="95">
        <v>0</v>
      </c>
      <c r="V68" s="95">
        <v>8825.3824697951823</v>
      </c>
      <c r="W68" s="95">
        <v>2500</v>
      </c>
      <c r="X68" s="95">
        <v>4000</v>
      </c>
      <c r="Y68" s="95">
        <v>10000</v>
      </c>
      <c r="Z68" s="95">
        <v>10000</v>
      </c>
    </row>
    <row r="69" spans="5:26" x14ac:dyDescent="0.2">
      <c r="E69">
        <v>59</v>
      </c>
      <c r="F69" s="95">
        <v>82.976331355723005</v>
      </c>
      <c r="G69" s="94">
        <v>6425.3824697951823</v>
      </c>
      <c r="H69" s="94">
        <v>2400</v>
      </c>
      <c r="I69" s="94">
        <v>8825.3824697951823</v>
      </c>
      <c r="J69" s="94">
        <v>10.93079450758302</v>
      </c>
      <c r="K69" s="95">
        <v>1</v>
      </c>
      <c r="L69" s="95">
        <v>0</v>
      </c>
      <c r="M69" s="95">
        <v>0</v>
      </c>
      <c r="N69" s="95">
        <v>0</v>
      </c>
      <c r="O69" s="95">
        <v>0</v>
      </c>
      <c r="P69" s="95">
        <v>0</v>
      </c>
      <c r="Q69" s="95">
        <v>0</v>
      </c>
      <c r="R69" s="95">
        <v>0</v>
      </c>
      <c r="S69" s="95">
        <v>0</v>
      </c>
      <c r="T69" s="95">
        <v>8825.3824697951823</v>
      </c>
      <c r="U69" s="95">
        <v>0</v>
      </c>
      <c r="V69" s="95">
        <v>8825.3824697951823</v>
      </c>
      <c r="W69" s="95">
        <v>2500</v>
      </c>
      <c r="X69" s="95">
        <v>4000</v>
      </c>
      <c r="Y69" s="95">
        <v>10000</v>
      </c>
      <c r="Z69" s="95">
        <v>10000</v>
      </c>
    </row>
    <row r="70" spans="5:26" x14ac:dyDescent="0.2">
      <c r="E70">
        <v>60</v>
      </c>
      <c r="F70" s="95">
        <v>82.976331355723005</v>
      </c>
      <c r="G70" s="94">
        <v>6425.3824697951823</v>
      </c>
      <c r="H70" s="94">
        <v>2400</v>
      </c>
      <c r="I70" s="94">
        <v>8825.3824697951823</v>
      </c>
      <c r="J70" s="94">
        <v>10.93079450758302</v>
      </c>
      <c r="K70" s="95">
        <v>1</v>
      </c>
      <c r="L70" s="95">
        <v>0</v>
      </c>
      <c r="M70" s="95">
        <v>0</v>
      </c>
      <c r="N70" s="95">
        <v>0</v>
      </c>
      <c r="O70" s="95">
        <v>0</v>
      </c>
      <c r="P70" s="95">
        <v>0</v>
      </c>
      <c r="Q70" s="95">
        <v>0</v>
      </c>
      <c r="R70" s="95">
        <v>0</v>
      </c>
      <c r="S70" s="95">
        <v>0</v>
      </c>
      <c r="T70" s="95">
        <v>8825.3824697951823</v>
      </c>
      <c r="U70" s="95">
        <v>0</v>
      </c>
      <c r="V70" s="95">
        <v>8825.3824697951823</v>
      </c>
      <c r="W70" s="95">
        <v>2500</v>
      </c>
      <c r="X70" s="95">
        <v>4000</v>
      </c>
      <c r="Y70" s="95">
        <v>10000</v>
      </c>
      <c r="Z70" s="95">
        <v>10000</v>
      </c>
    </row>
    <row r="71" spans="5:26" x14ac:dyDescent="0.2">
      <c r="E71">
        <v>61</v>
      </c>
      <c r="F71" s="95">
        <v>82.976331355723005</v>
      </c>
      <c r="G71" s="94">
        <v>6425.3824697951932</v>
      </c>
      <c r="H71" s="94">
        <v>2400</v>
      </c>
      <c r="I71" s="94">
        <v>8825.3824697951932</v>
      </c>
      <c r="J71" s="94">
        <v>10.930794507583016</v>
      </c>
      <c r="K71" s="95">
        <v>1</v>
      </c>
      <c r="L71" s="95">
        <v>-1.1004885891452431E-11</v>
      </c>
      <c r="M71" s="95">
        <v>0</v>
      </c>
      <c r="N71" s="95">
        <v>0</v>
      </c>
      <c r="O71" s="95">
        <v>0</v>
      </c>
      <c r="P71" s="95">
        <v>0</v>
      </c>
      <c r="Q71" s="95">
        <v>0</v>
      </c>
      <c r="R71" s="95">
        <v>0</v>
      </c>
      <c r="S71" s="95">
        <v>0</v>
      </c>
      <c r="T71" s="95">
        <v>8825.3824697951932</v>
      </c>
      <c r="U71" s="95">
        <v>0</v>
      </c>
      <c r="V71" s="95">
        <v>8825.3824697951932</v>
      </c>
      <c r="W71" s="95">
        <v>2500</v>
      </c>
      <c r="X71" s="95">
        <v>4000</v>
      </c>
      <c r="Y71" s="95">
        <v>10000</v>
      </c>
      <c r="Z71" s="95">
        <v>10000</v>
      </c>
    </row>
    <row r="72" spans="5:26" x14ac:dyDescent="0.2">
      <c r="E72">
        <v>62</v>
      </c>
      <c r="F72" s="95">
        <v>90.126239608336817</v>
      </c>
      <c r="G72" s="94">
        <v>6425.3824697951941</v>
      </c>
      <c r="H72" s="94">
        <v>2606.8033079542702</v>
      </c>
      <c r="I72" s="94">
        <v>9032.1857777494643</v>
      </c>
      <c r="J72" s="94">
        <v>11.049150000000001</v>
      </c>
      <c r="K72" s="95">
        <v>1</v>
      </c>
      <c r="L72" s="95">
        <v>0</v>
      </c>
      <c r="M72" s="95">
        <v>0</v>
      </c>
      <c r="N72" s="95">
        <v>0</v>
      </c>
      <c r="O72" s="95">
        <v>0</v>
      </c>
      <c r="P72" s="95">
        <v>0</v>
      </c>
      <c r="Q72" s="95">
        <v>0</v>
      </c>
      <c r="R72" s="95">
        <v>0</v>
      </c>
      <c r="S72" s="95">
        <v>0</v>
      </c>
      <c r="T72" s="95">
        <v>9032.1857777494643</v>
      </c>
      <c r="U72" s="95">
        <v>0</v>
      </c>
      <c r="V72" s="95">
        <v>9032.1857777494643</v>
      </c>
      <c r="W72" s="95">
        <v>2500</v>
      </c>
      <c r="X72" s="95">
        <v>4000</v>
      </c>
      <c r="Y72" s="95">
        <v>10000</v>
      </c>
      <c r="Z72" s="95">
        <v>10000</v>
      </c>
    </row>
    <row r="73" spans="5:26" x14ac:dyDescent="0.2">
      <c r="E73">
        <v>63</v>
      </c>
      <c r="F73" s="95">
        <v>94.021389151060816</v>
      </c>
      <c r="G73" s="94">
        <v>6425.3824697951941</v>
      </c>
      <c r="H73" s="94">
        <v>2719.466265568783</v>
      </c>
      <c r="I73" s="94">
        <v>9144.8487353639775</v>
      </c>
      <c r="J73" s="94">
        <v>11.111375600000001</v>
      </c>
      <c r="K73" s="95">
        <v>1</v>
      </c>
      <c r="L73" s="95">
        <v>0</v>
      </c>
      <c r="M73" s="95">
        <v>0</v>
      </c>
      <c r="N73" s="95">
        <v>0</v>
      </c>
      <c r="O73" s="95">
        <v>0</v>
      </c>
      <c r="P73" s="95">
        <v>0</v>
      </c>
      <c r="Q73" s="95">
        <v>0</v>
      </c>
      <c r="R73" s="95">
        <v>0</v>
      </c>
      <c r="S73" s="95">
        <v>0</v>
      </c>
      <c r="T73" s="95">
        <v>9144.8487353639775</v>
      </c>
      <c r="U73" s="95">
        <v>0</v>
      </c>
      <c r="V73" s="95">
        <v>9144.8487353639775</v>
      </c>
      <c r="W73" s="95">
        <v>2500</v>
      </c>
      <c r="X73" s="95">
        <v>4000</v>
      </c>
      <c r="Y73" s="95">
        <v>10000</v>
      </c>
      <c r="Z73" s="95">
        <v>10000</v>
      </c>
    </row>
    <row r="74" spans="5:26" x14ac:dyDescent="0.2">
      <c r="E74">
        <v>64</v>
      </c>
      <c r="F74" s="95">
        <v>82.976331355723005</v>
      </c>
      <c r="G74" s="94">
        <v>6425.3824697951668</v>
      </c>
      <c r="H74" s="94">
        <v>2400</v>
      </c>
      <c r="I74" s="94">
        <v>8825.3824697951677</v>
      </c>
      <c r="J74" s="94">
        <v>10.93079450758302</v>
      </c>
      <c r="K74" s="95">
        <v>1</v>
      </c>
      <c r="L74" s="95">
        <v>0</v>
      </c>
      <c r="M74" s="95">
        <v>-2.9788968659848728E-10</v>
      </c>
      <c r="N74" s="95">
        <v>0</v>
      </c>
      <c r="O74" s="95">
        <v>-2.0267521942693224E-14</v>
      </c>
      <c r="P74" s="95">
        <v>0</v>
      </c>
      <c r="Q74" s="95">
        <v>0</v>
      </c>
      <c r="R74" s="95">
        <v>0</v>
      </c>
      <c r="S74" s="95">
        <v>0</v>
      </c>
      <c r="T74" s="95">
        <v>8825.3824697951677</v>
      </c>
      <c r="U74" s="95">
        <v>0</v>
      </c>
      <c r="V74" s="95">
        <v>8825.3824697951677</v>
      </c>
      <c r="W74" s="95">
        <v>2500</v>
      </c>
      <c r="X74" s="95">
        <v>4000</v>
      </c>
      <c r="Y74" s="95">
        <v>10000</v>
      </c>
      <c r="Z74" s="95">
        <v>10000</v>
      </c>
    </row>
    <row r="75" spans="5:26" x14ac:dyDescent="0.2">
      <c r="E75">
        <v>65</v>
      </c>
      <c r="F75" s="95">
        <v>127.46657473132817</v>
      </c>
      <c r="G75" s="94">
        <v>6425.3824697951804</v>
      </c>
      <c r="H75" s="94">
        <v>3686.8318273038212</v>
      </c>
      <c r="I75" s="94">
        <v>10112.214297099003</v>
      </c>
      <c r="J75" s="94">
        <v>11.588602773318073</v>
      </c>
      <c r="K75" s="95">
        <v>1</v>
      </c>
      <c r="L75" s="95">
        <v>0</v>
      </c>
      <c r="M75" s="95">
        <v>0</v>
      </c>
      <c r="N75" s="95">
        <v>0</v>
      </c>
      <c r="O75" s="95">
        <v>0</v>
      </c>
      <c r="P75" s="95">
        <v>0</v>
      </c>
      <c r="Q75" s="95">
        <v>0</v>
      </c>
      <c r="R75" s="95">
        <v>0</v>
      </c>
      <c r="S75" s="95">
        <v>0</v>
      </c>
      <c r="T75" s="95">
        <v>10112.214297099003</v>
      </c>
      <c r="U75" s="95">
        <v>0</v>
      </c>
      <c r="V75" s="95">
        <v>10112.214297099003</v>
      </c>
      <c r="W75" s="95">
        <v>2500</v>
      </c>
      <c r="X75" s="95">
        <v>4000</v>
      </c>
      <c r="Y75" s="95">
        <v>10000</v>
      </c>
      <c r="Z75" s="95">
        <v>10000</v>
      </c>
    </row>
    <row r="76" spans="5:26" x14ac:dyDescent="0.2">
      <c r="E76">
        <v>66</v>
      </c>
      <c r="F76" s="95">
        <v>459.26811331358141</v>
      </c>
      <c r="G76" s="94">
        <v>0</v>
      </c>
      <c r="H76" s="94">
        <v>13283.829905991282</v>
      </c>
      <c r="I76" s="94">
        <v>13283.829905991282</v>
      </c>
      <c r="J76" s="94">
        <v>16.100000000000001</v>
      </c>
      <c r="K76" s="95">
        <v>0</v>
      </c>
      <c r="L76" s="95">
        <v>7500</v>
      </c>
      <c r="M76" s="95">
        <v>0</v>
      </c>
      <c r="N76" s="95">
        <v>1</v>
      </c>
      <c r="O76" s="95">
        <v>0</v>
      </c>
      <c r="P76" s="95">
        <v>0</v>
      </c>
      <c r="Q76" s="95">
        <v>0</v>
      </c>
      <c r="R76" s="95">
        <v>0</v>
      </c>
      <c r="S76" s="95">
        <v>0</v>
      </c>
      <c r="T76" s="95">
        <v>13283.829905991282</v>
      </c>
      <c r="U76" s="95">
        <v>0</v>
      </c>
      <c r="V76" s="95">
        <v>13283.829905991282</v>
      </c>
      <c r="W76" s="95">
        <v>2500</v>
      </c>
      <c r="X76" s="95">
        <v>4000</v>
      </c>
      <c r="Y76" s="95">
        <v>10000</v>
      </c>
      <c r="Z76" s="95">
        <v>10000</v>
      </c>
    </row>
    <row r="77" spans="5:26" x14ac:dyDescent="0.2">
      <c r="E77">
        <v>67</v>
      </c>
      <c r="F77" s="95">
        <v>459.26811331358141</v>
      </c>
      <c r="G77" s="94">
        <v>0</v>
      </c>
      <c r="H77" s="94">
        <v>13283.829905991282</v>
      </c>
      <c r="I77" s="94">
        <v>13283.829905991282</v>
      </c>
      <c r="J77" s="94">
        <v>16.100000000000001</v>
      </c>
      <c r="K77" s="95">
        <v>0</v>
      </c>
      <c r="L77" s="95">
        <v>0</v>
      </c>
      <c r="M77" s="95">
        <v>0</v>
      </c>
      <c r="N77" s="95">
        <v>0</v>
      </c>
      <c r="O77" s="95">
        <v>0</v>
      </c>
      <c r="P77" s="95">
        <v>0</v>
      </c>
      <c r="Q77" s="95">
        <v>0</v>
      </c>
      <c r="R77" s="95">
        <v>0</v>
      </c>
      <c r="S77" s="95">
        <v>0</v>
      </c>
      <c r="T77" s="95">
        <v>13283.829905991282</v>
      </c>
      <c r="U77" s="95">
        <v>0</v>
      </c>
      <c r="V77" s="95">
        <v>13283.829905991282</v>
      </c>
      <c r="W77" s="95">
        <v>2500</v>
      </c>
      <c r="X77" s="95">
        <v>4000</v>
      </c>
      <c r="Y77" s="95">
        <v>10000</v>
      </c>
      <c r="Z77" s="95">
        <v>10000</v>
      </c>
    </row>
    <row r="78" spans="5:26" x14ac:dyDescent="0.2">
      <c r="E78">
        <v>68</v>
      </c>
      <c r="F78" s="95">
        <v>459.26811331358141</v>
      </c>
      <c r="G78" s="94">
        <v>0</v>
      </c>
      <c r="H78" s="94">
        <v>13283.829905991282</v>
      </c>
      <c r="I78" s="94">
        <v>13283.829905991282</v>
      </c>
      <c r="J78" s="94">
        <v>16.100000000000001</v>
      </c>
      <c r="K78" s="95">
        <v>0</v>
      </c>
      <c r="L78" s="95">
        <v>0</v>
      </c>
      <c r="M78" s="95">
        <v>0</v>
      </c>
      <c r="N78" s="95">
        <v>0</v>
      </c>
      <c r="O78" s="95">
        <v>0</v>
      </c>
      <c r="P78" s="95">
        <v>0</v>
      </c>
      <c r="Q78" s="95">
        <v>0</v>
      </c>
      <c r="R78" s="95">
        <v>0</v>
      </c>
      <c r="S78" s="95">
        <v>0</v>
      </c>
      <c r="T78" s="95">
        <v>13283.829905991282</v>
      </c>
      <c r="U78" s="95">
        <v>0</v>
      </c>
      <c r="V78" s="95">
        <v>13283.829905991282</v>
      </c>
      <c r="W78" s="95">
        <v>2500</v>
      </c>
      <c r="X78" s="95">
        <v>4000</v>
      </c>
      <c r="Y78" s="95">
        <v>10000</v>
      </c>
      <c r="Z78" s="95">
        <v>10000</v>
      </c>
    </row>
    <row r="79" spans="5:26" x14ac:dyDescent="0.2">
      <c r="E79">
        <v>69</v>
      </c>
      <c r="F79" s="95">
        <v>459.26811331358141</v>
      </c>
      <c r="G79" s="94">
        <v>0</v>
      </c>
      <c r="H79" s="94">
        <v>13283.829905991282</v>
      </c>
      <c r="I79" s="94">
        <v>13283.829905991282</v>
      </c>
      <c r="J79" s="94">
        <v>16.100000000000001</v>
      </c>
      <c r="K79" s="95">
        <v>0</v>
      </c>
      <c r="L79" s="95">
        <v>0</v>
      </c>
      <c r="M79" s="95">
        <v>0</v>
      </c>
      <c r="N79" s="95">
        <v>0</v>
      </c>
      <c r="O79" s="95">
        <v>0</v>
      </c>
      <c r="P79" s="95">
        <v>0</v>
      </c>
      <c r="Q79" s="95">
        <v>0</v>
      </c>
      <c r="R79" s="95">
        <v>0</v>
      </c>
      <c r="S79" s="95">
        <v>0</v>
      </c>
      <c r="T79" s="95">
        <v>13283.829905991282</v>
      </c>
      <c r="U79" s="95">
        <v>0</v>
      </c>
      <c r="V79" s="95">
        <v>13283.829905991282</v>
      </c>
      <c r="W79" s="95">
        <v>2500</v>
      </c>
      <c r="X79" s="95">
        <v>4000</v>
      </c>
      <c r="Y79" s="95">
        <v>10000</v>
      </c>
      <c r="Z79" s="95">
        <v>10000</v>
      </c>
    </row>
    <row r="80" spans="5:26" x14ac:dyDescent="0.2">
      <c r="E80">
        <v>70</v>
      </c>
      <c r="F80" s="95">
        <v>455.39588451698103</v>
      </c>
      <c r="G80" s="94">
        <v>0</v>
      </c>
      <c r="H80" s="94">
        <v>13171.829905991282</v>
      </c>
      <c r="I80" s="94">
        <v>13171.829905991282</v>
      </c>
      <c r="J80" s="94">
        <v>16.100000000000001</v>
      </c>
      <c r="K80" s="95">
        <v>0</v>
      </c>
      <c r="L80" s="95">
        <v>0</v>
      </c>
      <c r="M80" s="95">
        <v>0</v>
      </c>
      <c r="N80" s="95">
        <v>0</v>
      </c>
      <c r="O80" s="95">
        <v>0</v>
      </c>
      <c r="P80" s="95">
        <v>0</v>
      </c>
      <c r="Q80" s="95">
        <v>0</v>
      </c>
      <c r="R80" s="95">
        <v>0</v>
      </c>
      <c r="S80" s="95">
        <v>0</v>
      </c>
      <c r="T80" s="95">
        <v>13171.829905991282</v>
      </c>
      <c r="U80" s="95">
        <v>0</v>
      </c>
      <c r="V80" s="95">
        <v>13171.829905991282</v>
      </c>
      <c r="W80" s="95">
        <v>2500</v>
      </c>
      <c r="X80" s="95">
        <v>4000</v>
      </c>
      <c r="Y80" s="95">
        <v>10000</v>
      </c>
      <c r="Z80" s="95">
        <v>10000</v>
      </c>
    </row>
    <row r="81" spans="5:26" x14ac:dyDescent="0.2">
      <c r="E81">
        <v>71</v>
      </c>
      <c r="F81" s="95">
        <v>111.42663818498154</v>
      </c>
      <c r="G81" s="94">
        <v>7448.9357713072832</v>
      </c>
      <c r="H81" s="94">
        <v>3222.8941346839997</v>
      </c>
      <c r="I81" s="94">
        <v>10671.829905991282</v>
      </c>
      <c r="J81" s="94">
        <v>11.144200999999999</v>
      </c>
      <c r="K81" s="95">
        <v>1</v>
      </c>
      <c r="L81" s="95">
        <v>0</v>
      </c>
      <c r="M81" s="95">
        <v>7500</v>
      </c>
      <c r="N81" s="95">
        <v>0</v>
      </c>
      <c r="O81" s="95">
        <v>1</v>
      </c>
      <c r="P81" s="95">
        <v>0</v>
      </c>
      <c r="Q81" s="95">
        <v>0</v>
      </c>
      <c r="R81" s="95">
        <v>0</v>
      </c>
      <c r="S81" s="95">
        <v>0</v>
      </c>
      <c r="T81" s="95">
        <v>10671.829905991282</v>
      </c>
      <c r="U81" s="95">
        <v>0</v>
      </c>
      <c r="V81" s="95">
        <v>10671.829905991282</v>
      </c>
      <c r="W81" s="95">
        <v>2500</v>
      </c>
      <c r="X81" s="95">
        <v>4000</v>
      </c>
      <c r="Y81" s="95">
        <v>10000</v>
      </c>
      <c r="Z81" s="95">
        <v>10000</v>
      </c>
    </row>
    <row r="82" spans="5:26" x14ac:dyDescent="0.2">
      <c r="E82">
        <v>72</v>
      </c>
      <c r="F82" s="95">
        <v>88.917087695870961</v>
      </c>
      <c r="G82" s="94">
        <v>5600.0000000000036</v>
      </c>
      <c r="H82" s="94">
        <v>2571.8299059912788</v>
      </c>
      <c r="I82" s="94">
        <v>8171.8299059912824</v>
      </c>
      <c r="J82" s="94">
        <v>11.2345047</v>
      </c>
      <c r="K82" s="95">
        <v>1</v>
      </c>
      <c r="L82" s="95">
        <v>1848.9357713072789</v>
      </c>
      <c r="M82" s="95">
        <v>0</v>
      </c>
      <c r="N82" s="95">
        <v>1.0000000000000375</v>
      </c>
      <c r="O82" s="95">
        <v>0</v>
      </c>
      <c r="P82" s="95">
        <v>0</v>
      </c>
      <c r="Q82" s="95">
        <v>0</v>
      </c>
      <c r="R82" s="95">
        <v>0</v>
      </c>
      <c r="S82" s="95">
        <v>0</v>
      </c>
      <c r="T82" s="95">
        <v>8171.8299059912824</v>
      </c>
      <c r="U82" s="95">
        <v>0</v>
      </c>
      <c r="V82" s="95">
        <v>8171.8299059912824</v>
      </c>
      <c r="W82" s="95">
        <v>2500</v>
      </c>
      <c r="X82" s="95">
        <v>4000</v>
      </c>
      <c r="Y82" s="95">
        <v>10000</v>
      </c>
      <c r="Z82" s="95">
        <v>10000</v>
      </c>
    </row>
    <row r="83" spans="5:26" x14ac:dyDescent="0.2">
      <c r="E83">
        <v>73</v>
      </c>
      <c r="F83" s="95">
        <v>94.0782233615667</v>
      </c>
      <c r="G83" s="94">
        <v>5600.0000000000027</v>
      </c>
      <c r="H83" s="94">
        <v>2721.1101331992927</v>
      </c>
      <c r="I83" s="94">
        <v>8321.1101331992959</v>
      </c>
      <c r="J83" s="94">
        <v>11.321791399999999</v>
      </c>
      <c r="K83" s="95">
        <v>1</v>
      </c>
      <c r="L83" s="95">
        <v>0</v>
      </c>
      <c r="M83" s="95">
        <v>0</v>
      </c>
      <c r="N83" s="95">
        <v>0</v>
      </c>
      <c r="O83" s="95">
        <v>0</v>
      </c>
      <c r="P83" s="95">
        <v>0</v>
      </c>
      <c r="Q83" s="95">
        <v>0</v>
      </c>
      <c r="R83" s="95">
        <v>0</v>
      </c>
      <c r="S83" s="95">
        <v>0</v>
      </c>
      <c r="T83" s="95">
        <v>8321.1101331992959</v>
      </c>
      <c r="U83" s="95">
        <v>0</v>
      </c>
      <c r="V83" s="95">
        <v>8321.1101331992959</v>
      </c>
      <c r="W83" s="95">
        <v>2500</v>
      </c>
      <c r="X83" s="95">
        <v>4000</v>
      </c>
      <c r="Y83" s="95">
        <v>10000</v>
      </c>
      <c r="Z83" s="95">
        <v>10000</v>
      </c>
    </row>
    <row r="84" spans="5:26" x14ac:dyDescent="0.2">
      <c r="E84">
        <v>74</v>
      </c>
      <c r="F84" s="95">
        <v>98.167326073901322</v>
      </c>
      <c r="G84" s="94">
        <v>5600.0000000000027</v>
      </c>
      <c r="H84" s="94">
        <v>2839.38297497547</v>
      </c>
      <c r="I84" s="94">
        <v>8439.3829749754732</v>
      </c>
      <c r="J84" s="94">
        <v>11.388755099999999</v>
      </c>
      <c r="K84" s="95">
        <v>1</v>
      </c>
      <c r="L84" s="95">
        <v>0</v>
      </c>
      <c r="M84" s="95">
        <v>0</v>
      </c>
      <c r="N84" s="95">
        <v>0</v>
      </c>
      <c r="O84" s="95">
        <v>0</v>
      </c>
      <c r="P84" s="95">
        <v>0</v>
      </c>
      <c r="Q84" s="95">
        <v>0</v>
      </c>
      <c r="R84" s="95">
        <v>0</v>
      </c>
      <c r="S84" s="95">
        <v>0</v>
      </c>
      <c r="T84" s="95">
        <v>8439.3829749754732</v>
      </c>
      <c r="U84" s="95">
        <v>0</v>
      </c>
      <c r="V84" s="95">
        <v>8439.3829749754732</v>
      </c>
      <c r="W84" s="95">
        <v>2500</v>
      </c>
      <c r="X84" s="95">
        <v>4000</v>
      </c>
      <c r="Y84" s="95">
        <v>10000</v>
      </c>
      <c r="Z84" s="95">
        <v>10000</v>
      </c>
    </row>
    <row r="85" spans="5:26" x14ac:dyDescent="0.2">
      <c r="E85">
        <v>75</v>
      </c>
      <c r="F85" s="95">
        <v>92.382927792198913</v>
      </c>
      <c r="G85" s="94">
        <v>5600.0000000000027</v>
      </c>
      <c r="H85" s="94">
        <v>2672.0755555070114</v>
      </c>
      <c r="I85" s="94">
        <v>8272.0755555070136</v>
      </c>
      <c r="J85" s="94">
        <v>11.2934675</v>
      </c>
      <c r="K85" s="95">
        <v>1</v>
      </c>
      <c r="L85" s="95">
        <v>0</v>
      </c>
      <c r="M85" s="95">
        <v>0</v>
      </c>
      <c r="N85" s="95">
        <v>0</v>
      </c>
      <c r="O85" s="95">
        <v>0</v>
      </c>
      <c r="P85" s="95">
        <v>0</v>
      </c>
      <c r="Q85" s="95">
        <v>0</v>
      </c>
      <c r="R85" s="95">
        <v>0</v>
      </c>
      <c r="S85" s="95">
        <v>0</v>
      </c>
      <c r="T85" s="95">
        <v>8272.0755555070136</v>
      </c>
      <c r="U85" s="95">
        <v>0</v>
      </c>
      <c r="V85" s="95">
        <v>8272.0755555070136</v>
      </c>
      <c r="W85" s="95">
        <v>2500</v>
      </c>
      <c r="X85" s="95">
        <v>4000</v>
      </c>
      <c r="Y85" s="95">
        <v>10000</v>
      </c>
      <c r="Z85" s="95">
        <v>10000</v>
      </c>
    </row>
    <row r="86" spans="5:26" x14ac:dyDescent="0.2">
      <c r="E86">
        <v>76</v>
      </c>
      <c r="F86" s="95">
        <v>87.85902845230396</v>
      </c>
      <c r="G86" s="94">
        <v>5600.0000000000036</v>
      </c>
      <c r="H86" s="94">
        <v>2541.2266948939537</v>
      </c>
      <c r="I86" s="94">
        <v>8141.2266948939568</v>
      </c>
      <c r="J86" s="94">
        <v>11.216215099999998</v>
      </c>
      <c r="K86" s="95">
        <v>1</v>
      </c>
      <c r="L86" s="95">
        <v>0</v>
      </c>
      <c r="M86" s="95">
        <v>0</v>
      </c>
      <c r="N86" s="95">
        <v>0</v>
      </c>
      <c r="O86" s="95">
        <v>0</v>
      </c>
      <c r="P86" s="95">
        <v>0</v>
      </c>
      <c r="Q86" s="95">
        <v>0</v>
      </c>
      <c r="R86" s="95">
        <v>0</v>
      </c>
      <c r="S86" s="95">
        <v>0</v>
      </c>
      <c r="T86" s="95">
        <v>8141.2266948939568</v>
      </c>
      <c r="U86" s="95">
        <v>0</v>
      </c>
      <c r="V86" s="95">
        <v>8141.2266948939568</v>
      </c>
      <c r="W86" s="95">
        <v>2500</v>
      </c>
      <c r="X86" s="95">
        <v>4000</v>
      </c>
      <c r="Y86" s="95">
        <v>10000</v>
      </c>
      <c r="Z86" s="95">
        <v>10000</v>
      </c>
    </row>
    <row r="87" spans="5:26" x14ac:dyDescent="0.2">
      <c r="E87">
        <v>77</v>
      </c>
      <c r="F87" s="95">
        <v>85.522997829366588</v>
      </c>
      <c r="G87" s="94">
        <v>5600.0000000000027</v>
      </c>
      <c r="H87" s="94">
        <v>2473.6595537170979</v>
      </c>
      <c r="I87" s="94">
        <v>8073.6595537171006</v>
      </c>
      <c r="J87" s="94">
        <v>11.175343499999999</v>
      </c>
      <c r="K87" s="95">
        <v>1</v>
      </c>
      <c r="L87" s="95">
        <v>0</v>
      </c>
      <c r="M87" s="95">
        <v>0</v>
      </c>
      <c r="N87" s="95">
        <v>0</v>
      </c>
      <c r="O87" s="95">
        <v>0</v>
      </c>
      <c r="P87" s="95">
        <v>0</v>
      </c>
      <c r="Q87" s="95">
        <v>0</v>
      </c>
      <c r="R87" s="95">
        <v>0</v>
      </c>
      <c r="S87" s="95">
        <v>0</v>
      </c>
      <c r="T87" s="95">
        <v>8073.6595537171006</v>
      </c>
      <c r="U87" s="95">
        <v>0</v>
      </c>
      <c r="V87" s="95">
        <v>8073.6595537171006</v>
      </c>
      <c r="W87" s="95">
        <v>2500</v>
      </c>
      <c r="X87" s="95">
        <v>4000</v>
      </c>
      <c r="Y87" s="95">
        <v>10000</v>
      </c>
      <c r="Z87" s="95">
        <v>10000</v>
      </c>
    </row>
    <row r="88" spans="5:26" x14ac:dyDescent="0.2">
      <c r="E88">
        <v>78</v>
      </c>
      <c r="F88" s="95">
        <v>82.976331355723005</v>
      </c>
      <c r="G88" s="94">
        <v>5600.0000000000027</v>
      </c>
      <c r="H88" s="94">
        <v>2400</v>
      </c>
      <c r="I88" s="94">
        <v>8000.0000000000027</v>
      </c>
      <c r="J88" s="94">
        <v>11.129999999999999</v>
      </c>
      <c r="K88" s="95">
        <v>1</v>
      </c>
      <c r="L88" s="95">
        <v>0</v>
      </c>
      <c r="M88" s="95">
        <v>0</v>
      </c>
      <c r="N88" s="95">
        <v>0</v>
      </c>
      <c r="O88" s="95">
        <v>0</v>
      </c>
      <c r="P88" s="95">
        <v>0</v>
      </c>
      <c r="Q88" s="95">
        <v>0</v>
      </c>
      <c r="R88" s="95">
        <v>0</v>
      </c>
      <c r="S88" s="95">
        <v>0</v>
      </c>
      <c r="T88" s="95">
        <v>8000.0000000000027</v>
      </c>
      <c r="U88" s="95">
        <v>0</v>
      </c>
      <c r="V88" s="95">
        <v>8000.0000000000027</v>
      </c>
      <c r="W88" s="95">
        <v>2500</v>
      </c>
      <c r="X88" s="95">
        <v>4000</v>
      </c>
      <c r="Y88" s="95">
        <v>10000</v>
      </c>
      <c r="Z88" s="95">
        <v>10000</v>
      </c>
    </row>
    <row r="89" spans="5:26" x14ac:dyDescent="0.2">
      <c r="E89">
        <v>79</v>
      </c>
      <c r="F89" s="95">
        <v>82.976331355723005</v>
      </c>
      <c r="G89" s="94">
        <v>5600</v>
      </c>
      <c r="H89" s="94">
        <v>2400</v>
      </c>
      <c r="I89" s="94">
        <v>8000</v>
      </c>
      <c r="J89" s="94">
        <v>11.13</v>
      </c>
      <c r="K89" s="95">
        <v>1</v>
      </c>
      <c r="L89" s="95">
        <v>0</v>
      </c>
      <c r="M89" s="95">
        <v>0</v>
      </c>
      <c r="N89" s="95">
        <v>0</v>
      </c>
      <c r="O89" s="95">
        <v>0</v>
      </c>
      <c r="P89" s="95">
        <v>0</v>
      </c>
      <c r="Q89" s="95">
        <v>0</v>
      </c>
      <c r="R89" s="95">
        <v>0</v>
      </c>
      <c r="S89" s="95">
        <v>0</v>
      </c>
      <c r="T89" s="95">
        <v>8000</v>
      </c>
      <c r="U89" s="95">
        <v>0</v>
      </c>
      <c r="V89" s="95">
        <v>8000</v>
      </c>
      <c r="W89" s="95">
        <v>2500</v>
      </c>
      <c r="X89" s="95">
        <v>4000</v>
      </c>
      <c r="Y89" s="95">
        <v>10000</v>
      </c>
      <c r="Z89" s="95">
        <v>10000</v>
      </c>
    </row>
    <row r="90" spans="5:26" x14ac:dyDescent="0.2">
      <c r="E90">
        <v>80</v>
      </c>
      <c r="F90" s="95">
        <v>82.976331355723005</v>
      </c>
      <c r="G90" s="94">
        <v>5600</v>
      </c>
      <c r="H90" s="94">
        <v>2400</v>
      </c>
      <c r="I90" s="94">
        <v>8000</v>
      </c>
      <c r="J90" s="94">
        <v>11.13</v>
      </c>
      <c r="K90" s="95">
        <v>1</v>
      </c>
      <c r="L90" s="95">
        <v>0</v>
      </c>
      <c r="M90" s="95">
        <v>0</v>
      </c>
      <c r="N90" s="95">
        <v>0</v>
      </c>
      <c r="O90" s="95">
        <v>0</v>
      </c>
      <c r="P90" s="95">
        <v>0</v>
      </c>
      <c r="Q90" s="95">
        <v>0</v>
      </c>
      <c r="R90" s="95">
        <v>0</v>
      </c>
      <c r="S90" s="95">
        <v>0</v>
      </c>
      <c r="T90" s="95">
        <v>8000</v>
      </c>
      <c r="U90" s="95">
        <v>0</v>
      </c>
      <c r="V90" s="95">
        <v>8000</v>
      </c>
      <c r="W90" s="95">
        <v>2500</v>
      </c>
      <c r="X90" s="95">
        <v>4000</v>
      </c>
      <c r="Y90" s="95">
        <v>10000</v>
      </c>
      <c r="Z90" s="95">
        <v>10000</v>
      </c>
    </row>
    <row r="91" spans="5:26" x14ac:dyDescent="0.2">
      <c r="E91">
        <v>81</v>
      </c>
      <c r="F91" s="95">
        <v>82.976331355723005</v>
      </c>
      <c r="G91" s="94">
        <v>6869.804413055479</v>
      </c>
      <c r="H91" s="94">
        <v>2400</v>
      </c>
      <c r="I91" s="94">
        <v>9269.804413055479</v>
      </c>
      <c r="J91" s="94">
        <v>10.838226486850258</v>
      </c>
      <c r="K91" s="95">
        <v>1</v>
      </c>
      <c r="L91" s="95">
        <v>0</v>
      </c>
      <c r="M91" s="95">
        <v>7500</v>
      </c>
      <c r="N91" s="95">
        <v>0</v>
      </c>
      <c r="O91" s="95">
        <v>1</v>
      </c>
      <c r="P91" s="95">
        <v>0</v>
      </c>
      <c r="Q91" s="95">
        <v>0</v>
      </c>
      <c r="R91" s="95">
        <v>0</v>
      </c>
      <c r="S91" s="95">
        <v>0</v>
      </c>
      <c r="T91" s="95">
        <v>9269.804413055479</v>
      </c>
      <c r="U91" s="95">
        <v>0</v>
      </c>
      <c r="V91" s="95">
        <v>9269.804413055479</v>
      </c>
      <c r="W91" s="95">
        <v>2500</v>
      </c>
      <c r="X91" s="95">
        <v>4000</v>
      </c>
      <c r="Y91" s="95">
        <v>10000</v>
      </c>
      <c r="Z91" s="95">
        <v>10000</v>
      </c>
    </row>
    <row r="92" spans="5:26" x14ac:dyDescent="0.2">
      <c r="E92">
        <v>82</v>
      </c>
      <c r="F92" s="95">
        <v>82.976331355723005</v>
      </c>
      <c r="G92" s="94">
        <v>6869.804413055479</v>
      </c>
      <c r="H92" s="94">
        <v>2400</v>
      </c>
      <c r="I92" s="94">
        <v>9269.804413055479</v>
      </c>
      <c r="J92" s="94">
        <v>10.838226486850258</v>
      </c>
      <c r="K92" s="95">
        <v>1</v>
      </c>
      <c r="L92" s="95">
        <v>0</v>
      </c>
      <c r="M92" s="95">
        <v>0</v>
      </c>
      <c r="N92" s="95">
        <v>0</v>
      </c>
      <c r="O92" s="95">
        <v>0</v>
      </c>
      <c r="P92" s="95">
        <v>0</v>
      </c>
      <c r="Q92" s="95">
        <v>0</v>
      </c>
      <c r="R92" s="95">
        <v>0</v>
      </c>
      <c r="S92" s="95">
        <v>0</v>
      </c>
      <c r="T92" s="95">
        <v>9269.804413055479</v>
      </c>
      <c r="U92" s="95">
        <v>0</v>
      </c>
      <c r="V92" s="95">
        <v>9269.804413055479</v>
      </c>
      <c r="W92" s="95">
        <v>2500</v>
      </c>
      <c r="X92" s="95">
        <v>4000</v>
      </c>
      <c r="Y92" s="95">
        <v>10000</v>
      </c>
      <c r="Z92" s="95">
        <v>10000</v>
      </c>
    </row>
    <row r="93" spans="5:26" x14ac:dyDescent="0.2">
      <c r="E93">
        <v>83</v>
      </c>
      <c r="F93" s="95">
        <v>82.976331355723005</v>
      </c>
      <c r="G93" s="94">
        <v>6869.804413055479</v>
      </c>
      <c r="H93" s="94">
        <v>2400</v>
      </c>
      <c r="I93" s="94">
        <v>9269.804413055479</v>
      </c>
      <c r="J93" s="94">
        <v>10.838226486850258</v>
      </c>
      <c r="K93" s="95">
        <v>1</v>
      </c>
      <c r="L93" s="95">
        <v>0</v>
      </c>
      <c r="M93" s="95">
        <v>0</v>
      </c>
      <c r="N93" s="95">
        <v>0</v>
      </c>
      <c r="O93" s="95">
        <v>0</v>
      </c>
      <c r="P93" s="95">
        <v>0</v>
      </c>
      <c r="Q93" s="95">
        <v>0</v>
      </c>
      <c r="R93" s="95">
        <v>0</v>
      </c>
      <c r="S93" s="95">
        <v>0</v>
      </c>
      <c r="T93" s="95">
        <v>9269.804413055479</v>
      </c>
      <c r="U93" s="95">
        <v>0</v>
      </c>
      <c r="V93" s="95">
        <v>9269.804413055479</v>
      </c>
      <c r="W93" s="95">
        <v>2500</v>
      </c>
      <c r="X93" s="95">
        <v>4000</v>
      </c>
      <c r="Y93" s="95">
        <v>10000</v>
      </c>
      <c r="Z93" s="95">
        <v>10000</v>
      </c>
    </row>
    <row r="94" spans="5:26" x14ac:dyDescent="0.2">
      <c r="E94">
        <v>84</v>
      </c>
      <c r="F94" s="95">
        <v>82.976331355723005</v>
      </c>
      <c r="G94" s="94">
        <v>6869.804413055479</v>
      </c>
      <c r="H94" s="94">
        <v>2400</v>
      </c>
      <c r="I94" s="94">
        <v>9269.804413055479</v>
      </c>
      <c r="J94" s="94">
        <v>10.838226486850258</v>
      </c>
      <c r="K94" s="95">
        <v>1</v>
      </c>
      <c r="L94" s="95">
        <v>0</v>
      </c>
      <c r="M94" s="95">
        <v>0</v>
      </c>
      <c r="N94" s="95">
        <v>0</v>
      </c>
      <c r="O94" s="95">
        <v>0</v>
      </c>
      <c r="P94" s="95">
        <v>0</v>
      </c>
      <c r="Q94" s="95">
        <v>0</v>
      </c>
      <c r="R94" s="95">
        <v>0</v>
      </c>
      <c r="S94" s="95">
        <v>0</v>
      </c>
      <c r="T94" s="95">
        <v>9269.804413055479</v>
      </c>
      <c r="U94" s="95">
        <v>0</v>
      </c>
      <c r="V94" s="95">
        <v>9269.804413055479</v>
      </c>
      <c r="W94" s="95">
        <v>2500</v>
      </c>
      <c r="X94" s="95">
        <v>4000</v>
      </c>
      <c r="Y94" s="95">
        <v>10000</v>
      </c>
      <c r="Z94" s="95">
        <v>10000</v>
      </c>
    </row>
    <row r="95" spans="5:26" x14ac:dyDescent="0.2">
      <c r="E95">
        <v>85</v>
      </c>
      <c r="F95" s="95">
        <v>82.976331355723005</v>
      </c>
      <c r="G95" s="94">
        <v>6869.8044130554918</v>
      </c>
      <c r="H95" s="94">
        <v>2400</v>
      </c>
      <c r="I95" s="94">
        <v>9269.8044130554918</v>
      </c>
      <c r="J95" s="94">
        <v>10.838226486850257</v>
      </c>
      <c r="K95" s="95">
        <v>1</v>
      </c>
      <c r="L95" s="95">
        <v>-1.2380496627883985E-11</v>
      </c>
      <c r="M95" s="95">
        <v>0</v>
      </c>
      <c r="N95" s="95">
        <v>-6.4392935428259079E-15</v>
      </c>
      <c r="O95" s="95">
        <v>0</v>
      </c>
      <c r="P95" s="95">
        <v>0</v>
      </c>
      <c r="Q95" s="95">
        <v>0</v>
      </c>
      <c r="R95" s="95">
        <v>0</v>
      </c>
      <c r="S95" s="95">
        <v>0</v>
      </c>
      <c r="T95" s="95">
        <v>9269.8044130554918</v>
      </c>
      <c r="U95" s="95">
        <v>0</v>
      </c>
      <c r="V95" s="95">
        <v>9269.8044130554918</v>
      </c>
      <c r="W95" s="95">
        <v>2500</v>
      </c>
      <c r="X95" s="95">
        <v>4000</v>
      </c>
      <c r="Y95" s="95">
        <v>10000</v>
      </c>
      <c r="Z95" s="95">
        <v>10000</v>
      </c>
    </row>
    <row r="96" spans="5:26" x14ac:dyDescent="0.2">
      <c r="E96">
        <v>86</v>
      </c>
      <c r="F96" s="95">
        <v>91.953426062264754</v>
      </c>
      <c r="G96" s="94">
        <v>6869.8044130554918</v>
      </c>
      <c r="H96" s="94">
        <v>2659.6526858163415</v>
      </c>
      <c r="I96" s="94">
        <v>9529.4570988718333</v>
      </c>
      <c r="J96" s="94">
        <v>10.981596</v>
      </c>
      <c r="K96" s="95">
        <v>1</v>
      </c>
      <c r="L96" s="95">
        <v>0</v>
      </c>
      <c r="M96" s="95">
        <v>0</v>
      </c>
      <c r="N96" s="95">
        <v>0</v>
      </c>
      <c r="O96" s="95">
        <v>0</v>
      </c>
      <c r="P96" s="95">
        <v>0</v>
      </c>
      <c r="Q96" s="95">
        <v>0</v>
      </c>
      <c r="R96" s="95">
        <v>0</v>
      </c>
      <c r="S96" s="95">
        <v>0</v>
      </c>
      <c r="T96" s="95">
        <v>9529.4570988718333</v>
      </c>
      <c r="U96" s="95">
        <v>0</v>
      </c>
      <c r="V96" s="95">
        <v>9529.4570988718333</v>
      </c>
      <c r="W96" s="95">
        <v>2500</v>
      </c>
      <c r="X96" s="95">
        <v>4000</v>
      </c>
      <c r="Y96" s="95">
        <v>10000</v>
      </c>
      <c r="Z96" s="95">
        <v>10000</v>
      </c>
    </row>
    <row r="97" spans="5:26" x14ac:dyDescent="0.2">
      <c r="E97">
        <v>87</v>
      </c>
      <c r="F97" s="95">
        <v>93.985530329595647</v>
      </c>
      <c r="G97" s="94">
        <v>6869.8044130554918</v>
      </c>
      <c r="H97" s="94">
        <v>2718.4290882182027</v>
      </c>
      <c r="I97" s="94">
        <v>9588.2335012736949</v>
      </c>
      <c r="J97" s="94">
        <v>11.012972099999997</v>
      </c>
      <c r="K97" s="95">
        <v>1</v>
      </c>
      <c r="L97" s="95">
        <v>0</v>
      </c>
      <c r="M97" s="95">
        <v>0</v>
      </c>
      <c r="N97" s="95">
        <v>0</v>
      </c>
      <c r="O97" s="95">
        <v>0</v>
      </c>
      <c r="P97" s="95">
        <v>0</v>
      </c>
      <c r="Q97" s="95">
        <v>0</v>
      </c>
      <c r="R97" s="95">
        <v>0</v>
      </c>
      <c r="S97" s="95">
        <v>0</v>
      </c>
      <c r="T97" s="95">
        <v>9588.2335012736949</v>
      </c>
      <c r="U97" s="95">
        <v>0</v>
      </c>
      <c r="V97" s="95">
        <v>9588.2335012736949</v>
      </c>
      <c r="W97" s="95">
        <v>2500</v>
      </c>
      <c r="X97" s="95">
        <v>4000</v>
      </c>
      <c r="Y97" s="95">
        <v>10000</v>
      </c>
      <c r="Z97" s="95">
        <v>10000</v>
      </c>
    </row>
    <row r="98" spans="5:26" x14ac:dyDescent="0.2">
      <c r="E98">
        <v>88</v>
      </c>
      <c r="F98" s="95">
        <v>82.976331355723005</v>
      </c>
      <c r="G98" s="94">
        <v>6869.8044130554918</v>
      </c>
      <c r="H98" s="94">
        <v>2400</v>
      </c>
      <c r="I98" s="94">
        <v>9269.8044130554918</v>
      </c>
      <c r="J98" s="94">
        <v>10.838226486850257</v>
      </c>
      <c r="K98" s="95">
        <v>1</v>
      </c>
      <c r="L98" s="95">
        <v>0</v>
      </c>
      <c r="M98" s="95">
        <v>0</v>
      </c>
      <c r="N98" s="95">
        <v>0</v>
      </c>
      <c r="O98" s="95">
        <v>0</v>
      </c>
      <c r="P98" s="95">
        <v>0</v>
      </c>
      <c r="Q98" s="95">
        <v>0</v>
      </c>
      <c r="R98" s="95">
        <v>0</v>
      </c>
      <c r="S98" s="95">
        <v>0</v>
      </c>
      <c r="T98" s="95">
        <v>9269.8044130554918</v>
      </c>
      <c r="U98" s="95">
        <v>0</v>
      </c>
      <c r="V98" s="95">
        <v>9269.8044130554918</v>
      </c>
      <c r="W98" s="95">
        <v>2500</v>
      </c>
      <c r="X98" s="95">
        <v>4000</v>
      </c>
      <c r="Y98" s="95">
        <v>10000</v>
      </c>
      <c r="Z98" s="95">
        <v>10000</v>
      </c>
    </row>
    <row r="99" spans="5:26" x14ac:dyDescent="0.2">
      <c r="E99">
        <v>89</v>
      </c>
      <c r="F99" s="95">
        <v>104.96897914940635</v>
      </c>
      <c r="G99" s="94">
        <v>6869.8044130554918</v>
      </c>
      <c r="H99" s="94">
        <v>3036.1133812792932</v>
      </c>
      <c r="I99" s="94">
        <v>9905.917794334784</v>
      </c>
      <c r="J99" s="94">
        <v>11.176113859879912</v>
      </c>
      <c r="K99" s="95">
        <v>1</v>
      </c>
      <c r="L99" s="95">
        <v>0</v>
      </c>
      <c r="M99" s="95">
        <v>0</v>
      </c>
      <c r="N99" s="95">
        <v>0</v>
      </c>
      <c r="O99" s="95">
        <v>0</v>
      </c>
      <c r="P99" s="95">
        <v>0</v>
      </c>
      <c r="Q99" s="95">
        <v>0</v>
      </c>
      <c r="R99" s="95">
        <v>0</v>
      </c>
      <c r="S99" s="95">
        <v>0</v>
      </c>
      <c r="T99" s="95">
        <v>9905.917794334784</v>
      </c>
      <c r="U99" s="95">
        <v>0</v>
      </c>
      <c r="V99" s="95">
        <v>9905.917794334784</v>
      </c>
      <c r="W99" s="95">
        <v>2500</v>
      </c>
      <c r="X99" s="95">
        <v>4000</v>
      </c>
      <c r="Y99" s="95">
        <v>10000</v>
      </c>
      <c r="Z99" s="95">
        <v>10000</v>
      </c>
    </row>
    <row r="100" spans="5:26" x14ac:dyDescent="0.2">
      <c r="E100">
        <v>90</v>
      </c>
      <c r="F100" s="95">
        <v>450.70369313158551</v>
      </c>
      <c r="G100" s="94">
        <v>0</v>
      </c>
      <c r="H100" s="94">
        <v>13036.113381279292</v>
      </c>
      <c r="I100" s="94">
        <v>13036.113381279292</v>
      </c>
      <c r="J100" s="94">
        <v>16.100000000000001</v>
      </c>
      <c r="K100" s="95">
        <v>0</v>
      </c>
      <c r="L100" s="95">
        <v>7500</v>
      </c>
      <c r="M100" s="95">
        <v>0</v>
      </c>
      <c r="N100" s="95">
        <v>1</v>
      </c>
      <c r="O100" s="95">
        <v>0</v>
      </c>
      <c r="P100" s="95">
        <v>0</v>
      </c>
      <c r="Q100" s="95">
        <v>0</v>
      </c>
      <c r="R100" s="95">
        <v>0</v>
      </c>
      <c r="S100" s="95">
        <v>0</v>
      </c>
      <c r="T100" s="95">
        <v>13036.113381279292</v>
      </c>
      <c r="U100" s="95">
        <v>0</v>
      </c>
      <c r="V100" s="95">
        <v>13036.113381279292</v>
      </c>
      <c r="W100" s="95">
        <v>2500</v>
      </c>
      <c r="X100" s="95">
        <v>4000</v>
      </c>
      <c r="Y100" s="95">
        <v>10000</v>
      </c>
      <c r="Z100" s="95">
        <v>10000</v>
      </c>
    </row>
    <row r="101" spans="5:26" x14ac:dyDescent="0.2">
      <c r="E101">
        <v>91</v>
      </c>
      <c r="F101" s="95">
        <v>453.3273569734335</v>
      </c>
      <c r="G101" s="94">
        <v>0</v>
      </c>
      <c r="H101" s="94">
        <v>13112.000000000004</v>
      </c>
      <c r="I101" s="94">
        <v>13112.000000000004</v>
      </c>
      <c r="J101" s="94">
        <v>16.100000000000001</v>
      </c>
      <c r="K101" s="95">
        <v>0</v>
      </c>
      <c r="L101" s="95">
        <v>0</v>
      </c>
      <c r="M101" s="95">
        <v>0</v>
      </c>
      <c r="N101" s="95">
        <v>0</v>
      </c>
      <c r="O101" s="95">
        <v>0</v>
      </c>
      <c r="P101" s="95">
        <v>0</v>
      </c>
      <c r="Q101" s="95">
        <v>0</v>
      </c>
      <c r="R101" s="95">
        <v>0</v>
      </c>
      <c r="S101" s="95">
        <v>0</v>
      </c>
      <c r="T101" s="95">
        <v>13112.000000000004</v>
      </c>
      <c r="U101" s="95">
        <v>0</v>
      </c>
      <c r="V101" s="95">
        <v>13112.000000000004</v>
      </c>
      <c r="W101" s="95">
        <v>2500</v>
      </c>
      <c r="X101" s="95">
        <v>4000</v>
      </c>
      <c r="Y101" s="95">
        <v>10000</v>
      </c>
      <c r="Z101" s="95">
        <v>10000</v>
      </c>
    </row>
    <row r="102" spans="5:26" x14ac:dyDescent="0.2">
      <c r="E102">
        <v>92</v>
      </c>
      <c r="F102" s="95">
        <v>453.3273569734335</v>
      </c>
      <c r="G102" s="94">
        <v>0</v>
      </c>
      <c r="H102" s="94">
        <v>13112.000000000004</v>
      </c>
      <c r="I102" s="94">
        <v>13112.000000000004</v>
      </c>
      <c r="J102" s="94">
        <v>16.100000000000001</v>
      </c>
      <c r="K102" s="95">
        <v>0</v>
      </c>
      <c r="L102" s="95">
        <v>0</v>
      </c>
      <c r="M102" s="95">
        <v>0</v>
      </c>
      <c r="N102" s="95">
        <v>0</v>
      </c>
      <c r="O102" s="95">
        <v>0</v>
      </c>
      <c r="P102" s="95">
        <v>0</v>
      </c>
      <c r="Q102" s="95">
        <v>0</v>
      </c>
      <c r="R102" s="95">
        <v>0</v>
      </c>
      <c r="S102" s="95">
        <v>0</v>
      </c>
      <c r="T102" s="95">
        <v>13112.000000000004</v>
      </c>
      <c r="U102" s="95">
        <v>0</v>
      </c>
      <c r="V102" s="95">
        <v>13112.000000000004</v>
      </c>
      <c r="W102" s="95">
        <v>2500</v>
      </c>
      <c r="X102" s="95">
        <v>4000</v>
      </c>
      <c r="Y102" s="95">
        <v>10000</v>
      </c>
      <c r="Z102" s="95">
        <v>10000</v>
      </c>
    </row>
    <row r="103" spans="5:26" x14ac:dyDescent="0.2">
      <c r="E103">
        <v>93</v>
      </c>
      <c r="F103" s="95">
        <v>453.3273569734335</v>
      </c>
      <c r="G103" s="94">
        <v>0</v>
      </c>
      <c r="H103" s="94">
        <v>13112.000000000004</v>
      </c>
      <c r="I103" s="94">
        <v>13112.000000000004</v>
      </c>
      <c r="J103" s="94">
        <v>16.100000000000001</v>
      </c>
      <c r="K103" s="95">
        <v>0</v>
      </c>
      <c r="L103" s="95">
        <v>0</v>
      </c>
      <c r="M103" s="95">
        <v>0</v>
      </c>
      <c r="N103" s="95">
        <v>0</v>
      </c>
      <c r="O103" s="95">
        <v>0</v>
      </c>
      <c r="P103" s="95">
        <v>0</v>
      </c>
      <c r="Q103" s="95">
        <v>0</v>
      </c>
      <c r="R103" s="95">
        <v>0</v>
      </c>
      <c r="S103" s="95">
        <v>0</v>
      </c>
      <c r="T103" s="95">
        <v>13112.000000000004</v>
      </c>
      <c r="U103" s="95">
        <v>0</v>
      </c>
      <c r="V103" s="95">
        <v>13112.000000000004</v>
      </c>
      <c r="W103" s="95">
        <v>2500</v>
      </c>
      <c r="X103" s="95">
        <v>4000</v>
      </c>
      <c r="Y103" s="95">
        <v>10000</v>
      </c>
      <c r="Z103" s="95">
        <v>10000</v>
      </c>
    </row>
    <row r="104" spans="5:26" x14ac:dyDescent="0.2">
      <c r="E104">
        <v>94</v>
      </c>
      <c r="F104" s="95">
        <v>449.84922925979498</v>
      </c>
      <c r="G104" s="94">
        <v>0</v>
      </c>
      <c r="H104" s="94">
        <v>13011.398944538221</v>
      </c>
      <c r="I104" s="94">
        <v>13011.398944538221</v>
      </c>
      <c r="J104" s="94">
        <v>16.100000000000001</v>
      </c>
      <c r="K104" s="95">
        <v>0</v>
      </c>
      <c r="L104" s="95">
        <v>0</v>
      </c>
      <c r="M104" s="95">
        <v>0</v>
      </c>
      <c r="N104" s="95">
        <v>0</v>
      </c>
      <c r="O104" s="95">
        <v>0</v>
      </c>
      <c r="P104" s="95">
        <v>0</v>
      </c>
      <c r="Q104" s="95">
        <v>0</v>
      </c>
      <c r="R104" s="95">
        <v>0</v>
      </c>
      <c r="S104" s="95">
        <v>0</v>
      </c>
      <c r="T104" s="95">
        <v>13011.398944538221</v>
      </c>
      <c r="U104" s="95">
        <v>0</v>
      </c>
      <c r="V104" s="95">
        <v>13011.398944538221</v>
      </c>
      <c r="W104" s="95">
        <v>2500</v>
      </c>
      <c r="X104" s="95">
        <v>4000</v>
      </c>
      <c r="Y104" s="95">
        <v>10000</v>
      </c>
      <c r="Z104" s="95">
        <v>10000</v>
      </c>
    </row>
    <row r="105" spans="5:26" x14ac:dyDescent="0.2">
      <c r="E105">
        <v>95</v>
      </c>
      <c r="F105" s="95">
        <v>104.83106475166853</v>
      </c>
      <c r="G105" s="94">
        <v>7479.2745869860883</v>
      </c>
      <c r="H105" s="94">
        <v>3032.1243575521326</v>
      </c>
      <c r="I105" s="94">
        <v>10511.398944538221</v>
      </c>
      <c r="J105" s="94">
        <v>11.048070199999994</v>
      </c>
      <c r="K105" s="95">
        <v>1</v>
      </c>
      <c r="L105" s="95">
        <v>0</v>
      </c>
      <c r="M105" s="95">
        <v>7500</v>
      </c>
      <c r="N105" s="95">
        <v>0</v>
      </c>
      <c r="O105" s="95">
        <v>1</v>
      </c>
      <c r="P105" s="95">
        <v>0</v>
      </c>
      <c r="Q105" s="95">
        <v>0</v>
      </c>
      <c r="R105" s="95">
        <v>0</v>
      </c>
      <c r="S105" s="95">
        <v>0</v>
      </c>
      <c r="T105" s="95">
        <v>10511.398944538221</v>
      </c>
      <c r="U105" s="95">
        <v>0</v>
      </c>
      <c r="V105" s="95">
        <v>10511.398944538221</v>
      </c>
      <c r="W105" s="95">
        <v>2500</v>
      </c>
      <c r="X105" s="95">
        <v>4000</v>
      </c>
      <c r="Y105" s="95">
        <v>10000</v>
      </c>
      <c r="Z105" s="95">
        <v>10000</v>
      </c>
    </row>
    <row r="106" spans="5:26" x14ac:dyDescent="0.2">
      <c r="E106">
        <v>96</v>
      </c>
      <c r="F106" s="95">
        <v>83.892300681970511</v>
      </c>
      <c r="G106" s="94">
        <v>5584.9055295236467</v>
      </c>
      <c r="H106" s="94">
        <v>2426.4934150145746</v>
      </c>
      <c r="I106" s="94">
        <v>8011.3989445382213</v>
      </c>
      <c r="J106" s="94">
        <v>11.150448800000001</v>
      </c>
      <c r="K106" s="95">
        <v>1</v>
      </c>
      <c r="L106" s="95">
        <v>1894.3690574624413</v>
      </c>
      <c r="M106" s="95">
        <v>0</v>
      </c>
      <c r="N106" s="95">
        <v>1.0000000000000064</v>
      </c>
      <c r="O106" s="95">
        <v>0</v>
      </c>
      <c r="P106" s="95">
        <v>0</v>
      </c>
      <c r="Q106" s="95">
        <v>0</v>
      </c>
      <c r="R106" s="95">
        <v>0</v>
      </c>
      <c r="S106" s="95">
        <v>0</v>
      </c>
      <c r="T106" s="95">
        <v>8011.3989445382213</v>
      </c>
      <c r="U106" s="95">
        <v>0</v>
      </c>
      <c r="V106" s="95">
        <v>8011.3989445382213</v>
      </c>
      <c r="W106" s="95">
        <v>2500</v>
      </c>
      <c r="X106" s="95">
        <v>4000</v>
      </c>
      <c r="Y106" s="95">
        <v>10000</v>
      </c>
      <c r="Z106" s="95">
        <v>10000</v>
      </c>
    </row>
    <row r="107" spans="5:26" x14ac:dyDescent="0.2">
      <c r="E107">
        <v>97</v>
      </c>
      <c r="F107" s="95">
        <v>88.191869933674383</v>
      </c>
      <c r="G107" s="94">
        <v>5584.9055295236485</v>
      </c>
      <c r="H107" s="94">
        <v>2550.8537721849998</v>
      </c>
      <c r="I107" s="94">
        <v>8135.7593017086474</v>
      </c>
      <c r="J107" s="94">
        <v>11.226105899999999</v>
      </c>
      <c r="K107" s="95">
        <v>1</v>
      </c>
      <c r="L107" s="95">
        <v>0</v>
      </c>
      <c r="M107" s="95">
        <v>0</v>
      </c>
      <c r="N107" s="95">
        <v>0</v>
      </c>
      <c r="O107" s="95">
        <v>0</v>
      </c>
      <c r="P107" s="95">
        <v>0</v>
      </c>
      <c r="Q107" s="95">
        <v>0</v>
      </c>
      <c r="R107" s="95">
        <v>0</v>
      </c>
      <c r="S107" s="95">
        <v>0</v>
      </c>
      <c r="T107" s="95">
        <v>8135.7593017086474</v>
      </c>
      <c r="U107" s="95">
        <v>0</v>
      </c>
      <c r="V107" s="95">
        <v>8135.7593017086474</v>
      </c>
      <c r="W107" s="95">
        <v>2500</v>
      </c>
      <c r="X107" s="95">
        <v>4000</v>
      </c>
      <c r="Y107" s="95">
        <v>10000</v>
      </c>
      <c r="Z107" s="95">
        <v>10000</v>
      </c>
    </row>
    <row r="108" spans="5:26" x14ac:dyDescent="0.2">
      <c r="E108">
        <v>98</v>
      </c>
      <c r="F108" s="95">
        <v>90.836758839220792</v>
      </c>
      <c r="G108" s="94">
        <v>5584.9055295236467</v>
      </c>
      <c r="H108" s="94">
        <v>2627.3543027531491</v>
      </c>
      <c r="I108" s="94">
        <v>8212.2598322767972</v>
      </c>
      <c r="J108" s="94">
        <v>11.2715082</v>
      </c>
      <c r="K108" s="95">
        <v>1</v>
      </c>
      <c r="L108" s="95">
        <v>0</v>
      </c>
      <c r="M108" s="95">
        <v>0</v>
      </c>
      <c r="N108" s="95">
        <v>0</v>
      </c>
      <c r="O108" s="95">
        <v>0</v>
      </c>
      <c r="P108" s="95">
        <v>0</v>
      </c>
      <c r="Q108" s="95">
        <v>0</v>
      </c>
      <c r="R108" s="95">
        <v>0</v>
      </c>
      <c r="S108" s="95">
        <v>0</v>
      </c>
      <c r="T108" s="95">
        <v>8212.2598322767972</v>
      </c>
      <c r="U108" s="95">
        <v>0</v>
      </c>
      <c r="V108" s="95">
        <v>8212.2598322767972</v>
      </c>
      <c r="W108" s="95">
        <v>2500</v>
      </c>
      <c r="X108" s="95">
        <v>4000</v>
      </c>
      <c r="Y108" s="95">
        <v>10000</v>
      </c>
      <c r="Z108" s="95">
        <v>10000</v>
      </c>
    </row>
    <row r="109" spans="5:26" x14ac:dyDescent="0.2">
      <c r="E109">
        <v>99</v>
      </c>
      <c r="F109" s="95">
        <v>86.157896953543215</v>
      </c>
      <c r="G109" s="94">
        <v>5584.9055295236467</v>
      </c>
      <c r="H109" s="94">
        <v>2492.0233193009426</v>
      </c>
      <c r="I109" s="94">
        <v>8076.9288488245893</v>
      </c>
      <c r="J109" s="94">
        <v>11.190605600000001</v>
      </c>
      <c r="K109" s="95">
        <v>1</v>
      </c>
      <c r="L109" s="95">
        <v>0</v>
      </c>
      <c r="M109" s="95">
        <v>0</v>
      </c>
      <c r="N109" s="95">
        <v>0</v>
      </c>
      <c r="O109" s="95">
        <v>0</v>
      </c>
      <c r="P109" s="95">
        <v>0</v>
      </c>
      <c r="Q109" s="95">
        <v>0</v>
      </c>
      <c r="R109" s="95">
        <v>0</v>
      </c>
      <c r="S109" s="95">
        <v>0</v>
      </c>
      <c r="T109" s="95">
        <v>8076.9288488245893</v>
      </c>
      <c r="U109" s="95">
        <v>0</v>
      </c>
      <c r="V109" s="95">
        <v>8076.9288488245893</v>
      </c>
      <c r="W109" s="95">
        <v>2500</v>
      </c>
      <c r="X109" s="95">
        <v>4000</v>
      </c>
      <c r="Y109" s="95">
        <v>10000</v>
      </c>
      <c r="Z109" s="95">
        <v>10000</v>
      </c>
    </row>
    <row r="110" spans="5:26" x14ac:dyDescent="0.2">
      <c r="E110">
        <v>100</v>
      </c>
      <c r="F110" s="95">
        <v>82.976331355723005</v>
      </c>
      <c r="G110" s="94">
        <v>5584.9055295236467</v>
      </c>
      <c r="H110" s="94">
        <v>2400</v>
      </c>
      <c r="I110" s="94">
        <v>7984.9055295236476</v>
      </c>
      <c r="J110" s="94">
        <v>11.134026500000001</v>
      </c>
      <c r="K110" s="95">
        <v>1</v>
      </c>
      <c r="L110" s="95">
        <v>0</v>
      </c>
      <c r="M110" s="95">
        <v>0</v>
      </c>
      <c r="N110" s="95">
        <v>0</v>
      </c>
      <c r="O110" s="95">
        <v>0</v>
      </c>
      <c r="P110" s="95">
        <v>0</v>
      </c>
      <c r="Q110" s="95">
        <v>0</v>
      </c>
      <c r="R110" s="95">
        <v>0</v>
      </c>
      <c r="S110" s="95">
        <v>0</v>
      </c>
      <c r="T110" s="95">
        <v>7984.9055295236476</v>
      </c>
      <c r="U110" s="95">
        <v>0</v>
      </c>
      <c r="V110" s="95">
        <v>7984.9055295236476</v>
      </c>
      <c r="W110" s="95">
        <v>2500</v>
      </c>
      <c r="X110" s="95">
        <v>4000</v>
      </c>
      <c r="Y110" s="95">
        <v>10000</v>
      </c>
      <c r="Z110" s="95">
        <v>10000</v>
      </c>
    </row>
    <row r="111" spans="5:26" x14ac:dyDescent="0.2">
      <c r="E111">
        <v>101</v>
      </c>
      <c r="F111" s="95">
        <v>82.976331355723005</v>
      </c>
      <c r="G111" s="94">
        <v>5584.9055295236467</v>
      </c>
      <c r="H111" s="94">
        <v>2400</v>
      </c>
      <c r="I111" s="94">
        <v>7984.9055295236476</v>
      </c>
      <c r="J111" s="94">
        <v>11.134026500000001</v>
      </c>
      <c r="K111" s="95">
        <v>1</v>
      </c>
      <c r="L111" s="95">
        <v>0</v>
      </c>
      <c r="M111" s="95">
        <v>0</v>
      </c>
      <c r="N111" s="95">
        <v>0</v>
      </c>
      <c r="O111" s="95">
        <v>0</v>
      </c>
      <c r="P111" s="95">
        <v>0</v>
      </c>
      <c r="Q111" s="95">
        <v>0</v>
      </c>
      <c r="R111" s="95">
        <v>0</v>
      </c>
      <c r="S111" s="95">
        <v>0</v>
      </c>
      <c r="T111" s="95">
        <v>7984.9055295236476</v>
      </c>
      <c r="U111" s="95">
        <v>0</v>
      </c>
      <c r="V111" s="95">
        <v>7984.9055295236476</v>
      </c>
      <c r="W111" s="95">
        <v>2500</v>
      </c>
      <c r="X111" s="95">
        <v>4000</v>
      </c>
      <c r="Y111" s="95">
        <v>10000</v>
      </c>
      <c r="Z111" s="95">
        <v>10000</v>
      </c>
    </row>
    <row r="112" spans="5:26" x14ac:dyDescent="0.2">
      <c r="E112">
        <v>102</v>
      </c>
      <c r="F112" s="95">
        <v>82.976331355723005</v>
      </c>
      <c r="G112" s="94">
        <v>5584.9055295236467</v>
      </c>
      <c r="H112" s="94">
        <v>2400</v>
      </c>
      <c r="I112" s="94">
        <v>7984.9055295236476</v>
      </c>
      <c r="J112" s="94">
        <v>11.134026500000001</v>
      </c>
      <c r="K112" s="95">
        <v>1</v>
      </c>
      <c r="L112" s="95">
        <v>0</v>
      </c>
      <c r="M112" s="95">
        <v>0</v>
      </c>
      <c r="N112" s="95">
        <v>0</v>
      </c>
      <c r="O112" s="95">
        <v>0</v>
      </c>
      <c r="P112" s="95">
        <v>0</v>
      </c>
      <c r="Q112" s="95">
        <v>0</v>
      </c>
      <c r="R112" s="95">
        <v>0</v>
      </c>
      <c r="S112" s="95">
        <v>0</v>
      </c>
      <c r="T112" s="95">
        <v>7984.9055295236476</v>
      </c>
      <c r="U112" s="95">
        <v>0</v>
      </c>
      <c r="V112" s="95">
        <v>7984.9055295236476</v>
      </c>
      <c r="W112" s="95">
        <v>2500</v>
      </c>
      <c r="X112" s="95">
        <v>4000</v>
      </c>
      <c r="Y112" s="95">
        <v>10000</v>
      </c>
      <c r="Z112" s="95">
        <v>10000</v>
      </c>
    </row>
    <row r="113" spans="5:26" x14ac:dyDescent="0.2">
      <c r="E113">
        <v>103</v>
      </c>
      <c r="F113" s="95">
        <v>83.49819959900816</v>
      </c>
      <c r="G113" s="94">
        <v>5584.9055295236549</v>
      </c>
      <c r="H113" s="94">
        <v>2415.0944704763447</v>
      </c>
      <c r="I113" s="94">
        <v>8000</v>
      </c>
      <c r="J113" s="94">
        <v>11.143396342547756</v>
      </c>
      <c r="K113" s="95">
        <v>1</v>
      </c>
      <c r="L113" s="95">
        <v>0</v>
      </c>
      <c r="M113" s="95">
        <v>0</v>
      </c>
      <c r="N113" s="95">
        <v>0</v>
      </c>
      <c r="O113" s="95">
        <v>0</v>
      </c>
      <c r="P113" s="95">
        <v>0</v>
      </c>
      <c r="Q113" s="95">
        <v>0</v>
      </c>
      <c r="R113" s="95">
        <v>0</v>
      </c>
      <c r="S113" s="95">
        <v>0</v>
      </c>
      <c r="T113" s="95">
        <v>8000</v>
      </c>
      <c r="U113" s="95">
        <v>0</v>
      </c>
      <c r="V113" s="95">
        <v>8000</v>
      </c>
      <c r="W113" s="95">
        <v>2500</v>
      </c>
      <c r="X113" s="95">
        <v>4000</v>
      </c>
      <c r="Y113" s="95">
        <v>10000</v>
      </c>
      <c r="Z113" s="95">
        <v>10000</v>
      </c>
    </row>
    <row r="114" spans="5:26" x14ac:dyDescent="0.2">
      <c r="E114">
        <v>104</v>
      </c>
      <c r="F114" s="95">
        <v>82.976331355723005</v>
      </c>
      <c r="G114" s="94">
        <v>6838.379291318216</v>
      </c>
      <c r="H114" s="94">
        <v>2400</v>
      </c>
      <c r="I114" s="94">
        <v>9238.3792913182169</v>
      </c>
      <c r="J114" s="94">
        <v>10.844479368368582</v>
      </c>
      <c r="K114" s="95">
        <v>1</v>
      </c>
      <c r="L114" s="95">
        <v>0</v>
      </c>
      <c r="M114" s="95">
        <v>7500</v>
      </c>
      <c r="N114" s="95">
        <v>0</v>
      </c>
      <c r="O114" s="95">
        <v>1</v>
      </c>
      <c r="P114" s="95">
        <v>0</v>
      </c>
      <c r="Q114" s="95">
        <v>0</v>
      </c>
      <c r="R114" s="95">
        <v>0</v>
      </c>
      <c r="S114" s="95">
        <v>0</v>
      </c>
      <c r="T114" s="95">
        <v>9238.3792913182169</v>
      </c>
      <c r="U114" s="95">
        <v>0</v>
      </c>
      <c r="V114" s="95">
        <v>9238.3792913182169</v>
      </c>
      <c r="W114" s="95">
        <v>2500</v>
      </c>
      <c r="X114" s="95">
        <v>4000</v>
      </c>
      <c r="Y114" s="95">
        <v>10000</v>
      </c>
      <c r="Z114" s="95">
        <v>10000</v>
      </c>
    </row>
    <row r="115" spans="5:26" x14ac:dyDescent="0.2">
      <c r="E115">
        <v>105</v>
      </c>
      <c r="F115" s="95">
        <v>82.976331355723005</v>
      </c>
      <c r="G115" s="94">
        <v>6838.379291318216</v>
      </c>
      <c r="H115" s="94">
        <v>2400</v>
      </c>
      <c r="I115" s="94">
        <v>9238.3792913182169</v>
      </c>
      <c r="J115" s="94">
        <v>10.844479368368582</v>
      </c>
      <c r="K115" s="95">
        <v>1</v>
      </c>
      <c r="L115" s="95">
        <v>0</v>
      </c>
      <c r="M115" s="95">
        <v>0</v>
      </c>
      <c r="N115" s="95">
        <v>0</v>
      </c>
      <c r="O115" s="95">
        <v>0</v>
      </c>
      <c r="P115" s="95">
        <v>0</v>
      </c>
      <c r="Q115" s="95">
        <v>0</v>
      </c>
      <c r="R115" s="95">
        <v>0</v>
      </c>
      <c r="S115" s="95">
        <v>0</v>
      </c>
      <c r="T115" s="95">
        <v>9238.3792913182169</v>
      </c>
      <c r="U115" s="95">
        <v>0</v>
      </c>
      <c r="V115" s="95">
        <v>9238.3792913182169</v>
      </c>
      <c r="W115" s="95">
        <v>2500</v>
      </c>
      <c r="X115" s="95">
        <v>4000</v>
      </c>
      <c r="Y115" s="95">
        <v>10000</v>
      </c>
      <c r="Z115" s="95">
        <v>10000</v>
      </c>
    </row>
    <row r="116" spans="5:26" x14ac:dyDescent="0.2">
      <c r="E116">
        <v>106</v>
      </c>
      <c r="F116" s="95">
        <v>82.976331355723005</v>
      </c>
      <c r="G116" s="94">
        <v>6838.379291318216</v>
      </c>
      <c r="H116" s="94">
        <v>2400</v>
      </c>
      <c r="I116" s="94">
        <v>9238.3792913182169</v>
      </c>
      <c r="J116" s="94">
        <v>10.844479368368582</v>
      </c>
      <c r="K116" s="95">
        <v>1</v>
      </c>
      <c r="L116" s="95">
        <v>0</v>
      </c>
      <c r="M116" s="95">
        <v>0</v>
      </c>
      <c r="N116" s="95">
        <v>0</v>
      </c>
      <c r="O116" s="95">
        <v>0</v>
      </c>
      <c r="P116" s="95">
        <v>0</v>
      </c>
      <c r="Q116" s="95">
        <v>0</v>
      </c>
      <c r="R116" s="95">
        <v>0</v>
      </c>
      <c r="S116" s="95">
        <v>0</v>
      </c>
      <c r="T116" s="95">
        <v>9238.3792913182169</v>
      </c>
      <c r="U116" s="95">
        <v>0</v>
      </c>
      <c r="V116" s="95">
        <v>9238.3792913182169</v>
      </c>
      <c r="W116" s="95">
        <v>2500</v>
      </c>
      <c r="X116" s="95">
        <v>4000</v>
      </c>
      <c r="Y116" s="95">
        <v>10000</v>
      </c>
      <c r="Z116" s="95">
        <v>10000</v>
      </c>
    </row>
    <row r="117" spans="5:26" x14ac:dyDescent="0.2">
      <c r="E117">
        <v>107</v>
      </c>
      <c r="F117" s="95">
        <v>82.976331355723005</v>
      </c>
      <c r="G117" s="94">
        <v>6838.379291318216</v>
      </c>
      <c r="H117" s="94">
        <v>2400</v>
      </c>
      <c r="I117" s="94">
        <v>9238.3792913182169</v>
      </c>
      <c r="J117" s="94">
        <v>10.844479368368582</v>
      </c>
      <c r="K117" s="95">
        <v>1</v>
      </c>
      <c r="L117" s="95">
        <v>0</v>
      </c>
      <c r="M117" s="95">
        <v>0</v>
      </c>
      <c r="N117" s="95">
        <v>0</v>
      </c>
      <c r="O117" s="95">
        <v>0</v>
      </c>
      <c r="P117" s="95">
        <v>0</v>
      </c>
      <c r="Q117" s="95">
        <v>0</v>
      </c>
      <c r="R117" s="95">
        <v>0</v>
      </c>
      <c r="S117" s="95">
        <v>0</v>
      </c>
      <c r="T117" s="95">
        <v>9238.3792913182169</v>
      </c>
      <c r="U117" s="95">
        <v>0</v>
      </c>
      <c r="V117" s="95">
        <v>9238.3792913182169</v>
      </c>
      <c r="W117" s="95">
        <v>2500</v>
      </c>
      <c r="X117" s="95">
        <v>4000</v>
      </c>
      <c r="Y117" s="95">
        <v>10000</v>
      </c>
      <c r="Z117" s="95">
        <v>10000</v>
      </c>
    </row>
    <row r="118" spans="5:26" x14ac:dyDescent="0.2">
      <c r="E118">
        <v>108</v>
      </c>
      <c r="F118" s="95">
        <v>82.976331355723005</v>
      </c>
      <c r="G118" s="94">
        <v>6838.379291318216</v>
      </c>
      <c r="H118" s="94">
        <v>2400</v>
      </c>
      <c r="I118" s="94">
        <v>9238.3792913182169</v>
      </c>
      <c r="J118" s="94">
        <v>10.844479368368582</v>
      </c>
      <c r="K118" s="95">
        <v>1</v>
      </c>
      <c r="L118" s="95">
        <v>0</v>
      </c>
      <c r="M118" s="95">
        <v>0</v>
      </c>
      <c r="N118" s="95">
        <v>0</v>
      </c>
      <c r="O118" s="95">
        <v>0</v>
      </c>
      <c r="P118" s="95">
        <v>0</v>
      </c>
      <c r="Q118" s="95">
        <v>0</v>
      </c>
      <c r="R118" s="95">
        <v>0</v>
      </c>
      <c r="S118" s="95">
        <v>0</v>
      </c>
      <c r="T118" s="95">
        <v>9238.3792913182169</v>
      </c>
      <c r="U118" s="95">
        <v>0</v>
      </c>
      <c r="V118" s="95">
        <v>9238.3792913182169</v>
      </c>
      <c r="W118" s="95">
        <v>2500</v>
      </c>
      <c r="X118" s="95">
        <v>4000</v>
      </c>
      <c r="Y118" s="95">
        <v>10000</v>
      </c>
      <c r="Z118" s="95">
        <v>10000</v>
      </c>
    </row>
    <row r="119" spans="5:26" x14ac:dyDescent="0.2">
      <c r="E119">
        <v>109</v>
      </c>
      <c r="F119" s="95">
        <v>82.976331355723005</v>
      </c>
      <c r="G119" s="94">
        <v>6838.379291318216</v>
      </c>
      <c r="H119" s="94">
        <v>2400</v>
      </c>
      <c r="I119" s="94">
        <v>9238.3792913182169</v>
      </c>
      <c r="J119" s="94">
        <v>10.844479368368582</v>
      </c>
      <c r="K119" s="95">
        <v>1</v>
      </c>
      <c r="L119" s="95">
        <v>0</v>
      </c>
      <c r="M119" s="95">
        <v>0</v>
      </c>
      <c r="N119" s="95">
        <v>0</v>
      </c>
      <c r="O119" s="95">
        <v>0</v>
      </c>
      <c r="P119" s="95">
        <v>0</v>
      </c>
      <c r="Q119" s="95">
        <v>0</v>
      </c>
      <c r="R119" s="95">
        <v>0</v>
      </c>
      <c r="S119" s="95">
        <v>0</v>
      </c>
      <c r="T119" s="95">
        <v>9238.3792913182169</v>
      </c>
      <c r="U119" s="95">
        <v>0</v>
      </c>
      <c r="V119" s="95">
        <v>9238.3792913182169</v>
      </c>
      <c r="W119" s="95">
        <v>2500</v>
      </c>
      <c r="X119" s="95">
        <v>4000</v>
      </c>
      <c r="Y119" s="95">
        <v>10000</v>
      </c>
      <c r="Z119" s="95">
        <v>10000</v>
      </c>
    </row>
    <row r="120" spans="5:26" x14ac:dyDescent="0.2">
      <c r="E120">
        <v>110</v>
      </c>
      <c r="F120" s="95">
        <v>90.34528030925965</v>
      </c>
      <c r="G120" s="94">
        <v>6838.3792913182178</v>
      </c>
      <c r="H120" s="94">
        <v>2613.1388216317923</v>
      </c>
      <c r="I120" s="94">
        <v>9451.5181129500106</v>
      </c>
      <c r="J120" s="94">
        <v>10.962995299999998</v>
      </c>
      <c r="K120" s="95">
        <v>1</v>
      </c>
      <c r="L120" s="95">
        <v>0</v>
      </c>
      <c r="M120" s="95">
        <v>0</v>
      </c>
      <c r="N120" s="95">
        <v>0</v>
      </c>
      <c r="O120" s="95">
        <v>0</v>
      </c>
      <c r="P120" s="95">
        <v>0</v>
      </c>
      <c r="Q120" s="95">
        <v>0</v>
      </c>
      <c r="R120" s="95">
        <v>0</v>
      </c>
      <c r="S120" s="95">
        <v>0</v>
      </c>
      <c r="T120" s="95">
        <v>9451.5181129500106</v>
      </c>
      <c r="U120" s="95">
        <v>0</v>
      </c>
      <c r="V120" s="95">
        <v>9451.5181129500106</v>
      </c>
      <c r="W120" s="95">
        <v>2500</v>
      </c>
      <c r="X120" s="95">
        <v>4000</v>
      </c>
      <c r="Y120" s="95">
        <v>10000</v>
      </c>
      <c r="Z120" s="95">
        <v>10000</v>
      </c>
    </row>
    <row r="121" spans="5:26" x14ac:dyDescent="0.2">
      <c r="E121">
        <v>111</v>
      </c>
      <c r="F121" s="95">
        <v>94.167241775982305</v>
      </c>
      <c r="G121" s="94">
        <v>6838.3792913182178</v>
      </c>
      <c r="H121" s="94">
        <v>2723.6848938702792</v>
      </c>
      <c r="I121" s="94">
        <v>9562.0641851884975</v>
      </c>
      <c r="J121" s="94">
        <v>11.022383699999999</v>
      </c>
      <c r="K121" s="95">
        <v>1</v>
      </c>
      <c r="L121" s="95">
        <v>0</v>
      </c>
      <c r="M121" s="95">
        <v>0</v>
      </c>
      <c r="N121" s="95">
        <v>0</v>
      </c>
      <c r="O121" s="95">
        <v>0</v>
      </c>
      <c r="P121" s="95">
        <v>0</v>
      </c>
      <c r="Q121" s="95">
        <v>0</v>
      </c>
      <c r="R121" s="95">
        <v>0</v>
      </c>
      <c r="S121" s="95">
        <v>0</v>
      </c>
      <c r="T121" s="95">
        <v>9562.0641851884975</v>
      </c>
      <c r="U121" s="95">
        <v>0</v>
      </c>
      <c r="V121" s="95">
        <v>9562.0641851884975</v>
      </c>
      <c r="W121" s="95">
        <v>2500</v>
      </c>
      <c r="X121" s="95">
        <v>4000</v>
      </c>
      <c r="Y121" s="95">
        <v>10000</v>
      </c>
      <c r="Z121" s="95">
        <v>10000</v>
      </c>
    </row>
    <row r="122" spans="5:26" x14ac:dyDescent="0.2">
      <c r="E122">
        <v>112</v>
      </c>
      <c r="F122" s="95">
        <v>82.976331355723005</v>
      </c>
      <c r="G122" s="94">
        <v>6838.3792913182178</v>
      </c>
      <c r="H122" s="94">
        <v>2400</v>
      </c>
      <c r="I122" s="94">
        <v>9238.3792913182187</v>
      </c>
      <c r="J122" s="94">
        <v>10.84447936836858</v>
      </c>
      <c r="K122" s="95">
        <v>1</v>
      </c>
      <c r="L122" s="95">
        <v>0</v>
      </c>
      <c r="M122" s="95">
        <v>0</v>
      </c>
      <c r="N122" s="95">
        <v>0</v>
      </c>
      <c r="O122" s="95">
        <v>0</v>
      </c>
      <c r="P122" s="95">
        <v>0</v>
      </c>
      <c r="Q122" s="95">
        <v>0</v>
      </c>
      <c r="R122" s="95">
        <v>0</v>
      </c>
      <c r="S122" s="95">
        <v>0</v>
      </c>
      <c r="T122" s="95">
        <v>9238.3792913182187</v>
      </c>
      <c r="U122" s="95">
        <v>0</v>
      </c>
      <c r="V122" s="95">
        <v>9238.3792913182187</v>
      </c>
      <c r="W122" s="95">
        <v>2500</v>
      </c>
      <c r="X122" s="95">
        <v>4000</v>
      </c>
      <c r="Y122" s="95">
        <v>10000</v>
      </c>
      <c r="Z122" s="95">
        <v>10000</v>
      </c>
    </row>
    <row r="123" spans="5:26" x14ac:dyDescent="0.2">
      <c r="E123">
        <v>113</v>
      </c>
      <c r="F123" s="95">
        <v>106.32181938238465</v>
      </c>
      <c r="G123" s="94">
        <v>6838.3792913182178</v>
      </c>
      <c r="H123" s="94">
        <v>3075.2428113962824</v>
      </c>
      <c r="I123" s="94">
        <v>9913.6221027145002</v>
      </c>
      <c r="J123" s="94">
        <v>11.202446667291772</v>
      </c>
      <c r="K123" s="95">
        <v>1</v>
      </c>
      <c r="L123" s="95">
        <v>0</v>
      </c>
      <c r="M123" s="95">
        <v>0</v>
      </c>
      <c r="N123" s="95">
        <v>0</v>
      </c>
      <c r="O123" s="95">
        <v>0</v>
      </c>
      <c r="P123" s="95">
        <v>0</v>
      </c>
      <c r="Q123" s="95">
        <v>0</v>
      </c>
      <c r="R123" s="95">
        <v>0</v>
      </c>
      <c r="S123" s="95">
        <v>0</v>
      </c>
      <c r="T123" s="95">
        <v>9913.6221027145002</v>
      </c>
      <c r="U123" s="95">
        <v>0</v>
      </c>
      <c r="V123" s="95">
        <v>9913.6221027145002</v>
      </c>
      <c r="W123" s="95">
        <v>2500</v>
      </c>
      <c r="X123" s="95">
        <v>4000</v>
      </c>
      <c r="Y123" s="95">
        <v>10000</v>
      </c>
      <c r="Z123" s="95">
        <v>10000</v>
      </c>
    </row>
    <row r="124" spans="5:26" x14ac:dyDescent="0.2">
      <c r="E124">
        <v>114</v>
      </c>
      <c r="F124" s="95">
        <v>452.05653336456385</v>
      </c>
      <c r="G124" s="94">
        <v>0</v>
      </c>
      <c r="H124" s="94">
        <v>13075.242811396281</v>
      </c>
      <c r="I124" s="94">
        <v>13075.242811396281</v>
      </c>
      <c r="J124" s="94">
        <v>16.100000000000001</v>
      </c>
      <c r="K124" s="95">
        <v>0</v>
      </c>
      <c r="L124" s="95">
        <v>7500</v>
      </c>
      <c r="M124" s="95">
        <v>0</v>
      </c>
      <c r="N124" s="95">
        <v>1</v>
      </c>
      <c r="O124" s="95">
        <v>0</v>
      </c>
      <c r="P124" s="95">
        <v>0</v>
      </c>
      <c r="Q124" s="95">
        <v>0</v>
      </c>
      <c r="R124" s="95">
        <v>0</v>
      </c>
      <c r="S124" s="95">
        <v>0</v>
      </c>
      <c r="T124" s="95">
        <v>13075.242811396281</v>
      </c>
      <c r="U124" s="95">
        <v>0</v>
      </c>
      <c r="V124" s="95">
        <v>13075.242811396281</v>
      </c>
      <c r="W124" s="95">
        <v>2500</v>
      </c>
      <c r="X124" s="95">
        <v>4000</v>
      </c>
      <c r="Y124" s="95">
        <v>10000</v>
      </c>
      <c r="Z124" s="95">
        <v>10000</v>
      </c>
    </row>
    <row r="125" spans="5:26" x14ac:dyDescent="0.2">
      <c r="E125">
        <v>115</v>
      </c>
      <c r="F125" s="95">
        <v>452.80548873014789</v>
      </c>
      <c r="G125" s="94">
        <v>0</v>
      </c>
      <c r="H125" s="94">
        <v>13096.905529523647</v>
      </c>
      <c r="I125" s="94">
        <v>13096.905529523647</v>
      </c>
      <c r="J125" s="94">
        <v>16.100000000000001</v>
      </c>
      <c r="K125" s="95">
        <v>0</v>
      </c>
      <c r="L125" s="95">
        <v>0</v>
      </c>
      <c r="M125" s="95">
        <v>0</v>
      </c>
      <c r="N125" s="95">
        <v>0</v>
      </c>
      <c r="O125" s="95">
        <v>0</v>
      </c>
      <c r="P125" s="95">
        <v>0</v>
      </c>
      <c r="Q125" s="95">
        <v>0</v>
      </c>
      <c r="R125" s="95">
        <v>0</v>
      </c>
      <c r="S125" s="95">
        <v>0</v>
      </c>
      <c r="T125" s="95">
        <v>13096.905529523647</v>
      </c>
      <c r="U125" s="95">
        <v>0</v>
      </c>
      <c r="V125" s="95">
        <v>13096.905529523647</v>
      </c>
      <c r="W125" s="95">
        <v>2500</v>
      </c>
      <c r="X125" s="95">
        <v>4000</v>
      </c>
      <c r="Y125" s="95">
        <v>10000</v>
      </c>
      <c r="Z125" s="95">
        <v>10000</v>
      </c>
    </row>
    <row r="126" spans="5:26" x14ac:dyDescent="0.2">
      <c r="E126">
        <v>116</v>
      </c>
      <c r="F126" s="95">
        <v>452.80548873014789</v>
      </c>
      <c r="G126" s="94">
        <v>0</v>
      </c>
      <c r="H126" s="94">
        <v>13096.905529523647</v>
      </c>
      <c r="I126" s="94">
        <v>13096.905529523647</v>
      </c>
      <c r="J126" s="94">
        <v>16.100000000000001</v>
      </c>
      <c r="K126" s="95">
        <v>0</v>
      </c>
      <c r="L126" s="95">
        <v>0</v>
      </c>
      <c r="M126" s="95">
        <v>0</v>
      </c>
      <c r="N126" s="95">
        <v>0</v>
      </c>
      <c r="O126" s="95">
        <v>0</v>
      </c>
      <c r="P126" s="95">
        <v>0</v>
      </c>
      <c r="Q126" s="95">
        <v>0</v>
      </c>
      <c r="R126" s="95">
        <v>0</v>
      </c>
      <c r="S126" s="95">
        <v>0</v>
      </c>
      <c r="T126" s="95">
        <v>13096.905529523647</v>
      </c>
      <c r="U126" s="95">
        <v>0</v>
      </c>
      <c r="V126" s="95">
        <v>13096.905529523647</v>
      </c>
      <c r="W126" s="95">
        <v>2500</v>
      </c>
      <c r="X126" s="95">
        <v>4000</v>
      </c>
      <c r="Y126" s="95">
        <v>10000</v>
      </c>
      <c r="Z126" s="95">
        <v>10000</v>
      </c>
    </row>
    <row r="127" spans="5:26" x14ac:dyDescent="0.2">
      <c r="E127">
        <v>117</v>
      </c>
      <c r="F127" s="95">
        <v>452.80548873014789</v>
      </c>
      <c r="G127" s="94">
        <v>0</v>
      </c>
      <c r="H127" s="94">
        <v>13096.905529523647</v>
      </c>
      <c r="I127" s="94">
        <v>13096.905529523647</v>
      </c>
      <c r="J127" s="94">
        <v>16.100000000000001</v>
      </c>
      <c r="K127" s="95">
        <v>0</v>
      </c>
      <c r="L127" s="95">
        <v>0</v>
      </c>
      <c r="M127" s="95">
        <v>0</v>
      </c>
      <c r="N127" s="95">
        <v>0</v>
      </c>
      <c r="O127" s="95">
        <v>0</v>
      </c>
      <c r="P127" s="95">
        <v>0</v>
      </c>
      <c r="Q127" s="95">
        <v>0</v>
      </c>
      <c r="R127" s="95">
        <v>0</v>
      </c>
      <c r="S127" s="95">
        <v>0</v>
      </c>
      <c r="T127" s="95">
        <v>13096.905529523647</v>
      </c>
      <c r="U127" s="95">
        <v>0</v>
      </c>
      <c r="V127" s="95">
        <v>13096.905529523647</v>
      </c>
      <c r="W127" s="95">
        <v>2500</v>
      </c>
      <c r="X127" s="95">
        <v>4000</v>
      </c>
      <c r="Y127" s="95">
        <v>10000</v>
      </c>
      <c r="Z127" s="95">
        <v>10000</v>
      </c>
    </row>
    <row r="128" spans="5:26" x14ac:dyDescent="0.2">
      <c r="E128">
        <v>118</v>
      </c>
      <c r="F128" s="95">
        <v>448.93325993355194</v>
      </c>
      <c r="G128" s="94">
        <v>0</v>
      </c>
      <c r="H128" s="94">
        <v>12984.905529523774</v>
      </c>
      <c r="I128" s="94">
        <v>12984.905529523774</v>
      </c>
      <c r="J128" s="94">
        <v>16.100000000000001</v>
      </c>
      <c r="K128" s="95">
        <v>0</v>
      </c>
      <c r="L128" s="95">
        <v>0</v>
      </c>
      <c r="M128" s="95">
        <v>0</v>
      </c>
      <c r="N128" s="95">
        <v>0</v>
      </c>
      <c r="O128" s="95">
        <v>0</v>
      </c>
      <c r="P128" s="95">
        <v>0</v>
      </c>
      <c r="Q128" s="95">
        <v>0</v>
      </c>
      <c r="R128" s="95">
        <v>0</v>
      </c>
      <c r="S128" s="95">
        <v>0</v>
      </c>
      <c r="T128" s="95">
        <v>12984.905529523774</v>
      </c>
      <c r="U128" s="95">
        <v>0</v>
      </c>
      <c r="V128" s="95">
        <v>12984.905529523774</v>
      </c>
      <c r="W128" s="95">
        <v>2500</v>
      </c>
      <c r="X128" s="95">
        <v>4000</v>
      </c>
      <c r="Y128" s="95">
        <v>10000</v>
      </c>
      <c r="Z128" s="95">
        <v>10000</v>
      </c>
    </row>
    <row r="129" spans="5:26" x14ac:dyDescent="0.2">
      <c r="E129">
        <v>119</v>
      </c>
      <c r="F129" s="95">
        <v>105.30277401020572</v>
      </c>
      <c r="G129" s="94">
        <v>7439.1374954919474</v>
      </c>
      <c r="H129" s="94">
        <v>3045.7680340318252</v>
      </c>
      <c r="I129" s="94">
        <v>10484.905529523774</v>
      </c>
      <c r="J129" s="94">
        <v>11.062484300000001</v>
      </c>
      <c r="K129" s="95">
        <v>1</v>
      </c>
      <c r="L129" s="95">
        <v>0</v>
      </c>
      <c r="M129" s="95">
        <v>7500</v>
      </c>
      <c r="N129" s="95">
        <v>0</v>
      </c>
      <c r="O129" s="95">
        <v>1</v>
      </c>
      <c r="P129" s="95">
        <v>0</v>
      </c>
      <c r="Q129" s="95">
        <v>0</v>
      </c>
      <c r="R129" s="95">
        <v>0</v>
      </c>
      <c r="S129" s="95">
        <v>0</v>
      </c>
      <c r="T129" s="95">
        <v>10484.905529523774</v>
      </c>
      <c r="U129" s="95">
        <v>0</v>
      </c>
      <c r="V129" s="95">
        <v>10484.905529523774</v>
      </c>
      <c r="W129" s="95">
        <v>2500</v>
      </c>
      <c r="X129" s="95">
        <v>4000</v>
      </c>
      <c r="Y129" s="95">
        <v>10000</v>
      </c>
      <c r="Z129" s="95">
        <v>10000</v>
      </c>
    </row>
    <row r="130" spans="5:26" x14ac:dyDescent="0.2">
      <c r="E130">
        <v>120</v>
      </c>
      <c r="F130" s="95">
        <v>83.852988351147104</v>
      </c>
      <c r="G130" s="94">
        <v>5559.5491808560018</v>
      </c>
      <c r="H130" s="94">
        <v>2425.3563486676458</v>
      </c>
      <c r="I130" s="94">
        <v>7984.9055295236476</v>
      </c>
      <c r="J130" s="94">
        <v>11.156572799999999</v>
      </c>
      <c r="K130" s="95">
        <v>1</v>
      </c>
      <c r="L130" s="95">
        <v>1879.5883146359465</v>
      </c>
      <c r="M130" s="95">
        <v>0</v>
      </c>
      <c r="N130" s="95">
        <v>1</v>
      </c>
      <c r="O130" s="95">
        <v>0</v>
      </c>
      <c r="P130" s="95">
        <v>0</v>
      </c>
      <c r="Q130" s="95">
        <v>0</v>
      </c>
      <c r="R130" s="95">
        <v>0</v>
      </c>
      <c r="S130" s="95">
        <v>0</v>
      </c>
      <c r="T130" s="95">
        <v>7984.9055295236476</v>
      </c>
      <c r="U130" s="95">
        <v>0</v>
      </c>
      <c r="V130" s="95">
        <v>7984.9055295236476</v>
      </c>
      <c r="W130" s="95">
        <v>2500</v>
      </c>
      <c r="X130" s="95">
        <v>4000</v>
      </c>
      <c r="Y130" s="95">
        <v>10000</v>
      </c>
      <c r="Z130" s="95">
        <v>10000</v>
      </c>
    </row>
    <row r="131" spans="5:26" x14ac:dyDescent="0.2">
      <c r="E131">
        <v>121</v>
      </c>
      <c r="F131" s="95">
        <v>89.07645552939907</v>
      </c>
      <c r="G131" s="94">
        <v>5559.5491808560018</v>
      </c>
      <c r="H131" s="94">
        <v>2576.439446979874</v>
      </c>
      <c r="I131" s="94">
        <v>8135.9886278358754</v>
      </c>
      <c r="J131" s="94">
        <v>11.248370899999999</v>
      </c>
      <c r="K131" s="95">
        <v>1</v>
      </c>
      <c r="L131" s="95">
        <v>0</v>
      </c>
      <c r="M131" s="95">
        <v>0</v>
      </c>
      <c r="N131" s="95">
        <v>0</v>
      </c>
      <c r="O131" s="95">
        <v>0</v>
      </c>
      <c r="P131" s="95">
        <v>0</v>
      </c>
      <c r="Q131" s="95">
        <v>0</v>
      </c>
      <c r="R131" s="95">
        <v>0</v>
      </c>
      <c r="S131" s="95">
        <v>0</v>
      </c>
      <c r="T131" s="95">
        <v>8135.9886278358754</v>
      </c>
      <c r="U131" s="95">
        <v>0</v>
      </c>
      <c r="V131" s="95">
        <v>8135.9886278358754</v>
      </c>
      <c r="W131" s="95">
        <v>2500</v>
      </c>
      <c r="X131" s="95">
        <v>4000</v>
      </c>
      <c r="Y131" s="95">
        <v>10000</v>
      </c>
      <c r="Z131" s="95">
        <v>10000</v>
      </c>
    </row>
    <row r="132" spans="5:26" x14ac:dyDescent="0.2">
      <c r="E132">
        <v>122</v>
      </c>
      <c r="F132" s="95">
        <v>93.322351713980865</v>
      </c>
      <c r="G132" s="94">
        <v>5559.5491808560018</v>
      </c>
      <c r="H132" s="94">
        <v>2699.2473691487962</v>
      </c>
      <c r="I132" s="94">
        <v>8258.7965500047976</v>
      </c>
      <c r="J132" s="94">
        <v>11.320514400000002</v>
      </c>
      <c r="K132" s="95">
        <v>1</v>
      </c>
      <c r="L132" s="95">
        <v>0</v>
      </c>
      <c r="M132" s="95">
        <v>0</v>
      </c>
      <c r="N132" s="95">
        <v>0</v>
      </c>
      <c r="O132" s="95">
        <v>0</v>
      </c>
      <c r="P132" s="95">
        <v>0</v>
      </c>
      <c r="Q132" s="95">
        <v>0</v>
      </c>
      <c r="R132" s="95">
        <v>0</v>
      </c>
      <c r="S132" s="95">
        <v>0</v>
      </c>
      <c r="T132" s="95">
        <v>8258.7965500047976</v>
      </c>
      <c r="U132" s="95">
        <v>0</v>
      </c>
      <c r="V132" s="95">
        <v>8258.7965500047976</v>
      </c>
      <c r="W132" s="95">
        <v>2500</v>
      </c>
      <c r="X132" s="95">
        <v>4000</v>
      </c>
      <c r="Y132" s="95">
        <v>10000</v>
      </c>
      <c r="Z132" s="95">
        <v>10000</v>
      </c>
    </row>
    <row r="133" spans="5:26" x14ac:dyDescent="0.2">
      <c r="E133">
        <v>123</v>
      </c>
      <c r="F133" s="95">
        <v>88.232782404969626</v>
      </c>
      <c r="G133" s="94">
        <v>5559.5491808560018</v>
      </c>
      <c r="H133" s="94">
        <v>2552.0371208520751</v>
      </c>
      <c r="I133" s="94">
        <v>8111.5863017080774</v>
      </c>
      <c r="J133" s="94">
        <v>11.2337756</v>
      </c>
      <c r="K133" s="95">
        <v>1</v>
      </c>
      <c r="L133" s="95">
        <v>0</v>
      </c>
      <c r="M133" s="95">
        <v>0</v>
      </c>
      <c r="N133" s="95">
        <v>0</v>
      </c>
      <c r="O133" s="95">
        <v>0</v>
      </c>
      <c r="P133" s="95">
        <v>0</v>
      </c>
      <c r="Q133" s="95">
        <v>0</v>
      </c>
      <c r="R133" s="95">
        <v>0</v>
      </c>
      <c r="S133" s="95">
        <v>0</v>
      </c>
      <c r="T133" s="95">
        <v>8111.5863017080774</v>
      </c>
      <c r="U133" s="95">
        <v>0</v>
      </c>
      <c r="V133" s="95">
        <v>8111.5863017080774</v>
      </c>
      <c r="W133" s="95">
        <v>2500</v>
      </c>
      <c r="X133" s="95">
        <v>4000</v>
      </c>
      <c r="Y133" s="95">
        <v>10000</v>
      </c>
      <c r="Z133" s="95">
        <v>10000</v>
      </c>
    </row>
    <row r="134" spans="5:26" x14ac:dyDescent="0.2">
      <c r="E134">
        <v>124</v>
      </c>
      <c r="F134" s="95">
        <v>84.270832559835327</v>
      </c>
      <c r="G134" s="94">
        <v>5559.5491808560018</v>
      </c>
      <c r="H134" s="94">
        <v>2437.4420372545824</v>
      </c>
      <c r="I134" s="94">
        <v>7996.9912181105838</v>
      </c>
      <c r="J134" s="94">
        <v>11.164043699999999</v>
      </c>
      <c r="K134" s="95">
        <v>1</v>
      </c>
      <c r="L134" s="95">
        <v>0</v>
      </c>
      <c r="M134" s="95">
        <v>0</v>
      </c>
      <c r="N134" s="95">
        <v>0</v>
      </c>
      <c r="O134" s="95">
        <v>0</v>
      </c>
      <c r="P134" s="95">
        <v>0</v>
      </c>
      <c r="Q134" s="95">
        <v>0</v>
      </c>
      <c r="R134" s="95">
        <v>0</v>
      </c>
      <c r="S134" s="95">
        <v>0</v>
      </c>
      <c r="T134" s="95">
        <v>7996.9912181105838</v>
      </c>
      <c r="U134" s="95">
        <v>0</v>
      </c>
      <c r="V134" s="95">
        <v>7996.9912181105838</v>
      </c>
      <c r="W134" s="95">
        <v>2500</v>
      </c>
      <c r="X134" s="95">
        <v>4000</v>
      </c>
      <c r="Y134" s="95">
        <v>10000</v>
      </c>
      <c r="Z134" s="95">
        <v>10000</v>
      </c>
    </row>
    <row r="135" spans="5:26" x14ac:dyDescent="0.2">
      <c r="E135">
        <v>125</v>
      </c>
      <c r="F135" s="95">
        <v>82.976331355723005</v>
      </c>
      <c r="G135" s="94">
        <v>5559.5491808560018</v>
      </c>
      <c r="H135" s="94">
        <v>2400</v>
      </c>
      <c r="I135" s="94">
        <v>7959.5491808560018</v>
      </c>
      <c r="J135" s="94">
        <v>11.140824764420572</v>
      </c>
      <c r="K135" s="95">
        <v>1</v>
      </c>
      <c r="L135" s="95">
        <v>0</v>
      </c>
      <c r="M135" s="95">
        <v>0</v>
      </c>
      <c r="N135" s="95">
        <v>0</v>
      </c>
      <c r="O135" s="95">
        <v>0</v>
      </c>
      <c r="P135" s="95">
        <v>0</v>
      </c>
      <c r="Q135" s="95">
        <v>0</v>
      </c>
      <c r="R135" s="95">
        <v>0</v>
      </c>
      <c r="S135" s="95">
        <v>0</v>
      </c>
      <c r="T135" s="95">
        <v>7959.5491808560018</v>
      </c>
      <c r="U135" s="95">
        <v>0</v>
      </c>
      <c r="V135" s="95">
        <v>7959.5491808560018</v>
      </c>
      <c r="W135" s="95">
        <v>2500</v>
      </c>
      <c r="X135" s="95">
        <v>4000</v>
      </c>
      <c r="Y135" s="95">
        <v>10000</v>
      </c>
      <c r="Z135" s="95">
        <v>10000</v>
      </c>
    </row>
    <row r="136" spans="5:26" x14ac:dyDescent="0.2">
      <c r="E136">
        <v>126</v>
      </c>
      <c r="F136" s="95">
        <v>82.976331355723005</v>
      </c>
      <c r="G136" s="94">
        <v>5559.5491808560018</v>
      </c>
      <c r="H136" s="94">
        <v>2400</v>
      </c>
      <c r="I136" s="94">
        <v>7959.5491808560018</v>
      </c>
      <c r="J136" s="94">
        <v>11.140824764420572</v>
      </c>
      <c r="K136" s="95">
        <v>1</v>
      </c>
      <c r="L136" s="95">
        <v>0</v>
      </c>
      <c r="M136" s="95">
        <v>0</v>
      </c>
      <c r="N136" s="95">
        <v>0</v>
      </c>
      <c r="O136" s="95">
        <v>0</v>
      </c>
      <c r="P136" s="95">
        <v>0</v>
      </c>
      <c r="Q136" s="95">
        <v>0</v>
      </c>
      <c r="R136" s="95">
        <v>0</v>
      </c>
      <c r="S136" s="95">
        <v>0</v>
      </c>
      <c r="T136" s="95">
        <v>7959.5491808560018</v>
      </c>
      <c r="U136" s="95">
        <v>0</v>
      </c>
      <c r="V136" s="95">
        <v>7959.5491808560018</v>
      </c>
      <c r="W136" s="95">
        <v>2500</v>
      </c>
      <c r="X136" s="95">
        <v>4000</v>
      </c>
      <c r="Y136" s="95">
        <v>10000</v>
      </c>
      <c r="Z136" s="95">
        <v>10000</v>
      </c>
    </row>
    <row r="137" spans="5:26" x14ac:dyDescent="0.2">
      <c r="E137">
        <v>127</v>
      </c>
      <c r="F137" s="95">
        <v>84.374856594432529</v>
      </c>
      <c r="G137" s="94">
        <v>5559.5491808560018</v>
      </c>
      <c r="H137" s="94">
        <v>2440.4508191439986</v>
      </c>
      <c r="I137" s="94">
        <v>8000</v>
      </c>
      <c r="J137" s="94">
        <v>11.165900101990301</v>
      </c>
      <c r="K137" s="95">
        <v>1</v>
      </c>
      <c r="L137" s="95">
        <v>0</v>
      </c>
      <c r="M137" s="95">
        <v>0</v>
      </c>
      <c r="N137" s="95">
        <v>0</v>
      </c>
      <c r="O137" s="95">
        <v>0</v>
      </c>
      <c r="P137" s="95">
        <v>0</v>
      </c>
      <c r="Q137" s="95">
        <v>0</v>
      </c>
      <c r="R137" s="95">
        <v>0</v>
      </c>
      <c r="S137" s="95">
        <v>0</v>
      </c>
      <c r="T137" s="95">
        <v>8000</v>
      </c>
      <c r="U137" s="95">
        <v>0</v>
      </c>
      <c r="V137" s="95">
        <v>8000</v>
      </c>
      <c r="W137" s="95">
        <v>2500</v>
      </c>
      <c r="X137" s="95">
        <v>4000</v>
      </c>
      <c r="Y137" s="95">
        <v>10000</v>
      </c>
      <c r="Z137" s="95">
        <v>10000</v>
      </c>
    </row>
    <row r="138" spans="5:26" x14ac:dyDescent="0.2">
      <c r="E138">
        <v>128</v>
      </c>
      <c r="F138" s="95">
        <v>82.976331355723005</v>
      </c>
      <c r="G138" s="94">
        <v>6865.1731874549605</v>
      </c>
      <c r="H138" s="94">
        <v>2400</v>
      </c>
      <c r="I138" s="94">
        <v>9265.1731874549605</v>
      </c>
      <c r="J138" s="94">
        <v>10.839145330070263</v>
      </c>
      <c r="K138" s="95">
        <v>1</v>
      </c>
      <c r="L138" s="95">
        <v>0</v>
      </c>
      <c r="M138" s="95">
        <v>1305.6240065989591</v>
      </c>
      <c r="N138" s="95">
        <v>0</v>
      </c>
      <c r="O138" s="95">
        <v>1.0000000000000002</v>
      </c>
      <c r="P138" s="95">
        <v>0</v>
      </c>
      <c r="Q138" s="95">
        <v>0</v>
      </c>
      <c r="R138" s="95">
        <v>0</v>
      </c>
      <c r="S138" s="95">
        <v>0</v>
      </c>
      <c r="T138" s="95">
        <v>9265.1731874549605</v>
      </c>
      <c r="U138" s="95">
        <v>0</v>
      </c>
      <c r="V138" s="95">
        <v>9265.1731874549605</v>
      </c>
      <c r="W138" s="95">
        <v>2500</v>
      </c>
      <c r="X138" s="95">
        <v>4000</v>
      </c>
      <c r="Y138" s="95">
        <v>10000</v>
      </c>
      <c r="Z138" s="95">
        <v>10000</v>
      </c>
    </row>
    <row r="139" spans="5:26" x14ac:dyDescent="0.2">
      <c r="E139">
        <v>129</v>
      </c>
      <c r="F139" s="95">
        <v>82.976331355723005</v>
      </c>
      <c r="G139" s="94">
        <v>6865.1731874549605</v>
      </c>
      <c r="H139" s="94">
        <v>2400</v>
      </c>
      <c r="I139" s="94">
        <v>9265.1731874549605</v>
      </c>
      <c r="J139" s="94">
        <v>10.839145330070263</v>
      </c>
      <c r="K139" s="95">
        <v>1</v>
      </c>
      <c r="L139" s="95">
        <v>0</v>
      </c>
      <c r="M139" s="95">
        <v>0</v>
      </c>
      <c r="N139" s="95">
        <v>0</v>
      </c>
      <c r="O139" s="95">
        <v>0</v>
      </c>
      <c r="P139" s="95">
        <v>0</v>
      </c>
      <c r="Q139" s="95">
        <v>0</v>
      </c>
      <c r="R139" s="95">
        <v>0</v>
      </c>
      <c r="S139" s="95">
        <v>0</v>
      </c>
      <c r="T139" s="95">
        <v>9265.1731874549605</v>
      </c>
      <c r="U139" s="95">
        <v>0</v>
      </c>
      <c r="V139" s="95">
        <v>9265.1731874549605</v>
      </c>
      <c r="W139" s="95">
        <v>2500</v>
      </c>
      <c r="X139" s="95">
        <v>4000</v>
      </c>
      <c r="Y139" s="95">
        <v>10000</v>
      </c>
      <c r="Z139" s="95">
        <v>10000</v>
      </c>
    </row>
    <row r="140" spans="5:26" x14ac:dyDescent="0.2">
      <c r="E140">
        <v>130</v>
      </c>
      <c r="F140" s="95">
        <v>82.976331355723005</v>
      </c>
      <c r="G140" s="94">
        <v>6865.1731874549605</v>
      </c>
      <c r="H140" s="94">
        <v>2400</v>
      </c>
      <c r="I140" s="94">
        <v>9265.1731874549605</v>
      </c>
      <c r="J140" s="94">
        <v>10.839145330070263</v>
      </c>
      <c r="K140" s="95">
        <v>1</v>
      </c>
      <c r="L140" s="95">
        <v>0</v>
      </c>
      <c r="M140" s="95">
        <v>0</v>
      </c>
      <c r="N140" s="95">
        <v>0</v>
      </c>
      <c r="O140" s="95">
        <v>0</v>
      </c>
      <c r="P140" s="95">
        <v>0</v>
      </c>
      <c r="Q140" s="95">
        <v>0</v>
      </c>
      <c r="R140" s="95">
        <v>0</v>
      </c>
      <c r="S140" s="95">
        <v>0</v>
      </c>
      <c r="T140" s="95">
        <v>9265.1731874549605</v>
      </c>
      <c r="U140" s="95">
        <v>0</v>
      </c>
      <c r="V140" s="95">
        <v>9265.1731874549605</v>
      </c>
      <c r="W140" s="95">
        <v>2500</v>
      </c>
      <c r="X140" s="95">
        <v>4000</v>
      </c>
      <c r="Y140" s="95">
        <v>10000</v>
      </c>
      <c r="Z140" s="95">
        <v>10000</v>
      </c>
    </row>
    <row r="141" spans="5:26" x14ac:dyDescent="0.2">
      <c r="E141">
        <v>131</v>
      </c>
      <c r="F141" s="95">
        <v>82.976331355723005</v>
      </c>
      <c r="G141" s="94">
        <v>6865.1731874549605</v>
      </c>
      <c r="H141" s="94">
        <v>2400</v>
      </c>
      <c r="I141" s="94">
        <v>9265.1731874549605</v>
      </c>
      <c r="J141" s="94">
        <v>10.839145330070263</v>
      </c>
      <c r="K141" s="95">
        <v>1</v>
      </c>
      <c r="L141" s="95">
        <v>0</v>
      </c>
      <c r="M141" s="95">
        <v>0</v>
      </c>
      <c r="N141" s="95">
        <v>0</v>
      </c>
      <c r="O141" s="95">
        <v>0</v>
      </c>
      <c r="P141" s="95">
        <v>0</v>
      </c>
      <c r="Q141" s="95">
        <v>0</v>
      </c>
      <c r="R141" s="95">
        <v>0</v>
      </c>
      <c r="S141" s="95">
        <v>0</v>
      </c>
      <c r="T141" s="95">
        <v>9265.1731874549605</v>
      </c>
      <c r="U141" s="95">
        <v>0</v>
      </c>
      <c r="V141" s="95">
        <v>9265.1731874549605</v>
      </c>
      <c r="W141" s="95">
        <v>2500</v>
      </c>
      <c r="X141" s="95">
        <v>4000</v>
      </c>
      <c r="Y141" s="95">
        <v>10000</v>
      </c>
      <c r="Z141" s="95">
        <v>10000</v>
      </c>
    </row>
    <row r="142" spans="5:26" x14ac:dyDescent="0.2">
      <c r="E142">
        <v>132</v>
      </c>
      <c r="F142" s="95">
        <v>82.976331355723005</v>
      </c>
      <c r="G142" s="94">
        <v>6865.1731874549623</v>
      </c>
      <c r="H142" s="94">
        <v>2400</v>
      </c>
      <c r="I142" s="94">
        <v>9265.1731874549623</v>
      </c>
      <c r="J142" s="94">
        <v>10.839145330070261</v>
      </c>
      <c r="K142" s="95">
        <v>1</v>
      </c>
      <c r="L142" s="95">
        <v>-1.3756107364315539E-12</v>
      </c>
      <c r="M142" s="95">
        <v>0</v>
      </c>
      <c r="N142" s="95">
        <v>-2.2204460492503131E-16</v>
      </c>
      <c r="O142" s="95">
        <v>0</v>
      </c>
      <c r="P142" s="95">
        <v>0</v>
      </c>
      <c r="Q142" s="95">
        <v>0</v>
      </c>
      <c r="R142" s="95">
        <v>0</v>
      </c>
      <c r="S142" s="95">
        <v>0</v>
      </c>
      <c r="T142" s="95">
        <v>9265.1731874549623</v>
      </c>
      <c r="U142" s="95">
        <v>0</v>
      </c>
      <c r="V142" s="95">
        <v>9265.1731874549623</v>
      </c>
      <c r="W142" s="95">
        <v>2500</v>
      </c>
      <c r="X142" s="95">
        <v>4000</v>
      </c>
      <c r="Y142" s="95">
        <v>10000</v>
      </c>
      <c r="Z142" s="95">
        <v>10000</v>
      </c>
    </row>
    <row r="143" spans="5:26" x14ac:dyDescent="0.2">
      <c r="E143">
        <v>133</v>
      </c>
      <c r="F143" s="95">
        <v>82.976331355723005</v>
      </c>
      <c r="G143" s="94">
        <v>6865.1731874549623</v>
      </c>
      <c r="H143" s="94">
        <v>2400</v>
      </c>
      <c r="I143" s="94">
        <v>9265.1731874549623</v>
      </c>
      <c r="J143" s="94">
        <v>10.839145330070261</v>
      </c>
      <c r="K143" s="95">
        <v>1</v>
      </c>
      <c r="L143" s="95">
        <v>0</v>
      </c>
      <c r="M143" s="95">
        <v>0</v>
      </c>
      <c r="N143" s="95">
        <v>0</v>
      </c>
      <c r="O143" s="95">
        <v>0</v>
      </c>
      <c r="P143" s="95">
        <v>0</v>
      </c>
      <c r="Q143" s="95">
        <v>0</v>
      </c>
      <c r="R143" s="95">
        <v>0</v>
      </c>
      <c r="S143" s="95">
        <v>0</v>
      </c>
      <c r="T143" s="95">
        <v>9265.1731874549623</v>
      </c>
      <c r="U143" s="95">
        <v>0</v>
      </c>
      <c r="V143" s="95">
        <v>9265.1731874549623</v>
      </c>
      <c r="W143" s="95">
        <v>2500</v>
      </c>
      <c r="X143" s="95">
        <v>4000</v>
      </c>
      <c r="Y143" s="95">
        <v>10000</v>
      </c>
      <c r="Z143" s="95">
        <v>10000</v>
      </c>
    </row>
    <row r="144" spans="5:26" x14ac:dyDescent="0.2">
      <c r="E144">
        <v>134</v>
      </c>
      <c r="F144" s="95">
        <v>90.832151821464308</v>
      </c>
      <c r="G144" s="94">
        <v>6865.1731874549623</v>
      </c>
      <c r="H144" s="94">
        <v>2627.2210497828755</v>
      </c>
      <c r="I144" s="94">
        <v>9492.3942372378369</v>
      </c>
      <c r="J144" s="94">
        <v>10.965075300000002</v>
      </c>
      <c r="K144" s="95">
        <v>1</v>
      </c>
      <c r="L144" s="95">
        <v>0</v>
      </c>
      <c r="M144" s="95">
        <v>0</v>
      </c>
      <c r="N144" s="95">
        <v>0</v>
      </c>
      <c r="O144" s="95">
        <v>0</v>
      </c>
      <c r="P144" s="95">
        <v>0</v>
      </c>
      <c r="Q144" s="95">
        <v>0</v>
      </c>
      <c r="R144" s="95">
        <v>0</v>
      </c>
      <c r="S144" s="95">
        <v>0</v>
      </c>
      <c r="T144" s="95">
        <v>9492.3942372378369</v>
      </c>
      <c r="U144" s="95">
        <v>0</v>
      </c>
      <c r="V144" s="95">
        <v>9492.3942372378369</v>
      </c>
      <c r="W144" s="95">
        <v>2500</v>
      </c>
      <c r="X144" s="95">
        <v>4000</v>
      </c>
      <c r="Y144" s="95">
        <v>10000</v>
      </c>
      <c r="Z144" s="95">
        <v>10000</v>
      </c>
    </row>
    <row r="145" spans="5:26" x14ac:dyDescent="0.2">
      <c r="E145">
        <v>135</v>
      </c>
      <c r="F145" s="95">
        <v>92.3407130908478</v>
      </c>
      <c r="G145" s="94">
        <v>6865.1731874549623</v>
      </c>
      <c r="H145" s="94">
        <v>2670.8545412540634</v>
      </c>
      <c r="I145" s="94">
        <v>9536.0277287090248</v>
      </c>
      <c r="J145" s="94">
        <v>10.988570899999999</v>
      </c>
      <c r="K145" s="95">
        <v>1</v>
      </c>
      <c r="L145" s="95">
        <v>0</v>
      </c>
      <c r="M145" s="95">
        <v>0</v>
      </c>
      <c r="N145" s="95">
        <v>0</v>
      </c>
      <c r="O145" s="95">
        <v>0</v>
      </c>
      <c r="P145" s="95">
        <v>0</v>
      </c>
      <c r="Q145" s="95">
        <v>0</v>
      </c>
      <c r="R145" s="95">
        <v>0</v>
      </c>
      <c r="S145" s="95">
        <v>0</v>
      </c>
      <c r="T145" s="95">
        <v>9536.0277287090248</v>
      </c>
      <c r="U145" s="95">
        <v>0</v>
      </c>
      <c r="V145" s="95">
        <v>9536.0277287090248</v>
      </c>
      <c r="W145" s="95">
        <v>2500</v>
      </c>
      <c r="X145" s="95">
        <v>4000</v>
      </c>
      <c r="Y145" s="95">
        <v>10000</v>
      </c>
      <c r="Z145" s="95">
        <v>10000</v>
      </c>
    </row>
    <row r="146" spans="5:26" x14ac:dyDescent="0.2">
      <c r="E146">
        <v>136</v>
      </c>
      <c r="F146" s="95">
        <v>82.976331355723005</v>
      </c>
      <c r="G146" s="94">
        <v>6865.1731874549623</v>
      </c>
      <c r="H146" s="94">
        <v>2400</v>
      </c>
      <c r="I146" s="94">
        <v>9265.1731874549623</v>
      </c>
      <c r="J146" s="94">
        <v>10.839145330070261</v>
      </c>
      <c r="K146" s="95">
        <v>1</v>
      </c>
      <c r="L146" s="95">
        <v>0</v>
      </c>
      <c r="M146" s="95">
        <v>0</v>
      </c>
      <c r="N146" s="95">
        <v>0</v>
      </c>
      <c r="O146" s="95">
        <v>0</v>
      </c>
      <c r="P146" s="95">
        <v>0</v>
      </c>
      <c r="Q146" s="95">
        <v>0</v>
      </c>
      <c r="R146" s="95">
        <v>0</v>
      </c>
      <c r="S146" s="95">
        <v>0</v>
      </c>
      <c r="T146" s="95">
        <v>9265.1731874549623</v>
      </c>
      <c r="U146" s="95">
        <v>0</v>
      </c>
      <c r="V146" s="95">
        <v>9265.1731874549623</v>
      </c>
      <c r="W146" s="95">
        <v>2500</v>
      </c>
      <c r="X146" s="95">
        <v>4000</v>
      </c>
      <c r="Y146" s="95">
        <v>10000</v>
      </c>
      <c r="Z146" s="95">
        <v>10000</v>
      </c>
    </row>
    <row r="147" spans="5:26" x14ac:dyDescent="0.2">
      <c r="E147">
        <v>137</v>
      </c>
      <c r="F147" s="95">
        <v>104.2500173697352</v>
      </c>
      <c r="G147" s="94">
        <v>6865.1731874549623</v>
      </c>
      <c r="H147" s="94">
        <v>3015.3181949530453</v>
      </c>
      <c r="I147" s="94">
        <v>9880.4913824080068</v>
      </c>
      <c r="J147" s="94">
        <v>11.166770695462013</v>
      </c>
      <c r="K147" s="95">
        <v>1</v>
      </c>
      <c r="L147" s="95">
        <v>0</v>
      </c>
      <c r="M147" s="95">
        <v>0</v>
      </c>
      <c r="N147" s="95">
        <v>0</v>
      </c>
      <c r="O147" s="95">
        <v>0</v>
      </c>
      <c r="P147" s="95">
        <v>0</v>
      </c>
      <c r="Q147" s="95">
        <v>0</v>
      </c>
      <c r="R147" s="95">
        <v>0</v>
      </c>
      <c r="S147" s="95">
        <v>0</v>
      </c>
      <c r="T147" s="95">
        <v>9880.4913824080068</v>
      </c>
      <c r="U147" s="95">
        <v>0</v>
      </c>
      <c r="V147" s="95">
        <v>9880.4913824080068</v>
      </c>
      <c r="W147" s="95">
        <v>2500</v>
      </c>
      <c r="X147" s="95">
        <v>4000</v>
      </c>
      <c r="Y147" s="95">
        <v>10000</v>
      </c>
      <c r="Z147" s="95">
        <v>10000</v>
      </c>
    </row>
    <row r="148" spans="5:26" x14ac:dyDescent="0.2">
      <c r="E148">
        <v>138</v>
      </c>
      <c r="F148" s="95">
        <v>449.98473135191438</v>
      </c>
      <c r="G148" s="94">
        <v>0</v>
      </c>
      <c r="H148" s="94">
        <v>13015.318194953044</v>
      </c>
      <c r="I148" s="94">
        <v>13015.318194953044</v>
      </c>
      <c r="J148" s="94">
        <v>16.100000000000001</v>
      </c>
      <c r="K148" s="95">
        <v>0</v>
      </c>
      <c r="L148" s="95">
        <v>7500</v>
      </c>
      <c r="M148" s="95">
        <v>0</v>
      </c>
      <c r="N148" s="95">
        <v>1</v>
      </c>
      <c r="O148" s="95">
        <v>0</v>
      </c>
      <c r="P148" s="95">
        <v>0</v>
      </c>
      <c r="Q148" s="95">
        <v>0</v>
      </c>
      <c r="R148" s="95">
        <v>0</v>
      </c>
      <c r="S148" s="95">
        <v>0</v>
      </c>
      <c r="T148" s="95">
        <v>13015.318194953044</v>
      </c>
      <c r="U148" s="95">
        <v>0</v>
      </c>
      <c r="V148" s="95">
        <v>13015.318194953044</v>
      </c>
      <c r="W148" s="95">
        <v>2500</v>
      </c>
      <c r="X148" s="95">
        <v>4000</v>
      </c>
      <c r="Y148" s="95">
        <v>10000</v>
      </c>
      <c r="Z148" s="95">
        <v>10000</v>
      </c>
    </row>
    <row r="149" spans="5:26" x14ac:dyDescent="0.2">
      <c r="E149">
        <v>139</v>
      </c>
      <c r="F149" s="95">
        <v>451.92883173472387</v>
      </c>
      <c r="G149" s="94">
        <v>0</v>
      </c>
      <c r="H149" s="94">
        <v>13071.549180856002</v>
      </c>
      <c r="I149" s="94">
        <v>13071.549180856002</v>
      </c>
      <c r="J149" s="94">
        <v>16.100000000000001</v>
      </c>
      <c r="K149" s="95">
        <v>0</v>
      </c>
      <c r="L149" s="95">
        <v>0</v>
      </c>
      <c r="M149" s="95">
        <v>0</v>
      </c>
      <c r="N149" s="95">
        <v>0</v>
      </c>
      <c r="O149" s="95">
        <v>0</v>
      </c>
      <c r="P149" s="95">
        <v>0</v>
      </c>
      <c r="Q149" s="95">
        <v>0</v>
      </c>
      <c r="R149" s="95">
        <v>0</v>
      </c>
      <c r="S149" s="95">
        <v>0</v>
      </c>
      <c r="T149" s="95">
        <v>13071.549180856002</v>
      </c>
      <c r="U149" s="95">
        <v>0</v>
      </c>
      <c r="V149" s="95">
        <v>13071.549180856002</v>
      </c>
      <c r="W149" s="95">
        <v>2500</v>
      </c>
      <c r="X149" s="95">
        <v>4000</v>
      </c>
      <c r="Y149" s="95">
        <v>10000</v>
      </c>
      <c r="Z149" s="95">
        <v>10000</v>
      </c>
    </row>
    <row r="150" spans="5:26" x14ac:dyDescent="0.2">
      <c r="E150">
        <v>140</v>
      </c>
      <c r="F150" s="95">
        <v>451.92883173472387</v>
      </c>
      <c r="G150" s="94">
        <v>0</v>
      </c>
      <c r="H150" s="94">
        <v>13071.549180856002</v>
      </c>
      <c r="I150" s="94">
        <v>13071.549180856002</v>
      </c>
      <c r="J150" s="94">
        <v>16.100000000000001</v>
      </c>
      <c r="K150" s="95">
        <v>0</v>
      </c>
      <c r="L150" s="95">
        <v>0</v>
      </c>
      <c r="M150" s="95">
        <v>0</v>
      </c>
      <c r="N150" s="95">
        <v>0</v>
      </c>
      <c r="O150" s="95">
        <v>0</v>
      </c>
      <c r="P150" s="95">
        <v>0</v>
      </c>
      <c r="Q150" s="95">
        <v>0</v>
      </c>
      <c r="R150" s="95">
        <v>0</v>
      </c>
      <c r="S150" s="95">
        <v>0</v>
      </c>
      <c r="T150" s="95">
        <v>13071.549180856002</v>
      </c>
      <c r="U150" s="95">
        <v>0</v>
      </c>
      <c r="V150" s="95">
        <v>13071.549180856002</v>
      </c>
      <c r="W150" s="95">
        <v>2500</v>
      </c>
      <c r="X150" s="95">
        <v>4000</v>
      </c>
      <c r="Y150" s="95">
        <v>10000</v>
      </c>
      <c r="Z150" s="95">
        <v>10000</v>
      </c>
    </row>
    <row r="151" spans="5:26" x14ac:dyDescent="0.2">
      <c r="E151">
        <v>141</v>
      </c>
      <c r="F151" s="95">
        <v>451.92883173472387</v>
      </c>
      <c r="G151" s="94">
        <v>0</v>
      </c>
      <c r="H151" s="94">
        <v>13071.549180856002</v>
      </c>
      <c r="I151" s="94">
        <v>13071.549180856002</v>
      </c>
      <c r="J151" s="94">
        <v>16.100000000000001</v>
      </c>
      <c r="K151" s="95">
        <v>0</v>
      </c>
      <c r="L151" s="95">
        <v>0</v>
      </c>
      <c r="M151" s="95">
        <v>0</v>
      </c>
      <c r="N151" s="95">
        <v>0</v>
      </c>
      <c r="O151" s="95">
        <v>0</v>
      </c>
      <c r="P151" s="95">
        <v>0</v>
      </c>
      <c r="Q151" s="95">
        <v>0</v>
      </c>
      <c r="R151" s="95">
        <v>0</v>
      </c>
      <c r="S151" s="95">
        <v>0</v>
      </c>
      <c r="T151" s="95">
        <v>13071.549180856002</v>
      </c>
      <c r="U151" s="95">
        <v>0</v>
      </c>
      <c r="V151" s="95">
        <v>13071.549180856002</v>
      </c>
      <c r="W151" s="95">
        <v>2500</v>
      </c>
      <c r="X151" s="95">
        <v>4000</v>
      </c>
      <c r="Y151" s="95">
        <v>10000</v>
      </c>
      <c r="Z151" s="95">
        <v>10000</v>
      </c>
    </row>
    <row r="152" spans="5:26" x14ac:dyDescent="0.2">
      <c r="E152">
        <v>142</v>
      </c>
      <c r="F152" s="95">
        <v>448.05660293812343</v>
      </c>
      <c r="G152" s="94">
        <v>0</v>
      </c>
      <c r="H152" s="94">
        <v>12959.549180856002</v>
      </c>
      <c r="I152" s="94">
        <v>12959.549180856002</v>
      </c>
      <c r="J152" s="94">
        <v>16.100000000000001</v>
      </c>
      <c r="K152" s="95">
        <v>0</v>
      </c>
      <c r="L152" s="95">
        <v>0</v>
      </c>
      <c r="M152" s="95">
        <v>0</v>
      </c>
      <c r="N152" s="95">
        <v>0</v>
      </c>
      <c r="O152" s="95">
        <v>0</v>
      </c>
      <c r="P152" s="95">
        <v>0</v>
      </c>
      <c r="Q152" s="95">
        <v>0</v>
      </c>
      <c r="R152" s="95">
        <v>0</v>
      </c>
      <c r="S152" s="95">
        <v>0</v>
      </c>
      <c r="T152" s="95">
        <v>12959.549180856002</v>
      </c>
      <c r="U152" s="95">
        <v>0</v>
      </c>
      <c r="V152" s="95">
        <v>12959.549180856002</v>
      </c>
      <c r="W152" s="95">
        <v>2500</v>
      </c>
      <c r="X152" s="95">
        <v>4000</v>
      </c>
      <c r="Y152" s="95">
        <v>10000</v>
      </c>
      <c r="Z152" s="95">
        <v>10000</v>
      </c>
    </row>
    <row r="153" spans="5:26" x14ac:dyDescent="0.2">
      <c r="E153">
        <v>143</v>
      </c>
      <c r="F153" s="95">
        <v>104.13559092169102</v>
      </c>
      <c r="G153" s="94">
        <v>7447.5406462701849</v>
      </c>
      <c r="H153" s="94">
        <v>3012.008534585817</v>
      </c>
      <c r="I153" s="94">
        <v>10459.549180856002</v>
      </c>
      <c r="J153" s="94">
        <v>11.044568099999999</v>
      </c>
      <c r="K153" s="95">
        <v>1</v>
      </c>
      <c r="L153" s="95">
        <v>0</v>
      </c>
      <c r="M153" s="95">
        <v>7500</v>
      </c>
      <c r="N153" s="95">
        <v>0</v>
      </c>
      <c r="O153" s="95">
        <v>1</v>
      </c>
      <c r="P153" s="95">
        <v>0</v>
      </c>
      <c r="Q153" s="95">
        <v>0</v>
      </c>
      <c r="R153" s="95">
        <v>0</v>
      </c>
      <c r="S153" s="95">
        <v>0</v>
      </c>
      <c r="T153" s="95">
        <v>10459.549180856002</v>
      </c>
      <c r="U153" s="95">
        <v>0</v>
      </c>
      <c r="V153" s="95">
        <v>10459.549180856002</v>
      </c>
      <c r="W153" s="95">
        <v>2500</v>
      </c>
      <c r="X153" s="95">
        <v>4000</v>
      </c>
      <c r="Y153" s="95">
        <v>10000</v>
      </c>
      <c r="Z153" s="95">
        <v>10000</v>
      </c>
    </row>
    <row r="154" spans="5:26" x14ac:dyDescent="0.2">
      <c r="E154">
        <v>144</v>
      </c>
      <c r="F154" s="95">
        <v>83.160504106576582</v>
      </c>
      <c r="G154" s="94">
        <v>5554.2221846532702</v>
      </c>
      <c r="H154" s="94">
        <v>2405.3269962027321</v>
      </c>
      <c r="I154" s="94">
        <v>7959.5491808560018</v>
      </c>
      <c r="J154" s="94">
        <v>11.145576500000065</v>
      </c>
      <c r="K154" s="95">
        <v>1</v>
      </c>
      <c r="L154" s="95">
        <v>7500</v>
      </c>
      <c r="M154" s="95">
        <v>0</v>
      </c>
      <c r="N154" s="95">
        <v>1</v>
      </c>
      <c r="O154" s="95">
        <v>0</v>
      </c>
      <c r="P154" s="95">
        <v>0</v>
      </c>
      <c r="Q154" s="95">
        <v>0</v>
      </c>
      <c r="R154" s="95">
        <v>0</v>
      </c>
      <c r="S154" s="95">
        <v>0</v>
      </c>
      <c r="T154" s="95">
        <v>7959.5491808560018</v>
      </c>
      <c r="U154" s="95">
        <v>0</v>
      </c>
      <c r="V154" s="95">
        <v>7959.5491808560018</v>
      </c>
      <c r="W154" s="95">
        <v>2500</v>
      </c>
      <c r="X154" s="95">
        <v>4000</v>
      </c>
      <c r="Y154" s="95">
        <v>10000</v>
      </c>
      <c r="Z154" s="95">
        <v>10000</v>
      </c>
    </row>
    <row r="155" spans="5:26" x14ac:dyDescent="0.2">
      <c r="E155">
        <v>145</v>
      </c>
      <c r="F155" s="95">
        <v>87.680131833940521</v>
      </c>
      <c r="G155" s="94">
        <v>5554.2221846521034</v>
      </c>
      <c r="H155" s="94">
        <v>2536.0523050763127</v>
      </c>
      <c r="I155" s="94">
        <v>8090.2744897284165</v>
      </c>
      <c r="J155" s="94">
        <v>11.225631700000116</v>
      </c>
      <c r="K155" s="95">
        <v>1</v>
      </c>
      <c r="L155" s="95">
        <v>1.1665179044939577E-9</v>
      </c>
      <c r="M155" s="95">
        <v>0</v>
      </c>
      <c r="N155" s="95">
        <v>0</v>
      </c>
      <c r="O155" s="95">
        <v>0</v>
      </c>
      <c r="P155" s="95">
        <v>0</v>
      </c>
      <c r="Q155" s="95">
        <v>0</v>
      </c>
      <c r="R155" s="95">
        <v>0</v>
      </c>
      <c r="S155" s="95">
        <v>0</v>
      </c>
      <c r="T155" s="95">
        <v>8090.2744897284165</v>
      </c>
      <c r="U155" s="95">
        <v>0</v>
      </c>
      <c r="V155" s="95">
        <v>8090.2744897284165</v>
      </c>
      <c r="W155" s="95">
        <v>2500</v>
      </c>
      <c r="X155" s="95">
        <v>4000</v>
      </c>
      <c r="Y155" s="95">
        <v>10000</v>
      </c>
      <c r="Z155" s="95">
        <v>10000</v>
      </c>
    </row>
    <row r="156" spans="5:26" x14ac:dyDescent="0.2">
      <c r="E156">
        <v>146</v>
      </c>
      <c r="F156" s="95">
        <v>86.439033212414415</v>
      </c>
      <c r="G156" s="94">
        <v>5300.4281829014662</v>
      </c>
      <c r="H156" s="94">
        <v>2500.1548793526672</v>
      </c>
      <c r="I156" s="94">
        <v>7800.5830622541334</v>
      </c>
      <c r="J156" s="94">
        <v>11.275611899999999</v>
      </c>
      <c r="K156" s="95">
        <v>1</v>
      </c>
      <c r="L156" s="95">
        <v>253.79400175063779</v>
      </c>
      <c r="M156" s="95">
        <v>0</v>
      </c>
      <c r="N156" s="95">
        <v>1</v>
      </c>
      <c r="O156" s="95">
        <v>0</v>
      </c>
      <c r="P156" s="95">
        <v>0</v>
      </c>
      <c r="Q156" s="95">
        <v>0</v>
      </c>
      <c r="R156" s="95">
        <v>0</v>
      </c>
      <c r="S156" s="95">
        <v>0</v>
      </c>
      <c r="T156" s="95">
        <v>7800.5830622541334</v>
      </c>
      <c r="U156" s="95">
        <v>0</v>
      </c>
      <c r="V156" s="95">
        <v>7800.5830622541334</v>
      </c>
      <c r="W156" s="95">
        <v>2500</v>
      </c>
      <c r="X156" s="95">
        <v>4000</v>
      </c>
      <c r="Y156" s="95">
        <v>10000</v>
      </c>
      <c r="Z156" s="95">
        <v>10000</v>
      </c>
    </row>
    <row r="157" spans="5:26" x14ac:dyDescent="0.2">
      <c r="E157">
        <v>147</v>
      </c>
      <c r="F157" s="95">
        <v>82.976331355723005</v>
      </c>
      <c r="G157" s="94">
        <v>5300.4281829441152</v>
      </c>
      <c r="H157" s="94">
        <v>2400</v>
      </c>
      <c r="I157" s="94">
        <v>7700.4281829441161</v>
      </c>
      <c r="J157" s="94">
        <v>11.212863959661666</v>
      </c>
      <c r="K157" s="95">
        <v>1</v>
      </c>
      <c r="L157" s="95">
        <v>0</v>
      </c>
      <c r="M157" s="95">
        <v>4.2649779175008006E-8</v>
      </c>
      <c r="N157" s="95">
        <v>0</v>
      </c>
      <c r="O157" s="95">
        <v>0</v>
      </c>
      <c r="P157" s="95">
        <v>0</v>
      </c>
      <c r="Q157" s="95">
        <v>0</v>
      </c>
      <c r="R157" s="95">
        <v>0</v>
      </c>
      <c r="S157" s="95">
        <v>0</v>
      </c>
      <c r="T157" s="95">
        <v>7700.4281829441161</v>
      </c>
      <c r="U157" s="95">
        <v>0</v>
      </c>
      <c r="V157" s="95">
        <v>7700.4281829441161</v>
      </c>
      <c r="W157" s="95">
        <v>2500</v>
      </c>
      <c r="X157" s="95">
        <v>4000</v>
      </c>
      <c r="Y157" s="95">
        <v>10000</v>
      </c>
      <c r="Z157" s="95">
        <v>10000</v>
      </c>
    </row>
    <row r="158" spans="5:26" x14ac:dyDescent="0.2">
      <c r="E158">
        <v>148</v>
      </c>
      <c r="F158" s="95">
        <v>82.976331355723005</v>
      </c>
      <c r="G158" s="94">
        <v>5300.4281829441152</v>
      </c>
      <c r="H158" s="94">
        <v>2400</v>
      </c>
      <c r="I158" s="94">
        <v>7700.4281829441161</v>
      </c>
      <c r="J158" s="94">
        <v>11.212863959661666</v>
      </c>
      <c r="K158" s="95">
        <v>1</v>
      </c>
      <c r="L158" s="95">
        <v>0</v>
      </c>
      <c r="M158" s="95">
        <v>0</v>
      </c>
      <c r="N158" s="95">
        <v>0</v>
      </c>
      <c r="O158" s="95">
        <v>0</v>
      </c>
      <c r="P158" s="95">
        <v>0</v>
      </c>
      <c r="Q158" s="95">
        <v>0</v>
      </c>
      <c r="R158" s="95">
        <v>0</v>
      </c>
      <c r="S158" s="95">
        <v>0</v>
      </c>
      <c r="T158" s="95">
        <v>7700.4281829441161</v>
      </c>
      <c r="U158" s="95">
        <v>0</v>
      </c>
      <c r="V158" s="95">
        <v>7700.4281829441161</v>
      </c>
      <c r="W158" s="95">
        <v>2500</v>
      </c>
      <c r="X158" s="95">
        <v>4000</v>
      </c>
      <c r="Y158" s="95">
        <v>10000</v>
      </c>
      <c r="Z158" s="95">
        <v>10000</v>
      </c>
    </row>
    <row r="159" spans="5:26" x14ac:dyDescent="0.2">
      <c r="E159">
        <v>149</v>
      </c>
      <c r="F159" s="95">
        <v>82.976331355723005</v>
      </c>
      <c r="G159" s="94">
        <v>5600</v>
      </c>
      <c r="H159" s="94">
        <v>2400</v>
      </c>
      <c r="I159" s="94">
        <v>8000</v>
      </c>
      <c r="J159" s="94">
        <v>11.13</v>
      </c>
      <c r="K159" s="95">
        <v>1</v>
      </c>
      <c r="L159" s="95">
        <v>0</v>
      </c>
      <c r="M159" s="95">
        <v>299.57181705588431</v>
      </c>
      <c r="N159" s="95">
        <v>0</v>
      </c>
      <c r="O159" s="95">
        <v>1</v>
      </c>
      <c r="P159" s="95">
        <v>0</v>
      </c>
      <c r="Q159" s="95">
        <v>0</v>
      </c>
      <c r="R159" s="95">
        <v>0</v>
      </c>
      <c r="S159" s="95">
        <v>0</v>
      </c>
      <c r="T159" s="95">
        <v>8000</v>
      </c>
      <c r="U159" s="95">
        <v>0</v>
      </c>
      <c r="V159" s="95">
        <v>8000</v>
      </c>
      <c r="W159" s="95">
        <v>2500</v>
      </c>
      <c r="X159" s="95">
        <v>4000</v>
      </c>
      <c r="Y159" s="95">
        <v>10000</v>
      </c>
      <c r="Z159" s="95">
        <v>10000</v>
      </c>
    </row>
    <row r="160" spans="5:26" x14ac:dyDescent="0.2">
      <c r="E160">
        <v>150</v>
      </c>
      <c r="F160" s="95">
        <v>82.976331355723005</v>
      </c>
      <c r="G160" s="94">
        <v>5600</v>
      </c>
      <c r="H160" s="94">
        <v>2400</v>
      </c>
      <c r="I160" s="94">
        <v>8000</v>
      </c>
      <c r="J160" s="94">
        <v>11.13</v>
      </c>
      <c r="K160" s="95">
        <v>1</v>
      </c>
      <c r="L160" s="95">
        <v>0</v>
      </c>
      <c r="M160" s="95">
        <v>0</v>
      </c>
      <c r="N160" s="95">
        <v>0</v>
      </c>
      <c r="O160" s="95">
        <v>0</v>
      </c>
      <c r="P160" s="95">
        <v>0</v>
      </c>
      <c r="Q160" s="95">
        <v>0</v>
      </c>
      <c r="R160" s="95">
        <v>0</v>
      </c>
      <c r="S160" s="95">
        <v>0</v>
      </c>
      <c r="T160" s="95">
        <v>8000</v>
      </c>
      <c r="U160" s="95">
        <v>0</v>
      </c>
      <c r="V160" s="95">
        <v>8000</v>
      </c>
      <c r="W160" s="95">
        <v>2500</v>
      </c>
      <c r="X160" s="95">
        <v>4000</v>
      </c>
      <c r="Y160" s="95">
        <v>10000</v>
      </c>
      <c r="Z160" s="95">
        <v>10000</v>
      </c>
    </row>
    <row r="161" spans="5:26" x14ac:dyDescent="0.2">
      <c r="E161">
        <v>151</v>
      </c>
      <c r="F161" s="95">
        <v>82.976331355723005</v>
      </c>
      <c r="G161" s="94">
        <v>5600</v>
      </c>
      <c r="H161" s="94">
        <v>2400</v>
      </c>
      <c r="I161" s="94">
        <v>8000</v>
      </c>
      <c r="J161" s="94">
        <v>11.13</v>
      </c>
      <c r="K161" s="95">
        <v>1</v>
      </c>
      <c r="L161" s="95">
        <v>0</v>
      </c>
      <c r="M161" s="95">
        <v>0</v>
      </c>
      <c r="N161" s="95">
        <v>0</v>
      </c>
      <c r="O161" s="95">
        <v>0</v>
      </c>
      <c r="P161" s="95">
        <v>0</v>
      </c>
      <c r="Q161" s="95">
        <v>0</v>
      </c>
      <c r="R161" s="95">
        <v>0</v>
      </c>
      <c r="S161" s="95">
        <v>0</v>
      </c>
      <c r="T161" s="95">
        <v>8000</v>
      </c>
      <c r="U161" s="95">
        <v>0</v>
      </c>
      <c r="V161" s="95">
        <v>8000</v>
      </c>
      <c r="W161" s="95">
        <v>2500</v>
      </c>
      <c r="X161" s="95">
        <v>4000</v>
      </c>
      <c r="Y161" s="95">
        <v>10000</v>
      </c>
      <c r="Z161" s="95">
        <v>10000</v>
      </c>
    </row>
    <row r="162" spans="5:26" x14ac:dyDescent="0.2">
      <c r="E162">
        <v>152</v>
      </c>
      <c r="F162" s="95">
        <v>82.976331355723005</v>
      </c>
      <c r="G162" s="94">
        <v>5600</v>
      </c>
      <c r="H162" s="94">
        <v>2400</v>
      </c>
      <c r="I162" s="94">
        <v>8000</v>
      </c>
      <c r="J162" s="94">
        <v>11.13</v>
      </c>
      <c r="K162" s="95">
        <v>1</v>
      </c>
      <c r="L162" s="95">
        <v>0</v>
      </c>
      <c r="M162" s="95">
        <v>0</v>
      </c>
      <c r="N162" s="95">
        <v>0</v>
      </c>
      <c r="O162" s="95">
        <v>0</v>
      </c>
      <c r="P162" s="95">
        <v>0</v>
      </c>
      <c r="Q162" s="95">
        <v>0</v>
      </c>
      <c r="R162" s="95">
        <v>0</v>
      </c>
      <c r="S162" s="95">
        <v>0</v>
      </c>
      <c r="T162" s="95">
        <v>8000</v>
      </c>
      <c r="U162" s="95">
        <v>0</v>
      </c>
      <c r="V162" s="95">
        <v>8000</v>
      </c>
      <c r="W162" s="95">
        <v>2500</v>
      </c>
      <c r="X162" s="95">
        <v>4000</v>
      </c>
      <c r="Y162" s="95">
        <v>10000</v>
      </c>
      <c r="Z162" s="95">
        <v>10000</v>
      </c>
    </row>
    <row r="163" spans="5:26" x14ac:dyDescent="0.2">
      <c r="E163">
        <v>153</v>
      </c>
      <c r="F163" s="95">
        <v>82.976331355723005</v>
      </c>
      <c r="G163" s="94">
        <v>5600</v>
      </c>
      <c r="H163" s="94">
        <v>2400</v>
      </c>
      <c r="I163" s="94">
        <v>8000</v>
      </c>
      <c r="J163" s="94">
        <v>11.13</v>
      </c>
      <c r="K163" s="95">
        <v>1</v>
      </c>
      <c r="L163" s="95">
        <v>0</v>
      </c>
      <c r="M163" s="95">
        <v>0</v>
      </c>
      <c r="N163" s="95">
        <v>0</v>
      </c>
      <c r="O163" s="95">
        <v>0</v>
      </c>
      <c r="P163" s="95">
        <v>0</v>
      </c>
      <c r="Q163" s="95">
        <v>0</v>
      </c>
      <c r="R163" s="95">
        <v>0</v>
      </c>
      <c r="S163" s="95">
        <v>0</v>
      </c>
      <c r="T163" s="95">
        <v>8000</v>
      </c>
      <c r="U163" s="95">
        <v>0</v>
      </c>
      <c r="V163" s="95">
        <v>8000</v>
      </c>
      <c r="W163" s="95">
        <v>2500</v>
      </c>
      <c r="X163" s="95">
        <v>4000</v>
      </c>
      <c r="Y163" s="95">
        <v>10000</v>
      </c>
      <c r="Z163" s="95">
        <v>10000</v>
      </c>
    </row>
    <row r="164" spans="5:26" x14ac:dyDescent="0.2">
      <c r="E164">
        <v>154</v>
      </c>
      <c r="F164" s="95">
        <v>82.976331355723005</v>
      </c>
      <c r="G164" s="94">
        <v>5600</v>
      </c>
      <c r="H164" s="94">
        <v>2400</v>
      </c>
      <c r="I164" s="94">
        <v>8000</v>
      </c>
      <c r="J164" s="94">
        <v>11.13</v>
      </c>
      <c r="K164" s="95">
        <v>1</v>
      </c>
      <c r="L164" s="95">
        <v>0</v>
      </c>
      <c r="M164" s="95">
        <v>0</v>
      </c>
      <c r="N164" s="95">
        <v>0</v>
      </c>
      <c r="O164" s="95">
        <v>0</v>
      </c>
      <c r="P164" s="95">
        <v>0</v>
      </c>
      <c r="Q164" s="95">
        <v>0</v>
      </c>
      <c r="R164" s="95">
        <v>0</v>
      </c>
      <c r="S164" s="95">
        <v>0</v>
      </c>
      <c r="T164" s="95">
        <v>8000</v>
      </c>
      <c r="U164" s="95">
        <v>0</v>
      </c>
      <c r="V164" s="95">
        <v>8000</v>
      </c>
      <c r="W164" s="95">
        <v>2500</v>
      </c>
      <c r="X164" s="95">
        <v>4000</v>
      </c>
      <c r="Y164" s="95">
        <v>10000</v>
      </c>
      <c r="Z164" s="95">
        <v>10000</v>
      </c>
    </row>
    <row r="165" spans="5:26" x14ac:dyDescent="0.2">
      <c r="E165">
        <v>155</v>
      </c>
      <c r="F165" s="95">
        <v>82.976331355723005</v>
      </c>
      <c r="G165" s="94">
        <v>5600</v>
      </c>
      <c r="H165" s="94">
        <v>2400</v>
      </c>
      <c r="I165" s="94">
        <v>8000</v>
      </c>
      <c r="J165" s="94">
        <v>11.13</v>
      </c>
      <c r="K165" s="95">
        <v>1</v>
      </c>
      <c r="L165" s="95">
        <v>0</v>
      </c>
      <c r="M165" s="95">
        <v>0</v>
      </c>
      <c r="N165" s="95">
        <v>0</v>
      </c>
      <c r="O165" s="95">
        <v>0</v>
      </c>
      <c r="P165" s="95">
        <v>0</v>
      </c>
      <c r="Q165" s="95">
        <v>0</v>
      </c>
      <c r="R165" s="95">
        <v>0</v>
      </c>
      <c r="S165" s="95">
        <v>0</v>
      </c>
      <c r="T165" s="95">
        <v>8000</v>
      </c>
      <c r="U165" s="95">
        <v>0</v>
      </c>
      <c r="V165" s="95">
        <v>8000</v>
      </c>
      <c r="W165" s="95">
        <v>2500</v>
      </c>
      <c r="X165" s="95">
        <v>4000</v>
      </c>
      <c r="Y165" s="95">
        <v>10000</v>
      </c>
      <c r="Z165" s="95">
        <v>10000</v>
      </c>
    </row>
    <row r="166" spans="5:26" x14ac:dyDescent="0.2">
      <c r="E166">
        <v>156</v>
      </c>
      <c r="F166" s="95">
        <v>82.976331355723005</v>
      </c>
      <c r="G166" s="94">
        <v>5600</v>
      </c>
      <c r="H166" s="94">
        <v>2400</v>
      </c>
      <c r="I166" s="94">
        <v>8000</v>
      </c>
      <c r="J166" s="94">
        <v>11.13</v>
      </c>
      <c r="K166" s="95">
        <v>1</v>
      </c>
      <c r="L166" s="95">
        <v>0</v>
      </c>
      <c r="M166" s="95">
        <v>0</v>
      </c>
      <c r="N166" s="95">
        <v>0</v>
      </c>
      <c r="O166" s="95">
        <v>0</v>
      </c>
      <c r="P166" s="95">
        <v>0</v>
      </c>
      <c r="Q166" s="95">
        <v>0</v>
      </c>
      <c r="R166" s="95">
        <v>0</v>
      </c>
      <c r="S166" s="95">
        <v>0</v>
      </c>
      <c r="T166" s="95">
        <v>8000</v>
      </c>
      <c r="U166" s="95">
        <v>0</v>
      </c>
      <c r="V166" s="95">
        <v>8000</v>
      </c>
      <c r="W166" s="95">
        <v>2500</v>
      </c>
      <c r="X166" s="95">
        <v>4000</v>
      </c>
      <c r="Y166" s="95">
        <v>10000</v>
      </c>
      <c r="Z166" s="95">
        <v>10000</v>
      </c>
    </row>
    <row r="167" spans="5:26" x14ac:dyDescent="0.2">
      <c r="E167">
        <v>157</v>
      </c>
      <c r="F167" s="95">
        <v>82.976331355723005</v>
      </c>
      <c r="G167" s="94">
        <v>5600</v>
      </c>
      <c r="H167" s="94">
        <v>2400</v>
      </c>
      <c r="I167" s="94">
        <v>8000</v>
      </c>
      <c r="J167" s="94">
        <v>11.13</v>
      </c>
      <c r="K167" s="95">
        <v>1</v>
      </c>
      <c r="L167" s="95">
        <v>0</v>
      </c>
      <c r="M167" s="95">
        <v>0</v>
      </c>
      <c r="N167" s="95">
        <v>0</v>
      </c>
      <c r="O167" s="95">
        <v>0</v>
      </c>
      <c r="P167" s="95">
        <v>0</v>
      </c>
      <c r="Q167" s="95">
        <v>0</v>
      </c>
      <c r="R167" s="95">
        <v>0</v>
      </c>
      <c r="S167" s="95">
        <v>0</v>
      </c>
      <c r="T167" s="95">
        <v>8000</v>
      </c>
      <c r="U167" s="95">
        <v>0</v>
      </c>
      <c r="V167" s="95">
        <v>8000</v>
      </c>
      <c r="W167" s="95">
        <v>2500</v>
      </c>
      <c r="X167" s="95">
        <v>4000</v>
      </c>
      <c r="Y167" s="95">
        <v>10000</v>
      </c>
      <c r="Z167" s="95">
        <v>10000</v>
      </c>
    </row>
    <row r="168" spans="5:26" x14ac:dyDescent="0.2">
      <c r="E168">
        <v>158</v>
      </c>
      <c r="F168" s="95">
        <v>82.976331355723005</v>
      </c>
      <c r="G168" s="94">
        <v>5600</v>
      </c>
      <c r="H168" s="94">
        <v>2400</v>
      </c>
      <c r="I168" s="94">
        <v>8000</v>
      </c>
      <c r="J168" s="94">
        <v>11.13</v>
      </c>
      <c r="K168" s="95">
        <v>1</v>
      </c>
      <c r="L168" s="95">
        <v>0</v>
      </c>
      <c r="M168" s="95">
        <v>0</v>
      </c>
      <c r="N168" s="95">
        <v>0</v>
      </c>
      <c r="O168" s="95">
        <v>0</v>
      </c>
      <c r="P168" s="95">
        <v>0</v>
      </c>
      <c r="Q168" s="95">
        <v>0</v>
      </c>
      <c r="R168" s="95">
        <v>0</v>
      </c>
      <c r="S168" s="95">
        <v>0</v>
      </c>
      <c r="T168" s="95">
        <v>8000</v>
      </c>
      <c r="U168" s="95">
        <v>0</v>
      </c>
      <c r="V168" s="95">
        <v>8000</v>
      </c>
      <c r="W168" s="95">
        <v>2500</v>
      </c>
      <c r="X168" s="95">
        <v>4000</v>
      </c>
      <c r="Y168" s="95">
        <v>10000</v>
      </c>
      <c r="Z168" s="95">
        <v>10000</v>
      </c>
    </row>
    <row r="169" spans="5:26" x14ac:dyDescent="0.2">
      <c r="E169">
        <v>159</v>
      </c>
      <c r="F169" s="95">
        <v>82.976331355723005</v>
      </c>
      <c r="G169" s="94">
        <v>5600</v>
      </c>
      <c r="H169" s="94">
        <v>2400</v>
      </c>
      <c r="I169" s="94">
        <v>8000</v>
      </c>
      <c r="J169" s="94">
        <v>11.13</v>
      </c>
      <c r="K169" s="95">
        <v>1</v>
      </c>
      <c r="L169" s="95">
        <v>0</v>
      </c>
      <c r="M169" s="95">
        <v>0</v>
      </c>
      <c r="N169" s="95">
        <v>0</v>
      </c>
      <c r="O169" s="95">
        <v>0</v>
      </c>
      <c r="P169" s="95">
        <v>0</v>
      </c>
      <c r="Q169" s="95">
        <v>0</v>
      </c>
      <c r="R169" s="95">
        <v>0</v>
      </c>
      <c r="S169" s="95">
        <v>0</v>
      </c>
      <c r="T169" s="95">
        <v>8000</v>
      </c>
      <c r="U169" s="95">
        <v>0</v>
      </c>
      <c r="V169" s="95">
        <v>8000</v>
      </c>
      <c r="W169" s="95">
        <v>2500</v>
      </c>
      <c r="X169" s="95">
        <v>4000</v>
      </c>
      <c r="Y169" s="95">
        <v>10000</v>
      </c>
      <c r="Z169" s="95">
        <v>10000</v>
      </c>
    </row>
    <row r="170" spans="5:26" x14ac:dyDescent="0.2">
      <c r="E170">
        <v>160</v>
      </c>
      <c r="F170" s="95">
        <v>82.976331355723005</v>
      </c>
      <c r="G170" s="94">
        <v>5599.9999999983784</v>
      </c>
      <c r="H170" s="94">
        <v>2400</v>
      </c>
      <c r="I170" s="94">
        <v>7999.9999999983784</v>
      </c>
      <c r="J170" s="94">
        <v>11.130000000000432</v>
      </c>
      <c r="K170" s="95">
        <v>1</v>
      </c>
      <c r="L170" s="95">
        <v>0</v>
      </c>
      <c r="M170" s="95">
        <v>-1.6218450582528021E-9</v>
      </c>
      <c r="N170" s="95">
        <v>0</v>
      </c>
      <c r="O170" s="95">
        <v>0</v>
      </c>
      <c r="P170" s="95">
        <v>0</v>
      </c>
      <c r="Q170" s="95">
        <v>0</v>
      </c>
      <c r="R170" s="95">
        <v>0</v>
      </c>
      <c r="S170" s="95">
        <v>0</v>
      </c>
      <c r="T170" s="95">
        <v>7999.9999999983784</v>
      </c>
      <c r="U170" s="95">
        <v>0</v>
      </c>
      <c r="V170" s="95">
        <v>7999.9999999983784</v>
      </c>
      <c r="W170" s="95">
        <v>2500</v>
      </c>
      <c r="X170" s="95">
        <v>4000</v>
      </c>
      <c r="Y170" s="95">
        <v>10000</v>
      </c>
      <c r="Z170" s="95">
        <v>10000</v>
      </c>
    </row>
    <row r="171" spans="5:26" x14ac:dyDescent="0.2">
      <c r="E171">
        <v>161</v>
      </c>
      <c r="F171" s="95">
        <v>86.359639137912737</v>
      </c>
      <c r="G171" s="94">
        <v>5600.0000000014325</v>
      </c>
      <c r="H171" s="94">
        <v>2497.8584922300893</v>
      </c>
      <c r="I171" s="94">
        <v>8097.8584922315222</v>
      </c>
      <c r="J171" s="94">
        <v>11.190059916686254</v>
      </c>
      <c r="K171" s="95">
        <v>1</v>
      </c>
      <c r="L171" s="95">
        <v>0</v>
      </c>
      <c r="M171" s="95">
        <v>0</v>
      </c>
      <c r="N171" s="95">
        <v>0</v>
      </c>
      <c r="O171" s="95">
        <v>0</v>
      </c>
      <c r="P171" s="95">
        <v>0</v>
      </c>
      <c r="Q171" s="95">
        <v>0</v>
      </c>
      <c r="R171" s="95">
        <v>0</v>
      </c>
      <c r="S171" s="95">
        <v>0</v>
      </c>
      <c r="T171" s="95">
        <v>8097.8584922315222</v>
      </c>
      <c r="U171" s="95">
        <v>0</v>
      </c>
      <c r="V171" s="95">
        <v>8097.8584922315222</v>
      </c>
      <c r="W171" s="95">
        <v>2500</v>
      </c>
      <c r="X171" s="95">
        <v>4000</v>
      </c>
      <c r="Y171" s="95">
        <v>10000</v>
      </c>
      <c r="Z171" s="95">
        <v>10000</v>
      </c>
    </row>
    <row r="172" spans="5:26" x14ac:dyDescent="0.2">
      <c r="E172">
        <v>162</v>
      </c>
      <c r="F172" s="95">
        <v>418.26496456085431</v>
      </c>
      <c r="G172" s="94">
        <v>0</v>
      </c>
      <c r="H172" s="94">
        <v>12097.858492231522</v>
      </c>
      <c r="I172" s="94">
        <v>12097.858492231522</v>
      </c>
      <c r="J172" s="94">
        <v>16.100000000000001</v>
      </c>
      <c r="K172" s="95">
        <v>0</v>
      </c>
      <c r="L172" s="95">
        <v>7500</v>
      </c>
      <c r="M172" s="95">
        <v>0</v>
      </c>
      <c r="N172" s="95">
        <v>1</v>
      </c>
      <c r="O172" s="95">
        <v>0</v>
      </c>
      <c r="P172" s="95">
        <v>0</v>
      </c>
      <c r="Q172" s="95">
        <v>0</v>
      </c>
      <c r="R172" s="95">
        <v>0</v>
      </c>
      <c r="S172" s="95">
        <v>0</v>
      </c>
      <c r="T172" s="95">
        <v>12097.858492231522</v>
      </c>
      <c r="U172" s="95">
        <v>0</v>
      </c>
      <c r="V172" s="95">
        <v>12097.858492231522</v>
      </c>
      <c r="W172" s="95">
        <v>2500</v>
      </c>
      <c r="X172" s="95">
        <v>4000</v>
      </c>
      <c r="Y172" s="95">
        <v>10000</v>
      </c>
      <c r="Z172" s="95">
        <v>10000</v>
      </c>
    </row>
    <row r="173" spans="5:26" x14ac:dyDescent="0.2">
      <c r="E173">
        <v>163</v>
      </c>
      <c r="F173" s="95">
        <v>442.97011932473958</v>
      </c>
      <c r="G173" s="94">
        <v>0</v>
      </c>
      <c r="H173" s="94">
        <v>12812.428182944117</v>
      </c>
      <c r="I173" s="94">
        <v>12812.428182944117</v>
      </c>
      <c r="J173" s="94">
        <v>16.100000000000001</v>
      </c>
      <c r="K173" s="95">
        <v>0</v>
      </c>
      <c r="L173" s="95">
        <v>0</v>
      </c>
      <c r="M173" s="95">
        <v>0</v>
      </c>
      <c r="N173" s="95">
        <v>0</v>
      </c>
      <c r="O173" s="95">
        <v>0</v>
      </c>
      <c r="P173" s="95">
        <v>0</v>
      </c>
      <c r="Q173" s="95">
        <v>0</v>
      </c>
      <c r="R173" s="95">
        <v>0</v>
      </c>
      <c r="S173" s="95">
        <v>0</v>
      </c>
      <c r="T173" s="95">
        <v>12812.428182944117</v>
      </c>
      <c r="U173" s="95">
        <v>0</v>
      </c>
      <c r="V173" s="95">
        <v>12812.428182944117</v>
      </c>
      <c r="W173" s="95">
        <v>2500</v>
      </c>
      <c r="X173" s="95">
        <v>4000</v>
      </c>
      <c r="Y173" s="95">
        <v>10000</v>
      </c>
      <c r="Z173" s="95">
        <v>10000</v>
      </c>
    </row>
    <row r="174" spans="5:26" x14ac:dyDescent="0.2">
      <c r="E174">
        <v>164</v>
      </c>
      <c r="F174" s="95">
        <v>442.97011932473958</v>
      </c>
      <c r="G174" s="94">
        <v>0</v>
      </c>
      <c r="H174" s="94">
        <v>12812.428182944117</v>
      </c>
      <c r="I174" s="94">
        <v>12812.428182944117</v>
      </c>
      <c r="J174" s="94">
        <v>16.100000000000001</v>
      </c>
      <c r="K174" s="95">
        <v>0</v>
      </c>
      <c r="L174" s="95">
        <v>0</v>
      </c>
      <c r="M174" s="95">
        <v>0</v>
      </c>
      <c r="N174" s="95">
        <v>0</v>
      </c>
      <c r="O174" s="95">
        <v>0</v>
      </c>
      <c r="P174" s="95">
        <v>0</v>
      </c>
      <c r="Q174" s="95">
        <v>0</v>
      </c>
      <c r="R174" s="95">
        <v>0</v>
      </c>
      <c r="S174" s="95">
        <v>0</v>
      </c>
      <c r="T174" s="95">
        <v>12812.428182944117</v>
      </c>
      <c r="U174" s="95">
        <v>0</v>
      </c>
      <c r="V174" s="95">
        <v>12812.428182944117</v>
      </c>
      <c r="W174" s="95">
        <v>2500</v>
      </c>
      <c r="X174" s="95">
        <v>4000</v>
      </c>
      <c r="Y174" s="95">
        <v>10000</v>
      </c>
      <c r="Z174" s="95">
        <v>10000</v>
      </c>
    </row>
    <row r="175" spans="5:26" x14ac:dyDescent="0.2">
      <c r="E175">
        <v>165</v>
      </c>
      <c r="F175" s="95">
        <v>442.97011932473958</v>
      </c>
      <c r="G175" s="94">
        <v>0</v>
      </c>
      <c r="H175" s="94">
        <v>12812.428182944117</v>
      </c>
      <c r="I175" s="94">
        <v>12812.428182944117</v>
      </c>
      <c r="J175" s="94">
        <v>16.100000000000001</v>
      </c>
      <c r="K175" s="95">
        <v>0</v>
      </c>
      <c r="L175" s="95">
        <v>0</v>
      </c>
      <c r="M175" s="95">
        <v>0</v>
      </c>
      <c r="N175" s="95">
        <v>0</v>
      </c>
      <c r="O175" s="95">
        <v>0</v>
      </c>
      <c r="P175" s="95">
        <v>0</v>
      </c>
      <c r="Q175" s="95">
        <v>0</v>
      </c>
      <c r="R175" s="95">
        <v>0</v>
      </c>
      <c r="S175" s="95">
        <v>0</v>
      </c>
      <c r="T175" s="95">
        <v>12812.428182944117</v>
      </c>
      <c r="U175" s="95">
        <v>0</v>
      </c>
      <c r="V175" s="95">
        <v>12812.428182944117</v>
      </c>
      <c r="W175" s="95">
        <v>2500</v>
      </c>
      <c r="X175" s="95">
        <v>4000</v>
      </c>
      <c r="Y175" s="95">
        <v>10000</v>
      </c>
      <c r="Z175" s="95">
        <v>10000</v>
      </c>
    </row>
    <row r="176" spans="5:26" x14ac:dyDescent="0.2">
      <c r="E176">
        <v>166</v>
      </c>
      <c r="F176" s="95">
        <v>173.28223864786821</v>
      </c>
      <c r="G176" s="94">
        <v>5300.428182944117</v>
      </c>
      <c r="H176" s="94">
        <v>5012</v>
      </c>
      <c r="I176" s="94">
        <v>10312.428182944117</v>
      </c>
      <c r="J176" s="94">
        <v>12.450710091620799</v>
      </c>
      <c r="K176" s="95">
        <v>1</v>
      </c>
      <c r="L176" s="95">
        <v>0</v>
      </c>
      <c r="M176" s="95">
        <v>5300.428182944117</v>
      </c>
      <c r="N176" s="95">
        <v>0</v>
      </c>
      <c r="O176" s="95">
        <v>1</v>
      </c>
      <c r="P176" s="95">
        <v>0</v>
      </c>
      <c r="Q176" s="95">
        <v>0</v>
      </c>
      <c r="R176" s="95">
        <v>0</v>
      </c>
      <c r="S176" s="95">
        <v>0</v>
      </c>
      <c r="T176" s="95">
        <v>10312.428182944117</v>
      </c>
      <c r="U176" s="95">
        <v>0</v>
      </c>
      <c r="V176" s="95">
        <v>10312.428182944117</v>
      </c>
      <c r="W176" s="95">
        <v>2500</v>
      </c>
      <c r="X176" s="95">
        <v>4000</v>
      </c>
      <c r="Y176" s="95">
        <v>10000</v>
      </c>
      <c r="Z176" s="95">
        <v>10000</v>
      </c>
    </row>
    <row r="177" spans="5:26" x14ac:dyDescent="0.2">
      <c r="E177">
        <v>167</v>
      </c>
      <c r="F177" s="95">
        <v>86.848560152323415</v>
      </c>
      <c r="G177" s="94">
        <v>5300.428182944117</v>
      </c>
      <c r="H177" s="94">
        <v>2512</v>
      </c>
      <c r="I177" s="94">
        <v>7812.428182944117</v>
      </c>
      <c r="J177" s="94">
        <v>11.282926585992474</v>
      </c>
      <c r="K177" s="95">
        <v>1</v>
      </c>
      <c r="L177" s="95">
        <v>0</v>
      </c>
      <c r="M177" s="95">
        <v>0</v>
      </c>
      <c r="N177" s="95">
        <v>0</v>
      </c>
      <c r="O177" s="95">
        <v>0</v>
      </c>
      <c r="P177" s="95">
        <v>0</v>
      </c>
      <c r="Q177" s="95">
        <v>0</v>
      </c>
      <c r="R177" s="95">
        <v>0</v>
      </c>
      <c r="S177" s="95">
        <v>0</v>
      </c>
      <c r="T177" s="95">
        <v>7812.428182944117</v>
      </c>
      <c r="U177" s="95">
        <v>0</v>
      </c>
      <c r="V177" s="95">
        <v>7812.428182944117</v>
      </c>
      <c r="W177" s="95">
        <v>2500</v>
      </c>
      <c r="X177" s="95">
        <v>4000</v>
      </c>
      <c r="Y177" s="95">
        <v>10000</v>
      </c>
      <c r="Z177" s="95">
        <v>10000</v>
      </c>
    </row>
    <row r="178" spans="5:26" x14ac:dyDescent="0.2">
      <c r="E178">
        <v>168</v>
      </c>
      <c r="F178" s="95">
        <v>82.976331355723005</v>
      </c>
      <c r="G178" s="94">
        <v>5300.4281829441152</v>
      </c>
      <c r="H178" s="94">
        <v>2400</v>
      </c>
      <c r="I178" s="94">
        <v>7700.4281829441161</v>
      </c>
      <c r="J178" s="94">
        <v>11.212863959661666</v>
      </c>
      <c r="K178" s="95">
        <v>1</v>
      </c>
      <c r="L178" s="95">
        <v>0</v>
      </c>
      <c r="M178" s="95">
        <v>0</v>
      </c>
      <c r="N178" s="95">
        <v>0</v>
      </c>
      <c r="O178" s="95">
        <v>0</v>
      </c>
      <c r="P178" s="95">
        <v>0</v>
      </c>
      <c r="Q178" s="95">
        <v>0</v>
      </c>
      <c r="R178" s="95">
        <v>0</v>
      </c>
      <c r="S178" s="95">
        <v>0</v>
      </c>
      <c r="T178" s="95">
        <v>7700.4281829441161</v>
      </c>
      <c r="U178" s="95">
        <v>0</v>
      </c>
      <c r="V178" s="95">
        <v>7700.4281829441161</v>
      </c>
      <c r="W178" s="95">
        <v>2500</v>
      </c>
      <c r="X178" s="95">
        <v>4000</v>
      </c>
      <c r="Y178" s="95">
        <v>10000</v>
      </c>
      <c r="Z178" s="95">
        <v>10000</v>
      </c>
    </row>
  </sheetData>
  <phoneticPr fontId="7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3" name="Button 3">
              <controlPr defaultSize="0" print="0" autoFill="0" autoPict="0" macro="[0]!RefreshQuery">
                <anchor moveWithCells="1" sizeWithCells="1">
                  <from>
                    <xdr:col>3</xdr:col>
                    <xdr:colOff>215900</xdr:colOff>
                    <xdr:row>6</xdr:row>
                    <xdr:rowOff>63500</xdr:rowOff>
                  </from>
                  <to>
                    <xdr:col>3</xdr:col>
                    <xdr:colOff>1193800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Title="Location selection" xr:uid="{FFA81C16-EBEF-4C45-846B-058F050F94F3}">
          <x14:formula1>
            <xm:f>Settings!$B$3:$B$4</xm:f>
          </x14:formula1>
          <xm:sqref>E6</xm:sqref>
        </x14:dataValidation>
      </x14:dataValidations>
    </ex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689DD899-AA03-4195-B48B-C0BDDE09680E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Results!F11:F178</xm:f>
              <xm:sqref>F8</xm:sqref>
            </x14:sparkline>
          </x14:sparklines>
        </x14:sparklineGroup>
        <x14:sparklineGroup displayEmptyCellsAs="gap" xr2:uid="{2A7405EA-436A-44C6-A274-F097853A875E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Results!G11:G178</xm:f>
              <xm:sqref>G8</xm:sqref>
            </x14:sparkline>
          </x14:sparklines>
        </x14:sparklineGroup>
        <x14:sparklineGroup displayEmptyCellsAs="gap" xr2:uid="{0D81DD16-0C21-423A-8D9E-E94CEF1B6397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Results!AA11:AA34</xm:f>
              <xm:sqref>AA8</xm:sqref>
            </x14:sparkline>
          </x14:sparklines>
        </x14:sparklineGroup>
        <x14:sparklineGroup displayEmptyCellsAs="gap" xr2:uid="{629FDA7C-1D92-4A2C-A68E-69BF63964359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Results!AB11:AB34</xm:f>
              <xm:sqref>AB8</xm:sqref>
            </x14:sparkline>
          </x14:sparklines>
        </x14:sparklineGroup>
        <x14:sparklineGroup displayEmptyCellsAs="gap" xr2:uid="{3F94791A-E69E-4F67-9676-F457246E4F26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Results!J11:J178</xm:f>
              <xm:sqref>J8</xm:sqref>
            </x14:sparkline>
          </x14:sparklines>
        </x14:sparklineGroup>
        <x14:sparklineGroup displayEmptyCellsAs="gap" xr2:uid="{2CCAB679-FE66-4529-B827-AA9BB04CC381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Results!Z11:Z178</xm:f>
              <xm:sqref>Z8</xm:sqref>
            </x14:sparkline>
          </x14:sparklines>
        </x14:sparklineGroup>
        <x14:sparklineGroup displayEmptyCellsAs="gap" xr2:uid="{5E13677F-8CEC-4AFD-BF5A-F764CE9CC4CA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Results!Y11:Y178</xm:f>
              <xm:sqref>Y8</xm:sqref>
            </x14:sparkline>
          </x14:sparklines>
        </x14:sparklineGroup>
        <x14:sparklineGroup displayEmptyCellsAs="gap" xr2:uid="{ACB577B1-8E85-4889-9102-638ED8BACB75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Results!X11:X178</xm:f>
              <xm:sqref>X8</xm:sqref>
            </x14:sparkline>
          </x14:sparklines>
        </x14:sparklineGroup>
        <x14:sparklineGroup displayEmptyCellsAs="gap" xr2:uid="{545015B0-24AF-4A77-834C-45CFD53E030C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Results!W11:W178</xm:f>
              <xm:sqref>W8</xm:sqref>
            </x14:sparkline>
          </x14:sparklines>
        </x14:sparklineGroup>
        <x14:sparklineGroup displayEmptyCellsAs="gap" xr2:uid="{FE4FA1D8-232B-4CF3-8D4F-7B2A43D1DAC4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Results!I11:I178</xm:f>
              <xm:sqref>I8</xm:sqref>
            </x14:sparkline>
          </x14:sparklines>
        </x14:sparklineGroup>
        <x14:sparklineGroup displayEmptyCellsAs="gap" xr2:uid="{B8BA7A17-95B8-480F-8B44-2311B755B379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Results!V11:V178</xm:f>
              <xm:sqref>V8</xm:sqref>
            </x14:sparkline>
          </x14:sparklines>
        </x14:sparklineGroup>
        <x14:sparklineGroup displayEmptyCellsAs="gap" xr2:uid="{07EFBDEF-EEF7-4FD8-8BBD-A8E4EFCE593C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Results!H11:H178</xm:f>
              <xm:sqref>H8</xm:sqref>
            </x14:sparkline>
          </x14:sparklines>
        </x14:sparklineGroup>
        <x14:sparklineGroup displayEmptyCellsAs="gap" xr2:uid="{B5FF6D15-A649-4F94-9C47-80F731DF0880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Results!K11:K178</xm:f>
              <xm:sqref>K8</xm:sqref>
            </x14:sparkline>
          </x14:sparklines>
        </x14:sparklineGroup>
        <x14:sparklineGroup displayEmptyCellsAs="gap" xr2:uid="{959AB49B-D573-46DE-97F9-BEFA30287FBC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Results!L11:L178</xm:f>
              <xm:sqref>L8</xm:sqref>
            </x14:sparkline>
          </x14:sparklines>
        </x14:sparklineGroup>
        <x14:sparklineGroup displayEmptyCellsAs="gap" xr2:uid="{73D6FDA3-A5D9-4357-85A5-D49462CED79F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Results!M11:M178</xm:f>
              <xm:sqref>M8</xm:sqref>
            </x14:sparkline>
          </x14:sparklines>
        </x14:sparklineGroup>
        <x14:sparklineGroup displayEmptyCellsAs="gap" xr2:uid="{7232D623-77FA-4D51-9FD2-95599E41DA06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Results!N11:N178</xm:f>
              <xm:sqref>N8</xm:sqref>
            </x14:sparkline>
          </x14:sparklines>
        </x14:sparklineGroup>
        <x14:sparklineGroup displayEmptyCellsAs="gap" xr2:uid="{9CF31D82-920B-4AFA-9AB9-FA7E971CCFD5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Results!O11:O178</xm:f>
              <xm:sqref>O8</xm:sqref>
            </x14:sparkline>
          </x14:sparklines>
        </x14:sparklineGroup>
        <x14:sparklineGroup displayEmptyCellsAs="gap" xr2:uid="{15BCC6EC-5DDA-4F8F-AA12-4F6284F3C1ED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Results!U11:U178</xm:f>
              <xm:sqref>U8</xm:sqref>
            </x14:sparkline>
          </x14:sparklines>
        </x14:sparklineGroup>
        <x14:sparklineGroup displayEmptyCellsAs="gap" xr2:uid="{F26FF472-0ACD-429B-9F9D-4A075CCF775E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Results!P11:P178</xm:f>
              <xm:sqref>P8</xm:sqref>
            </x14:sparkline>
          </x14:sparklines>
        </x14:sparklineGroup>
        <x14:sparklineGroup displayEmptyCellsAs="gap" xr2:uid="{66A6417D-6C7E-46D8-AB3E-949C5A96B49A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Results!Q11:Q178</xm:f>
              <xm:sqref>Q8</xm:sqref>
            </x14:sparkline>
          </x14:sparklines>
        </x14:sparklineGroup>
        <x14:sparklineGroup displayEmptyCellsAs="gap" xr2:uid="{5CAD5FF2-2820-4F2B-B17D-C0C2F13CCB06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Results!R11:R178</xm:f>
              <xm:sqref>R8</xm:sqref>
            </x14:sparkline>
          </x14:sparklines>
        </x14:sparklineGroup>
        <x14:sparklineGroup displayEmptyCellsAs="gap" xr2:uid="{7F60DD58-FB59-4AF6-85B0-0FDF6521FFD5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Results!S11:S178</xm:f>
              <xm:sqref>S8</xm:sqref>
            </x14:sparkline>
          </x14:sparklines>
        </x14:sparklineGroup>
        <x14:sparklineGroup displayEmptyCellsAs="gap" xr2:uid="{86F061BD-C620-46CE-A10F-7A9DB9E7E667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Results!T11:T178</xm:f>
              <xm:sqref>T8</xm:sqref>
            </x14:sparkline>
          </x14:sparklines>
        </x14:sparklineGroup>
      </x14:sparklineGroup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26F15-1F49-744C-BD1C-C7D735420503}">
  <dimension ref="B2:B4"/>
  <sheetViews>
    <sheetView workbookViewId="0">
      <selection activeCell="B9" sqref="B9"/>
    </sheetView>
  </sheetViews>
  <sheetFormatPr baseColWidth="10" defaultRowHeight="15" x14ac:dyDescent="0.2"/>
  <sheetData>
    <row r="2" spans="2:2" x14ac:dyDescent="0.2">
      <c r="B2" s="96" t="s">
        <v>439</v>
      </c>
    </row>
    <row r="3" spans="2:2" x14ac:dyDescent="0.2">
      <c r="B3" s="97" t="s">
        <v>151</v>
      </c>
    </row>
    <row r="4" spans="2:2" x14ac:dyDescent="0.2">
      <c r="B4" s="98" t="s">
        <v>153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2E88E24-AFF1-4856-B4E7-4CA4114D0D5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Inputs</vt:lpstr>
      <vt:lpstr>HourlyTimeseries</vt:lpstr>
      <vt:lpstr>DailyTimeseries</vt:lpstr>
      <vt:lpstr>Results</vt:lpstr>
      <vt:lpstr>Settings</vt:lpstr>
      <vt:lpstr>FolderPath</vt:lpstr>
      <vt:lpstr>PlantName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Pavicevic, Matija</dc:creator>
  <cp:lastModifiedBy>Maris Usis</cp:lastModifiedBy>
  <dcterms:created xsi:type="dcterms:W3CDTF">2024-06-18T13:16:56Z</dcterms:created>
  <dcterms:modified xsi:type="dcterms:W3CDTF">2025-06-03T00:45:41Z</dcterms:modified>
</cp:coreProperties>
</file>